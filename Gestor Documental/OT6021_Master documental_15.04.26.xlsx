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ca\Desktop\Proyecto sistema\"/>
    </mc:Choice>
  </mc:AlternateContent>
  <xr:revisionPtr revIDLastSave="0" documentId="13_ncr:1_{ABF4A39D-7275-462C-99CC-AE68A69B5B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INGENIERÍA CLIENTE" sheetId="11" r:id="rId1"/>
    <sheet name="INGENIERÍA FABRICA" sheetId="16" r:id="rId2"/>
    <sheet name="Criticidad" sheetId="28" r:id="rId3"/>
    <sheet name="SDI o TRL CLIENTE" sheetId="18" r:id="rId4"/>
    <sheet name="MASTER U3" sheetId="21" r:id="rId5"/>
    <sheet name="Hoja1" sheetId="22" state="hidden" r:id="rId6"/>
  </sheets>
  <definedNames>
    <definedName name="_xlnm._FilterDatabase" localSheetId="2" hidden="1">Criticidad!$A$1:$H$1</definedName>
    <definedName name="_xlnm._FilterDatabase" localSheetId="1" hidden="1">'INGENIERÍA FABRICA'!$A$14:$AI$104</definedName>
    <definedName name="_xlnm._FilterDatabase" localSheetId="0" hidden="1">'MASTER INGENIERÍA CLIENTE'!$A$3:$GW$244</definedName>
    <definedName name="_xlnm._FilterDatabase" localSheetId="4" hidden="1">'MASTER U3'!$A$9:$GS$130</definedName>
    <definedName name="_xlnm._FilterDatabase" localSheetId="3" hidden="1">'SDI o TRL CLIENTE'!$A$9:$EB$95</definedName>
    <definedName name="_GoBack" localSheetId="1">'INGENIERÍA FABRICA'!#REF!</definedName>
    <definedName name="_GoBack" localSheetId="0">'MASTER INGENIERÍA CLIENTE'!#REF!</definedName>
    <definedName name="_GoBack" localSheetId="4">'MASTER U3'!#REF!</definedName>
    <definedName name="_GoBack" localSheetId="3">'SDI o TRL CLIENTE'!#REF!</definedName>
    <definedName name="_xlnm.Print_Area" localSheetId="1">'INGENIERÍA FABRICA'!$A$1:$BU$105</definedName>
    <definedName name="_xlnm.Print_Area" localSheetId="0">'MASTER INGENIERÍA CLIENTE'!$A$1:$GW$250</definedName>
    <definedName name="_xlnm.Print_Area" localSheetId="4">'MASTER U3'!$A$1:$GU$145</definedName>
    <definedName name="_xlnm.Print_Area" localSheetId="3">'SDI o TRL CLIENTE'!$A$1:$EB$103</definedName>
    <definedName name="NombreDocumento" localSheetId="1">'INGENIERÍA FABRICA'!#REF!</definedName>
    <definedName name="NombreDocumento" localSheetId="0">'MASTER INGENIERÍA CLIENTE'!#REF!</definedName>
    <definedName name="NombreDocumento" localSheetId="4">'MASTER U3'!#REF!</definedName>
    <definedName name="NombreDocumento" localSheetId="3">'SDI o TRL CLIENTE'!#REF!</definedName>
    <definedName name="_xlnm.Print_Titles" localSheetId="1">'INGENIERÍA FABRICA'!$1:$14</definedName>
    <definedName name="_xlnm.Print_Titles" localSheetId="0">'MASTER INGENIERÍA CLIENTE'!$1:$3</definedName>
    <definedName name="_xlnm.Print_Titles" localSheetId="4">'MASTER U3'!$1:$9</definedName>
    <definedName name="_xlnm.Print_Titles" localSheetId="3">'SDI o TRL CLIENTE'!$1:$9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0" i="11" l="1"/>
  <c r="S7" i="11"/>
  <c r="T7" i="11"/>
  <c r="U7" i="11"/>
  <c r="S8" i="11"/>
  <c r="T8" i="11"/>
  <c r="U8" i="11"/>
  <c r="U243" i="11"/>
  <c r="T243" i="11"/>
  <c r="S243" i="11"/>
  <c r="T120" i="11"/>
  <c r="S125" i="11"/>
  <c r="S114" i="11"/>
  <c r="S115" i="11" l="1"/>
  <c r="U121" i="11"/>
  <c r="U40" i="11"/>
  <c r="S122" i="11"/>
  <c r="S121" i="11"/>
  <c r="S112" i="11"/>
  <c r="S110" i="11"/>
  <c r="S105" i="11"/>
  <c r="S104" i="11"/>
  <c r="S68" i="11"/>
  <c r="S78" i="11"/>
  <c r="S75" i="11"/>
  <c r="S92" i="11"/>
  <c r="S91" i="11"/>
  <c r="S83" i="11"/>
  <c r="S99" i="11"/>
  <c r="S80" i="11"/>
  <c r="S98" i="11"/>
  <c r="S63" i="11"/>
  <c r="S111" i="11"/>
  <c r="S48" i="11"/>
  <c r="S109" i="11"/>
  <c r="S47" i="11"/>
  <c r="S239" i="11"/>
  <c r="T239" i="11"/>
  <c r="U239" i="11"/>
  <c r="S9" i="11"/>
  <c r="T9" i="11"/>
  <c r="S10" i="11"/>
  <c r="T10" i="11"/>
  <c r="S237" i="11"/>
  <c r="T237" i="11"/>
  <c r="S240" i="11"/>
  <c r="T240" i="11"/>
  <c r="S238" i="11"/>
  <c r="T238" i="11"/>
  <c r="U238" i="11"/>
  <c r="U242" i="11"/>
  <c r="T242" i="11"/>
  <c r="S242" i="11"/>
  <c r="S46" i="11"/>
  <c r="K16" i="16"/>
  <c r="K17" i="16"/>
  <c r="U236" i="11"/>
  <c r="T236" i="11"/>
  <c r="S236" i="11"/>
  <c r="U241" i="11"/>
  <c r="T241" i="11"/>
  <c r="S241" i="11"/>
  <c r="U191" i="11"/>
  <c r="T191" i="11"/>
  <c r="S191" i="11"/>
  <c r="U244" i="11"/>
  <c r="T244" i="11"/>
  <c r="S244" i="11"/>
  <c r="S162" i="11"/>
  <c r="S43" i="11"/>
  <c r="S42" i="11"/>
  <c r="S41" i="11"/>
  <c r="S120" i="11"/>
  <c r="S113" i="11"/>
  <c r="K93" i="16"/>
  <c r="K94" i="16"/>
  <c r="K95" i="16"/>
  <c r="K96" i="16"/>
  <c r="K97" i="16"/>
  <c r="K98" i="16"/>
  <c r="K99" i="16"/>
  <c r="K100" i="16"/>
  <c r="K101" i="16"/>
  <c r="K91" i="16"/>
  <c r="K92" i="16"/>
  <c r="K102" i="16"/>
  <c r="K103" i="16"/>
  <c r="K104" i="16"/>
  <c r="S179" i="11"/>
  <c r="T179" i="11"/>
  <c r="U179" i="11"/>
  <c r="S218" i="11"/>
  <c r="T218" i="11"/>
  <c r="U218" i="11"/>
  <c r="S219" i="11"/>
  <c r="T219" i="11"/>
  <c r="U219" i="11"/>
  <c r="S220" i="11"/>
  <c r="T220" i="11"/>
  <c r="U220" i="11"/>
  <c r="S221" i="11"/>
  <c r="T221" i="11"/>
  <c r="U221" i="11"/>
  <c r="S222" i="11"/>
  <c r="T222" i="11"/>
  <c r="U222" i="11"/>
  <c r="S223" i="11"/>
  <c r="T223" i="11"/>
  <c r="U223" i="11"/>
  <c r="S224" i="11"/>
  <c r="T224" i="11"/>
  <c r="U224" i="11"/>
  <c r="S225" i="11"/>
  <c r="T225" i="11"/>
  <c r="U225" i="11"/>
  <c r="S226" i="11"/>
  <c r="T226" i="11"/>
  <c r="U226" i="11"/>
  <c r="S227" i="11"/>
  <c r="T227" i="11"/>
  <c r="U227" i="11"/>
  <c r="S228" i="11"/>
  <c r="T228" i="11"/>
  <c r="U228" i="11"/>
  <c r="S229" i="11"/>
  <c r="T229" i="11"/>
  <c r="U229" i="11"/>
  <c r="S216" i="11"/>
  <c r="T216" i="11"/>
  <c r="U216" i="11"/>
  <c r="S217" i="11"/>
  <c r="T217" i="11"/>
  <c r="U217" i="11"/>
  <c r="S230" i="11"/>
  <c r="T230" i="11"/>
  <c r="U230" i="11"/>
  <c r="S231" i="11"/>
  <c r="T231" i="11"/>
  <c r="U231" i="11"/>
  <c r="S232" i="11"/>
  <c r="T232" i="11"/>
  <c r="U232" i="11"/>
  <c r="S233" i="11"/>
  <c r="T233" i="11"/>
  <c r="U233" i="11"/>
  <c r="S234" i="11"/>
  <c r="T234" i="11"/>
  <c r="U234" i="11"/>
  <c r="S108" i="11"/>
  <c r="S107" i="11"/>
  <c r="S106" i="11"/>
  <c r="S178" i="11"/>
  <c r="T178" i="11"/>
  <c r="U178" i="11"/>
  <c r="S90" i="11"/>
  <c r="K57" i="16"/>
  <c r="S96" i="11"/>
  <c r="K80" i="16"/>
  <c r="K81" i="16"/>
  <c r="K82" i="16"/>
  <c r="K83" i="16"/>
  <c r="K84" i="16"/>
  <c r="K85" i="16"/>
  <c r="K86" i="16"/>
  <c r="K87" i="16"/>
  <c r="K88" i="16"/>
  <c r="K89" i="16"/>
  <c r="K90" i="16"/>
  <c r="U214" i="11" l="1"/>
  <c r="T214" i="11"/>
  <c r="S214" i="11"/>
  <c r="U189" i="11"/>
  <c r="T189" i="11"/>
  <c r="S189" i="11"/>
  <c r="U199" i="11"/>
  <c r="T199" i="11"/>
  <c r="S199" i="11"/>
  <c r="S86" i="11"/>
  <c r="S79" i="11"/>
  <c r="S36" i="11"/>
  <c r="S85" i="11"/>
  <c r="S88" i="11"/>
  <c r="S76" i="11"/>
  <c r="S73" i="11"/>
  <c r="S72" i="11"/>
  <c r="S71" i="11"/>
  <c r="S58" i="11"/>
  <c r="S56" i="11"/>
  <c r="S51" i="11"/>
  <c r="K28" i="16"/>
  <c r="S180" i="11"/>
  <c r="T180" i="11"/>
  <c r="U180" i="11"/>
  <c r="T162" i="11"/>
  <c r="T100" i="11"/>
  <c r="K69" i="16" l="1"/>
  <c r="K70" i="16"/>
  <c r="K71" i="16"/>
  <c r="K72" i="16"/>
  <c r="K73" i="16"/>
  <c r="K74" i="16"/>
  <c r="K77" i="16"/>
  <c r="S102" i="11"/>
  <c r="S60" i="11"/>
  <c r="K64" i="16"/>
  <c r="S38" i="11"/>
  <c r="K75" i="16"/>
  <c r="K76" i="16"/>
  <c r="K21" i="16"/>
  <c r="U177" i="11"/>
  <c r="T177" i="11"/>
  <c r="S177" i="11"/>
  <c r="U211" i="11" l="1"/>
  <c r="T211" i="11"/>
  <c r="S211" i="11"/>
  <c r="U188" i="11"/>
  <c r="T188" i="11"/>
  <c r="S188" i="11"/>
  <c r="U198" i="11"/>
  <c r="T198" i="11"/>
  <c r="S198" i="11"/>
  <c r="U175" i="11"/>
  <c r="U183" i="11"/>
  <c r="U182" i="11"/>
  <c r="U181" i="11"/>
  <c r="T24" i="11"/>
  <c r="S24" i="11"/>
  <c r="T25" i="11"/>
  <c r="S25" i="11"/>
  <c r="T26" i="11"/>
  <c r="S26" i="11"/>
  <c r="T27" i="11"/>
  <c r="S27" i="11"/>
  <c r="T28" i="11"/>
  <c r="S28" i="11"/>
  <c r="T29" i="11"/>
  <c r="S29" i="11"/>
  <c r="T129" i="11"/>
  <c r="S129" i="11"/>
  <c r="T141" i="11"/>
  <c r="S141" i="11"/>
  <c r="T142" i="11"/>
  <c r="S142" i="11"/>
  <c r="T143" i="11"/>
  <c r="S143" i="11"/>
  <c r="T144" i="11"/>
  <c r="S144" i="11"/>
  <c r="T145" i="11"/>
  <c r="S145" i="11"/>
  <c r="T146" i="11"/>
  <c r="S146" i="11"/>
  <c r="T147" i="11"/>
  <c r="S147" i="11"/>
  <c r="T148" i="11"/>
  <c r="S148" i="11"/>
  <c r="T149" i="11"/>
  <c r="S149" i="11"/>
  <c r="T150" i="11"/>
  <c r="S150" i="11"/>
  <c r="T196" i="11"/>
  <c r="S196" i="11"/>
  <c r="T185" i="11"/>
  <c r="S185" i="11"/>
  <c r="T184" i="11"/>
  <c r="S184" i="11"/>
  <c r="T183" i="11"/>
  <c r="S183" i="11"/>
  <c r="T182" i="11"/>
  <c r="S182" i="11"/>
  <c r="T181" i="11"/>
  <c r="S181" i="11"/>
  <c r="U215" i="11"/>
  <c r="T215" i="11"/>
  <c r="S215" i="11"/>
  <c r="U193" i="11"/>
  <c r="T193" i="11"/>
  <c r="S193" i="11"/>
  <c r="U202" i="11"/>
  <c r="T202" i="11"/>
  <c r="S202" i="11"/>
  <c r="S70" i="11"/>
  <c r="T175" i="11"/>
  <c r="S175" i="11"/>
  <c r="I61" i="11"/>
  <c r="S61" i="11"/>
  <c r="I86" i="11"/>
  <c r="I38" i="11"/>
  <c r="I36" i="11"/>
  <c r="I43" i="11"/>
  <c r="I99" i="11"/>
  <c r="I98" i="11"/>
  <c r="I80" i="11"/>
  <c r="I62" i="11"/>
  <c r="I74" i="11"/>
  <c r="I49" i="11"/>
  <c r="I39" i="11"/>
  <c r="I112" i="11"/>
  <c r="I121" i="11"/>
  <c r="I79" i="11"/>
  <c r="I90" i="11"/>
  <c r="I122" i="11"/>
  <c r="I40" i="11"/>
  <c r="I111" i="11"/>
  <c r="I109" i="11"/>
  <c r="I113" i="11"/>
  <c r="I41" i="11"/>
  <c r="I60" i="11"/>
  <c r="I123" i="11"/>
  <c r="K42" i="11"/>
  <c r="K37" i="11"/>
  <c r="K70" i="11"/>
  <c r="K51" i="11"/>
  <c r="K56" i="11"/>
  <c r="K58" i="11"/>
  <c r="K71" i="11"/>
  <c r="K72" i="11"/>
  <c r="K73" i="11"/>
  <c r="K83" i="11"/>
  <c r="K91" i="11"/>
  <c r="K92" i="11"/>
  <c r="K48" i="11"/>
  <c r="K63" i="11"/>
  <c r="K89" i="11"/>
  <c r="K81" i="11"/>
  <c r="K76" i="11"/>
  <c r="K85" i="11"/>
  <c r="K88" i="11"/>
  <c r="K50" i="11"/>
  <c r="K47" i="11"/>
  <c r="K110" i="11"/>
  <c r="K105" i="11"/>
  <c r="K104" i="11"/>
  <c r="K78" i="11"/>
  <c r="K75" i="11"/>
  <c r="K68" i="11"/>
  <c r="K45" i="11"/>
  <c r="K44" i="11"/>
  <c r="K87" i="11"/>
  <c r="S123" i="11"/>
  <c r="S103" i="11"/>
  <c r="S101" i="11"/>
  <c r="S97" i="11"/>
  <c r="U185" i="11" l="1"/>
  <c r="U184" i="11"/>
  <c r="S33" i="11"/>
  <c r="S34" i="11"/>
  <c r="S31" i="11"/>
  <c r="T204" i="11"/>
  <c r="S204" i="11"/>
  <c r="U204" i="11"/>
  <c r="U176" i="11"/>
  <c r="U208" i="11"/>
  <c r="S208" i="11"/>
  <c r="T208" i="11"/>
  <c r="S176" i="11"/>
  <c r="T176" i="11"/>
  <c r="K55" i="16"/>
  <c r="K56" i="16"/>
  <c r="S206" i="11"/>
  <c r="T206" i="11"/>
  <c r="U206" i="11"/>
  <c r="S156" i="11"/>
  <c r="T156" i="11"/>
  <c r="U156" i="11"/>
  <c r="S39" i="11" l="1"/>
  <c r="S40" i="11"/>
  <c r="K49" i="16"/>
  <c r="S165" i="11" l="1"/>
  <c r="T165" i="11"/>
  <c r="U165" i="11"/>
  <c r="S166" i="11"/>
  <c r="T166" i="11"/>
  <c r="U166" i="11"/>
  <c r="S167" i="11"/>
  <c r="T167" i="11"/>
  <c r="U167" i="11"/>
  <c r="S168" i="11"/>
  <c r="T168" i="11"/>
  <c r="U168" i="11"/>
  <c r="S169" i="11"/>
  <c r="T169" i="11"/>
  <c r="U169" i="11"/>
  <c r="S170" i="11"/>
  <c r="T170" i="11"/>
  <c r="U170" i="11"/>
  <c r="S171" i="11"/>
  <c r="T171" i="11"/>
  <c r="U171" i="11"/>
  <c r="S172" i="11"/>
  <c r="T172" i="11"/>
  <c r="U172" i="11"/>
  <c r="S173" i="11"/>
  <c r="T173" i="11"/>
  <c r="U173" i="11"/>
  <c r="S174" i="11"/>
  <c r="T174" i="11"/>
  <c r="U174" i="11"/>
  <c r="S6" i="11"/>
  <c r="T6" i="11"/>
  <c r="U6" i="11"/>
  <c r="S160" i="11"/>
  <c r="T160" i="11"/>
  <c r="U160" i="11"/>
  <c r="S5" i="11"/>
  <c r="T5" i="11"/>
  <c r="U5" i="11"/>
  <c r="S74" i="11"/>
  <c r="S49" i="11"/>
  <c r="S89" i="11"/>
  <c r="S62" i="11"/>
  <c r="S87" i="11"/>
  <c r="U146" i="11" l="1"/>
  <c r="U147" i="11"/>
  <c r="U148" i="11"/>
  <c r="U150" i="11"/>
  <c r="U149" i="11"/>
  <c r="S152" i="11"/>
  <c r="T152" i="11"/>
  <c r="U152" i="11"/>
  <c r="U138" i="11"/>
  <c r="S158" i="11"/>
  <c r="T158" i="11"/>
  <c r="U158" i="11"/>
  <c r="S159" i="11"/>
  <c r="T159" i="11"/>
  <c r="U159" i="11"/>
  <c r="S155" i="11"/>
  <c r="T155" i="11"/>
  <c r="U155" i="11"/>
  <c r="S154" i="11"/>
  <c r="T154" i="11"/>
  <c r="U154" i="11"/>
  <c r="U136" i="11"/>
  <c r="U137" i="11"/>
  <c r="S136" i="11"/>
  <c r="T136" i="11"/>
  <c r="S137" i="11"/>
  <c r="T137" i="11"/>
  <c r="S84" i="11" l="1"/>
  <c r="S124" i="11"/>
  <c r="T124" i="11"/>
  <c r="U124" i="11"/>
  <c r="S163" i="11"/>
  <c r="T163" i="11"/>
  <c r="S139" i="11"/>
  <c r="T139" i="11"/>
  <c r="U163" i="11"/>
  <c r="U139" i="11"/>
  <c r="S82" i="11"/>
  <c r="S69" i="11"/>
  <c r="T69" i="11"/>
  <c r="U69" i="11"/>
  <c r="K36" i="16"/>
  <c r="K37" i="16"/>
  <c r="S157" i="11" l="1"/>
  <c r="T157" i="11"/>
  <c r="U153" i="11"/>
  <c r="T153" i="11"/>
  <c r="S153" i="11"/>
  <c r="S133" i="11"/>
  <c r="T133" i="11"/>
  <c r="U133" i="11"/>
  <c r="S132" i="11"/>
  <c r="T132" i="11"/>
  <c r="U132" i="11"/>
  <c r="U135" i="11"/>
  <c r="T135" i="11"/>
  <c r="S135" i="11"/>
  <c r="U131" i="11" l="1"/>
  <c r="T131" i="11"/>
  <c r="S131" i="11"/>
  <c r="U161" i="11"/>
  <c r="T161" i="11"/>
  <c r="S161" i="11"/>
  <c r="U84" i="11"/>
  <c r="T84" i="11"/>
  <c r="K18" i="16"/>
  <c r="S134" i="11"/>
  <c r="T134" i="11"/>
  <c r="U134" i="11"/>
  <c r="U130" i="11"/>
  <c r="S130" i="11"/>
  <c r="T130" i="11"/>
  <c r="S44" i="11"/>
  <c r="S50" i="11"/>
  <c r="S45" i="11"/>
  <c r="S37" i="11"/>
  <c r="K22" i="16"/>
  <c r="K25" i="16"/>
  <c r="K27" i="16"/>
  <c r="AB38" i="11"/>
  <c r="S35" i="11"/>
  <c r="S126" i="11"/>
  <c r="T126" i="11"/>
  <c r="U126" i="11"/>
  <c r="U57" i="11"/>
  <c r="U55" i="11"/>
  <c r="U22" i="11"/>
  <c r="U20" i="11"/>
  <c r="U128" i="11"/>
  <c r="U127" i="11"/>
  <c r="U19" i="11"/>
  <c r="U16" i="11"/>
  <c r="T57" i="11"/>
  <c r="S57" i="11"/>
  <c r="T55" i="11"/>
  <c r="S55" i="11"/>
  <c r="T22" i="11"/>
  <c r="S22" i="11"/>
  <c r="T20" i="11"/>
  <c r="S20" i="11"/>
  <c r="T128" i="11"/>
  <c r="S128" i="11"/>
  <c r="T127" i="11"/>
  <c r="S127" i="11"/>
  <c r="U145" i="11"/>
  <c r="S21" i="11"/>
  <c r="T21" i="11"/>
  <c r="U21" i="11"/>
  <c r="U144" i="11"/>
  <c r="AV110" i="11"/>
  <c r="AV105" i="11"/>
  <c r="AV104" i="11"/>
  <c r="T125" i="11" l="1"/>
  <c r="S151" i="11"/>
  <c r="T151" i="11"/>
  <c r="U151" i="11"/>
  <c r="U143" i="11"/>
  <c r="AR111" i="11" l="1"/>
  <c r="AR63" i="11"/>
  <c r="AR88" i="11"/>
  <c r="AR48" i="11"/>
  <c r="AR85" i="11"/>
  <c r="AR109" i="11"/>
  <c r="AR47" i="11"/>
  <c r="AR76" i="11"/>
  <c r="AR113" i="11"/>
  <c r="S54" i="11" l="1"/>
  <c r="S53" i="11"/>
  <c r="S52" i="11"/>
  <c r="AJ111" i="11"/>
  <c r="AJ109" i="11"/>
  <c r="AJ113" i="11"/>
  <c r="AB63" i="11"/>
  <c r="AF50" i="11"/>
  <c r="AF45" i="11"/>
  <c r="AF70" i="11"/>
  <c r="AF37" i="11"/>
  <c r="AB50" i="11"/>
  <c r="AB45" i="11"/>
  <c r="AB70" i="11"/>
  <c r="AB37" i="11"/>
  <c r="U64" i="11"/>
  <c r="T64" i="11"/>
  <c r="S64" i="11"/>
  <c r="U142" i="11"/>
  <c r="U141" i="11"/>
  <c r="T65" i="11"/>
  <c r="T66" i="11"/>
  <c r="T45" i="11"/>
  <c r="U99" i="11"/>
  <c r="U80" i="11"/>
  <c r="U98" i="11"/>
  <c r="T77" i="11"/>
  <c r="U78" i="11"/>
  <c r="U90" i="11"/>
  <c r="U102" i="11"/>
  <c r="U75" i="11"/>
  <c r="U86" i="11"/>
  <c r="U82" i="11"/>
  <c r="U68" i="11"/>
  <c r="U79" i="11"/>
  <c r="T89" i="11" l="1"/>
  <c r="T62" i="11"/>
  <c r="T87" i="11"/>
  <c r="BL66" i="11"/>
  <c r="BL67" i="11"/>
  <c r="BL65" i="11"/>
  <c r="BH66" i="11"/>
  <c r="BH67" i="11"/>
  <c r="BH65" i="11"/>
  <c r="T43" i="11"/>
  <c r="T60" i="11"/>
  <c r="T36" i="11"/>
  <c r="T44" i="11"/>
  <c r="T41" i="11"/>
  <c r="T123" i="11"/>
  <c r="T49" i="11"/>
  <c r="T98" i="11"/>
  <c r="T80" i="11"/>
  <c r="T99" i="11"/>
  <c r="T79" i="11"/>
  <c r="T86" i="11"/>
  <c r="T90" i="11"/>
  <c r="T68" i="11"/>
  <c r="T75" i="11"/>
  <c r="T78" i="11"/>
  <c r="T40" i="11"/>
  <c r="T121" i="11"/>
  <c r="T39" i="11"/>
  <c r="T112" i="11"/>
  <c r="T71" i="11"/>
  <c r="T72" i="11"/>
  <c r="T73" i="11"/>
  <c r="S77" i="11"/>
  <c r="T82" i="11"/>
  <c r="T102" i="11"/>
  <c r="T106" i="11"/>
  <c r="T107" i="11"/>
  <c r="T108" i="11"/>
  <c r="T122" i="11"/>
  <c r="S95" i="11"/>
  <c r="T95" i="11"/>
  <c r="T97" i="11"/>
  <c r="T101" i="11"/>
  <c r="T103" i="11"/>
  <c r="T51" i="11"/>
  <c r="T56" i="11"/>
  <c r="T58" i="11"/>
  <c r="T31" i="11"/>
  <c r="T33" i="11"/>
  <c r="T34" i="11"/>
  <c r="S93" i="11"/>
  <c r="T93" i="11"/>
  <c r="T114" i="11"/>
  <c r="T35" i="11"/>
  <c r="S94" i="11"/>
  <c r="T94" i="11"/>
  <c r="S116" i="11"/>
  <c r="T116" i="11"/>
  <c r="S117" i="11"/>
  <c r="T117" i="11"/>
  <c r="S118" i="11"/>
  <c r="T118" i="11"/>
  <c r="S119" i="11"/>
  <c r="T119" i="11"/>
  <c r="T50" i="11"/>
  <c r="S81" i="11"/>
  <c r="T81" i="11"/>
  <c r="T38" i="11"/>
  <c r="T42" i="11"/>
  <c r="U95" i="11"/>
  <c r="U97" i="11"/>
  <c r="U101" i="11"/>
  <c r="U103" i="11"/>
  <c r="U51" i="11"/>
  <c r="U56" i="11"/>
  <c r="U58" i="11"/>
  <c r="U31" i="11"/>
  <c r="U33" i="11"/>
  <c r="U34" i="11"/>
  <c r="U93" i="11"/>
  <c r="U114" i="11"/>
  <c r="U35" i="11"/>
  <c r="U94" i="11"/>
  <c r="U116" i="11"/>
  <c r="U117" i="11"/>
  <c r="U118" i="11"/>
  <c r="AJ83" i="11"/>
  <c r="AJ54" i="11"/>
  <c r="AJ53" i="11"/>
  <c r="AJ52" i="11"/>
  <c r="AJ110" i="11"/>
  <c r="AJ104" i="11"/>
  <c r="AB164" i="11"/>
  <c r="AN125" i="11"/>
  <c r="AJ125" i="11"/>
  <c r="H2" i="11"/>
  <c r="S12" i="11"/>
  <c r="T12" i="11"/>
  <c r="S13" i="11"/>
  <c r="T13" i="11"/>
  <c r="S14" i="11"/>
  <c r="T14" i="11"/>
  <c r="S15" i="11"/>
  <c r="T15" i="11"/>
  <c r="S16" i="11"/>
  <c r="T16" i="11"/>
  <c r="T46" i="11"/>
  <c r="S18" i="11"/>
  <c r="T18" i="11"/>
  <c r="T61" i="11"/>
  <c r="S32" i="11"/>
  <c r="T32" i="11"/>
  <c r="T83" i="11"/>
  <c r="T74" i="11"/>
  <c r="S23" i="11"/>
  <c r="T23" i="11"/>
  <c r="S30" i="11"/>
  <c r="T30" i="11"/>
  <c r="T47" i="11"/>
  <c r="T48" i="11"/>
  <c r="T63" i="11"/>
  <c r="T115" i="11"/>
  <c r="T91" i="11"/>
  <c r="T92" i="11"/>
  <c r="T113" i="11"/>
  <c r="T109" i="11"/>
  <c r="T111" i="11"/>
  <c r="T76" i="11"/>
  <c r="T85" i="11"/>
  <c r="T88" i="11"/>
  <c r="T52" i="11"/>
  <c r="T53" i="11"/>
  <c r="T54" i="11"/>
  <c r="T96" i="11"/>
  <c r="S17" i="11"/>
  <c r="T17" i="11"/>
  <c r="S19" i="11"/>
  <c r="T19" i="11"/>
  <c r="S140" i="11"/>
  <c r="T140" i="11"/>
  <c r="S164" i="11"/>
  <c r="T164" i="11"/>
  <c r="S59" i="11"/>
  <c r="T59" i="11"/>
  <c r="S65" i="11"/>
  <c r="S66" i="11"/>
  <c r="S67" i="11"/>
  <c r="T67" i="11"/>
  <c r="T104" i="11"/>
  <c r="T105" i="11"/>
  <c r="T110" i="11"/>
  <c r="T37" i="11"/>
  <c r="T70" i="11"/>
  <c r="S11" i="11"/>
  <c r="T11" i="11"/>
  <c r="AF110" i="11" l="1"/>
  <c r="AF105" i="11"/>
  <c r="AF104" i="11"/>
  <c r="AF125" i="11"/>
  <c r="U129" i="11"/>
  <c r="U29" i="11"/>
  <c r="AV10" i="11"/>
  <c r="AV237" i="11"/>
  <c r="AV240" i="11"/>
  <c r="AV9" i="11"/>
  <c r="AF76" i="11" l="1"/>
  <c r="AN17" i="11"/>
  <c r="U71" i="11"/>
  <c r="U106" i="11"/>
  <c r="U107" i="11"/>
  <c r="U108" i="11"/>
  <c r="U122" i="11"/>
  <c r="U72" i="11"/>
  <c r="U73" i="11"/>
  <c r="U77" i="11"/>
  <c r="U38" i="11"/>
  <c r="U42" i="11"/>
  <c r="U43" i="11"/>
  <c r="U60" i="11"/>
  <c r="U36" i="11"/>
  <c r="U119" i="11"/>
  <c r="U18" i="11"/>
  <c r="U140" i="11"/>
  <c r="U164" i="11"/>
  <c r="U23" i="11"/>
  <c r="U24" i="11"/>
  <c r="U25" i="11"/>
  <c r="U26" i="11"/>
  <c r="U27" i="11"/>
  <c r="U28" i="11"/>
  <c r="U11" i="11"/>
  <c r="U12" i="11"/>
  <c r="U13" i="11"/>
  <c r="U15" i="11"/>
  <c r="U14" i="11"/>
  <c r="U125" i="11"/>
  <c r="U61" i="11"/>
  <c r="U96" i="11"/>
  <c r="U46" i="11"/>
  <c r="U37" i="11"/>
  <c r="U87" i="11"/>
  <c r="U62" i="11"/>
  <c r="U89" i="11"/>
  <c r="U70" i="11"/>
  <c r="U45" i="11"/>
  <c r="U50" i="11"/>
  <c r="U81" i="11"/>
  <c r="U44" i="11"/>
  <c r="U41" i="11"/>
  <c r="U123" i="11"/>
  <c r="U39" i="11"/>
  <c r="U112" i="11"/>
  <c r="AJ162" i="11"/>
  <c r="AJ120" i="11"/>
  <c r="AJ100" i="11"/>
  <c r="AF53" i="11"/>
  <c r="U53" i="11" s="1"/>
  <c r="AF54" i="11"/>
  <c r="U54" i="11" s="1"/>
  <c r="AF52" i="11"/>
  <c r="U52" i="11" s="1"/>
  <c r="AF67" i="11"/>
  <c r="AF66" i="11"/>
  <c r="AF65" i="11"/>
  <c r="AR9" i="11"/>
  <c r="AR10" i="11"/>
  <c r="AR237" i="11"/>
  <c r="AR240" i="11"/>
  <c r="AF88" i="11"/>
  <c r="AF111" i="11"/>
  <c r="AF85" i="11"/>
  <c r="AF109" i="11"/>
  <c r="AF113" i="11"/>
  <c r="AF115" i="11"/>
  <c r="AF91" i="11"/>
  <c r="AF92" i="11"/>
  <c r="AB88" i="11"/>
  <c r="AB111" i="11"/>
  <c r="AB85" i="11"/>
  <c r="AB109" i="11"/>
  <c r="AB76" i="11"/>
  <c r="AB113" i="11"/>
  <c r="AB115" i="11"/>
  <c r="U76" i="11" l="1"/>
  <c r="U115" i="11"/>
  <c r="U85" i="11"/>
  <c r="U109" i="11"/>
  <c r="U111" i="11"/>
  <c r="U88" i="11"/>
  <c r="U113" i="11"/>
  <c r="AF63" i="11"/>
  <c r="U63" i="11" s="1"/>
  <c r="AF48" i="11"/>
  <c r="AF47" i="11"/>
  <c r="AB48" i="11" l="1"/>
  <c r="U48" i="11" s="1"/>
  <c r="AB47" i="11"/>
  <c r="U47" i="11" s="1"/>
  <c r="AJ59" i="11"/>
  <c r="AJ17" i="11"/>
  <c r="AF162" i="11"/>
  <c r="AF120" i="11"/>
  <c r="AF100" i="11"/>
  <c r="AF83" i="11"/>
  <c r="AF74" i="11"/>
  <c r="AN240" i="11" l="1"/>
  <c r="AN237" i="11"/>
  <c r="AN10" i="11"/>
  <c r="AN9" i="11"/>
  <c r="AB120" i="11"/>
  <c r="U120" i="11" s="1"/>
  <c r="AB162" i="11"/>
  <c r="U162" i="11" s="1"/>
  <c r="AB100" i="11"/>
  <c r="U100" i="11" s="1"/>
  <c r="AF32" i="11"/>
  <c r="AJ10" i="11"/>
  <c r="AJ237" i="11"/>
  <c r="AJ240" i="11"/>
  <c r="AJ9" i="11"/>
  <c r="AF9" i="11"/>
  <c r="AF10" i="11"/>
  <c r="AF237" i="11"/>
  <c r="AF59" i="11"/>
  <c r="AB92" i="11" l="1"/>
  <c r="U92" i="11" s="1"/>
  <c r="AB91" i="11"/>
  <c r="U91" i="11" s="1"/>
  <c r="AB83" i="11"/>
  <c r="U83" i="11" s="1"/>
  <c r="AB30" i="11" l="1"/>
  <c r="U30" i="11" s="1"/>
  <c r="AF240" i="11"/>
  <c r="AB59" i="11"/>
  <c r="U59" i="11" s="1"/>
  <c r="AB32" i="11"/>
  <c r="U32" i="11" s="1"/>
  <c r="AB74" i="11"/>
  <c r="U74" i="11" s="1"/>
  <c r="AB110" i="11"/>
  <c r="U110" i="11" s="1"/>
  <c r="AB105" i="11"/>
  <c r="U105" i="11" s="1"/>
  <c r="AB104" i="11"/>
  <c r="U104" i="11" s="1"/>
  <c r="AB240" i="11"/>
  <c r="AB237" i="11"/>
  <c r="U237" i="11" s="1"/>
  <c r="AB10" i="11"/>
  <c r="U10" i="11" s="1"/>
  <c r="AB9" i="11"/>
  <c r="U9" i="11" s="1"/>
  <c r="AF17" i="11"/>
  <c r="AB67" i="11"/>
  <c r="U67" i="11" s="1"/>
  <c r="AB66" i="11"/>
  <c r="U66" i="11" s="1"/>
  <c r="AB65" i="11"/>
  <c r="U65" i="11" s="1"/>
  <c r="U240" i="11" l="1"/>
  <c r="AB17" i="11"/>
  <c r="U17" i="11" s="1"/>
  <c r="N7" i="21" l="1"/>
  <c r="G8" i="21"/>
  <c r="O10" i="21"/>
  <c r="P10" i="21"/>
  <c r="Q10" i="21"/>
  <c r="O11" i="21"/>
  <c r="P11" i="21"/>
  <c r="Q11" i="21"/>
  <c r="O12" i="21"/>
  <c r="P12" i="21"/>
  <c r="Q12" i="21"/>
  <c r="O13" i="21"/>
  <c r="P13" i="21"/>
  <c r="Q13" i="21"/>
  <c r="O14" i="21"/>
  <c r="P14" i="21"/>
  <c r="O15" i="21"/>
  <c r="P15" i="21"/>
  <c r="O16" i="21"/>
  <c r="P16" i="21"/>
  <c r="Q16" i="21"/>
  <c r="O17" i="21"/>
  <c r="P17" i="21"/>
  <c r="Q17" i="21"/>
  <c r="O18" i="21"/>
  <c r="P18" i="21"/>
  <c r="Q18" i="21"/>
  <c r="O19" i="21"/>
  <c r="P19" i="21"/>
  <c r="Q19" i="21"/>
  <c r="O20" i="21"/>
  <c r="P20" i="21"/>
  <c r="Q20" i="21"/>
  <c r="O21" i="21"/>
  <c r="P21" i="21"/>
  <c r="Q21" i="21"/>
  <c r="O22" i="21"/>
  <c r="P22" i="21"/>
  <c r="Q22" i="21"/>
  <c r="O23" i="21"/>
  <c r="P23" i="21"/>
  <c r="Q23" i="21"/>
  <c r="O24" i="21"/>
  <c r="P24" i="21"/>
  <c r="Q24" i="21"/>
  <c r="O25" i="21"/>
  <c r="P25" i="21"/>
  <c r="Q25" i="21"/>
  <c r="O26" i="21"/>
  <c r="P26" i="21"/>
  <c r="Q26" i="21"/>
  <c r="O27" i="21"/>
  <c r="P27" i="21"/>
  <c r="Q27" i="21"/>
  <c r="O28" i="21"/>
  <c r="P28" i="21"/>
  <c r="Q28" i="21"/>
  <c r="O29" i="21"/>
  <c r="P29" i="21"/>
  <c r="Q29" i="21"/>
  <c r="O30" i="21"/>
  <c r="P30" i="21"/>
  <c r="Q30" i="21"/>
  <c r="O31" i="21"/>
  <c r="P31" i="21"/>
  <c r="Q31" i="21"/>
  <c r="O32" i="21"/>
  <c r="P32" i="21"/>
  <c r="Q32" i="21"/>
  <c r="O34" i="21"/>
  <c r="P34" i="21"/>
  <c r="Q34" i="21"/>
  <c r="O35" i="21"/>
  <c r="P35" i="21"/>
  <c r="Q35" i="21"/>
  <c r="O36" i="21"/>
  <c r="P36" i="21"/>
  <c r="Q36" i="21"/>
  <c r="O37" i="21"/>
  <c r="P37" i="21"/>
  <c r="Q37" i="21"/>
  <c r="O38" i="21"/>
  <c r="P38" i="21"/>
  <c r="Q38" i="21"/>
  <c r="O39" i="21"/>
  <c r="P39" i="21"/>
  <c r="Q39" i="21"/>
  <c r="O40" i="21"/>
  <c r="P40" i="21"/>
  <c r="Q40" i="21"/>
  <c r="O41" i="21"/>
  <c r="P41" i="21"/>
  <c r="Q41" i="21"/>
  <c r="O42" i="21"/>
  <c r="P42" i="21"/>
  <c r="Q42" i="21"/>
  <c r="O43" i="21"/>
  <c r="P43" i="21"/>
  <c r="Q43" i="21"/>
  <c r="O44" i="21"/>
  <c r="P44" i="21"/>
  <c r="Q44" i="21"/>
  <c r="O45" i="21"/>
  <c r="P45" i="21"/>
  <c r="Q45" i="21"/>
  <c r="O46" i="21"/>
  <c r="P46" i="21"/>
  <c r="Q46" i="21"/>
  <c r="O47" i="21"/>
  <c r="P47" i="21"/>
  <c r="Q47" i="21"/>
  <c r="O48" i="21"/>
  <c r="P48" i="21"/>
  <c r="Q48" i="21"/>
  <c r="O49" i="21"/>
  <c r="P49" i="21"/>
  <c r="Q49" i="21"/>
  <c r="O50" i="21"/>
  <c r="P50" i="21"/>
  <c r="Q50" i="21"/>
  <c r="O51" i="21"/>
  <c r="P51" i="21"/>
  <c r="Q51" i="21"/>
  <c r="O52" i="21"/>
  <c r="P52" i="21"/>
  <c r="Q52" i="21"/>
  <c r="O53" i="21"/>
  <c r="P53" i="21"/>
  <c r="Q53" i="21"/>
  <c r="O54" i="21"/>
  <c r="P54" i="21"/>
  <c r="Q54" i="21"/>
  <c r="O55" i="21"/>
  <c r="P55" i="21"/>
  <c r="Q55" i="21"/>
  <c r="O56" i="21"/>
  <c r="P56" i="21"/>
  <c r="Q56" i="21"/>
  <c r="O57" i="21"/>
  <c r="P57" i="21"/>
  <c r="Q57" i="21"/>
  <c r="O58" i="21"/>
  <c r="P58" i="21"/>
  <c r="Q58" i="21"/>
  <c r="O59" i="21"/>
  <c r="P59" i="21"/>
  <c r="Q59" i="21"/>
  <c r="O60" i="21"/>
  <c r="P60" i="21"/>
  <c r="Q60" i="21"/>
  <c r="O61" i="21"/>
  <c r="P61" i="21"/>
  <c r="Q61" i="21"/>
  <c r="O62" i="21"/>
  <c r="P62" i="21"/>
  <c r="Q62" i="21"/>
  <c r="O63" i="21"/>
  <c r="P63" i="21"/>
  <c r="Q63" i="21"/>
  <c r="O64" i="21"/>
  <c r="P64" i="21"/>
  <c r="Q64" i="21"/>
  <c r="O65" i="21"/>
  <c r="P65" i="21"/>
  <c r="Q65" i="21"/>
  <c r="O66" i="21"/>
  <c r="P66" i="21"/>
  <c r="Q66" i="21"/>
  <c r="O67" i="21"/>
  <c r="P67" i="21"/>
  <c r="Q67" i="21"/>
  <c r="O68" i="21"/>
  <c r="P68" i="21"/>
  <c r="Q68" i="21"/>
  <c r="O69" i="21"/>
  <c r="P69" i="21"/>
  <c r="Q69" i="21"/>
  <c r="O70" i="21"/>
  <c r="P70" i="21"/>
  <c r="Q70" i="21"/>
  <c r="O71" i="21"/>
  <c r="P71" i="21"/>
  <c r="Q71" i="21"/>
  <c r="O72" i="21"/>
  <c r="P72" i="21"/>
  <c r="Q72" i="21"/>
  <c r="O73" i="21"/>
  <c r="P73" i="21"/>
  <c r="Q73" i="21"/>
  <c r="O74" i="21"/>
  <c r="P74" i="21"/>
  <c r="Q74" i="21"/>
  <c r="O75" i="21"/>
  <c r="P75" i="21"/>
  <c r="Q75" i="21"/>
  <c r="O76" i="21"/>
  <c r="P76" i="21"/>
  <c r="Q76" i="21"/>
  <c r="O77" i="21"/>
  <c r="P77" i="21"/>
  <c r="O80" i="21"/>
  <c r="P80" i="21"/>
  <c r="Q80" i="21"/>
  <c r="O81" i="21"/>
  <c r="P81" i="21"/>
  <c r="Q81" i="21"/>
  <c r="O82" i="21"/>
  <c r="P82" i="21"/>
  <c r="Q82" i="21"/>
  <c r="O83" i="21"/>
  <c r="P83" i="21"/>
  <c r="Q83" i="21"/>
  <c r="O84" i="21"/>
  <c r="P84" i="21"/>
  <c r="O85" i="21"/>
  <c r="P85" i="21"/>
  <c r="Q85" i="21"/>
  <c r="O86" i="21"/>
  <c r="P86" i="21"/>
  <c r="Q86" i="21"/>
  <c r="O87" i="21"/>
  <c r="P87" i="21"/>
  <c r="Q87" i="21"/>
  <c r="O88" i="21"/>
  <c r="P88" i="21"/>
  <c r="Q88" i="21"/>
  <c r="O89" i="21"/>
  <c r="P89" i="21"/>
  <c r="Q89" i="21"/>
  <c r="O90" i="21"/>
  <c r="P90" i="21"/>
  <c r="Q90" i="21"/>
  <c r="O91" i="21"/>
  <c r="P91" i="21"/>
  <c r="Q91" i="21"/>
  <c r="O92" i="21"/>
  <c r="P92" i="21"/>
  <c r="Q92" i="21"/>
  <c r="O93" i="21"/>
  <c r="P93" i="21"/>
  <c r="Q93" i="21"/>
  <c r="O94" i="21"/>
  <c r="P94" i="21"/>
  <c r="Q94" i="21"/>
  <c r="O95" i="21"/>
  <c r="P95" i="21"/>
  <c r="Q95" i="21"/>
  <c r="O96" i="21"/>
  <c r="P96" i="21"/>
  <c r="Q96" i="21"/>
  <c r="O97" i="21"/>
  <c r="P97" i="21"/>
  <c r="Q97" i="21"/>
  <c r="O98" i="21"/>
  <c r="P98" i="21"/>
  <c r="Q98" i="21"/>
  <c r="O99" i="21"/>
  <c r="P99" i="21"/>
  <c r="Q99" i="21"/>
  <c r="O100" i="21"/>
  <c r="P100" i="21"/>
  <c r="Q100" i="21"/>
  <c r="O101" i="21"/>
  <c r="P101" i="21"/>
  <c r="Q101" i="21"/>
  <c r="O102" i="21"/>
  <c r="P102" i="21"/>
  <c r="Q102" i="21"/>
  <c r="O103" i="21"/>
  <c r="P103" i="21"/>
  <c r="Q103" i="21"/>
  <c r="O104" i="21"/>
  <c r="P104" i="21"/>
  <c r="Q104" i="21"/>
  <c r="O105" i="21"/>
  <c r="P105" i="21"/>
  <c r="Q105" i="21"/>
  <c r="O106" i="21"/>
  <c r="P106" i="21"/>
  <c r="Q106" i="21"/>
  <c r="O107" i="21"/>
  <c r="P107" i="21"/>
  <c r="Q107" i="21"/>
  <c r="O108" i="21"/>
  <c r="P108" i="21"/>
  <c r="Q108" i="21"/>
  <c r="O109" i="21"/>
  <c r="P109" i="21"/>
  <c r="Q109" i="21"/>
  <c r="O110" i="21"/>
  <c r="P110" i="21"/>
  <c r="Q110" i="21"/>
  <c r="O111" i="21"/>
  <c r="P111" i="21"/>
  <c r="Q111" i="21"/>
  <c r="O112" i="21"/>
  <c r="P112" i="21"/>
  <c r="Q112" i="21"/>
  <c r="O113" i="21"/>
  <c r="P113" i="21"/>
  <c r="Q113" i="21"/>
  <c r="O114" i="21"/>
  <c r="P114" i="21"/>
  <c r="Q114" i="21"/>
  <c r="O115" i="21"/>
  <c r="P115" i="21"/>
  <c r="Q115" i="21"/>
  <c r="O116" i="21"/>
  <c r="P116" i="21"/>
  <c r="Q116" i="21"/>
  <c r="O117" i="21"/>
  <c r="P117" i="21"/>
  <c r="Q117" i="21"/>
  <c r="O118" i="21"/>
  <c r="P118" i="21"/>
  <c r="Q118" i="21"/>
  <c r="O119" i="21"/>
  <c r="P119" i="21"/>
  <c r="Q119" i="21"/>
  <c r="O120" i="21"/>
  <c r="P120" i="21"/>
  <c r="Q120" i="21"/>
  <c r="O121" i="21"/>
  <c r="P121" i="21"/>
  <c r="Q121" i="21"/>
  <c r="O122" i="21"/>
  <c r="P122" i="21"/>
  <c r="O123" i="21"/>
  <c r="P123" i="21"/>
  <c r="O124" i="21"/>
  <c r="P124" i="21"/>
  <c r="Q124" i="21"/>
  <c r="O125" i="21"/>
  <c r="P125" i="21"/>
  <c r="Q125" i="21"/>
  <c r="O127" i="21"/>
  <c r="P127" i="21"/>
  <c r="Q127" i="21"/>
  <c r="O129" i="21"/>
  <c r="P129" i="21"/>
  <c r="O130" i="21"/>
  <c r="P130" i="21"/>
  <c r="Q130" i="21"/>
  <c r="H7" i="18" l="1"/>
  <c r="K33" i="16"/>
  <c r="K51" i="16" l="1"/>
  <c r="K52" i="16"/>
  <c r="K53" i="16"/>
  <c r="K58" i="16"/>
  <c r="K59" i="16"/>
  <c r="K60" i="16"/>
  <c r="K61" i="16"/>
  <c r="K62" i="16"/>
  <c r="K63" i="16"/>
  <c r="K24" i="16"/>
  <c r="K65" i="16"/>
  <c r="K66" i="16"/>
  <c r="K67" i="16"/>
  <c r="K68" i="16"/>
  <c r="K50" i="16" l="1"/>
  <c r="K29" i="16"/>
  <c r="K30" i="16"/>
  <c r="K31" i="16"/>
  <c r="K32" i="16"/>
  <c r="K34" i="16"/>
  <c r="K35" i="16"/>
  <c r="K23" i="16"/>
  <c r="K26" i="16"/>
  <c r="K38" i="16"/>
  <c r="K39" i="16"/>
  <c r="K40" i="16"/>
  <c r="K41" i="16"/>
  <c r="K42" i="16"/>
  <c r="K43" i="16"/>
  <c r="K44" i="16"/>
  <c r="K45" i="16"/>
  <c r="K46" i="16"/>
  <c r="K47" i="16"/>
  <c r="K48" i="16"/>
  <c r="K15" i="16" l="1"/>
  <c r="K19" i="16"/>
  <c r="K20" i="16"/>
  <c r="K79" i="16"/>
  <c r="K78" i="16" l="1"/>
  <c r="J12" i="16" l="1"/>
  <c r="K54" i="16"/>
  <c r="R1" i="11" l="1"/>
  <c r="U157" i="11"/>
  <c r="U19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tc={FD15F99C-D5AB-4D0C-922C-66A192C91CD0}</author>
    <author>tc={C54F296D-D379-4397-AB18-0D7BB3659C50}</author>
    <author>tc={0992F917-D51B-4861-BF33-87B97E968736}</author>
    <author>tc={FD3CBD60-CFC8-4F3D-8D5B-530018BD52D5}</author>
    <author>tc={24634C83-00FF-443D-98A2-182C9FB87B9A}</author>
    <author>tc={741B6B00-440F-4E9F-977E-A37DCEAE57BB}</author>
    <author>tc={9D3B8CF6-ED26-40FA-A5AB-FE7FAD1A9502}</author>
    <author>tc={14143C64-11A4-4658-8D99-86AB7E60868A}</author>
    <author>tc={77A3E3B5-713F-4E9F-A348-027081437483}</author>
    <author>tc={0B0CF34F-B262-4486-84BC-B5285E88A2B8}</author>
    <author>tc={ABDD88D1-9C2D-4845-B529-EDB9D926C173}</author>
    <author>tc={AE5B6647-5DDE-47EB-ACD3-BDD3DB15064A}</author>
    <author>tc={466B4234-E19B-45C9-AB78-EE717CD059AB}</author>
    <author>tc={BDC40121-9F62-44B8-B6E6-891C25EC68F8}</author>
  </authors>
  <commentList>
    <comment ref="FZ9" authorId="0" shapeId="0" xr:uid="{FD15F99C-D5AB-4D0C-922C-66A192C91C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TRAZABILIDAD
</t>
      </text>
    </comment>
    <comment ref="O62" authorId="1" shapeId="0" xr:uid="{C54F296D-D379-4397-AB18-0D7BB3659C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Comentarios de metacontrol, fueron formalizados por ttal (098) el 05-01-2026. </t>
      </text>
    </comment>
    <comment ref="N74" authorId="2" shapeId="0" xr:uid="{0992F917-D51B-4861-BF33-87B97E9687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1 0_RL1: 19-02 (obsoleta)
Fecha 2 0_RL1:23-02 (valida para uso)</t>
      </text>
    </comment>
    <comment ref="Q79" authorId="3" shapeId="0" xr:uid="{FD3CBD60-CFC8-4F3D-8D5B-530018BD52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Aprobación de REV_0 para pasar a 0_RL1 (enviada el 24-11)</t>
      </text>
    </comment>
    <comment ref="Q85" authorId="4" shapeId="0" xr:uid="{24634C83-00FF-443D-98A2-182C9FB87B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 comentada anterior </t>
      </text>
    </comment>
    <comment ref="R85" authorId="5" shapeId="0" xr:uid="{741B6B00-440F-4E9F-977E-A37DCEAE57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Comentada versión anterior.</t>
      </text>
    </comment>
    <comment ref="Q86" authorId="6" shapeId="0" xr:uid="{9D3B8CF6-ED26-40FA-A5AB-FE7FAD1A950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Aprobación de REV_0 para levantar a 0RL1 (ya enviada previamente a INN)
</t>
      </text>
    </comment>
    <comment ref="O89" authorId="7" shapeId="0" xr:uid="{14143C64-11A4-4658-8D99-86AB7E6086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Comentarios de metacontrol, fueron formalizados por ttal (098) el 05-01-2026. </t>
      </text>
    </comment>
    <comment ref="O100" authorId="8" shapeId="0" xr:uid="{77A3E3B5-713F-4E9F-A348-0270814374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INN ENVIA EN ESTE TTAL SOLO LA APROBACIÓN DE CLIENTE. FALTA LA APROBACIÓN DE REVISOR SISMICO.</t>
      </text>
    </comment>
    <comment ref="AO100" authorId="9" shapeId="0" xr:uid="{0B0CF34F-B262-4486-84BC-B5285E88A2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sustituyo rev a 0 sin actualizar transmital incial. Se comparte el 21-11</t>
      </text>
    </comment>
    <comment ref="AX115" authorId="10" shapeId="0" xr:uid="{ABDD88D1-9C2D-4845-B529-EDB9D926C17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Cliente comento REV_B pero se seguirá flujo normal del documento a REV_2
</t>
      </text>
    </comment>
    <comment ref="AO120" authorId="11" shapeId="0" xr:uid="{AE5B6647-5DDE-47EB-ACD3-BDD3DB1506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sustituyo rev a 0 sin actualizar transmital incial. Se comparte el 21-11
</t>
      </text>
    </comment>
    <comment ref="O162" authorId="12" shapeId="0" xr:uid="{466B4234-E19B-45C9-AB78-EE717CD05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INN ENVIA EN ESTE TTAL SOLO LA APROBACIÓN DE CLIENTE. FALTA LA APROBACIÓN DE REVISOR SISMICO.</t>
      </text>
    </comment>
    <comment ref="AO162" authorId="13" shapeId="0" xr:uid="{BDC40121-9F62-44B8-B6E6-891C25EC68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sustituyo rev a 0 sin actualizar transmital incial. Se comparte el 21-11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tc={32351424-942B-43FC-96D5-67F6A19F1F6D}</author>
    <author>tc={3A50AABA-440C-4670-BCBF-5E2D67C573D7}</author>
    <author>tc={D3DA4AAA-3AF8-404B-BF0C-36AE3FDFD3E3}</author>
    <author>tc={661832BD-1278-4049-A59C-B8D5873AB41C}</author>
    <author>tc={25AD877F-D9FA-4DAA-8A4F-FB5111F0AD58}</author>
    <author>Usuario</author>
    <author>tc={A83D822F-EFAE-4061-8DEF-41C6A7520887}</author>
    <author>tc={47FB951A-BFE9-430B-9ECF-82A41741A45D}</author>
    <author>tc={CA6421D4-5CF8-4F52-9384-08D1E228221D}</author>
    <author>tc={72300E85-BFF8-4E60-B3FC-CD9D6903DBD9}</author>
    <author>tc={D5F55F98-3B11-47DB-9A32-B517ED0DA1AD}</author>
    <author>tc={13AD9B11-DA2C-4B06-9B32-E79147A10544}</author>
    <author>tc={A71B8947-63AD-496D-9A15-96245D205ADA}</author>
    <author>tc={CB93B283-729E-4305-AE29-A5EBD28CD7E2}</author>
    <author>tc={4B79CBCF-7C41-403D-B915-FEB97AAD8CAF}</author>
  </authors>
  <commentList>
    <comment ref="E19" authorId="0" shapeId="0" xr:uid="{32351424-942B-43FC-96D5-67F6A19F1F6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entrega 1 copia a Pablo Nuñez el 03-11-25
</t>
      </text>
    </comment>
    <comment ref="G24" authorId="1" shapeId="0" xr:uid="{3A50AABA-440C-4670-BCBF-5E2D67C573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REVISIÓN 1_RL1 A PLANTA</t>
      </text>
    </comment>
    <comment ref="AB28" authorId="2" shapeId="0" xr:uid="{D3DA4AAA-3AF8-404B-BF0C-36AE3FDFD3E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Rev_1RL2 a planta.
</t>
      </text>
    </comment>
    <comment ref="AB36" authorId="3" shapeId="0" xr:uid="{661832BD-1278-4049-A59C-B8D5873AB4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Rev_1RL2 a planta.
</t>
      </text>
    </comment>
    <comment ref="AB37" authorId="4" shapeId="0" xr:uid="{25AD877F-D9FA-4DAA-8A4F-FB5111F0AD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Rev_1RL2 a planta.
</t>
      </text>
    </comment>
    <comment ref="L49" authorId="5" shapeId="0" xr:uid="{FFE842D8-172C-470C-8CB8-F819ACB22B3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REEMITE REV.0 POR SOLICITUD DE CLIENTE
</t>
        </r>
      </text>
    </comment>
    <comment ref="L50" authorId="5" shapeId="0" xr:uid="{EAD00FF8-734E-457E-9F14-B44E12D5655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reemite rev. por solicitud de cliente , NULA  LA REV.1
</t>
        </r>
      </text>
    </comment>
    <comment ref="D51" authorId="6" shapeId="0" xr:uid="{A83D822F-EFAE-4061-8DEF-41C6A75208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66OP12044-INN-PRET-ME-PL0184</t>
      </text>
    </comment>
    <comment ref="D52" authorId="7" shapeId="0" xr:uid="{47FB951A-BFE9-430B-9ECF-82A41741A4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66OP12044-INN-PRET-ME-PL0185</t>
      </text>
    </comment>
    <comment ref="D53" authorId="8" shapeId="0" xr:uid="{CA6421D4-5CF8-4F52-9384-08D1E22822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66OP12044-INN-PRET-ME-PL0186</t>
      </text>
    </comment>
    <comment ref="C62" authorId="9" shapeId="0" xr:uid="{72300E85-BFF8-4E60-B3FC-CD9D6903DB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RECIBIDA POR CARLOS GARCÍA</t>
      </text>
    </comment>
    <comment ref="D62" authorId="10" shapeId="0" xr:uid="{D5F55F98-3B11-47DB-9A32-B517ED0DA1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Viendo cód con Jean
Respuesta:
    Jean indicó el 25-03 a través de Emerson, que el documento cambiaría a numeración 6021-M-FB-0020. SE RETIRAN TODAS LAS VERSIONES EN FABRICA PARA EVITAR CONFUSIONES con cód 16
. </t>
      </text>
    </comment>
    <comment ref="L62" authorId="11" shapeId="0" xr:uid="{13AD9B11-DA2C-4B06-9B32-E79147A105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REVISIÓN CORRESPONDE A VERSIÓN CODIFICADA ERRONEAMENTE. SE REINICIA SU FLUJO DESDE LA REVISIÓN 0 (PREVIAMENTE RETIRADAS LAS VERSIONES EQUIVOCADAS EN PLANTA)</t>
      </text>
    </comment>
    <comment ref="P65" authorId="12" shapeId="0" xr:uid="{A71B8947-63AD-496D-9A15-96245D205AD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1 0_RL1: 19-02 (obsoleta)
Fecha 2 0_RL1:23-02 (valida para uso)
</t>
      </text>
    </comment>
    <comment ref="C80" authorId="13" shapeId="0" xr:uid="{CB93B283-729E-4305-AE29-A5EBD28CD7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para carpetas de supervisores. 1 para carpeta don alex</t>
      </text>
    </comment>
    <comment ref="D81" authorId="14" shapeId="0" xr:uid="{4B79CBCF-7C41-403D-B915-FEB97AAD8C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Viendo cód con Jean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tc={EB37094E-EF68-488A-8B5B-9C5BA509080E}</author>
    <author>tc={4B01174F-C81D-461D-9FB9-2C332D749013}</author>
    <author>tc={B536D2D4-FDC1-4ABA-99F2-7AAC30175A71}</author>
  </authors>
  <commentList>
    <comment ref="C25" authorId="0" shapeId="0" xr:uid="{EB37094E-EF68-488A-8B5B-9C5BA509080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transmittal corresponde a orden de compra por ingeniería de Servicios Auxiliares, para lo cual INN lo  identifico con las siglas SEH2. 
</t>
      </text>
    </comment>
    <comment ref="F25" authorId="1" shapeId="0" xr:uid="{4B01174F-C81D-461D-9FB9-2C332D7490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pudo guardar subdividido por problemas en carpetas. Toda la información está dentro de la info del transmittal
</t>
      </text>
    </comment>
    <comment ref="C52" authorId="2" shapeId="0" xr:uid="{B536D2D4-FDC1-4ABA-99F2-7AAC30175A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CORREO MARCIA RE: 66OP12044 // Proyecto Relaves Espesados Talabre // SEH // OT6021-Acta de Envío 051</t>
      </text>
    </comment>
  </commentList>
</comments>
</file>

<file path=xl/sharedStrings.xml><?xml version="1.0" encoding="utf-8"?>
<sst xmlns="http://schemas.openxmlformats.org/spreadsheetml/2006/main" count="4621" uniqueCount="1149">
  <si>
    <t>FECHA:</t>
  </si>
  <si>
    <t>CANTIDAD DE DOCUMENTOS</t>
  </si>
  <si>
    <t>RESUMEN</t>
  </si>
  <si>
    <t>1ERA EMISIÓN</t>
  </si>
  <si>
    <t>COMENTARIOS CLIENTE</t>
  </si>
  <si>
    <t>2DA EMISIÓN</t>
  </si>
  <si>
    <t>3ERA EMISIÓN</t>
  </si>
  <si>
    <t>4TA EMISIÓN</t>
  </si>
  <si>
    <t>5TA EMISIÓN</t>
  </si>
  <si>
    <t>6TA EMISIÓN</t>
  </si>
  <si>
    <t>7MA EMISIÓN</t>
  </si>
  <si>
    <t>8VA EMISIÓN</t>
  </si>
  <si>
    <t>9NA EMISIÓN</t>
  </si>
  <si>
    <t>10MA EMISIÓN</t>
  </si>
  <si>
    <t>EMISIÓN</t>
  </si>
  <si>
    <t>ITEM</t>
  </si>
  <si>
    <t>Tipo de ing</t>
  </si>
  <si>
    <t>SALA / TAG</t>
  </si>
  <si>
    <t>CÓDIGO SEGURA</t>
  </si>
  <si>
    <t>CÓDIGO INN</t>
  </si>
  <si>
    <t>CÓDIGO CODELCO CHUQUICAMATA</t>
  </si>
  <si>
    <t>DESCRIPCIÓN DE DOCUMENTO</t>
  </si>
  <si>
    <t>COMPROMISO DE ENTREGA SEGURA  (1 semana corrida)</t>
  </si>
  <si>
    <t>CRITICIDAD</t>
  </si>
  <si>
    <t>DEADLINE CLIENTE (1 semana corrida)</t>
  </si>
  <si>
    <t>COMENTARIO INTERNO</t>
  </si>
  <si>
    <t>DISCIPLINA</t>
  </si>
  <si>
    <t xml:space="preserve">REVISIÓN </t>
  </si>
  <si>
    <t>ACTA DE ENVÍO O TRL</t>
  </si>
  <si>
    <t>FECHA ÚLTIMO ENVÍO SEH</t>
  </si>
  <si>
    <t>FECHA RESPUESTA CLIENTE</t>
  </si>
  <si>
    <t>ESTATUS</t>
  </si>
  <si>
    <t>INDICADOR SEH DIAS LEVANTANDO COMENTARIOS)</t>
  </si>
  <si>
    <t>DÍAS EN REVISIÓN INN</t>
  </si>
  <si>
    <t>N° EMISIONES REALIZADAS</t>
  </si>
  <si>
    <t xml:space="preserve">REVISION </t>
  </si>
  <si>
    <t>TRANSMITTAL SEH</t>
  </si>
  <si>
    <t>TIEMPO RESPUESTA</t>
  </si>
  <si>
    <t>FECHA EMITIDO</t>
  </si>
  <si>
    <t xml:space="preserve">TRANSMITTAL </t>
  </si>
  <si>
    <t>FECHA</t>
  </si>
  <si>
    <t>OBS</t>
  </si>
  <si>
    <t>DIAS EN LEVANTAR COMENTARIOS</t>
  </si>
  <si>
    <t>TRANSMITTAL SIEMENS</t>
  </si>
  <si>
    <t>ALL</t>
  </si>
  <si>
    <t>6021-RES-CP-011</t>
  </si>
  <si>
    <t>N/A</t>
  </si>
  <si>
    <t>RESUMEN SEMANAL SEH - Nº11</t>
  </si>
  <si>
    <t>CP</t>
  </si>
  <si>
    <t xml:space="preserve">Entregado </t>
  </si>
  <si>
    <t>6021-LOG-0001</t>
  </si>
  <si>
    <t>TALABRE - LOG DE CAMBIOS AL 14-01-2026</t>
  </si>
  <si>
    <t>OT-6021-IAS-CP-0021</t>
  </si>
  <si>
    <t>INFORME DE AVANCE SEMANAL Nº21 AL 14-01-2027</t>
  </si>
  <si>
    <t>OT-6021-IAS-CP-0034</t>
  </si>
  <si>
    <t>'INFORME DE AVANCE SEMANAL Nº34 AL 14-04-2026</t>
  </si>
  <si>
    <t>ENTREGADO</t>
  </si>
  <si>
    <t>6021-RES-CP-024</t>
  </si>
  <si>
    <t>RESUMEN SEMANAL SEH - Nº24</t>
  </si>
  <si>
    <t>3713-SEL-1001</t>
  </si>
  <si>
    <t>SEH-OT-6021-PR-CP-001</t>
  </si>
  <si>
    <t>PLANIFICACIÓN - CARTA GANTT // SALA TAG 3713-SEL-1001</t>
  </si>
  <si>
    <t>-</t>
  </si>
  <si>
    <t>B</t>
  </si>
  <si>
    <t>Comentado / Emitir Rev.C</t>
  </si>
  <si>
    <t>C</t>
  </si>
  <si>
    <t>Aprobado con comentarios menores / pasar a 0</t>
  </si>
  <si>
    <t>Aprobado</t>
  </si>
  <si>
    <t>3762-SEL-1101</t>
  </si>
  <si>
    <t>SEH-OT-6021-PR-CP-002</t>
  </si>
  <si>
    <t>PLANIFICACIÓN - CARTA GANTT // SALA TAG 3762-SEL-1101</t>
  </si>
  <si>
    <t>OT-6021-IAS-CP-0001</t>
  </si>
  <si>
    <t>INFORME DE AVANCE SEMANAL Nº1</t>
  </si>
  <si>
    <t>Entregado</t>
  </si>
  <si>
    <t>OT-6021-IAS-CP-0002</t>
  </si>
  <si>
    <t>INFORME DE AVANCE SEMANAL Nº2</t>
  </si>
  <si>
    <t>OT-6021-IAS-CP-0003</t>
  </si>
  <si>
    <t>INFORME DE AVANCE SEMANAL Nº3</t>
  </si>
  <si>
    <t>OT-6021-IAS-CP-0004</t>
  </si>
  <si>
    <t>INFORME DE AVANCE SEMANAL Nº4</t>
  </si>
  <si>
    <t>OT-6021-IAS-CP-0005</t>
  </si>
  <si>
    <t>INFORME DE AVANCE SEMANAL Nº5</t>
  </si>
  <si>
    <t>OT-6021-IAS-CP-0007</t>
  </si>
  <si>
    <t>INFORME DE AVANCE SEMANAL Nº7</t>
  </si>
  <si>
    <t>6021-LTA-CP-0001</t>
  </si>
  <si>
    <t>LISTADO DE ENTREGABLES</t>
  </si>
  <si>
    <t>Cerrado</t>
  </si>
  <si>
    <t>CP-INF</t>
  </si>
  <si>
    <t>Aprobado con comentarios / Emitir Rev.C</t>
  </si>
  <si>
    <t xml:space="preserve">Aprobado con comentarios / Emitir en Rev_0 </t>
  </si>
  <si>
    <t>6021-MTR-CP-0001</t>
  </si>
  <si>
    <t>MATRIZ DE COMUNICACIÓN SEGURA</t>
  </si>
  <si>
    <t>OT-6021-IAS-CP-0008</t>
  </si>
  <si>
    <t>INFORME DE AVANCE SEMANAL Nº8</t>
  </si>
  <si>
    <t>OT-6021-IAS-CP-0009</t>
  </si>
  <si>
    <t>INFORME DE AVANCE SEMANAL Nº9</t>
  </si>
  <si>
    <t>6021-RES-CP-003</t>
  </si>
  <si>
    <t xml:space="preserve">RESUMEN SEMANAL SEH - Nº3 </t>
  </si>
  <si>
    <t>OT-6021-IAS-CP-0010</t>
  </si>
  <si>
    <t>INFORME DE AVANCE SEMANAL Nº10</t>
  </si>
  <si>
    <t>6021-MIN-ING-0001_Nº1_26.08.25</t>
  </si>
  <si>
    <t>MINUTA DE REUNIÓN INGENIERIA Nº1</t>
  </si>
  <si>
    <t>MINU</t>
  </si>
  <si>
    <t>6021-MIN-ING-0001_Nº2_02.09.25</t>
  </si>
  <si>
    <t>MINUTA DE REUNIÓN INGENIERIA Nº2</t>
  </si>
  <si>
    <t>6021-MIN-ING-0001_Nº3_09.09.25</t>
  </si>
  <si>
    <t>MINUTA DE REUNIÓN INGENIERIA Nº3</t>
  </si>
  <si>
    <t>6021-MIN-ING-0001_Nº4_16.09.25</t>
  </si>
  <si>
    <t>MINUTA DE REUNIÓN INGENIERIA Nº4</t>
  </si>
  <si>
    <t>6021-MIN-ING-0001_Nº5_23.09.25</t>
  </si>
  <si>
    <t>MINUTA DE REUNIÓN INGENIERIA Nº5</t>
  </si>
  <si>
    <t>6021-MIN-ING-0001_Nº6_30.09.25</t>
  </si>
  <si>
    <t>MINUTA DE REUNIÓN INGENIERIA Nº6</t>
  </si>
  <si>
    <t>6021-MIN-ING-0001_Nº7_07.10.25</t>
  </si>
  <si>
    <t>MINUTA DE REUNIÓN INGENIERIA Nº7</t>
  </si>
  <si>
    <t>6021-MDC-HD-0001</t>
  </si>
  <si>
    <t>CRITERIOS DE DISEÑO MCE (UNIFICACIÓN DE DATOS)</t>
  </si>
  <si>
    <t>ME</t>
  </si>
  <si>
    <t>Respondido</t>
  </si>
  <si>
    <t>6021-CER-QA-0101</t>
  </si>
  <si>
    <t>66OP12044-INN-PRET-ME-CE0220</t>
  </si>
  <si>
    <t>N23CC02-PEL01-3713-CERES-00001</t>
  </si>
  <si>
    <t>CERTIFICADOS DE ACERO NCH203 SALA ELÉCTRICA 3713-SEL-1001</t>
  </si>
  <si>
    <t>QA</t>
  </si>
  <si>
    <r>
      <t>Aprobado /</t>
    </r>
    <r>
      <rPr>
        <b/>
        <sz val="11"/>
        <color rgb="FFFF0000"/>
        <rFont val="Arial"/>
        <family val="2"/>
      </rPr>
      <t xml:space="preserve"> Emitir Rev_1</t>
    </r>
  </si>
  <si>
    <t>A</t>
  </si>
  <si>
    <t>Aprobado / Emitir en Rev_0</t>
  </si>
  <si>
    <t>Rechazado / Emitir en Rev_B</t>
  </si>
  <si>
    <t>Aprobado / Emitir Rev_0</t>
  </si>
  <si>
    <t>Aprobado / Emitir Rev_1</t>
  </si>
  <si>
    <t>6021-M-FB-0001</t>
  </si>
  <si>
    <t>PLANO CÁNCAMO DE IZAJE</t>
  </si>
  <si>
    <t>ME-INF</t>
  </si>
  <si>
    <t xml:space="preserve">Aprobado </t>
  </si>
  <si>
    <t>6021-CER-QA-0201</t>
  </si>
  <si>
    <t>66OP12044-INN-PRET-ME-CE1420</t>
  </si>
  <si>
    <t>N23CC02-PEL01-3762-CERES-00001</t>
  </si>
  <si>
    <t>CERTIFICADOS DE ACERO NCH203 SALA ELÉCTRICA 3762-SEL-1101</t>
  </si>
  <si>
    <r>
      <t xml:space="preserve">Aprobado / </t>
    </r>
    <r>
      <rPr>
        <b/>
        <sz val="11"/>
        <color rgb="FFFF0000"/>
        <rFont val="Arial"/>
        <family val="2"/>
      </rPr>
      <t>Emitir Rev_1</t>
    </r>
  </si>
  <si>
    <t>3762-SEL-1201</t>
  </si>
  <si>
    <t>6021-CER-QA-0301</t>
  </si>
  <si>
    <t>66OP12044-INN-PRET-ME-CE1620</t>
  </si>
  <si>
    <t>N23CC02-PEL01-3762-CERES-00002</t>
  </si>
  <si>
    <t>CERTIFICADOS DE ACERO NCH203 SALA ELÉCTRICA 3762-SEL-1201</t>
  </si>
  <si>
    <t>CORREO ALEJANDRA_RECHAZADO_NCH</t>
  </si>
  <si>
    <t>SECUNDARIO</t>
  </si>
  <si>
    <t>6021-PRO-QA-0006</t>
  </si>
  <si>
    <t>66OP12044-INN-PRET-GE-PR0008</t>
  </si>
  <si>
    <t>N23CC02-PEL01-0000-PROMD-00003</t>
  </si>
  <si>
    <t>PROCEDIMIENTOS DE ENSAYOS NO DESTRUCTIVOS</t>
  </si>
  <si>
    <t>SEH Debe emitir REV_1 atendiendo comentarios de TTAL 88 en carpeta Respuestas de INN a cliente_REV.A a la 0</t>
  </si>
  <si>
    <t>Revisión INN</t>
  </si>
  <si>
    <t xml:space="preserve">Aprobado sin comentarios / Emitir Rev_0 </t>
  </si>
  <si>
    <t xml:space="preserve">66 / 88 </t>
  </si>
  <si>
    <t>27-11-2025 / 23-12-2025</t>
  </si>
  <si>
    <t>Aprobado con comentarios / Emitir Rev_1</t>
  </si>
  <si>
    <t>PRINCIPAL PLATAFORMAS</t>
  </si>
  <si>
    <t>5335-SEL-0001</t>
  </si>
  <si>
    <t>6021-PLA-ME-0501</t>
  </si>
  <si>
    <t>66OP12044-INN-PRET-ME-PL0878</t>
  </si>
  <si>
    <t>PLANO DE DISPOSICIÓN Y DETALLES DE PLATAFORMAS, BARANDAS Y ESCALERAS SALA ELÉCTRICA 5335-SEL-0001 (LAYOUT DISPOSICIÓN PLATAFORMAS)</t>
  </si>
  <si>
    <r>
      <t>Aprobado /</t>
    </r>
    <r>
      <rPr>
        <b/>
        <sz val="11"/>
        <color rgb="FFFF0000"/>
        <rFont val="Arial"/>
        <family val="2"/>
      </rPr>
      <t xml:space="preserve"> Emitir Rev_0</t>
    </r>
  </si>
  <si>
    <t>Aprobado con comentarios / Emitir Rev_B</t>
  </si>
  <si>
    <t>6021-MDC-ME-0102</t>
  </si>
  <si>
    <t>66OP12044-INN-PRET-ME-MC0217</t>
  </si>
  <si>
    <t>N23CC02-PEL01-3713-MDCES-00002</t>
  </si>
  <si>
    <t>MEMORIA DE CÁLCULO SÍSMICO ESTRUCTURAL PLATAFORMAS SALA ELÉCTRICA 3713-SEL-1001</t>
  </si>
  <si>
    <t>Aprobado con comentarios / Emitir en Rev_B</t>
  </si>
  <si>
    <t>Aprobado con comentarios / Emitir Rev_0</t>
  </si>
  <si>
    <t>6021-PLA-ME-0107</t>
  </si>
  <si>
    <t>66OP12044-INN-PRET-ME-PL0295</t>
  </si>
  <si>
    <t>PLANO DE DISPOSICIÓN Y DETALLES DE PLATAFORMAS, BARANDAS Y ESCALERAS SALA ELÉCTRICA 3713-SEL-1001 (LAYOUT DISPOSICIÓN PLATAFORMAS)</t>
  </si>
  <si>
    <t>Aprobado / emitir Rev_0</t>
  </si>
  <si>
    <t>6021-MNL-ME-0002</t>
  </si>
  <si>
    <t>66OP12044-INN-PRET-ME-MA0017</t>
  </si>
  <si>
    <t>N23CC02-PEL01-0000-MNLME-00001</t>
  </si>
  <si>
    <t>MANUAL DE INSTALACIÓN SALAS ELÉCTRICAS</t>
  </si>
  <si>
    <t>6021-PRO-ME-0001</t>
  </si>
  <si>
    <t>66OP12044-INN-PRET-GE-PR0187</t>
  </si>
  <si>
    <t>PROCEDIMIENTO DE TRANSPORTE TERRESTRE SALA ELÉCTRICA</t>
  </si>
  <si>
    <t>5432-SEL-0001</t>
  </si>
  <si>
    <t>6021-PLA-ME-0701</t>
  </si>
  <si>
    <t>66OP12044-INN-PRET-ME-PL1284</t>
  </si>
  <si>
    <t>PLANO DE DISPOSICIÓN Y DETALLES DE PLATAFORMAS, BARANDAS Y ESCALERAS SALA ELÉCTRICA 5432-SEL-0001 (LAYOUT DISPOSICIÓN PLATAFORMAS)</t>
  </si>
  <si>
    <t>1_RL1</t>
  </si>
  <si>
    <r>
      <t xml:space="preserve">Aprobado con comentarios / </t>
    </r>
    <r>
      <rPr>
        <b/>
        <sz val="11"/>
        <color rgb="FFFF0000"/>
        <rFont val="Arial"/>
        <family val="2"/>
      </rPr>
      <t>Emitir Rev_2</t>
    </r>
  </si>
  <si>
    <t>Aprobado con comentarios / Emitir en Rev_0</t>
  </si>
  <si>
    <t>Aprobado con comentarios / Emitir Rev_2</t>
  </si>
  <si>
    <t>6021-PLA-ME-0207</t>
  </si>
  <si>
    <t>66OP12044-INN-PRET-ME-PL1512</t>
  </si>
  <si>
    <t>PLANO DE DISPOSICIÓN Y DETALLES DE PLATAFORMAS, BARANDAS Y ESCALERAS SALA ELÉCTRICA 3762-SEL-1101</t>
  </si>
  <si>
    <r>
      <t xml:space="preserve">Aprobado con comentarios / </t>
    </r>
    <r>
      <rPr>
        <b/>
        <sz val="11"/>
        <color rgb="FFFF0000"/>
        <rFont val="Arial"/>
        <family val="2"/>
      </rPr>
      <t>Emitir Rev_0</t>
    </r>
  </si>
  <si>
    <t>Aprobado / Emitir Rev_B</t>
  </si>
  <si>
    <t>6021-PLA-ME-0307</t>
  </si>
  <si>
    <t>66OP12044-INN-PRET-ME-PL1712</t>
  </si>
  <si>
    <t>PLANO DE DISPOSICIÓN Y DETALLES DE PLATAFORMAS, BARANDAS Y ESCALERAS SALA ELÉCTRICA 3762-SEL-1201</t>
  </si>
  <si>
    <t>5421-SEL-1001</t>
  </si>
  <si>
    <t>6021-PLA-ME-0601</t>
  </si>
  <si>
    <t>66OP12044-INN-PRET-ME-PL1095</t>
  </si>
  <si>
    <t>PLANO DE DISPOSICIÓN Y DETALLES DE PLATAFORMAS, BARANDAS Y ESCALERAS SALA ELÉCTRICA 5421-SEL-1001 (LAYOUT DISPOSICIÓN PLATAFORMAS)</t>
  </si>
  <si>
    <t>0_RL1</t>
  </si>
  <si>
    <t>B_RL1</t>
  </si>
  <si>
    <t>APROBADO</t>
  </si>
  <si>
    <t>Aprobado con comentarios / Emitir Rev_0_RL1</t>
  </si>
  <si>
    <t>6021-MDC-ME-0601</t>
  </si>
  <si>
    <t>66OP12044-INN-PRET-ME-MC1017</t>
  </si>
  <si>
    <t>N23CC02-PEL01-5421-MDCES-00002</t>
  </si>
  <si>
    <t>MEMORIA DE CÁLCULO SÍSMICO ESTRUCTURAL PLATAFORMAS SALA ELÉCTRICA 5421-SEL-1001</t>
  </si>
  <si>
    <t>6021-PRO-QA-0002</t>
  </si>
  <si>
    <t xml:space="preserve">  66OP12044-INN-PRET-ME-ET0154</t>
  </si>
  <si>
    <t xml:space="preserve"> N23CC02-PEL01-0000-ESPME-00002 </t>
  </si>
  <si>
    <t>ESPECIFICACIONES DEL PROCEDIMIENTO DE SOLDADURA (WPS)</t>
  </si>
  <si>
    <r>
      <rPr>
        <b/>
        <sz val="11"/>
        <color rgb="FFFF0000"/>
        <rFont val="Arial"/>
        <family val="2"/>
      </rPr>
      <t>INN DEBE ABRIR CICLO PARA REMITIR</t>
    </r>
    <r>
      <rPr>
        <b/>
        <sz val="11"/>
        <rFont val="Arial"/>
        <family val="2"/>
      </rPr>
      <t xml:space="preserve"> // DOCUMENTO CERRADO ///  EX PROCEDIMIENTO DE SOLDADURA  SALAS ELÉCTRICAS // EX N23CC02-PEL01-0000-PROMD-00002 / 66OP12044-INN-PRET-GE-PR0006</t>
    </r>
  </si>
  <si>
    <r>
      <t>Rechazado /</t>
    </r>
    <r>
      <rPr>
        <b/>
        <sz val="11"/>
        <color rgb="FFFF0000"/>
        <rFont val="Arial"/>
        <family val="2"/>
      </rPr>
      <t xml:space="preserve"> Reemitir Rev_1</t>
    </r>
  </si>
  <si>
    <r>
      <rPr>
        <b/>
        <sz val="11"/>
        <rFont val="Arial"/>
        <family val="2"/>
      </rPr>
      <t>Rechazado /</t>
    </r>
    <r>
      <rPr>
        <b/>
        <sz val="11"/>
        <color rgb="FFFF0000"/>
        <rFont val="Arial"/>
        <family val="2"/>
      </rPr>
      <t xml:space="preserve"> Reemitir Rev_1</t>
    </r>
  </si>
  <si>
    <t>6021-PLA-ME-0106</t>
  </si>
  <si>
    <t>66OP12044-INN-PRET-ME-PL0287</t>
  </si>
  <si>
    <t>N23CC02-PEL01-3713-300ME-00003</t>
  </si>
  <si>
    <t>PLANO DE DETALLE ESTRUCTURAL TECHOS SALA ELÉCTRICA 3713-SEL-1001</t>
  </si>
  <si>
    <t>1_RL5</t>
  </si>
  <si>
    <r>
      <t xml:space="preserve">Aprobado / </t>
    </r>
    <r>
      <rPr>
        <b/>
        <sz val="11"/>
        <color rgb="FFFF0000"/>
        <rFont val="Arial"/>
        <family val="2"/>
      </rPr>
      <t>Emitir Rev_2</t>
    </r>
  </si>
  <si>
    <t>'No ha sido devuelta por INN</t>
  </si>
  <si>
    <t>1_RL2</t>
  </si>
  <si>
    <t>1_RL3</t>
  </si>
  <si>
    <t>1_RL4</t>
  </si>
  <si>
    <t>Aprobado / Emitir Rev_2</t>
  </si>
  <si>
    <t>6021-PLA-ME-0206</t>
  </si>
  <si>
    <t>66OP12044-INN-PRET-ME-PL1504</t>
  </si>
  <si>
    <t>N23CC02-PEL01-3762-300ME-00003</t>
  </si>
  <si>
    <t>PLANO DE DETALLE ESTRUCTURAL TECHOS SALA ELÉCTRICA 3762-SEL-1101</t>
  </si>
  <si>
    <t>PRINCIPAL MARCO DE IZAJE</t>
  </si>
  <si>
    <t>6021-MDC-ME-0001</t>
  </si>
  <si>
    <t>66OP12044-INN-PRET-ME-MC0020</t>
  </si>
  <si>
    <t>N23CC02-PEL01-0000-MDCME-00001</t>
  </si>
  <si>
    <t>MEMORIA DE CÁLCULO ESTRUCTURAL MARCO DE IZAJE SALA ELÉCTRICA 3713-SEL-1001 / 3762-SEL-1101 / 3762-SEL-1201</t>
  </si>
  <si>
    <t>Aprobado con comentarios / Reemitir Rev_B</t>
  </si>
  <si>
    <t>Rechazada / Reemitir Rev_0</t>
  </si>
  <si>
    <t>6021-MDC-ME-0701</t>
  </si>
  <si>
    <t>66OP12044-INN-PRET-ME-MC1217</t>
  </si>
  <si>
    <t>N23CC02-PEL01-5432-MDCES-00002</t>
  </si>
  <si>
    <t>MEMORIA DE CÁLCULO SÍSMICO ESTRUCTURAL PLATAFORMAS SALA ELÉCTRICA 5432-SEL-0001</t>
  </si>
  <si>
    <t>6021-CER-ME-0101</t>
  </si>
  <si>
    <t>66OP12044-INN-PRET-ME-CE0291</t>
  </si>
  <si>
    <t>CERTIFICADO DE INDIVISIBILIDAD SALA ELÉCTRICA 3713-SEL-1001</t>
  </si>
  <si>
    <t>PRINCIPAL</t>
  </si>
  <si>
    <t>6021-PLA-ME-0002</t>
  </si>
  <si>
    <t>66OP12044-INN-PRET-ME-PL0184</t>
  </si>
  <si>
    <t>PLANO VANO PUERTA ACCESO EQUIPOS SALA ELÉCTRICA</t>
  </si>
  <si>
    <t>6021-PLA-ME-0003</t>
  </si>
  <si>
    <t>66OP12044-INN-PRET-ME-PL0185</t>
  </si>
  <si>
    <t>PLANO VANO PUERTA ACCESO PERSONAS SALA ELÉCTRICA</t>
  </si>
  <si>
    <t>6021-PLA-ME-0004</t>
  </si>
  <si>
    <t>66OP12044-INN-PRET-ME-PL0186</t>
  </si>
  <si>
    <t>PLANO VANO PUERTA INTERIOR ACCESO PERSONAS SALA ELÉCTRICA</t>
  </si>
  <si>
    <t>OT-6021-IAS-CP-0011</t>
  </si>
  <si>
    <t>INFORME DE AVANCE SEMANAL Nº11</t>
  </si>
  <si>
    <t>6021-CER-ME-0201</t>
  </si>
  <si>
    <t>66OP12044-INN-PRET-ME-CE1508</t>
  </si>
  <si>
    <t>CERTIFICADO DE INDIVISIBILIDAD SALA ELÉCTRICA 3762-SEL-1101</t>
  </si>
  <si>
    <t>OT-6021-IAS-CP-0012</t>
  </si>
  <si>
    <t>INFORME DE AVANCE SEMANAL Nº12 AL 11-11-2025</t>
  </si>
  <si>
    <t>6021-CER-ME-0301</t>
  </si>
  <si>
    <t>66OP12044-INN-PRET-ME-CE1708</t>
  </si>
  <si>
    <t>CERTIFICADO DE INDIVISIBILIDAD SALA ELÉCTRICA 3762-SEL-1202</t>
  </si>
  <si>
    <t>6021-M-FB-0002</t>
  </si>
  <si>
    <t>PLANO PAD GROUND</t>
  </si>
  <si>
    <t>5310-SEL-0101</t>
  </si>
  <si>
    <t>6021-PLA-ME-0401</t>
  </si>
  <si>
    <t>66OP12044-INN-PRET-ME-PL0676</t>
  </si>
  <si>
    <t>PLANO DE DISPOSICIÓN Y DETALLES DE PLATAFORMAS, BARANDAS Y ESCALERAS SALA ELÉCTRICA 5310-SEL-0101</t>
  </si>
  <si>
    <t>Rechazado / Emitir Rev_B</t>
  </si>
  <si>
    <t>6021-CER-QA-0001</t>
  </si>
  <si>
    <t xml:space="preserve">66OP12044-INN-PRET-GC-CE0168
</t>
  </si>
  <si>
    <t>N23CC02-PEL01-0000-CERCL-00004</t>
  </si>
  <si>
    <t>CERTIFICADO RESISTENCIA AL FUEGO</t>
  </si>
  <si>
    <r>
      <rPr>
        <b/>
        <sz val="11"/>
        <color rgb="FFFF0000"/>
        <rFont val="Arial"/>
        <family val="2"/>
      </rPr>
      <t>Igualar revisiones a INN /</t>
    </r>
    <r>
      <rPr>
        <b/>
        <sz val="11"/>
        <rFont val="Arial"/>
        <family val="2"/>
      </rPr>
      <t>/ Revisiones INN no coinciden con SEH - ALERTAR // Cód ant  66OP12044-INN-PRET-ME-CE0190</t>
    </r>
  </si>
  <si>
    <t xml:space="preserve">Aprobado con comentarios / Emitir Rev_0 </t>
  </si>
  <si>
    <t>Comentado / Regularizar Revisiones hasta llegar a la REV_3</t>
  </si>
  <si>
    <t>Aprobado con comentarios / Emitir Rev_3</t>
  </si>
  <si>
    <t>6021-MDC-ME-0302</t>
  </si>
  <si>
    <t>66OP12044-INN-PRET-ME-MC1617</t>
  </si>
  <si>
    <t>N23CC02-PEL01-3762-MDCES-00004</t>
  </si>
  <si>
    <t>MEMORIA DE CÁLCULO SÍSMICO ESTRUCTURAL PLATAFORMAS SALA ELÉCTRICA 3762-SEL-1201</t>
  </si>
  <si>
    <t>6021-PLA-ME-0306</t>
  </si>
  <si>
    <t>66OP12044-INN-PRET-ME-PL1704</t>
  </si>
  <si>
    <t>N23CC02-PEL01-3762-300ME-00006</t>
  </si>
  <si>
    <t>PLANO DE DETALLE ESTRUCTURAL TECHOS SALA ELÉCTRICA 3762-SEL-1201</t>
  </si>
  <si>
    <t xml:space="preserve">Aprobado con comentarios / Emitir en Rev_B </t>
  </si>
  <si>
    <t>MINUTA DE CALIDAD Nª1</t>
  </si>
  <si>
    <t>MINUTA DE CALIDAD Nª1 (FIRMADA POR SEGURA)</t>
  </si>
  <si>
    <t>INF</t>
  </si>
  <si>
    <t>6021-PIP-QA-0100</t>
  </si>
  <si>
    <t>66OP12044-INN-PRET-ME-MT0294</t>
  </si>
  <si>
    <t>PROGRAMA DE INSPECCIÓN Y PRUEBAS SALA 3713-SEL-1001</t>
  </si>
  <si>
    <t>No interactua</t>
  </si>
  <si>
    <t>QA-INF</t>
  </si>
  <si>
    <t>Comentado</t>
  </si>
  <si>
    <t>6021-PIP-QA-0200</t>
  </si>
  <si>
    <t>66OP12044-INN-PRET-ME-MT1511</t>
  </si>
  <si>
    <t>PROGRAMA DE INSPECCIÓN Y PRUEBAS SALA3762-SEL-1101</t>
  </si>
  <si>
    <t>6021-PIP-QA-0300</t>
  </si>
  <si>
    <t>66OP12044-INN-PRET-ME-MT1711</t>
  </si>
  <si>
    <t>PROGRAMA DE INSPECCIÓN Y PRUEBAS SALA 3762-SEL-1201</t>
  </si>
  <si>
    <t>6021-PLA-ME-0109</t>
  </si>
  <si>
    <t>66OP12044-INN-PRET-ME-PL0292</t>
  </si>
  <si>
    <t>PLANO VÍAS DE ACCESO, ESCAPE, EXTINTORES Y SEÑALIZACIÓN SALA ELÉCTRICA  3713-SEL-1001</t>
  </si>
  <si>
    <t>detenido por disposición de equipos . Una vez definido su ciclo, empieza a moverse nuevamente</t>
  </si>
  <si>
    <r>
      <t xml:space="preserve">Aprobado con comentarios / </t>
    </r>
    <r>
      <rPr>
        <b/>
        <sz val="11"/>
        <color rgb="FFFF0000"/>
        <rFont val="Arial"/>
        <family val="2"/>
      </rPr>
      <t>Emitir Rev_1</t>
    </r>
  </si>
  <si>
    <t>6021-M-FB-0011</t>
  </si>
  <si>
    <t xml:space="preserve">PLANO ESTRUCTURA ANTECAMARA </t>
  </si>
  <si>
    <t>ME - INF</t>
  </si>
  <si>
    <t>2 no enviada a cliente por ser informativo</t>
  </si>
  <si>
    <t>6021-MDC-ME-0501</t>
  </si>
  <si>
    <t>66OP12044-INN-PRET-ME-MC0817</t>
  </si>
  <si>
    <t>N23CC02-PEL01-5335-MDCES-00002</t>
  </si>
  <si>
    <t>MEMORIA DE CÁLCULO SÍSMICO ESTRUCTURAL PLATAFORMAS SALA ELÉCTRICA 5335-SEL-0001</t>
  </si>
  <si>
    <r>
      <t xml:space="preserve">Rechazada / </t>
    </r>
    <r>
      <rPr>
        <b/>
        <sz val="11"/>
        <color rgb="FFFF0000"/>
        <rFont val="Arial"/>
        <family val="2"/>
      </rPr>
      <t>Reemitir Rev_0</t>
    </r>
  </si>
  <si>
    <t>6021-PRO-ME-0110</t>
  </si>
  <si>
    <t>66OP12044-INN-PRET-ME-PL0206</t>
  </si>
  <si>
    <t>N23CC02-PEL01-3713-PLNME-00001</t>
  </si>
  <si>
    <t>ESQUEMA DE IZAJE Y MANIOBRAS, INCLUYE PESO Y CENTRO DE MASA SALA ELÉCTRICA 3713-SEL-1001</t>
  </si>
  <si>
    <t>79/80</t>
  </si>
  <si>
    <t>6021-PRO-ME-0210</t>
  </si>
  <si>
    <t>66OP12044-INN-PRET-ME-PL1406</t>
  </si>
  <si>
    <t>N23CC02-PEL01-3762-PLNME-00001</t>
  </si>
  <si>
    <t>ESQUEMA DE IZAJE Y MANIOBRAS, INCLUYE PESO Y CENTRO DE MASA SALA ELÉCTRICA 3762-SEL-1101</t>
  </si>
  <si>
    <t>6021-PRO-ME-0310</t>
  </si>
  <si>
    <t>66OP12044-INN-PRET-ME-PL1606</t>
  </si>
  <si>
    <t>N23CC02-PEL01-3762-PLNME-00002</t>
  </si>
  <si>
    <t>ESQUEMA DE IZAJE Y MANIOBRAS, INCLUYE PESO Y CENTRO DE MASA SALA ELÉCTRICA 3762-SEL-1201</t>
  </si>
  <si>
    <t>6021-PLA-ME-0005</t>
  </si>
  <si>
    <t>66OP12044-INN-PRET-ME-LY0016</t>
  </si>
  <si>
    <t>N23CC02-PEL01-0000-200ME-00001</t>
  </si>
  <si>
    <t>LAYOUT ELEMENTO DE IZAJE (MARCO DE IZAJE)</t>
  </si>
  <si>
    <t xml:space="preserve">ME </t>
  </si>
  <si>
    <t>Aprobado con comentarios / Reemitir Rev.B</t>
  </si>
  <si>
    <t>Rechazado / Bajar a Rev_0_RL1</t>
  </si>
  <si>
    <t>6021-PLA-ME-0209</t>
  </si>
  <si>
    <t>66OP12044-INN-PRET-ME-PL1509</t>
  </si>
  <si>
    <t>PLANO VÍAS DE ACCESO, ESCAPE, EXTINTORES Y SEÑALIZACIÓN SALA ELÉCTRICA  3762-SEL-1101</t>
  </si>
  <si>
    <t>6021-PLA-ME-0105</t>
  </si>
  <si>
    <t>66OP12044-INN-PRET-ME-PL0286</t>
  </si>
  <si>
    <t>N23CC02-PEL01-3713-300ME-00002</t>
  </si>
  <si>
    <t>PLANO DETALLE ESTRUCTURAL PILARES SALA ELÉCTRICA 3713-SEL-1001</t>
  </si>
  <si>
    <t>No ha sido devuelta por INN</t>
  </si>
  <si>
    <t>6021-PLA-ME-0111</t>
  </si>
  <si>
    <t>66OP12044-INN-PRET-ME-PL0288</t>
  </si>
  <si>
    <t>DISPOSICIÓN Y DETALLES CALADOS DE PISO SALA ELECTRICA 3713-SEL-1001</t>
  </si>
  <si>
    <t>Manejar cambios en RedLine</t>
  </si>
  <si>
    <t>2_RL1</t>
  </si>
  <si>
    <t xml:space="preserve">Aprobado / Manejar cambios en RedLine. </t>
  </si>
  <si>
    <r>
      <t xml:space="preserve">Aprobado / </t>
    </r>
    <r>
      <rPr>
        <b/>
        <sz val="11"/>
        <color rgb="FFFF0000"/>
        <rFont val="Arial"/>
        <family val="2"/>
      </rPr>
      <t>Manejar cambios en Redline</t>
    </r>
  </si>
  <si>
    <t>6021-PLA-ME-0309</t>
  </si>
  <si>
    <t>66OP12044-INN-PRET-ME-PL1709</t>
  </si>
  <si>
    <t>PLANO VÍAS DE ACCESO, ESCAPE, EXTINTORES Y SEÑALIZACIÓN SALA ELÉCTRICA 3762-SEL-1201</t>
  </si>
  <si>
    <t>6021-PLA-ME-0108</t>
  </si>
  <si>
    <t>66OP12044-INN-PRET-ME-PL0290</t>
  </si>
  <si>
    <t>PLANO DE PASADA  DE EQUIPOS HVAC Y PRESURIZADOR  SALA ELÉCTRICA 3713-SEL-1001 (calados de muro)</t>
  </si>
  <si>
    <t xml:space="preserve">se solicita devolución de documento por INN para uso de su actualización en fábrica. </t>
  </si>
  <si>
    <t>Aprobado con comentarios / Emitir REV_0_RL1</t>
  </si>
  <si>
    <r>
      <t xml:space="preserve">Aprobado con comentarios / Emitir </t>
    </r>
    <r>
      <rPr>
        <b/>
        <sz val="11"/>
        <color rgb="FFFF0000"/>
        <rFont val="Arial"/>
        <family val="2"/>
      </rPr>
      <t>Rev_0_RL2</t>
    </r>
  </si>
  <si>
    <t>0_RL2</t>
  </si>
  <si>
    <r>
      <t>Aprobado con comentarios / Emitir</t>
    </r>
    <r>
      <rPr>
        <b/>
        <sz val="11"/>
        <color rgb="FFFF0000"/>
        <rFont val="Arial"/>
        <family val="2"/>
      </rPr>
      <t xml:space="preserve"> Rev_0_RL3</t>
    </r>
  </si>
  <si>
    <t>0_RL3</t>
  </si>
  <si>
    <r>
      <t xml:space="preserve">Aprobado con comentarios / Emitir </t>
    </r>
    <r>
      <rPr>
        <b/>
        <sz val="11"/>
        <color rgb="FFFF0000"/>
        <rFont val="Arial"/>
        <family val="2"/>
      </rPr>
      <t>Rev_0_RL4</t>
    </r>
  </si>
  <si>
    <t>0_RL4</t>
  </si>
  <si>
    <t>6021-PLA-ME-0203</t>
  </si>
  <si>
    <t>66OP12044-INN-PRET-ME-PL1501</t>
  </si>
  <si>
    <t>N23CC02-PEL01-3762-400ME-00003</t>
  </si>
  <si>
    <t>PLANO DE IZAMIENTO SALA ELÉCTRICA 3762-SEL-1101</t>
  </si>
  <si>
    <t>4- CORREO 29-12-2025_IZAJES_COMENTADOS</t>
  </si>
  <si>
    <t>Rechazado / Esperar REV_B comentada por Codelco</t>
  </si>
  <si>
    <t>3717-SEL-0101</t>
  </si>
  <si>
    <t>6021-MDC-ME-0801</t>
  </si>
  <si>
    <t>66OP12044-INN-PRET-ME-MC0417</t>
  </si>
  <si>
    <t>N23CC02-PEL01-3717-MDCES-00002</t>
  </si>
  <si>
    <t>MEMORIA DE CÁLCULO SÍSMICO ESTRUCTURAL PLATAFORMAS SALA ELÉCTRICA 3717-SEL-0101</t>
  </si>
  <si>
    <t>Falta comentarios de codelco</t>
  </si>
  <si>
    <t xml:space="preserve">139 / 153 </t>
  </si>
  <si>
    <t>23-02-2026 / 16-03-2026</t>
  </si>
  <si>
    <t>6021-PLA-ME-0211</t>
  </si>
  <si>
    <t>66OP12044-INN-PRET-ME-PL1505</t>
  </si>
  <si>
    <t>DISPOSICIÓN Y DETALLES CALADOS DE PISO SALA ELECTRICA 3762-SEL-1101</t>
  </si>
  <si>
    <t>6021-PLA-ME-0102</t>
  </si>
  <si>
    <t>66OP12044-INN-PRET-ME-MC0204</t>
  </si>
  <si>
    <t>N23CC02-PEL01-3713-400ME-00001</t>
  </si>
  <si>
    <t>DETALLE DE ANCLAJES Y REACCIONES SALA ELÉCTRICA  3713-SEL-1001</t>
  </si>
  <si>
    <t>1 SEMANA, UNA VEZ EMITIDA LA MCE DOC. 6021-MDC-ME-0301 REV, 0</t>
  </si>
  <si>
    <t>Aprobado con comentarios / Emitir Rev.B</t>
  </si>
  <si>
    <t xml:space="preserve">Aprobado con comentarios / Emitir Rev_1 </t>
  </si>
  <si>
    <t>6021-MDC-ME-0002</t>
  </si>
  <si>
    <t>CÁLCULO DE MASIVIDAD VIGAS BAJO PISO SALA ELÉCTRICA</t>
  </si>
  <si>
    <t xml:space="preserve">Se incorporará como anexo al procedimiento de pintura </t>
  </si>
  <si>
    <t>CORREO 09-01-2026 - RAMON MORENO_MASIVIDAD Y U.MÓDULO_APROBADO</t>
  </si>
  <si>
    <t>Comentado / Emitir Rev_1</t>
  </si>
  <si>
    <t>6021-PLA-ME-0205</t>
  </si>
  <si>
    <t>66OP12044-INN-PRET-ME-PL1503</t>
  </si>
  <si>
    <t>N23CC02-PEL01-3762-300ME-00002</t>
  </si>
  <si>
    <t>PLANO DETALLE ESTRUCTURAL PILARES SALA ELÉCTRICA 3762-SEL-1101</t>
  </si>
  <si>
    <t>58 / 79</t>
  </si>
  <si>
    <t>05-11-2025 / 16-12-2025</t>
  </si>
  <si>
    <t>6021-PLA-ME-0208</t>
  </si>
  <si>
    <t>66OP12044-INN-PRET-ME-PL1507</t>
  </si>
  <si>
    <t>PLANO DE PASADA  DE EQUIPOS HVAC Y PRESURIZADOR  SALA ELÉCTRICA 3762-SEL-1101 (calados de muro)</t>
  </si>
  <si>
    <r>
      <t xml:space="preserve">Aprobado con comentarios / Emitir </t>
    </r>
    <r>
      <rPr>
        <b/>
        <sz val="11"/>
        <color rgb="FFFF0000"/>
        <rFont val="Arial"/>
        <family val="2"/>
      </rPr>
      <t>Rev_0_RL3</t>
    </r>
  </si>
  <si>
    <r>
      <t xml:space="preserve">Aprobado con comentarios / </t>
    </r>
    <r>
      <rPr>
        <b/>
        <sz val="11"/>
        <color rgb="FFFF0000"/>
        <rFont val="Arial"/>
        <family val="2"/>
      </rPr>
      <t>Emitir Rev_0_RL4</t>
    </r>
  </si>
  <si>
    <t>6021-MDC-ME-0202</t>
  </si>
  <si>
    <t>66OP12044-INN-PRET-ME-MC1417</t>
  </si>
  <si>
    <t>N23CC02-PEL01-3762-MDCES-00002</t>
  </si>
  <si>
    <t>MEMORIA DE CÁLCULO SÍSMICO ESTRUCTURAL PLATAFORMAS SALA ELÉCTRICA 3762-SEL-1101</t>
  </si>
  <si>
    <t>6021-PLA-ME-0305</t>
  </si>
  <si>
    <t>66OP12044-INN-PRET-ME-PL1703</t>
  </si>
  <si>
    <t>N23CC02-PEL01-3762-300ME-00005</t>
  </si>
  <si>
    <t>PLANO DETALLE ESTRUCTURAL PILARES SALA ELÉCTRICA 3762-SEL-1201</t>
  </si>
  <si>
    <t>58/79</t>
  </si>
  <si>
    <t>05-11-2025/16-12-2025</t>
  </si>
  <si>
    <t>6021-MDC-ME-0401</t>
  </si>
  <si>
    <t>66OP12044-INN-PRET-ME-MC0617</t>
  </si>
  <si>
    <t>N23CC02-PEL01-5310-MDCES-00002</t>
  </si>
  <si>
    <t>MEMORIA DE CÁLCULO SÍSMICO ESTRUCTURAL PLATAFORMAS SALA ELÉCTRICA 5310-SEL-0101</t>
  </si>
  <si>
    <t>6021-PLA-ME-0308</t>
  </si>
  <si>
    <t>66OP12044-INN-PRET-ME-PL1707</t>
  </si>
  <si>
    <t>PLANO DE PASADA  DE EQUIPOS HVAC Y PRESURIZADOR  SALA ELÉCTRICA 3762-SEL-1201 (calados de muro)</t>
  </si>
  <si>
    <t>PENDIENTE INN</t>
  </si>
  <si>
    <t>6021-PLA-ME-0202</t>
  </si>
  <si>
    <t>66OP12044-INN-PRET-ME-MC1404</t>
  </si>
  <si>
    <t>N23CC02-PEL01-3762-400ME-00001</t>
  </si>
  <si>
    <t>DETALLE DE ANCLAJES Y REACCIONES SALA ELÉCTRICA 3762-SEL-1101</t>
  </si>
  <si>
    <t>6021-PLA-ME-0302</t>
  </si>
  <si>
    <t>66OP12044-INN-PRET-ME-MC1604</t>
  </si>
  <si>
    <t>N23CC02-PEL01-3762-400ME-00002</t>
  </si>
  <si>
    <t>DETALLE DE ANCLAJES Y REACCIONES SALA ELÉCTRICA 3762-SEL-1201</t>
  </si>
  <si>
    <t>6021-PRO-QA-0003</t>
  </si>
  <si>
    <t>66OP12044-INN-PRET-GE-LS0183</t>
  </si>
  <si>
    <t>N23CC02-PEL01-0000-INFME-00002</t>
  </si>
  <si>
    <t>REGISTRO DE CALIFICACIÓN DE PROCEDIMIENTOS DE SOLDADURA</t>
  </si>
  <si>
    <t>ANULADO POR DUPLICIDAD</t>
  </si>
  <si>
    <t>ANULADO ya que la información está contenida en DOCS:   66OP12044-INN-PRET-ME-ET0154</t>
  </si>
  <si>
    <t>ANULADO</t>
  </si>
  <si>
    <t>6021-CER-QA-0002</t>
  </si>
  <si>
    <t>66OP12044-INN-PRET-GE-CE0176</t>
  </si>
  <si>
    <t>N23CC02-PEL01-0000-CERME-00009</t>
  </si>
  <si>
    <t>CERTIFICADOS DE PESO Y DECLARACIONES DE RECONCILIACIÓN DE PESO SALA</t>
  </si>
  <si>
    <t>ANULADO. ya que la información está contenida en Docs: 66OP12044-INN-PRET-ME-CE0291, 66OP12044-INN-PRET-ME-CE1508, 66OP12044-INN-PRET-ME-CE1708</t>
  </si>
  <si>
    <t>6021-PLA-ME-0006</t>
  </si>
  <si>
    <t>66OP12044-INN-PRET-ME-PL0166</t>
  </si>
  <si>
    <t>N23CC02-PEL01-0000-300ME-00001</t>
  </si>
  <si>
    <t>PLANO DETALLES DE SELLOS MECÁNICOS (SELLOS ROXTEC)</t>
  </si>
  <si>
    <t>A DEFINIR / NO CRITICO</t>
  </si>
  <si>
    <t>Documento condicionado e envio de información por INN</t>
  </si>
  <si>
    <t>Por emitir</t>
  </si>
  <si>
    <t>6021-PRO-QA-0005</t>
  </si>
  <si>
    <t>66OP12044-INN-PRET-GE-PR0005</t>
  </si>
  <si>
    <t>N23CC02-PEL01-0000-PROMD-00001</t>
  </si>
  <si>
    <t>PROCEDIMIENTO DE INSPECCIÓN Y PRUEBA DE PROTECCIÓN DE SUPERFICIES Y PINTURA SALAS ELÉCTRICAS  3713-SEL-1001 / 3762-SEL-1101 / 3762-SEL-1201</t>
  </si>
  <si>
    <t>INNO debe rechazar para reemitir en Rev_4</t>
  </si>
  <si>
    <r>
      <t xml:space="preserve">Aprobado con comentarios / Emitir </t>
    </r>
    <r>
      <rPr>
        <b/>
        <sz val="11"/>
        <color rgb="FFFF0000"/>
        <rFont val="Arial"/>
        <family val="2"/>
      </rPr>
      <t>Rev_3</t>
    </r>
  </si>
  <si>
    <t>Aprobado con comentarios / Emitir Rev_4</t>
  </si>
  <si>
    <t>6021-LST-ME-0101</t>
  </si>
  <si>
    <t>66OP12044-INN-PRET-GE-LS0281</t>
  </si>
  <si>
    <t>N23CC02-PEL01-3713-LSTMD-00002</t>
  </si>
  <si>
    <t>LISTADO DE MATERIALES SALA ELÉCTRICA 3713-SEL-1001</t>
  </si>
  <si>
    <t>*</t>
  </si>
  <si>
    <t>6021-PLA-ME-0103</t>
  </si>
  <si>
    <t>66OP12044-INN-PRET-ME-PL0284</t>
  </si>
  <si>
    <t>N23CC02-PEL01-3713-400ME-00002</t>
  </si>
  <si>
    <t>PLANO DE IZAMIENTO SALA ELÉCTRICA 3713-SEL-1001</t>
  </si>
  <si>
    <t>6021-PLA-ME-0303</t>
  </si>
  <si>
    <t>66OP12044-INN-PRET-ME-PL1701</t>
  </si>
  <si>
    <t>N23CC02-PEL01-3762-400ME-00004</t>
  </si>
  <si>
    <t>PLANO DE IZAMIENTO SALA ELÉCTRICA  3762-SEL-1201</t>
  </si>
  <si>
    <t>6021-MDC-ME-0101</t>
  </si>
  <si>
    <t>66OP12044-INN-PRET-ME-MC0216</t>
  </si>
  <si>
    <t>N23CC02-PEL01-3713-MDCES-00001</t>
  </si>
  <si>
    <t>MEMORIA DE CÁLCULO SÍSMICO ESTRUCTURAL SALA ELÉCTRICA 3713-SEL-1001</t>
  </si>
  <si>
    <t xml:space="preserve">154 / 180 </t>
  </si>
  <si>
    <r>
      <t xml:space="preserve">Aprobado con comentarios / </t>
    </r>
    <r>
      <rPr>
        <b/>
        <sz val="11"/>
        <color rgb="FFFF0000"/>
        <rFont val="Arial"/>
        <family val="2"/>
      </rPr>
      <t>Emitir Rev_3</t>
    </r>
  </si>
  <si>
    <t>154 / 180</t>
  </si>
  <si>
    <t>16-03-2026 / 08-04-2026</t>
  </si>
  <si>
    <t>6021-LST-ME-0201</t>
  </si>
  <si>
    <t>66OP12044-INN-PRET-GE-LS1498</t>
  </si>
  <si>
    <t>N23CC02-PEL01-3762-LSTMD-00003</t>
  </si>
  <si>
    <t>LISTADO DE MATERIALES SALA ELÉCTRICA 3762-SEL-1101</t>
  </si>
  <si>
    <t>5- CORREO 29-12-2025_LISTADO DE MATERIALES</t>
  </si>
  <si>
    <t>6021-PLA-ME-0311</t>
  </si>
  <si>
    <t>66OP12044-INN-PRET-ME-PL1705</t>
  </si>
  <si>
    <t>DISPOSICIÓN Y DETALLES CALADOS DE PISO SALA ELECTRICA 3762-SEL-1201</t>
  </si>
  <si>
    <t>6021-LST-ME-0301</t>
  </si>
  <si>
    <t>66OP12044-INN-PRET-GE-LS1698</t>
  </si>
  <si>
    <t>N23CC02-PEL01-3762-LSTMD-00004</t>
  </si>
  <si>
    <t>LISTADO DE MATERIALES SALA ELÉCTRICA 3762-SEL-1202</t>
  </si>
  <si>
    <t>6021-PLA-ME-0101</t>
  </si>
  <si>
    <t>66OP12044-INN-PRET-ME-PL0289</t>
  </si>
  <si>
    <t>PLANO PLANTA, VISTAS Y SECCIONES  SALA ELÉCTRICA 3713-SEL-1001</t>
  </si>
  <si>
    <t>Aprobado con comentarios / Emitir en Rev_D</t>
  </si>
  <si>
    <t>D</t>
  </si>
  <si>
    <t>6021-PLA-ME-0201</t>
  </si>
  <si>
    <t>66OP12044-INN-PRET-ME-PL1506</t>
  </si>
  <si>
    <t>PLANO PLANTA, VISTAS Y SECCIONES SALA ELÉCTRICA 3762-SEL-1101</t>
  </si>
  <si>
    <t>6021-PLA-ME-0112</t>
  </si>
  <si>
    <t>66OP12044-INN-PRET-ME-PL0293</t>
  </si>
  <si>
    <t>PLANO DISPOSICIÓN PARARRAYOS SALA ELÉCTRICA 3713-SEL-1001</t>
  </si>
  <si>
    <t>2 SEMANAS, UNA VEZ RECIBIDO EL ESTUDIO DE APANTALLAMIENTO POR PARTE DE INN</t>
  </si>
  <si>
    <t xml:space="preserve">Se solicitará anulación de entregable. Con base a la minuta de REU_ING. Jean Enviará correo. </t>
  </si>
  <si>
    <t>6021-PLA-ME-0212</t>
  </si>
  <si>
    <t>66OP12044-INN-PRET-ME-PL1510</t>
  </si>
  <si>
    <t>PLANO DISPOSICIÓN PARARRAYOS SALA ELÉCTRICA 3762-SEL-1101</t>
  </si>
  <si>
    <t>6021-PLA-ME-0312</t>
  </si>
  <si>
    <t>66OP12044-INN-PRET-ME-PL1710</t>
  </si>
  <si>
    <t>PLANO DISPOSICIÓN PARARRAYOS SALA ELÉCTRICA 3762-SEL-1202</t>
  </si>
  <si>
    <t>6021-PLA-ME-0204</t>
  </si>
  <si>
    <t>66OP12044-INN-PRET-ME-PL1502</t>
  </si>
  <si>
    <t>N23CC02-PEL01-3762-300ME-00001</t>
  </si>
  <si>
    <t>PLANO DETALLE ESTRUCTURAL BASE SALA ELÉCTRICA 3762-SEL-1101</t>
  </si>
  <si>
    <t>comentado</t>
  </si>
  <si>
    <t>Aprobado con comentarios / Emitir Rev_0_RL4</t>
  </si>
  <si>
    <t>6021-PLA-ME-0301</t>
  </si>
  <si>
    <t>66OP12044-INN-PRET-ME-PL1706</t>
  </si>
  <si>
    <t>PLANO PLANTA, VISTAS Y SECCIONES SALA ELÉCTRICA 3762-SEL-1201</t>
  </si>
  <si>
    <t>Aprobado con comentarios / Emtir Rev_2</t>
  </si>
  <si>
    <t>6021-PLA-ME-0304</t>
  </si>
  <si>
    <t>66OP12044-INN-PRET-ME-PL1702</t>
  </si>
  <si>
    <t>N23CC02-PEL01-3762-300ME-00004</t>
  </si>
  <si>
    <t>PLANO DETALLE ESTRUCTURAL BASE SALA ELÉCTRICA 3762-SEL-1201</t>
  </si>
  <si>
    <t>78/79</t>
  </si>
  <si>
    <t>6021-MNL-ME-0003</t>
  </si>
  <si>
    <t>66OP12044-INN-PRET-EL-MA0018</t>
  </si>
  <si>
    <t>N23CC02-PEL01-0000-MNLEL-00001</t>
  </si>
  <si>
    <t>MANUAL DE MANTENIMIENTO SALAS ELÉCTRICAS</t>
  </si>
  <si>
    <t>6021-PLA-ME-0104</t>
  </si>
  <si>
    <t>66OP12044-INN-PRET-ME-PL0285</t>
  </si>
  <si>
    <t>N23CC02-PEL01-3713-300ME-00001</t>
  </si>
  <si>
    <t>PLANO DETALLE ESTRUCTURAL BASE SALA ELÉCTRICA 3713-SEL-1001</t>
  </si>
  <si>
    <t>6021-PRO-QA-0004</t>
  </si>
  <si>
    <t>66OP12044-INN-PRET-ME-PR0189</t>
  </si>
  <si>
    <t>PROCEDIMIENTO DE HERMETICIDAD</t>
  </si>
  <si>
    <t>6021-PLA-ME-0001</t>
  </si>
  <si>
    <t>66OP12044-INN-PRET-ME-PL0167</t>
  </si>
  <si>
    <t>N23CC02-PEL01-0000-300ME-00002</t>
  </si>
  <si>
    <t>PLANO DE UNIÓN DE MÓDULOS SALA ELÉCTRICA 3713-SEL-1001 / 3762-SEL-1101 / 3762-SEL-1201</t>
  </si>
  <si>
    <t>No ha sido respondida por INN</t>
  </si>
  <si>
    <t>'No ha sido respondida por INN</t>
  </si>
  <si>
    <r>
      <t xml:space="preserve">Aprobado con comentarios / </t>
    </r>
    <r>
      <rPr>
        <b/>
        <sz val="11"/>
        <color rgb="FFFF0000"/>
        <rFont val="Arial"/>
        <family val="2"/>
      </rPr>
      <t>Emitir Rev_4</t>
    </r>
  </si>
  <si>
    <t>6021-LST-ME-0102</t>
  </si>
  <si>
    <t>66OP12044-INN-PRET-GE-LS0219</t>
  </si>
  <si>
    <t>N23CC02-PEL01-3713-LSTMD-00001</t>
  </si>
  <si>
    <t>PACKING LIST SALA ELÉCTRICA 3713-SEL-1001</t>
  </si>
  <si>
    <t>6021-LST-ME-0202</t>
  </si>
  <si>
    <t>66OP12044-INN-PRET-GE-LS1419</t>
  </si>
  <si>
    <t>N23CC02-PEL01-3762-LSTMD-00001</t>
  </si>
  <si>
    <t>PACKING LIST SALA ELÉCTRICA 3762-SEL-1101</t>
  </si>
  <si>
    <t>6021-LST-ME-0302</t>
  </si>
  <si>
    <t>66OP12044-INN-PRET-GE-LS1619</t>
  </si>
  <si>
    <t>N23CC02-PEL01-3762-LSTMD-00002</t>
  </si>
  <si>
    <t>PACKING LIST SALA ELÉCTRICA 3762-SEL-1201</t>
  </si>
  <si>
    <t>6021-LST-CP-0001</t>
  </si>
  <si>
    <t>66OP12044-INN-PRET-ME-LS0011</t>
  </si>
  <si>
    <t>N23CC02-PEL01-0000-LSTMD-00002</t>
  </si>
  <si>
    <t>LISTADO DE REPUESTOS; 2 AÑOS DE OPERACIÓN Y PEM</t>
  </si>
  <si>
    <t>A DEFINIR</t>
  </si>
  <si>
    <t xml:space="preserve">SEH solicita anulación de este entregable, alcance de OC es solo metalmecánico  </t>
  </si>
  <si>
    <t>Seh solicita anular</t>
  </si>
  <si>
    <t>6021-MDC-ME-0201</t>
  </si>
  <si>
    <t>66OP12044-INN-PRET-ME-MC1416</t>
  </si>
  <si>
    <t>N23CC02-PEL01-3762-MDCES-00001</t>
  </si>
  <si>
    <t>MEMORIA DE CÁLCULO SÍSMICO ESTRUCTURAL SALA ELÉCTRICA 3762-SEL-1101</t>
  </si>
  <si>
    <t>5029-CT-005 (ultima enviada en rev_3 el 09-04-26)</t>
  </si>
  <si>
    <t>154 / 169</t>
  </si>
  <si>
    <t>16-03-2026 / 30-03-2026</t>
  </si>
  <si>
    <t>6021-MNL-ME-0001</t>
  </si>
  <si>
    <t>66OP12044-INN-PRET-EL-MA0019</t>
  </si>
  <si>
    <t>N23CC02-PEL01-0000-MNLEL-00002</t>
  </si>
  <si>
    <t>MANUAL DE OPERACIÓN SALAS ELÉCTRICAS</t>
  </si>
  <si>
    <t>6021-PRO-ME-0002</t>
  </si>
  <si>
    <t>66OP12044-INN-PRET-GE-PR0021</t>
  </si>
  <si>
    <t>N23CC02-PEL01-0000-PROMD-00004</t>
  </si>
  <si>
    <t>PROCEDIMIENTO DE EMBALAJES, PREPARACIÓN Y MANIPULACIÓN Y ENVÍOS</t>
  </si>
  <si>
    <r>
      <t xml:space="preserve">Aprobado / </t>
    </r>
    <r>
      <rPr>
        <b/>
        <sz val="11"/>
        <color rgb="FFFF0000"/>
        <rFont val="Arial"/>
        <family val="2"/>
      </rPr>
      <t>Emitir Rev_0</t>
    </r>
  </si>
  <si>
    <t>6021-PLA-ME-0801</t>
  </si>
  <si>
    <t>66OP12044-INN-PRET-ME-PL0466</t>
  </si>
  <si>
    <t>PLANO DE DISPOSICIÓN Y DETALLES DE PLATAFORMAS, BARANDAS Y ESCALERAS SALA ELÉCTRICA 3717-SEL-1001</t>
  </si>
  <si>
    <t>6021-SDD-ME-0001</t>
  </si>
  <si>
    <t>SOLICITUD DE DESVIACIÓN Nº1 - ING.MECÁNICA. REF:  Tolerancias de fabricación - Desviación longitudinal Nch428</t>
  </si>
  <si>
    <t>SDD-ME</t>
  </si>
  <si>
    <t xml:space="preserve">Respondida </t>
  </si>
  <si>
    <t xml:space="preserve"> 6021-CDS-QA-0001</t>
  </si>
  <si>
    <t>66OP12044-INN-PRET-CG-CE0007</t>
  </si>
  <si>
    <t>N23CC02-PEL01-0000-RGSMD-00001</t>
  </si>
  <si>
    <t>CALIFICACIÓN DE SOLDADORES</t>
  </si>
  <si>
    <t>INN RECHAZARA Y PEDIRA REEMITIR REV_2 … SEH debe emitir en REV_2 actualizando la calificación de las soldadores del mes de enero</t>
  </si>
  <si>
    <r>
      <t xml:space="preserve">Rechazado / </t>
    </r>
    <r>
      <rPr>
        <b/>
        <sz val="11"/>
        <color rgb="FFFF0000"/>
        <rFont val="Arial"/>
        <family val="2"/>
      </rPr>
      <t>Reemitir Rev_2</t>
    </r>
  </si>
  <si>
    <t>Rechazado / Reemitir en Rev_0</t>
  </si>
  <si>
    <t>Reemitido Rev_2</t>
  </si>
  <si>
    <t>6021-RES-CP-004</t>
  </si>
  <si>
    <t>RESUMEN SEMANAL SEH - Nº4</t>
  </si>
  <si>
    <t>OT-6021-IAS-CP-0013</t>
  </si>
  <si>
    <t>INFORME DE AVANCE SEMANAL Nº13 AL 19-11-2025</t>
  </si>
  <si>
    <t>OT-6021-IAS-CP-0014</t>
  </si>
  <si>
    <t>INFORME DE AVANCE SEMANAL Nº14 AL 25-11-2025</t>
  </si>
  <si>
    <t>6021-MIN-ING-0001_Nº8_14.10.25</t>
  </si>
  <si>
    <t>MINUTA DE REUNIÓN INGENIERIA Nº8</t>
  </si>
  <si>
    <t>OT-6021-IAS-CP-0015</t>
  </si>
  <si>
    <t>INFORME DE AVANCE SEMANAL Nº15 AL 02-12-2025</t>
  </si>
  <si>
    <t>OT-6021-IAS-CP-0016</t>
  </si>
  <si>
    <t>INFORME DE AVANCE SEMANAL Nº16 AL 09-12-2025</t>
  </si>
  <si>
    <t>6021-RES-CP-005</t>
  </si>
  <si>
    <t>RESUMEN SEMANAL SEH - Nº5</t>
  </si>
  <si>
    <t>6021-RES-CP-006</t>
  </si>
  <si>
    <t>RESUMEN SEMANAL SEH - Nº6</t>
  </si>
  <si>
    <t>TALABRE - LOG DE CAMBIOS AL 02-12-2025</t>
  </si>
  <si>
    <t>OT-6021-IAS-CP-0017</t>
  </si>
  <si>
    <t>INFORME DE AVANCE SEMANAL Nº17 AL 17-12-2025</t>
  </si>
  <si>
    <t>OT-6021-IAS-CP-0018</t>
  </si>
  <si>
    <t>INFORME DE AVANCE SEMANAL Nº18 AL 18-12-2025</t>
  </si>
  <si>
    <t>OT-6021-IAS-CP-0019</t>
  </si>
  <si>
    <t>INFORME DE AVANCE SEMANAL Nº19 AL 30-12-2025</t>
  </si>
  <si>
    <t>OT-6021-IAS-CP-0020</t>
  </si>
  <si>
    <t>INFORME DE AVANCE SEMANAL Nº20 AL 06-01-2026</t>
  </si>
  <si>
    <t xml:space="preserve">INFORME DE INSPECCIÓN FIRMADO </t>
  </si>
  <si>
    <t xml:space="preserve">Firmado </t>
  </si>
  <si>
    <t xml:space="preserve">Informativo </t>
  </si>
  <si>
    <t>Firmado</t>
  </si>
  <si>
    <t>6021-SDI-ME-0001</t>
  </si>
  <si>
    <t>660P12044-INN-SEH-SDI001</t>
  </si>
  <si>
    <t xml:space="preserve">SOLICITUD DE INFORMACIÓN  Nº1 - ING.MECÁNICA </t>
  </si>
  <si>
    <t>SDI-ME</t>
  </si>
  <si>
    <t>RESPONDIDO</t>
  </si>
  <si>
    <t>6021-MIN-ING-0001_Nº9_21.10.25</t>
  </si>
  <si>
    <t>MINUTA DE REUNIÓN INGENIERIA Nº9</t>
  </si>
  <si>
    <t>6021-MIN-ING-0001_Nº10_28.10.25</t>
  </si>
  <si>
    <t>MINUTA DE REUNIÓN INGENIERIA Nº10</t>
  </si>
  <si>
    <t>6021-MIN-ING-0001_Nº11_06.11.25</t>
  </si>
  <si>
    <t>MINUTA DE REUNIÓN INGENIERIA Nº11</t>
  </si>
  <si>
    <t>6021-MIN-ING-0001_Nº12_11.11.25</t>
  </si>
  <si>
    <t>MINUTA DE REUNIÓN INGENIERIA Nº12</t>
  </si>
  <si>
    <t>6021-MIN-ING-0001_Nº13_18.11.25</t>
  </si>
  <si>
    <t>MINUTA DE REUNIÓN INGENIERIA Nº13</t>
  </si>
  <si>
    <t>6021-MIN-ING-0001_Nº14_25.11.25</t>
  </si>
  <si>
    <t>MINUTA DE REUNIÓN INGENIERIA Nº14</t>
  </si>
  <si>
    <t>6021-MIN-ING-0001_Nº15_02.12.25</t>
  </si>
  <si>
    <t>MINUTA DE REUNIÓN INGENIERIA Nº15</t>
  </si>
  <si>
    <t>6021-MIN-ING-0001_Nº16_09.12.25</t>
  </si>
  <si>
    <t>MINUTA DE REUNIÓN INGENIERIA Nº16</t>
  </si>
  <si>
    <t>6021-MIN-ING-0001_Nº17_16.12.25</t>
  </si>
  <si>
    <t>MINUTA DE REUNIÓN INGENIERIA Nº17</t>
  </si>
  <si>
    <t>6021-MIN-ING-0001_Nº18_06,01,26</t>
  </si>
  <si>
    <t>MINUTA DE REUNIÓN INGENIERIA Nº18</t>
  </si>
  <si>
    <t>STD-PCP-F120-001</t>
  </si>
  <si>
    <t>PROBETA PANEL DE CIELO RF120 / ENSAYO IDIEM</t>
  </si>
  <si>
    <t>CORREO 09-01-2026_RAMON MORENO_PROBETAS APROBADAS</t>
  </si>
  <si>
    <t>Aprobado para construcción</t>
  </si>
  <si>
    <t>STD-PMS-F120-004</t>
  </si>
  <si>
    <t xml:space="preserve">PROBETA MURO SOLDADO F120 / PILAR HEB </t>
  </si>
  <si>
    <t>6021-RES-CP-007</t>
  </si>
  <si>
    <t>RESUMEN SEMANAL SEH - Nº7</t>
  </si>
  <si>
    <t>6021-RES-CP-008</t>
  </si>
  <si>
    <t>RESUMEN SEMANAL SEH - Nº8</t>
  </si>
  <si>
    <t>6021-RES-CP-009</t>
  </si>
  <si>
    <t>RESUMEN SEMANAL SEH - Nº9</t>
  </si>
  <si>
    <t>6021-RES-CP-010</t>
  </si>
  <si>
    <t>RESUMEN SEMANAL SEH - Nº10</t>
  </si>
  <si>
    <t>TALABRE - LOG DE CAMBIOS AL 17-12-2025</t>
  </si>
  <si>
    <t>TALABRE - LOG DE CAMBIOS AL 24-12-2025</t>
  </si>
  <si>
    <t>TALABRE - LOG DE CAMBIOS AL 31-12-2025</t>
  </si>
  <si>
    <t>TALABRE - LOG DE CAMBIOS AL 06-01-2026</t>
  </si>
  <si>
    <t>TALABRE - LOG DE CAMBIOS AL 09-12-2025</t>
  </si>
  <si>
    <t>6021-MDC-ME-0301</t>
  </si>
  <si>
    <t>66OP12044-INN-PRET-ME-MC1616</t>
  </si>
  <si>
    <t>N23CC02-PEL01-3762-MDCES-00003</t>
  </si>
  <si>
    <t>MEMORIA DE CÁLCULO SÍSMICO ESTRUCTURAL SALA ELÉCTRICA 3762-SEL-1201</t>
  </si>
  <si>
    <t>5029-CT-006 (ultima enviada en rev_3 el 13-04-26)</t>
  </si>
  <si>
    <t>154 / 170</t>
  </si>
  <si>
    <t xml:space="preserve">COMUNICACIÓN HORARIO FIN DE AÑO 2025 - SEH </t>
  </si>
  <si>
    <t>Informativo</t>
  </si>
  <si>
    <t>6021-SDI-ME-0002</t>
  </si>
  <si>
    <t>660P12044-INN-SEH-SDI002</t>
  </si>
  <si>
    <t xml:space="preserve">SOLICITUD DE INFORMACIÓN  Nº2 - ING.MECÁNICA </t>
  </si>
  <si>
    <t xml:space="preserve">RESPUESTA CON ANTECEDENTES DE NO CONFORMIDAD </t>
  </si>
  <si>
    <t>6021-M-FB-0033</t>
  </si>
  <si>
    <t>PLANO DISPOSICIÓN DE PLANTILLA PLATAFORMAS - 3717-SEL-0101</t>
  </si>
  <si>
    <t>6021-M-FB-0034</t>
  </si>
  <si>
    <t>PLANO DISPOSICIÓN DE PLANTILLA PLATAFORMAS - 5310-SEL</t>
  </si>
  <si>
    <t>5432-SEL-1001</t>
  </si>
  <si>
    <t>6021-M-FB-0035</t>
  </si>
  <si>
    <t>PLANO DISPOSICIÓN DE PLANTILLA PLATAFORMAS  5432-SEL-1001</t>
  </si>
  <si>
    <t>6021-M-FB-0017</t>
  </si>
  <si>
    <t>PLANO SEPARACIÓN DE JUNTA DE DILATACIÓN - Despiece - Vistas Generales</t>
  </si>
  <si>
    <t>08-04 enviara innomotics</t>
  </si>
  <si>
    <t>INFORMATIVO</t>
  </si>
  <si>
    <t>6021-M-FB-0036</t>
  </si>
  <si>
    <t>PLANO DISPOSICIÓN DE PLANTILLA PLATAFORMAS 5421-SEL-0001</t>
  </si>
  <si>
    <t>6021-M-FB-0037</t>
  </si>
  <si>
    <t>PLANO DISPOSICIÓN DE PLANTILLA PLATAFORMAS 5335-SEL-0001</t>
  </si>
  <si>
    <t xml:space="preserve">FICHA TÉCNICA EPDM U 200X100X15mm </t>
  </si>
  <si>
    <t>6021_Detalle de unión stp</t>
  </si>
  <si>
    <t>6021-SDI-QA-0001</t>
  </si>
  <si>
    <t>660P12044-INN-SEH-SDI003</t>
  </si>
  <si>
    <t xml:space="preserve">SDI Nº003. REF: DISCONTINUIDAD DE BARNIZ. / FICHA TÉCNICA </t>
  </si>
  <si>
    <t>SDI-QA</t>
  </si>
  <si>
    <t>Aprobada</t>
  </si>
  <si>
    <t>6021-MIN-ING-0001_Nº24_17.02.26</t>
  </si>
  <si>
    <t>MINUTA DE REUNIÓN INGENIERIA Nº24</t>
  </si>
  <si>
    <t>6021-RES-CP-013</t>
  </si>
  <si>
    <t>RESUMEN SEMANAL SEH - Nº13</t>
  </si>
  <si>
    <t>6021-MIN-ING-0001_Nº26_03.03.26</t>
  </si>
  <si>
    <t>MINUTA DE REUNIÓN INGENIERIA Nº26</t>
  </si>
  <si>
    <t>6021-MIN-ING-0001_Nº28_17.03.26</t>
  </si>
  <si>
    <t>MINUTA DE REUNIÓN INGENIERIA Nº28</t>
  </si>
  <si>
    <t>6021-MIN-ING-0001_Nº29_24.03.26</t>
  </si>
  <si>
    <t>MINUTA DE REUNIÓN INGENIERIA Nº29</t>
  </si>
  <si>
    <t>6021-MIN-ING-0001_Nº27_10.03.26</t>
  </si>
  <si>
    <t>MINUTA DE REUNIÓN INGENIERIA Nº27</t>
  </si>
  <si>
    <t>6021-MIN-ING-0001_Nº25_24.02.26</t>
  </si>
  <si>
    <t>MINUTA DE REUNIÓN INGENIERIA Nº25</t>
  </si>
  <si>
    <t>6021-MIN-ING-0001_Nº23_10.02.26</t>
  </si>
  <si>
    <t>MINUTA DE REUNIÓN INGENIERIA Nº23</t>
  </si>
  <si>
    <t>11-102</t>
  </si>
  <si>
    <t>6021-MIN-ING-0001_Nº22_03.02.26</t>
  </si>
  <si>
    <t>MINUTA DE REUNIÓN INGENIERIA Nº22</t>
  </si>
  <si>
    <t>6021-MIN-ING-0001_Nº21_27.01.26</t>
  </si>
  <si>
    <t>MINUTA DE REUNIÓN INGENIERIA Nº21</t>
  </si>
  <si>
    <t>6021-MIN-ING-0001_Nº20_20.01.26</t>
  </si>
  <si>
    <t>MINUTA DE REUNIÓN INGENIERIA Nº20</t>
  </si>
  <si>
    <t>OT-6021-IAS-CP-0024</t>
  </si>
  <si>
    <t>INFORME DE AVANCE SEMANAL Nº24 AL 03-02-2026</t>
  </si>
  <si>
    <t>OT-6021-IAS-CP-0026</t>
  </si>
  <si>
    <t>INFORME DE AVANCE SEMANAL Nº26 AL 18-02-2026</t>
  </si>
  <si>
    <t>OT-6021-IAS-CP-0028</t>
  </si>
  <si>
    <t>INFORME DE AVANCE SEMANAL Nº28 AL 03-03-2026</t>
  </si>
  <si>
    <t>OT-6021-IAS-CP-0030</t>
  </si>
  <si>
    <t>INFORME DE AVANCE SEMANAL Nº30 AL 17-03-2026</t>
  </si>
  <si>
    <t>OT-6021-IAS-CP-0031</t>
  </si>
  <si>
    <t>INFORME DE AVANCE SEMANAL Nº31 AL 24-03-2026</t>
  </si>
  <si>
    <t>OT-6021-IAS-CP-0029</t>
  </si>
  <si>
    <t>INFORME DE AVANCE SEMANAL Nº29 AL 10-03-2026</t>
  </si>
  <si>
    <t>OT-6021-IAS-CP-0027</t>
  </si>
  <si>
    <t>INFORME DE AVANCE SEMANAL Nº27 AL 24-02-2026</t>
  </si>
  <si>
    <t>OT-6021-IAS-CP-0025</t>
  </si>
  <si>
    <t>INFORME DE AVANCE SEMANAL Nº25 AL 10-02-2026</t>
  </si>
  <si>
    <t>6021-RES-CP-014</t>
  </si>
  <si>
    <t>RESUMEN SEMANAL SEH - Nº14</t>
  </si>
  <si>
    <t>6021-MIN-ING-0001_Nº19_13.01.26</t>
  </si>
  <si>
    <t>MINUTA DE REUNIÓN INGENIERIA Nº19</t>
  </si>
  <si>
    <t>6021-RES-CP-016</t>
  </si>
  <si>
    <t>RESUMEN SEMANAL SEH - Nº16</t>
  </si>
  <si>
    <t>6021-RES-CP-018</t>
  </si>
  <si>
    <t>RESUMEN SEMANAL SEH - Nº18</t>
  </si>
  <si>
    <t>6021-RES-CP-020</t>
  </si>
  <si>
    <t>RESUMEN SEMANAL SEH - Nº20</t>
  </si>
  <si>
    <t>6021-RES-CP-021</t>
  </si>
  <si>
    <t>RESUMEN SEMANAL SEH - Nº21</t>
  </si>
  <si>
    <t>6021-RES-CP-019</t>
  </si>
  <si>
    <t>RESUMEN SEMANAL SEH - Nº19</t>
  </si>
  <si>
    <t>6021-RES-CP-017</t>
  </si>
  <si>
    <t>RESUMEN SEMANAL SEH - Nº17</t>
  </si>
  <si>
    <t>6021-RES-CP-015</t>
  </si>
  <si>
    <t>RESUMEN SEMANAL SEH - Nº15</t>
  </si>
  <si>
    <t>TALABRE - LOG DE CAMBIOS AL 27-01-2026</t>
  </si>
  <si>
    <t>6021-M-FB-0017_COMPLEMENTO</t>
  </si>
  <si>
    <t>Junta de dilatación_3D_Complemento</t>
  </si>
  <si>
    <t>6021-RES-CP-012</t>
  </si>
  <si>
    <t>RESUMEN SEMANAL SEH - Nº12</t>
  </si>
  <si>
    <t>OT-6021-IAS-CP-0022</t>
  </si>
  <si>
    <t>INFORME DE AVANCE SEMANAL Nº22 AL 20-01-2027</t>
  </si>
  <si>
    <t>OT-6021-IAS-CP-0023</t>
  </si>
  <si>
    <t>INFORME DE AVANCE SEMANAL Nº23 AL 27-01-2026</t>
  </si>
  <si>
    <t>TALABRE - LOG DE CAMBIOS AL 03-02-2026</t>
  </si>
  <si>
    <t>TALABRE - LOG DE CAMBIOS AL 17-02-2026</t>
  </si>
  <si>
    <t>TALABRE - LOG DE CAMBIOS AL 03-03-2026</t>
  </si>
  <si>
    <t>TALABRE - LOG DE CAMBIOS AL 10-03-2026</t>
  </si>
  <si>
    <t>TALABRE - LOG DE CAMBIOS AL 24-03-2026</t>
  </si>
  <si>
    <t>TALABRE - LOG DE CAMBIOS AL 17-03-2026</t>
  </si>
  <si>
    <t>TALABRE - LOG DE CAMBIOS AL 24-02-2026</t>
  </si>
  <si>
    <t>TALABRE - LOG DE CAMBIOS AL 10-02-2026</t>
  </si>
  <si>
    <t>TALABRE - LOG DE CAMBIOS AL 20-01-2026</t>
  </si>
  <si>
    <t>TALABRE - LOG DE CAMBIOS AL 31-03-2027</t>
  </si>
  <si>
    <t>SEH-OT-6021-PR-CP-003</t>
  </si>
  <si>
    <t>PLANIFICACIÓN - CARTA GANTT  // SALA TAG 3762-SEL-1201</t>
  </si>
  <si>
    <t>TALABRE - LOG DE CAMBIOS AL 07-04-2026</t>
  </si>
  <si>
    <t>6021-RES-CP-023</t>
  </si>
  <si>
    <t>RESUMEN SEMANAL SEH - Nº23</t>
  </si>
  <si>
    <t>SEH-OT-6021-PR-CP-004</t>
  </si>
  <si>
    <t>PLANIFICACIÓN - CARTA GANTT // ACCESORIOS: MARCO DE IZAJE , PLATAFORMAS ESCALAS Y BARANDAS</t>
  </si>
  <si>
    <t>Rechazada / Pasar a D</t>
  </si>
  <si>
    <t>6021-RES-CP-022</t>
  </si>
  <si>
    <t>RESUMEN SEMANAL SEH - Nº22</t>
  </si>
  <si>
    <t>OT-6021-IAS-CP-0033</t>
  </si>
  <si>
    <t>'INFORME DE AVANCE SEMANAL Nº33 AL 07-04-2026</t>
  </si>
  <si>
    <t>TALABRE - LOG DE CAMBIOS AL 14-04-2026</t>
  </si>
  <si>
    <t>OT-6021-IAS-CP-0032</t>
  </si>
  <si>
    <t>'INFORME DE AVANCE SEMANAL Nº32 AL 31-03-2026</t>
  </si>
  <si>
    <t>EMITIR ASBUI+'[OT-6011_Master documental 16.08.23.xlsx]INGENIERÍA FABRICA'!T REV.2 CON COMENTARIOS LEVANTADOS</t>
  </si>
  <si>
    <t>CONTROL DOCUMENTAL</t>
  </si>
  <si>
    <t>MASTER INGENIERÍA</t>
  </si>
  <si>
    <t>CÓDIGO</t>
  </si>
  <si>
    <t>RESUMEN ACTUALIZADO DE ENTREGA</t>
  </si>
  <si>
    <t>7ma EMISIÓN</t>
  </si>
  <si>
    <t>8va EMISIÓN</t>
  </si>
  <si>
    <t>9na EMISIÓN</t>
  </si>
  <si>
    <t>10ma EMISIÓN</t>
  </si>
  <si>
    <t>11ma EMISIÓN</t>
  </si>
  <si>
    <t>12ma EMISIÓN</t>
  </si>
  <si>
    <t>13ra EMISIÓN</t>
  </si>
  <si>
    <t>PÁGINAS</t>
  </si>
  <si>
    <t>COPIAS CONTROLADAS</t>
  </si>
  <si>
    <t xml:space="preserve">CÓDIGO </t>
  </si>
  <si>
    <t>DESCRIPCIÓN DOCUMENTO</t>
  </si>
  <si>
    <t>ESPECIALIDAD</t>
  </si>
  <si>
    <t>REVISIÓN</t>
  </si>
  <si>
    <t>ACTAS DE ENTREGA</t>
  </si>
  <si>
    <t>FECHA DE ENTREGA A FABRICA</t>
  </si>
  <si>
    <t>ESTADO</t>
  </si>
  <si>
    <t>MOVIMIENTOS DEL DOCUMENTO</t>
  </si>
  <si>
    <t>Entrega</t>
  </si>
  <si>
    <t>2 PRODUCCIÓN / 
1 PLEGADO /
 1 EXPEDITOR /
 1 CALIDAD</t>
  </si>
  <si>
    <t>PLANO PAD GROUND 3713-SEL-1001</t>
  </si>
  <si>
    <t>6021-M-FB-0042</t>
  </si>
  <si>
    <t>PLANO PAD GROUND 3762-SEL-1101</t>
  </si>
  <si>
    <t>6021-M-FB-0043</t>
  </si>
  <si>
    <t>PLANO PAD GROUND 3762-SEL-1201</t>
  </si>
  <si>
    <t>4 PRODUCCIÓN</t>
  </si>
  <si>
    <t xml:space="preserve">PLANO CANCAMO DE IZAJE </t>
  </si>
  <si>
    <t>3 PRODUCCIÓN / 
1 EXPEDITOR</t>
  </si>
  <si>
    <t xml:space="preserve"> N23CC02-PEL01-0000-300ME-00002</t>
  </si>
  <si>
    <t>PLANO DE UNIÓN DE MÓDULOS SALA ELÉCTRICA 3713-SEL
1001 / 3762-SEL-1101 / 3762-SEL-1201</t>
  </si>
  <si>
    <t xml:space="preserve">ENTREGADO </t>
  </si>
  <si>
    <t>2 PRODUCCIÓN / 
1 EXPEDITOR / 
1 CALIDAD</t>
  </si>
  <si>
    <t xml:space="preserve"> N23CC02-PEL01-3713-300ME-00001</t>
  </si>
  <si>
    <t>DISPOSICIÓN Y DETALLES CALADOS DE PISO 3713-SEL-1001</t>
  </si>
  <si>
    <t>2 PRODUCCIÓN / 
1 EXPEDITOR /
1 CALIDAD</t>
  </si>
  <si>
    <t>PLANO DE DETALLE ESTRUCTURAL PILARES SALA ELÉCTRICA 3713-SEL-1001</t>
  </si>
  <si>
    <t xml:space="preserve">3 PRODUCCIÓN </t>
  </si>
  <si>
    <t>6021-M-FB-1001</t>
  </si>
  <si>
    <t>PLANO BOTA AGUA PORTON Y PUERTA</t>
  </si>
  <si>
    <t>2 PRODUCCIÓN / 
1 PLEGADO
1 EXPEDITOR / 
1 CALIDAD</t>
  </si>
  <si>
    <t>º</t>
  </si>
  <si>
    <t>PLANO DE DETALLE ESTRUCTURAL PILARES SALA ELÉCTRICA 3762-SEL-1101</t>
  </si>
  <si>
    <t>3 PRODUCCIÓN</t>
  </si>
  <si>
    <t>6021-M-FB-1002</t>
  </si>
  <si>
    <t xml:space="preserve">PLANO BOTA AGUA EQUIPOS </t>
  </si>
  <si>
    <t>PLANO DE DETALLE ESTRUCTURAL PILARES SALA ELÉTRICA 3762-SEL-1201</t>
  </si>
  <si>
    <t>2 PRODUCCIÓN / 
1 PLEGADO / 
 1 EXPEDITOR / 
1 CALIDAD</t>
  </si>
  <si>
    <t>21 - Producción / 22 Calidad</t>
  </si>
  <si>
    <t xml:space="preserve"> 6021-M-FB-1000</t>
  </si>
  <si>
    <t xml:space="preserve">PLANO ATIESADOR </t>
  </si>
  <si>
    <t>6021-M-FB-0003</t>
  </si>
  <si>
    <t xml:space="preserve">PLANO PANEL TÍPICO MURO INT. Y EXT. </t>
  </si>
  <si>
    <t>6021-M-FB-0004</t>
  </si>
  <si>
    <t xml:space="preserve">PLANO PANEL TÍPICO TECHO </t>
  </si>
  <si>
    <t xml:space="preserve">4 PRODUCCIÓN / 
1 EXPEDITOR
</t>
  </si>
  <si>
    <t>6021-M-FB-0005</t>
  </si>
  <si>
    <t xml:space="preserve">PLANO PANEL TÍPICO CIELO </t>
  </si>
  <si>
    <t>2 PRODUCCIÓN</t>
  </si>
  <si>
    <t>6021-M-FB-0101</t>
  </si>
  <si>
    <t>DEFORMACIÓN ADMISIBLE BASE ESTRUCTURAL 3713-SEL-1001</t>
  </si>
  <si>
    <t xml:space="preserve"> 6021-M-FB-0201</t>
  </si>
  <si>
    <t>DEFORMACIÓN ADMISIBLE BASE ESTRUCTURAL 3762-SEL-1101</t>
  </si>
  <si>
    <t xml:space="preserve"> 6021-M-FB-0301</t>
  </si>
  <si>
    <t>DEFORMACIÓN ADMISIBLE BASE ESTRUCTURAL 3762-SEL-1202</t>
  </si>
  <si>
    <t>2 PRODUCCIÓN /
 1 EXPEDITOR / 
1 CALIDAD</t>
  </si>
  <si>
    <t>5 PRODUCCIÓN / 
1 CALIDAD</t>
  </si>
  <si>
    <t>6021-M-FB-0010</t>
  </si>
  <si>
    <t xml:space="preserve">PLANO PLACAS REFUERZO </t>
  </si>
  <si>
    <t>6021-M-FB-0009</t>
  </si>
  <si>
    <t xml:space="preserve">DETALLE DE MONTAJE PLANCHA DE PISO </t>
  </si>
  <si>
    <t xml:space="preserve">4 PRODUCCIÓN /
1 CALIDAD 
</t>
  </si>
  <si>
    <t>6021-M-FB-0012</t>
  </si>
  <si>
    <t xml:space="preserve">PLANO DETALLE SOLDADURA </t>
  </si>
  <si>
    <t>6021-M-FB-0102</t>
  </si>
  <si>
    <t>DISPOSICIÓN PLANCHA DE PISO 3713-SEL-1001</t>
  </si>
  <si>
    <t>6021-M-FB-0302</t>
  </si>
  <si>
    <t>DISPOSICIÓN PLANCHA DE PISO  3762-1201</t>
  </si>
  <si>
    <t>DETALLE DE ANCLAJES Y REACCINES 3713-SEL-1001</t>
  </si>
  <si>
    <t>DETALLE DE ANCLAJES Y REACCINES 3762-SEL-1101</t>
  </si>
  <si>
    <t>DETALLE DE ANCLAJES Y REACCINES 3762-SEL-1201</t>
  </si>
  <si>
    <t>6021-M-FB-0013</t>
  </si>
  <si>
    <t>PLANO DETALLE ARRIOSTRAMIENTO PILARES 3713-SEL-1001</t>
  </si>
  <si>
    <t>6021-M-FB-0014</t>
  </si>
  <si>
    <t>PLANO DETALLE ARRIOSTRAMIENTO PILARES 3762-SEL-1201</t>
  </si>
  <si>
    <t>6021-M-FB-0015</t>
  </si>
  <si>
    <t>PLANO DETALLE ARRIOSTRAMIENTO PILARES 3762-SEL-1101</t>
  </si>
  <si>
    <t>6021-M-FB-0202</t>
  </si>
  <si>
    <t>DISPOSICIÓN PLANCHA DE PISO 3762-1101</t>
  </si>
  <si>
    <t>6021-M-FB-0007</t>
  </si>
  <si>
    <t xml:space="preserve">PLANO PELDAÑOS </t>
  </si>
  <si>
    <t>6021-M-FB-0030</t>
  </si>
  <si>
    <t xml:space="preserve">DETALLE CÁNCAMO A CHASÍS </t>
  </si>
  <si>
    <t xml:space="preserve">4 PRODUCCIÓN </t>
  </si>
  <si>
    <t>PLANO DISPOSICIÓN DE PLANTILLA PLATAFORMAS 3717-SEL-0101</t>
  </si>
  <si>
    <t>PLANO DISPOSICIÓN DE PLANTILLA PLATAFORMAS 5310-SEL-0001</t>
  </si>
  <si>
    <t xml:space="preserve"> PRODUCCIÓN /
1 EXPEDITOR</t>
  </si>
  <si>
    <t>2 PRODUCCIÓN / 
 1 EXPEDITOR</t>
  </si>
  <si>
    <t>6021-M-FB-0103</t>
  </si>
  <si>
    <t>PLANO DISPOSICIÓN REFURZO EPC - 3713-SEL-1001 - 2</t>
  </si>
  <si>
    <t>6021-M-FB-0203</t>
  </si>
  <si>
    <t>PLANO DISPOSICIÓN REFURZO EPC - 3762-SEL-1101 - 2</t>
  </si>
  <si>
    <t>6021-M-FB-0303</t>
  </si>
  <si>
    <t>PLANO DISPOSICIÓN REFURZO EPC - 3762-SEL-1201 - 2</t>
  </si>
  <si>
    <t>4 PRODUCCIÓN /
 1 EXPEDITOR / 
1 CALIDAD</t>
  </si>
  <si>
    <t>6021-M-FB-0020</t>
  </si>
  <si>
    <t>PLANCHA DE MURO Y TECHO ANTECAMARA 3713-SEL-1001 / 3762-SEL-1101 / 3762-SEL-1201</t>
  </si>
  <si>
    <t>6021-CBC-FB-001</t>
  </si>
  <si>
    <t>OPTIMIZACIÓN PILARES Y CORONAS VANOS PUER…</t>
  </si>
  <si>
    <t>DISPOSICIÓN Y DETALLES CALADOS DE PISO 3762-SEL-1101</t>
  </si>
  <si>
    <t>4 PRODUCCIÓN / 
1 EXPEDITOR / 
1 CALIDAD</t>
  </si>
  <si>
    <t xml:space="preserve">1 EXPEDITOR / </t>
  </si>
  <si>
    <t>PLANO IZAMIENTO 3713-SEL-1001</t>
  </si>
  <si>
    <t>1 CALIDAD</t>
  </si>
  <si>
    <t>PLANO IZAMIENTO 3762-SEL-1101</t>
  </si>
  <si>
    <t>PLANO IZAMIENTO 3762-SEL-1201</t>
  </si>
  <si>
    <t xml:space="preserve">1 PRODUCCIÓN </t>
  </si>
  <si>
    <t>PLANO DISPOSICIÓN DE PLANTILLA PLATAFORMAS 5432-SEL-0001</t>
  </si>
  <si>
    <t>6021-CBC-FB-0002</t>
  </si>
  <si>
    <t>PANELES 3717-SEL-0101</t>
  </si>
  <si>
    <t>6021-CBC-FB-0003</t>
  </si>
  <si>
    <t>PLATAFORMAS 5310-SEL-0101</t>
  </si>
  <si>
    <t>PLANO DISPOSICIÓN DE PLANTILLA PLATAFORMAS 5421-SEL-1001</t>
  </si>
  <si>
    <t>2 PRODUCCIÓN /
1 CALIDAD /
1 EXPEDITOR</t>
  </si>
  <si>
    <t>6021-M-FB-0038</t>
  </si>
  <si>
    <t>PLANO PLANTILLA PLATAFORMAS 3713-SEL-1001</t>
  </si>
  <si>
    <t>6021-M-FB-0039</t>
  </si>
  <si>
    <t>PLANO PLANTILLA PLATAFORMAS 3762-SEL-1101</t>
  </si>
  <si>
    <t>6021-M-FB-0040</t>
  </si>
  <si>
    <t>PLANO PLANTILLA PLATAFORMAS 3762-SEL-1201</t>
  </si>
  <si>
    <t>entregado</t>
  </si>
  <si>
    <t>DISPOSICIÓN Y DETALLES CALADOS DE PISO 3762-SEL-1201</t>
  </si>
  <si>
    <t>4 PRODUCCIÓN / 
1 PLEGADO
1 EXPEDITOR / 
1 CALIDAD</t>
  </si>
  <si>
    <t>PLANO ESTRUCTURA ANTECAMARA</t>
  </si>
  <si>
    <t>6021-M-FB-0016</t>
  </si>
  <si>
    <t>PLANO UNIÓN DE MÓDULO JUNTA DE DILATACIÓN</t>
  </si>
  <si>
    <t>PLANO SEPARACIÓN DEJUNTA DE DILATACIÓN</t>
  </si>
  <si>
    <t>6021-M-FB-0019</t>
  </si>
  <si>
    <t xml:space="preserve">PLANO DE UBICACIÓN DE FALDÓN </t>
  </si>
  <si>
    <t>LAYOUT DISPOSICIÓN PLATAFORMAS 5421-SEL-1001</t>
  </si>
  <si>
    <t>2 copias perdidas en producción y se entregó una tercera copia por esa razón el 13-04-26</t>
  </si>
  <si>
    <t>PLANO DE PASADA DE EQUIPOS HVAC Y PRESURIZADOR SALA 3713-SEL-1001</t>
  </si>
  <si>
    <t>PLANO DE PASADA DE EQUIPOS HVAC Y PRESURIZADOR SALA 3762-SEL-1101</t>
  </si>
  <si>
    <t>2 PRODUCCIÓN / 
 1 PLEGADO /
1 EXPEDITOR / 
1 CALIDAD</t>
  </si>
  <si>
    <t>PLANO DE PASADA DE EQUIPOS HVAC Y PRESURIZADOR SALA 3762-SEL-1201</t>
  </si>
  <si>
    <t>LAYOUT PLATAFORMAS 3713-SEL-1001</t>
  </si>
  <si>
    <t>6021-M-FB-0041</t>
  </si>
  <si>
    <t>DISPOSICIÓN DE PAD GROUND ESCALERAS 3713-SEL-1001</t>
  </si>
  <si>
    <t>DISPOSICIÓN PARARRAYOS 3713-SEL-1001</t>
  </si>
  <si>
    <t>DISPOSICIÓN PARARRAYOS 3762-SEL-1101</t>
  </si>
  <si>
    <t>DISPOSICIÓN PARARRAYOS 3762-SEL-1201</t>
  </si>
  <si>
    <t xml:space="preserve">2 SEMANAS, UNA VEZ RECIBIDA LA INFORMACIÓN DE LOS SELLOS ROXTEC POR PARTE DE INN  </t>
  </si>
  <si>
    <t>INFORMACIÓN ENTREGADA POR CLIENTE (EXCEPTO TRANSMITTALS CON ESTATUS DE ENTREGABLES )</t>
  </si>
  <si>
    <t>DETALLE</t>
  </si>
  <si>
    <t>CÓDIGO SDI,TRL o CORREO DE RESPALDO  INNOMOTICS</t>
  </si>
  <si>
    <t>CANTIDAD DE ARCHIVOS</t>
  </si>
  <si>
    <t>FECHA DE RECEPCIÓN</t>
  </si>
  <si>
    <t>66OP12044-INN-SEH-T0001</t>
  </si>
  <si>
    <t>INFORMACIÓN DE INICIO // ITP METALMECÁNICO Y PROGRAMA DE INSPECCIONES 3  // KOM INN-SEGURA // MATRIZ COMUNICACIONES INN</t>
  </si>
  <si>
    <t>ME-QA</t>
  </si>
  <si>
    <t>5 PDF / 1 EXCEL / 1 ZIP</t>
  </si>
  <si>
    <t>66OP12044-INN-SEH-T0002</t>
  </si>
  <si>
    <t>ESPECIFICACIONES TÉCNICAS DE SALAS // ESTÁNDARES DE DISEÑO BARANDAS // LAYOUT // LISTADO DE EQUIPOS // ENTREGABLES METALMECÁNICOS TALABRE</t>
  </si>
  <si>
    <t>1 ZIP CON 4 CARPETAS + PDF de Entregables Metalmecánicos solicitados por cliente (Descarga por Wetransfer, ya que secufex arrojaba error de carga)</t>
  </si>
  <si>
    <t>66OP12044-INN-SEH-T0003</t>
  </si>
  <si>
    <t>RESPUESTA A SDI MECÁNICA SEGURA  Nº1_660P12044-INN-SEH-SDI001</t>
  </si>
  <si>
    <t>1 PDF</t>
  </si>
  <si>
    <t>66OP12044-INN-SEH-T0004</t>
  </si>
  <si>
    <t>FORMATOS PLANOS CAD Y PORTADA DOCUMENTOS</t>
  </si>
  <si>
    <t>2 (1 WORD Y 1 CAD)</t>
  </si>
  <si>
    <t>66OP12044-INN-SEH-T0008</t>
  </si>
  <si>
    <t>INFORMACIÓN DE EQUIPOS PLANOS CCM / PLANOS CDC / PLANOS GIS-SWG / LISTADO DE EQUIPOS / DIMENSIONES UPS / PLANOS VDF / LAYOUT DWG E INFO DE CALADOS</t>
  </si>
  <si>
    <t>ME - EL</t>
  </si>
  <si>
    <t>1 ZIP_SECUFEX PDF , EXCEL Y DWG (29 dctos)</t>
  </si>
  <si>
    <t>CORREO MARCELO-RENE-JOHAN 29.08.25_VIGA UPN300 VALIDACIÓN</t>
  </si>
  <si>
    <t>VALIDACIÓN VIGA UPN300</t>
  </si>
  <si>
    <t>1 CORREO</t>
  </si>
  <si>
    <t>INFORMACIÓN PARA COMPRA</t>
  </si>
  <si>
    <t>CORREO RAMÓN 02.09.25_RESPUESTAS A CONSULTAS DE T0008 LISTADO DE EQUIPOS</t>
  </si>
  <si>
    <t>CANTIDAD A CONSIDERAR EN LISTADO DE EQUIPOS (RESPUESTA A CORREO DE JEAN)</t>
  </si>
  <si>
    <t>INFORMACIÓN DE EQUIPOS PARA ING</t>
  </si>
  <si>
    <t>66OP12044-INN-SEH-T0011</t>
  </si>
  <si>
    <t>HOJA DE DATOS SALA ELÉCTRICA TIPO CONTENEDOR (CÓD.  N23CC02-PEL01-0000-HDDEL-00001)</t>
  </si>
  <si>
    <t>INFOMATIVO</t>
  </si>
  <si>
    <t>66OP12044-INN-SEH-T0013</t>
  </si>
  <si>
    <t>DOCUMENTACIÓN SDI Nª3 INN , ADENDA EE.TT , INFO DE SUELOS, CRITERIOS DE DISEÑO , ESQUEMAS DE PINTURA</t>
  </si>
  <si>
    <t xml:space="preserve">6 PDF </t>
  </si>
  <si>
    <t>66OP12044-INN-SEH-T0015</t>
  </si>
  <si>
    <t>INFORME DE INSPECCIÓN Nº1_09.09.25</t>
  </si>
  <si>
    <t>66OP12044-INN-SEH-T0016</t>
  </si>
  <si>
    <t>SDI 0003 Y PEDESTALES (CRITERIO DE DISEÑO Y COMENTARIOS CODELCO)</t>
  </si>
  <si>
    <t>2 PDF</t>
  </si>
  <si>
    <t>66OP12044-INN-SEH-T0017</t>
  </si>
  <si>
    <t>LAYOUT PLATAFORMAS</t>
  </si>
  <si>
    <t>3 PDF</t>
  </si>
  <si>
    <t>66OP12044-INN-SEH-T0019</t>
  </si>
  <si>
    <t>LAYOUT PLATAFORMAS ACTUALIZADOS</t>
  </si>
  <si>
    <t>66OP12044-INN-SEH-T0020</t>
  </si>
  <si>
    <t>LOG_CAMBIOS TIPO REV.0 TEMPLATE (cambios)</t>
  </si>
  <si>
    <t>1 EXCEL</t>
  </si>
  <si>
    <t>66OP12044-INN-SEH-T0021</t>
  </si>
  <si>
    <t>LAYOUT 5 SALAS 3717 - 5310 - 5335 - 5421 - 5432</t>
  </si>
  <si>
    <t xml:space="preserve">5 PDF </t>
  </si>
  <si>
    <r>
      <t>66OP12044-INN-</t>
    </r>
    <r>
      <rPr>
        <b/>
        <sz val="18"/>
        <color rgb="FFFF0000"/>
        <rFont val="Arial"/>
        <family val="2"/>
      </rPr>
      <t>SEH2</t>
    </r>
    <r>
      <rPr>
        <b/>
        <sz val="18"/>
        <rFont val="Arial"/>
        <family val="2"/>
      </rPr>
      <t xml:space="preserve">-T0001 </t>
    </r>
  </si>
  <si>
    <t xml:space="preserve">ESQUEMAS DE ENERGIZACIÓN (3762 - 5432) / PLANOS INTERCONEXIÓN (3713 - 3717 - 5310 - 5335) </t>
  </si>
  <si>
    <t>1 ZIP con 6 PDF ETT + 1 ZIP con 2 CARPEPAS, una con diagramas de interconexiones (8pdfs), una con layouts (8 pdfs) + EXCEL DE ENTREGABLES DE SERVICIOS AUXILIARES</t>
  </si>
  <si>
    <r>
      <t>66OP12044-INN-SEH-T0022</t>
    </r>
    <r>
      <rPr>
        <sz val="11"/>
        <color theme="1"/>
        <rFont val="Aptos"/>
        <family val="2"/>
      </rPr>
      <t xml:space="preserve"> </t>
    </r>
  </si>
  <si>
    <t xml:space="preserve">LAYOUT PLATAFORMAS, BARANDAS Y ESCALERAS DE SALAS </t>
  </si>
  <si>
    <t xml:space="preserve">1 ZIP con 7 archivos DWG </t>
  </si>
  <si>
    <t xml:space="preserve">INFORMATIVO </t>
  </si>
  <si>
    <r>
      <t>66OP12044-INN-SEH-T0023</t>
    </r>
    <r>
      <rPr>
        <sz val="11"/>
        <color theme="1"/>
        <rFont val="Aptos"/>
        <family val="2"/>
      </rPr>
      <t/>
    </r>
  </si>
  <si>
    <t>DISEÑO ESTÁNDAR SALA ELÉCTRICA &amp; SEU</t>
  </si>
  <si>
    <r>
      <t>66OP12044-INN-SEH-T0024</t>
    </r>
    <r>
      <rPr>
        <sz val="11"/>
        <color theme="1"/>
        <rFont val="Aptos"/>
        <family val="2"/>
      </rPr>
      <t/>
    </r>
  </si>
  <si>
    <t xml:space="preserve">PROGRAMAS DE INSPECCIÓN </t>
  </si>
  <si>
    <t>1 PDF Y 1 EXCEL</t>
  </si>
  <si>
    <t>INFORMATIVO / APROBADO</t>
  </si>
  <si>
    <r>
      <t>66OP12044-INN-SEH-T0025</t>
    </r>
    <r>
      <rPr>
        <sz val="11"/>
        <color theme="1"/>
        <rFont val="Aptos"/>
        <family val="2"/>
      </rPr>
      <t/>
    </r>
  </si>
  <si>
    <t>PROGRAMAS (CARTAS GANTT)</t>
  </si>
  <si>
    <t>5 PDF</t>
  </si>
  <si>
    <t>APROBADOS CON COMENTARIOS / ACCESORIOS RECHAZADOS</t>
  </si>
  <si>
    <t xml:space="preserve">66OP12044-INN-SEH-T0026 </t>
  </si>
  <si>
    <t xml:space="preserve">INFORME TECNICO CARTA DE COLORES DE  ARQUITECTURA </t>
  </si>
  <si>
    <t>66OP12044-INN-SEH-T0027</t>
  </si>
  <si>
    <t>MDC SÍSMICO ESTRUCTURAL</t>
  </si>
  <si>
    <t xml:space="preserve">APROBADOS CON COMENTARIOS </t>
  </si>
  <si>
    <t>66OP12044-INN-SEH-T0028</t>
  </si>
  <si>
    <t>layouts informativos, LE, planos detalles estructurales techos y pad ground aprobados</t>
  </si>
  <si>
    <t>17 PDF + transmittal</t>
  </si>
  <si>
    <t xml:space="preserve">INFORMATIVOS Y APROBADO CON COMENTARIOS </t>
  </si>
  <si>
    <t>66OP12044-INN-SEH-T0029</t>
  </si>
  <si>
    <t xml:space="preserve">Listado de equipos y layouts - informativos </t>
  </si>
  <si>
    <t xml:space="preserve">2 PDF + 3 EXCEL </t>
  </si>
  <si>
    <t>66OP12044-INN-SEH-T0030</t>
  </si>
  <si>
    <t>PLANOS DETALLES ESTRUCTURALES COMENTADOS // LAYOUTS PLATAFORMAS INFORMATIVOS</t>
  </si>
  <si>
    <t>7 PDF COMENTADOS  + 7 CAD INFORMATIVOS</t>
  </si>
  <si>
    <t xml:space="preserve">COMENTADOS E INFORMATIVOS </t>
  </si>
  <si>
    <t>66OP12044-INN-SEH-T0031</t>
  </si>
  <si>
    <t xml:space="preserve">REQUERIMIENTO DE INFORMACION PROVEEDORES  / WLL MOUNT AIR CONDITIONER PRODUCT DATA 
SHEET (HVAC 72, 180 y 360) </t>
  </si>
  <si>
    <t>EL</t>
  </si>
  <si>
    <t>4 PDF</t>
  </si>
  <si>
    <t>66OP12044-INN-SEH-T0032</t>
  </si>
  <si>
    <t xml:space="preserve">4 PDF </t>
  </si>
  <si>
    <t>APROB Y APROB CON COMENTARIOS</t>
  </si>
  <si>
    <t>66OP12044-INN-SEH-T0033</t>
  </si>
  <si>
    <t>PROGRAMA INSPECCIONES Y PRUEBAS SEH- PRELIMINAR</t>
  </si>
  <si>
    <t xml:space="preserve">1 EXCEL </t>
  </si>
  <si>
    <t>COMENTADO</t>
  </si>
  <si>
    <t>66OP12044-INN-SEH-T0034</t>
  </si>
  <si>
    <t>VANO PUERTA ACCESO E INTERIOR</t>
  </si>
  <si>
    <t>66OP12044-INN-SEH-T0035</t>
  </si>
  <si>
    <t xml:space="preserve">CALIFICACIÓN DE SOLDADORES Y PROCEDIMIENTO DE GRANALLADO Y PINTURA </t>
  </si>
  <si>
    <t>APROBADOS CON COMENTARIOS</t>
  </si>
  <si>
    <t>66OP12044-INN-SEH-T0036</t>
  </si>
  <si>
    <t xml:space="preserve">SDI INFORMATIVA </t>
  </si>
  <si>
    <t>66OP12044-INN-SEH-T0037</t>
  </si>
  <si>
    <t>LAYOUTS GENERALES Y LISTADO DE EQUIPOS</t>
  </si>
  <si>
    <t>66OP12044-INN-SEH-T0038</t>
  </si>
  <si>
    <t xml:space="preserve">LISTADOS DE EQUIPOS </t>
  </si>
  <si>
    <t>2 EXCEL</t>
  </si>
  <si>
    <t>66OP12044-INN-SEH-T0039</t>
  </si>
  <si>
    <t xml:space="preserve">MEMORIAS DE CALCULO ESTRUCTURAL </t>
  </si>
  <si>
    <t xml:space="preserve">3 PDF </t>
  </si>
  <si>
    <t>66OP12044-INN-SEH-T0040</t>
  </si>
  <si>
    <t>66OP12044-INN-SEH-T0041</t>
  </si>
  <si>
    <t>DISPOSICIONES VDF MT</t>
  </si>
  <si>
    <t>66OP12044-INN-SEH-T0042</t>
  </si>
  <si>
    <t>COMENTARIO TECNICO - REVISION SISMICA SALA</t>
  </si>
  <si>
    <t>66OP12044-INN-SEH-T0043</t>
  </si>
  <si>
    <t xml:space="preserve">CALIFICACIÓN DE SOLDADORES </t>
  </si>
  <si>
    <t xml:space="preserve">1 PDF Y CORREO CON COMENTARIOS A APLICAR A DOCUMENTO </t>
  </si>
  <si>
    <t xml:space="preserve">RECHAZADO </t>
  </si>
  <si>
    <t>66OP12044-INN-SEH-T0044</t>
  </si>
  <si>
    <t>LISTADO DE EQUIPOS SALAS 3713, 3762 11,12</t>
  </si>
  <si>
    <t>3 EXCEL</t>
  </si>
  <si>
    <t>66OP12044-INN-SEH-T0045</t>
  </si>
  <si>
    <t>PLANOS DE IZAMIENTO SALAS (5310,5335,5421,5432, 3717)</t>
  </si>
  <si>
    <t>66OP12044-INN-SEH-T0046</t>
  </si>
  <si>
    <t>RESPUESTA A SDI MECÁNICA SEGURA  Nº2 660P12044-INN-SEH-SDI002</t>
  </si>
  <si>
    <t xml:space="preserve">1 PDF </t>
  </si>
  <si>
    <t>66OP12044-INN-SEH-T0047</t>
  </si>
  <si>
    <t xml:space="preserve">PLANOS APROBADOS Y APROBADO CON COMENTARIOS / MECANICOS </t>
  </si>
  <si>
    <t>16 PDF</t>
  </si>
  <si>
    <t>APROBADOS Y APROBADOS CON COMENTARIOS</t>
  </si>
  <si>
    <t>66OP12044-INN-SEH-T0048</t>
  </si>
  <si>
    <t>66OP12044-INN-SEH-T0049</t>
  </si>
  <si>
    <t xml:space="preserve">DISPOSICIONES MV,SWG,LV Y ESQUEMAS </t>
  </si>
  <si>
    <t xml:space="preserve">15 PDF </t>
  </si>
  <si>
    <t>66OP12044-INN-SEH-T0050</t>
  </si>
  <si>
    <t>LAYOUT PLATAFORMAS, BARANDAS Y ESCALERAS SALA ELÉCTRICA 3717-SEL-0101</t>
  </si>
  <si>
    <t>66OP12044-INN-SEH-T0051</t>
  </si>
  <si>
    <t xml:space="preserve">MEMORIAS ESTRUCTURALES DE PLATAFORMAS </t>
  </si>
  <si>
    <t xml:space="preserve"> 4 PDF </t>
  </si>
  <si>
    <t>66OP12044-INN-SEH-T0052</t>
  </si>
  <si>
    <t xml:space="preserve">LAYOUT MARCO DE IZAJE </t>
  </si>
  <si>
    <t>1PDF</t>
  </si>
  <si>
    <t>APROBADO CON COMENTARIOS</t>
  </si>
  <si>
    <t>66OP12044-INN-SEH-T0053</t>
  </si>
  <si>
    <t xml:space="preserve">PLANOS MECÁNICOS </t>
  </si>
  <si>
    <t xml:space="preserve">9 PDF </t>
  </si>
  <si>
    <t xml:space="preserve">APROBADO Y APROBADO CON COMENTARIOS </t>
  </si>
  <si>
    <t>66OP12044-INN-SEH-T0054</t>
  </si>
  <si>
    <t>PLANOS ESTRUCTURALES BASE</t>
  </si>
  <si>
    <t>66OP12044-INN-SEH-T0055</t>
  </si>
  <si>
    <t>PLANO UNIÓN DE MODULOS</t>
  </si>
  <si>
    <t>66OP12044-INN-SEH-T0056</t>
  </si>
  <si>
    <t>LOAYOUT INFORMATIVOS + PLANOS VISTAS UNA SALA + IZAMIENTO</t>
  </si>
  <si>
    <t>10 PDF</t>
  </si>
  <si>
    <t>INFORMATIVO Y APROBADOS CON COMENTARIOS</t>
  </si>
  <si>
    <t>66OP12044-INN-SEH-T0057</t>
  </si>
  <si>
    <t xml:space="preserve">DOCUMENTOS CALIDAD / COMENTARIOS DE SEH SOBRE DOCUMENTO CREADO POR INN </t>
  </si>
  <si>
    <t>66OP12044-INN-SEH-T0058</t>
  </si>
  <si>
    <t xml:space="preserve">DOCUMENTOS MECANICOS APROBADOS CON COMENTARIOS E INFORMATIVOS </t>
  </si>
  <si>
    <t>15 PDF</t>
  </si>
  <si>
    <t>APROBADOS CON COMENTARIOS E INFORMATIVOS</t>
  </si>
  <si>
    <t>66OP12044-INN-SEH-T0059</t>
  </si>
  <si>
    <t xml:space="preserve">PLANO PLANTA VISTAS Y SECCIONES / LISTADO DE EQUIPOS 3762-1201 + LOYOUT GENERAL </t>
  </si>
  <si>
    <t>APROBADOS E INFORMATIVOS</t>
  </si>
  <si>
    <t>66OP12044-INN-SEH-T0060</t>
  </si>
  <si>
    <t>66OP12044-INN-SEH-T0061</t>
  </si>
  <si>
    <t>66OP12044-INN-SEH-T0062</t>
  </si>
  <si>
    <t>66OP12044-INN-SEH-T0063</t>
  </si>
  <si>
    <t>NOMBRE ARCHIVO:</t>
  </si>
  <si>
    <t>HOJA:</t>
  </si>
  <si>
    <t>CÓDIGO:</t>
  </si>
  <si>
    <t>REVISIÓN:</t>
  </si>
  <si>
    <t>INFORMACIÓN ENVIADA Y RECIBIDA POR  U3</t>
  </si>
  <si>
    <t>COMPROMISO DE ENTREGA</t>
  </si>
  <si>
    <t>INDICADOR SEH</t>
  </si>
  <si>
    <t>OT6021-ACTA DE ENVÍO U3_001</t>
  </si>
  <si>
    <t>CRITERIOS DE DISEÑO E INFORMACIÓN CIVIL PARA GENERAR MDC</t>
  </si>
  <si>
    <t>WETRANSFER</t>
  </si>
  <si>
    <t>A-A1-B-0-2</t>
  </si>
  <si>
    <t>ENTREGADO A U3</t>
  </si>
  <si>
    <t>SOLICITUD DE INFORMACIÓN Nº1 - 
ING.MECÁNICA // RESPONDIDA 
POR INN</t>
  </si>
  <si>
    <t>6021-LTA-CP-0001_A</t>
  </si>
  <si>
    <t>LISTADO DE ENTREGABLES U3</t>
  </si>
  <si>
    <t>CORREO JEAN A U3 _Proyectos Seh talabre 6021 Planificación ( PLANOS DISP. DE EQUIPOS / ESTRUCTURAS PRELIMINARES / DCTOS COMPLEMENTARIOS / SOLICITUDES /CÁNCAMOS</t>
  </si>
  <si>
    <t>CORREO Y WETRANSFER</t>
  </si>
  <si>
    <t>CORREO JEAN A U3 _10.09.25</t>
  </si>
  <si>
    <t>Asunción de la Virgen</t>
  </si>
  <si>
    <t>Independencia Nacional</t>
  </si>
  <si>
    <t>Día de la Glorias del Ejercito</t>
  </si>
  <si>
    <t>Encuentro de Dos Mundos</t>
  </si>
  <si>
    <t>Iglesias Evangelicas y Protestante</t>
  </si>
  <si>
    <t>Los Santos</t>
  </si>
  <si>
    <t>Inmaculada Concepción</t>
  </si>
  <si>
    <t>Navidad</t>
  </si>
  <si>
    <t>Año Nuevo</t>
  </si>
  <si>
    <t>Viernes Santo</t>
  </si>
  <si>
    <t>Día del Trabajo</t>
  </si>
  <si>
    <t>Glorias Navales</t>
  </si>
  <si>
    <t>Pueblos Indigenas</t>
  </si>
  <si>
    <t>San Pedro y San Pablo</t>
  </si>
  <si>
    <t>Virgen del Carmen</t>
  </si>
  <si>
    <t>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</si>
</sst>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1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10"/>
      <name val="Arial"/>
      <family val="2"/>
    </font>
    <font>
      <b/>
      <sz val="18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color theme="1"/>
      <name val="Arial Narrow"/>
      <family val="2"/>
    </font>
    <font>
      <sz val="11"/>
      <name val="Arial"/>
      <family val="2"/>
    </font>
    <font>
      <sz val="2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5"/>
      <color rgb="FFC00000"/>
      <name val="Arial"/>
      <family val="2"/>
    </font>
    <font>
      <b/>
      <sz val="50"/>
      <name val="Arial"/>
      <family val="2"/>
    </font>
    <font>
      <sz val="17"/>
      <color rgb="FF000000"/>
      <name val="Calibri"/>
      <family val="2"/>
    </font>
    <font>
      <sz val="17"/>
      <name val="Arial"/>
      <family val="2"/>
    </font>
    <font>
      <sz val="17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54"/>
      <name val="Arial"/>
      <family val="2"/>
    </font>
    <font>
      <b/>
      <sz val="54"/>
      <name val="Calibri"/>
      <family val="2"/>
      <scheme val="minor"/>
    </font>
    <font>
      <sz val="17"/>
      <color rgb="FFFF0000"/>
      <name val="Calibri"/>
      <family val="2"/>
    </font>
    <font>
      <sz val="17"/>
      <color theme="1"/>
      <name val="Calibri"/>
      <family val="2"/>
    </font>
    <font>
      <b/>
      <sz val="60"/>
      <name val="Arial"/>
      <family val="2"/>
    </font>
    <font>
      <b/>
      <sz val="60"/>
      <name val="Calibri"/>
      <family val="2"/>
      <scheme val="minor"/>
    </font>
    <font>
      <b/>
      <sz val="80"/>
      <name val="Arial"/>
      <family val="2"/>
    </font>
    <font>
      <sz val="80"/>
      <name val="Arial"/>
      <family val="2"/>
    </font>
    <font>
      <b/>
      <sz val="65"/>
      <name val="Arial"/>
      <family val="2"/>
    </font>
    <font>
      <b/>
      <sz val="60"/>
      <color rgb="FFFF0000"/>
      <name val="Arial"/>
      <family val="2"/>
    </font>
    <font>
      <b/>
      <sz val="65"/>
      <color rgb="FFFF0000"/>
      <name val="Arial"/>
      <family val="2"/>
    </font>
    <font>
      <b/>
      <sz val="65"/>
      <color theme="1"/>
      <name val="Arial"/>
      <family val="2"/>
    </font>
    <font>
      <b/>
      <sz val="60"/>
      <color theme="1"/>
      <name val="Arial"/>
      <family val="2"/>
    </font>
    <font>
      <b/>
      <sz val="80"/>
      <color rgb="FFFF0000"/>
      <name val="Arial"/>
      <family val="2"/>
    </font>
    <font>
      <b/>
      <sz val="80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8"/>
      <name val="Arial"/>
      <family val="2"/>
    </font>
    <font>
      <b/>
      <sz val="60"/>
      <color rgb="FFFF0000"/>
      <name val="Calibri"/>
      <family val="2"/>
      <scheme val="minor"/>
    </font>
    <font>
      <sz val="60"/>
      <name val="Arial"/>
      <family val="2"/>
    </font>
    <font>
      <b/>
      <sz val="16"/>
      <color theme="1"/>
      <name val="Arial"/>
      <family val="2"/>
    </font>
    <font>
      <b/>
      <sz val="20"/>
      <color rgb="FFFF0000"/>
      <name val="Arial"/>
      <family val="2"/>
    </font>
    <font>
      <b/>
      <sz val="20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Calibri"/>
      <family val="2"/>
      <scheme val="minor"/>
    </font>
    <font>
      <b/>
      <strike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7"/>
      <name val="Calibri"/>
      <family val="2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trike/>
      <sz val="11"/>
      <name val="Calibri"/>
      <family val="2"/>
      <scheme val="minor"/>
    </font>
    <font>
      <b/>
      <sz val="11"/>
      <color theme="1"/>
      <name val="Arial"/>
      <family val="2"/>
    </font>
    <font>
      <sz val="18"/>
      <name val="Calibri"/>
      <family val="2"/>
    </font>
    <font>
      <sz val="18"/>
      <name val="Calibri"/>
      <family val="2"/>
      <scheme val="minor"/>
    </font>
    <font>
      <sz val="18"/>
      <name val="Arial"/>
      <family val="2"/>
    </font>
    <font>
      <sz val="18"/>
      <color rgb="FF000000"/>
      <name val="Calibri"/>
      <family val="2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sz val="18"/>
      <color theme="1"/>
      <name val="Arial"/>
      <family val="2"/>
    </font>
    <font>
      <sz val="18"/>
      <color theme="1"/>
      <name val="Arial Narrow"/>
      <family val="2"/>
    </font>
    <font>
      <sz val="18"/>
      <name val="Arial Narrow"/>
      <family val="2"/>
    </font>
    <font>
      <sz val="18"/>
      <color theme="1"/>
      <name val="Calibri Light"/>
      <family val="2"/>
      <scheme val="major"/>
    </font>
    <font>
      <sz val="18"/>
      <color rgb="FFFF0000"/>
      <name val="Arial"/>
      <family val="2"/>
    </font>
    <font>
      <sz val="17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4F81BD"/>
      </right>
      <top style="thin">
        <color rgb="FF4F81BD"/>
      </top>
      <bottom style="thin">
        <color rgb="FF4F81BD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6" fillId="0" borderId="0"/>
    <xf numFmtId="0" fontId="12" fillId="0" borderId="0"/>
    <xf numFmtId="0" fontId="12" fillId="0" borderId="0"/>
    <xf numFmtId="0" fontId="2" fillId="0" borderId="0"/>
  </cellStyleXfs>
  <cellXfs count="900">
    <xf numFmtId="0" fontId="0" fillId="0" borderId="0" xfId="0"/>
    <xf numFmtId="0" fontId="3" fillId="0" borderId="0" xfId="1" applyFont="1" applyAlignment="1" applyProtection="1">
      <alignment horizontal="left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left" vertical="center" wrapText="1"/>
      <protection locked="0"/>
    </xf>
    <xf numFmtId="14" fontId="3" fillId="0" borderId="0" xfId="1" applyNumberFormat="1" applyFont="1" applyAlignment="1" applyProtection="1">
      <alignment horizontal="left" vertical="center" wrapText="1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left" vertical="center" wrapText="1"/>
      <protection locked="0"/>
    </xf>
    <xf numFmtId="14" fontId="5" fillId="0" borderId="0" xfId="1" applyNumberFormat="1" applyFont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14" fontId="5" fillId="0" borderId="0" xfId="1" applyNumberFormat="1" applyFont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left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/>
      <protection locked="0"/>
    </xf>
    <xf numFmtId="164" fontId="14" fillId="0" borderId="0" xfId="1" applyNumberFormat="1" applyFont="1" applyAlignment="1" applyProtection="1">
      <alignment horizontal="left" vertical="center"/>
      <protection locked="0"/>
    </xf>
    <xf numFmtId="14" fontId="14" fillId="0" borderId="0" xfId="1" applyNumberFormat="1" applyFont="1" applyAlignment="1" applyProtection="1">
      <alignment horizontal="left" vertical="center" wrapText="1"/>
      <protection locked="0"/>
    </xf>
    <xf numFmtId="164" fontId="14" fillId="0" borderId="0" xfId="1" applyNumberFormat="1" applyFont="1" applyAlignment="1" applyProtection="1">
      <alignment horizontal="left" vertical="center" wrapText="1"/>
      <protection locked="0"/>
    </xf>
    <xf numFmtId="0" fontId="15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horizontal="left" vertical="center"/>
      <protection locked="0"/>
    </xf>
    <xf numFmtId="164" fontId="15" fillId="0" borderId="0" xfId="1" applyNumberFormat="1" applyFont="1" applyAlignment="1" applyProtection="1">
      <alignment horizontal="left" vertical="center"/>
      <protection locked="0"/>
    </xf>
    <xf numFmtId="14" fontId="15" fillId="0" borderId="0" xfId="1" applyNumberFormat="1" applyFont="1" applyAlignment="1" applyProtection="1">
      <alignment horizontal="left" vertical="center" wrapText="1"/>
      <protection locked="0"/>
    </xf>
    <xf numFmtId="164" fontId="15" fillId="0" borderId="0" xfId="1" applyNumberFormat="1" applyFont="1" applyAlignment="1" applyProtection="1">
      <alignment horizontal="left" vertical="center" wrapText="1"/>
      <protection locked="0"/>
    </xf>
    <xf numFmtId="14" fontId="15" fillId="0" borderId="0" xfId="1" applyNumberFormat="1" applyFont="1" applyAlignment="1" applyProtection="1">
      <alignment horizontal="center" vertical="center" wrapText="1"/>
      <protection locked="0"/>
    </xf>
    <xf numFmtId="164" fontId="15" fillId="0" borderId="0" xfId="1" applyNumberFormat="1" applyFont="1" applyAlignment="1" applyProtection="1">
      <alignment horizontal="center" vertical="center" wrapText="1"/>
      <protection locked="0"/>
    </xf>
    <xf numFmtId="14" fontId="14" fillId="0" borderId="0" xfId="1" applyNumberFormat="1" applyFont="1" applyAlignment="1" applyProtection="1">
      <alignment horizontal="left" vertical="center"/>
      <protection locked="0"/>
    </xf>
    <xf numFmtId="14" fontId="15" fillId="0" borderId="0" xfId="0" applyNumberFormat="1" applyFont="1" applyAlignment="1">
      <alignment horizontal="right" vertical="center"/>
    </xf>
    <xf numFmtId="0" fontId="3" fillId="7" borderId="1" xfId="1" applyFont="1" applyFill="1" applyBorder="1" applyAlignment="1">
      <alignment horizontal="center" vertical="center"/>
    </xf>
    <xf numFmtId="0" fontId="3" fillId="0" borderId="1" xfId="1" quotePrefix="1" applyFont="1" applyBorder="1" applyAlignment="1" applyProtection="1">
      <alignment horizontal="center" vertical="center"/>
      <protection locked="0"/>
    </xf>
    <xf numFmtId="0" fontId="3" fillId="6" borderId="1" xfId="1" quotePrefix="1" applyFont="1" applyFill="1" applyBorder="1" applyAlignment="1">
      <alignment horizontal="center" vertical="center"/>
    </xf>
    <xf numFmtId="0" fontId="3" fillId="6" borderId="1" xfId="1" applyFont="1" applyFill="1" applyBorder="1" applyAlignment="1" applyProtection="1">
      <alignment horizontal="center" vertical="center"/>
      <protection locked="0"/>
    </xf>
    <xf numFmtId="164" fontId="3" fillId="6" borderId="1" xfId="1" applyNumberFormat="1" applyFont="1" applyFill="1" applyBorder="1" applyAlignment="1" applyProtection="1">
      <alignment horizontal="center" vertical="center"/>
      <protection locked="0"/>
    </xf>
    <xf numFmtId="164" fontId="3" fillId="6" borderId="1" xfId="1" applyNumberFormat="1" applyFont="1" applyFill="1" applyBorder="1" applyAlignment="1" applyProtection="1">
      <alignment horizontal="center" vertical="center" wrapText="1"/>
      <protection locked="0"/>
    </xf>
    <xf numFmtId="1" fontId="3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14" fontId="3" fillId="0" borderId="1" xfId="1" applyNumberFormat="1" applyFont="1" applyBorder="1" applyAlignment="1" applyProtection="1">
      <alignment horizontal="center" vertical="center"/>
      <protection locked="0"/>
    </xf>
    <xf numFmtId="0" fontId="3" fillId="0" borderId="1" xfId="1" quotePrefix="1" applyFont="1" applyBorder="1" applyAlignment="1">
      <alignment horizontal="center" vertical="center" wrapText="1"/>
    </xf>
    <xf numFmtId="1" fontId="3" fillId="0" borderId="1" xfId="1" applyNumberFormat="1" applyFont="1" applyBorder="1" applyAlignment="1" applyProtection="1">
      <alignment horizontal="center" vertical="center" wrapText="1"/>
      <protection locked="0"/>
    </xf>
    <xf numFmtId="14" fontId="3" fillId="0" borderId="1" xfId="1" applyNumberFormat="1" applyFont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center" vertical="center" wrapText="1"/>
      <protection locked="0"/>
    </xf>
    <xf numFmtId="0" fontId="3" fillId="6" borderId="0" xfId="1" applyFont="1" applyFill="1" applyAlignment="1" applyProtection="1">
      <alignment horizontal="left" vertical="center" wrapText="1"/>
      <protection locked="0"/>
    </xf>
    <xf numFmtId="0" fontId="5" fillId="6" borderId="0" xfId="1" applyFont="1" applyFill="1" applyAlignment="1" applyProtection="1">
      <alignment horizontal="left" vertical="center" wrapText="1"/>
      <protection locked="0"/>
    </xf>
    <xf numFmtId="0" fontId="5" fillId="6" borderId="0" xfId="1" applyFont="1" applyFill="1" applyAlignment="1" applyProtection="1">
      <alignment horizontal="center" vertical="center" wrapText="1"/>
      <protection locked="0"/>
    </xf>
    <xf numFmtId="0" fontId="3" fillId="6" borderId="1" xfId="1" quotePrefix="1" applyFont="1" applyFill="1" applyBorder="1" applyAlignment="1">
      <alignment horizontal="center" vertical="center" wrapText="1"/>
    </xf>
    <xf numFmtId="14" fontId="3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6" borderId="1" xfId="1" applyFont="1" applyFill="1" applyBorder="1" applyAlignment="1" applyProtection="1">
      <alignment horizontal="center" vertical="center" wrapText="1"/>
      <protection locked="0"/>
    </xf>
    <xf numFmtId="1" fontId="3" fillId="6" borderId="1" xfId="1" quotePrefix="1" applyNumberFormat="1" applyFont="1" applyFill="1" applyBorder="1" applyAlignment="1">
      <alignment horizontal="center" vertical="center" wrapText="1"/>
    </xf>
    <xf numFmtId="164" fontId="3" fillId="6" borderId="0" xfId="1" applyNumberFormat="1" applyFont="1" applyFill="1" applyAlignment="1" applyProtection="1">
      <alignment horizontal="left" vertical="center" wrapText="1"/>
      <protection locked="0"/>
    </xf>
    <xf numFmtId="164" fontId="5" fillId="6" borderId="0" xfId="1" applyNumberFormat="1" applyFont="1" applyFill="1" applyAlignment="1" applyProtection="1">
      <alignment horizontal="left" vertical="center" wrapText="1"/>
      <protection locked="0"/>
    </xf>
    <xf numFmtId="164" fontId="5" fillId="6" borderId="0" xfId="1" applyNumberFormat="1" applyFont="1" applyFill="1" applyAlignment="1" applyProtection="1">
      <alignment horizontal="center" vertical="center" wrapText="1"/>
      <protection locked="0"/>
    </xf>
    <xf numFmtId="0" fontId="15" fillId="5" borderId="7" xfId="1" applyFont="1" applyFill="1" applyBorder="1" applyAlignment="1" applyProtection="1">
      <alignment horizontal="center" vertical="center" textRotation="90" wrapText="1"/>
      <protection locked="0"/>
    </xf>
    <xf numFmtId="0" fontId="15" fillId="5" borderId="10" xfId="1" applyFont="1" applyFill="1" applyBorder="1" applyAlignment="1" applyProtection="1">
      <alignment horizontal="center" vertical="center" textRotation="90" wrapText="1"/>
      <protection locked="0"/>
    </xf>
    <xf numFmtId="0" fontId="15" fillId="5" borderId="8" xfId="1" applyFont="1" applyFill="1" applyBorder="1" applyAlignment="1" applyProtection="1">
      <alignment horizontal="center" vertical="center" textRotation="90" wrapText="1"/>
      <protection locked="0"/>
    </xf>
    <xf numFmtId="0" fontId="15" fillId="0" borderId="0" xfId="0" applyFont="1" applyAlignment="1">
      <alignment horizontal="right" vertical="center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/>
    </xf>
    <xf numFmtId="0" fontId="9" fillId="7" borderId="1" xfId="1" applyFont="1" applyFill="1" applyBorder="1" applyAlignment="1">
      <alignment horizontal="center" vertical="center"/>
    </xf>
    <xf numFmtId="0" fontId="18" fillId="8" borderId="1" xfId="4" applyFont="1" applyFill="1" applyBorder="1" applyAlignment="1">
      <alignment horizontal="left" vertical="center"/>
    </xf>
    <xf numFmtId="0" fontId="7" fillId="4" borderId="0" xfId="5" applyFont="1" applyFill="1" applyAlignment="1">
      <alignment horizontal="center" vertical="center"/>
    </xf>
    <xf numFmtId="0" fontId="20" fillId="0" borderId="0" xfId="1" applyFont="1" applyAlignment="1" applyProtection="1">
      <alignment horizontal="left" vertical="center"/>
      <protection locked="0"/>
    </xf>
    <xf numFmtId="0" fontId="22" fillId="0" borderId="4" xfId="1" applyFont="1" applyBorder="1" applyAlignment="1" applyProtection="1">
      <alignment horizontal="center" vertical="center" wrapText="1"/>
      <protection locked="0"/>
    </xf>
    <xf numFmtId="0" fontId="21" fillId="0" borderId="0" xfId="1" applyFont="1" applyAlignment="1" applyProtection="1">
      <alignment horizontal="left" vertical="center" wrapText="1"/>
      <protection locked="0"/>
    </xf>
    <xf numFmtId="0" fontId="15" fillId="6" borderId="7" xfId="1" applyFont="1" applyFill="1" applyBorder="1" applyAlignment="1" applyProtection="1">
      <alignment horizontal="center" vertical="center" textRotation="90" wrapText="1"/>
      <protection locked="0"/>
    </xf>
    <xf numFmtId="0" fontId="15" fillId="5" borderId="11" xfId="1" applyFont="1" applyFill="1" applyBorder="1" applyAlignment="1" applyProtection="1">
      <alignment horizontal="center" vertical="center" textRotation="90" wrapText="1"/>
      <protection locked="0"/>
    </xf>
    <xf numFmtId="0" fontId="15" fillId="6" borderId="10" xfId="1" applyFont="1" applyFill="1" applyBorder="1" applyAlignment="1" applyProtection="1">
      <alignment horizontal="center" vertical="center" textRotation="90" wrapText="1"/>
      <protection locked="0"/>
    </xf>
    <xf numFmtId="0" fontId="15" fillId="6" borderId="8" xfId="1" applyFont="1" applyFill="1" applyBorder="1" applyAlignment="1" applyProtection="1">
      <alignment horizontal="center" vertical="center" textRotation="90" wrapText="1"/>
      <protection locked="0"/>
    </xf>
    <xf numFmtId="0" fontId="15" fillId="6" borderId="11" xfId="1" applyFont="1" applyFill="1" applyBorder="1" applyAlignment="1" applyProtection="1">
      <alignment horizontal="center" vertical="center" textRotation="90" wrapText="1"/>
      <protection locked="0"/>
    </xf>
    <xf numFmtId="0" fontId="16" fillId="5" borderId="7" xfId="1" applyFont="1" applyFill="1" applyBorder="1" applyAlignment="1" applyProtection="1">
      <alignment horizontal="center" vertical="center" wrapText="1"/>
      <protection locked="0"/>
    </xf>
    <xf numFmtId="0" fontId="15" fillId="2" borderId="20" xfId="1" applyFont="1" applyFill="1" applyBorder="1" applyAlignment="1" applyProtection="1">
      <alignment horizontal="center" vertical="center" textRotation="90" wrapText="1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15" fillId="5" borderId="1" xfId="1" applyFont="1" applyFill="1" applyBorder="1" applyAlignment="1" applyProtection="1">
      <alignment horizontal="center" vertical="center" textRotation="90" wrapText="1"/>
      <protection locked="0"/>
    </xf>
    <xf numFmtId="0" fontId="5" fillId="0" borderId="14" xfId="1" applyFont="1" applyBorder="1" applyAlignment="1" applyProtection="1">
      <alignment horizontal="center" vertical="center"/>
      <protection locked="0"/>
    </xf>
    <xf numFmtId="0" fontId="15" fillId="5" borderId="14" xfId="1" applyFont="1" applyFill="1" applyBorder="1" applyAlignment="1" applyProtection="1">
      <alignment horizontal="center" vertical="center" textRotation="90" wrapText="1"/>
      <protection locked="0"/>
    </xf>
    <xf numFmtId="0" fontId="15" fillId="5" borderId="21" xfId="1" applyFont="1" applyFill="1" applyBorder="1" applyAlignment="1" applyProtection="1">
      <alignment horizontal="center" vertical="center" textRotation="90" wrapText="1"/>
      <protection locked="0"/>
    </xf>
    <xf numFmtId="14" fontId="3" fillId="0" borderId="21" xfId="1" applyNumberFormat="1" applyFont="1" applyBorder="1" applyAlignment="1" applyProtection="1">
      <alignment horizontal="center" vertical="center"/>
      <protection locked="0"/>
    </xf>
    <xf numFmtId="0" fontId="5" fillId="6" borderId="1" xfId="1" applyFont="1" applyFill="1" applyBorder="1" applyAlignment="1" applyProtection="1">
      <alignment horizontal="center" vertical="center" wrapText="1"/>
      <protection locked="0"/>
    </xf>
    <xf numFmtId="0" fontId="15" fillId="6" borderId="1" xfId="1" applyFont="1" applyFill="1" applyBorder="1" applyAlignment="1" applyProtection="1">
      <alignment horizontal="center" vertical="center" textRotation="90" wrapText="1"/>
      <protection locked="0"/>
    </xf>
    <xf numFmtId="0" fontId="5" fillId="6" borderId="14" xfId="1" applyFont="1" applyFill="1" applyBorder="1" applyAlignment="1" applyProtection="1">
      <alignment horizontal="center" vertical="center" wrapText="1"/>
      <protection locked="0"/>
    </xf>
    <xf numFmtId="0" fontId="5" fillId="6" borderId="15" xfId="1" applyFont="1" applyFill="1" applyBorder="1" applyAlignment="1" applyProtection="1">
      <alignment horizontal="center" vertical="center" wrapText="1"/>
      <protection locked="0"/>
    </xf>
    <xf numFmtId="0" fontId="15" fillId="6" borderId="14" xfId="1" applyFont="1" applyFill="1" applyBorder="1" applyAlignment="1" applyProtection="1">
      <alignment horizontal="center" vertical="center" textRotation="90" wrapText="1"/>
      <protection locked="0"/>
    </xf>
    <xf numFmtId="0" fontId="15" fillId="6" borderId="15" xfId="1" applyFont="1" applyFill="1" applyBorder="1" applyAlignment="1" applyProtection="1">
      <alignment horizontal="center" vertical="center" textRotation="90" wrapText="1"/>
      <protection locked="0"/>
    </xf>
    <xf numFmtId="0" fontId="24" fillId="5" borderId="7" xfId="1" applyFont="1" applyFill="1" applyBorder="1" applyAlignment="1" applyProtection="1">
      <alignment horizontal="center" vertical="center" textRotation="90" wrapText="1"/>
      <protection locked="0"/>
    </xf>
    <xf numFmtId="0" fontId="24" fillId="5" borderId="10" xfId="1" applyFont="1" applyFill="1" applyBorder="1" applyAlignment="1" applyProtection="1">
      <alignment horizontal="center" vertical="center" textRotation="90" wrapText="1"/>
      <protection locked="0"/>
    </xf>
    <xf numFmtId="0" fontId="24" fillId="5" borderId="12" xfId="1" applyFont="1" applyFill="1" applyBorder="1" applyAlignment="1" applyProtection="1">
      <alignment horizontal="center" vertical="center" textRotation="90" wrapText="1"/>
      <protection locked="0"/>
    </xf>
    <xf numFmtId="0" fontId="24" fillId="5" borderId="8" xfId="1" applyFont="1" applyFill="1" applyBorder="1" applyAlignment="1" applyProtection="1">
      <alignment horizontal="center" vertical="center" textRotation="90" wrapText="1"/>
      <protection locked="0"/>
    </xf>
    <xf numFmtId="0" fontId="26" fillId="0" borderId="1" xfId="1" quotePrefix="1" applyFont="1" applyBorder="1" applyAlignment="1" applyProtection="1">
      <alignment horizontal="center" vertical="center"/>
      <protection locked="0"/>
    </xf>
    <xf numFmtId="0" fontId="26" fillId="6" borderId="1" xfId="1" applyFont="1" applyFill="1" applyBorder="1" applyAlignment="1" applyProtection="1">
      <alignment horizontal="center" vertical="center"/>
      <protection locked="0"/>
    </xf>
    <xf numFmtId="164" fontId="26" fillId="6" borderId="1" xfId="1" applyNumberFormat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0" borderId="14" xfId="1" quotePrefix="1" applyFont="1" applyBorder="1" applyAlignment="1">
      <alignment horizontal="center" vertical="center"/>
    </xf>
    <xf numFmtId="0" fontId="26" fillId="0" borderId="1" xfId="1" applyFont="1" applyBorder="1" applyAlignment="1" applyProtection="1">
      <alignment horizontal="center" vertical="center"/>
      <protection locked="0"/>
    </xf>
    <xf numFmtId="14" fontId="26" fillId="0" borderId="1" xfId="1" applyNumberFormat="1" applyFont="1" applyBorder="1" applyAlignment="1" applyProtection="1">
      <alignment horizontal="center" vertical="center"/>
      <protection locked="0"/>
    </xf>
    <xf numFmtId="14" fontId="26" fillId="0" borderId="21" xfId="1" applyNumberFormat="1" applyFont="1" applyBorder="1" applyAlignment="1" applyProtection="1">
      <alignment horizontal="center" vertical="center"/>
      <protection locked="0"/>
    </xf>
    <xf numFmtId="0" fontId="26" fillId="0" borderId="1" xfId="1" applyFont="1" applyBorder="1" applyAlignment="1" applyProtection="1">
      <alignment horizontal="left" vertical="center"/>
      <protection locked="0"/>
    </xf>
    <xf numFmtId="0" fontId="26" fillId="6" borderId="14" xfId="1" quotePrefix="1" applyFont="1" applyFill="1" applyBorder="1" applyAlignment="1">
      <alignment horizontal="center" vertical="center"/>
    </xf>
    <xf numFmtId="0" fontId="26" fillId="4" borderId="14" xfId="1" quotePrefix="1" applyFont="1" applyFill="1" applyBorder="1" applyAlignment="1">
      <alignment horizontal="center" vertical="center"/>
    </xf>
    <xf numFmtId="0" fontId="26" fillId="4" borderId="1" xfId="1" applyFont="1" applyFill="1" applyBorder="1" applyAlignment="1" applyProtection="1">
      <alignment horizontal="center" vertical="center"/>
      <protection locked="0"/>
    </xf>
    <xf numFmtId="164" fontId="26" fillId="4" borderId="1" xfId="1" applyNumberFormat="1" applyFont="1" applyFill="1" applyBorder="1" applyAlignment="1" applyProtection="1">
      <alignment horizontal="center" vertical="center"/>
      <protection locked="0"/>
    </xf>
    <xf numFmtId="164" fontId="26" fillId="4" borderId="21" xfId="1" applyNumberFormat="1" applyFont="1" applyFill="1" applyBorder="1" applyAlignment="1" applyProtection="1">
      <alignment horizontal="center" vertical="center" wrapText="1"/>
      <protection locked="0"/>
    </xf>
    <xf numFmtId="0" fontId="26" fillId="0" borderId="0" xfId="1" applyFont="1" applyAlignment="1" applyProtection="1">
      <alignment horizontal="left" vertical="center"/>
      <protection locked="0"/>
    </xf>
    <xf numFmtId="0" fontId="27" fillId="4" borderId="1" xfId="1" applyFont="1" applyFill="1" applyBorder="1" applyAlignment="1">
      <alignment horizontal="center" vertical="center"/>
    </xf>
    <xf numFmtId="1" fontId="26" fillId="6" borderId="1" xfId="1" applyNumberFormat="1" applyFont="1" applyFill="1" applyBorder="1" applyAlignment="1" applyProtection="1">
      <alignment horizontal="left" vertical="center" wrapText="1"/>
      <protection locked="0"/>
    </xf>
    <xf numFmtId="14" fontId="26" fillId="6" borderId="1" xfId="1" applyNumberFormat="1" applyFont="1" applyFill="1" applyBorder="1" applyAlignment="1" applyProtection="1">
      <alignment horizontal="left" vertical="center" wrapText="1"/>
      <protection locked="0"/>
    </xf>
    <xf numFmtId="0" fontId="26" fillId="0" borderId="13" xfId="1" quotePrefix="1" applyFont="1" applyBorder="1" applyAlignment="1">
      <alignment horizontal="left" vertical="center" wrapText="1"/>
    </xf>
    <xf numFmtId="1" fontId="26" fillId="0" borderId="1" xfId="1" applyNumberFormat="1" applyFont="1" applyBorder="1" applyAlignment="1" applyProtection="1">
      <alignment horizontal="left" vertical="center" wrapText="1"/>
      <protection locked="0"/>
    </xf>
    <xf numFmtId="14" fontId="26" fillId="0" borderId="1" xfId="1" applyNumberFormat="1" applyFont="1" applyBorder="1" applyAlignment="1" applyProtection="1">
      <alignment horizontal="left" vertical="center" wrapText="1"/>
      <protection locked="0"/>
    </xf>
    <xf numFmtId="1" fontId="26" fillId="6" borderId="1" xfId="1" quotePrefix="1" applyNumberFormat="1" applyFont="1" applyFill="1" applyBorder="1" applyAlignment="1">
      <alignment horizontal="left" vertical="center" wrapText="1"/>
    </xf>
    <xf numFmtId="0" fontId="26" fillId="0" borderId="1" xfId="1" quotePrefix="1" applyFont="1" applyBorder="1" applyAlignment="1">
      <alignment horizontal="left" vertical="center" wrapText="1"/>
    </xf>
    <xf numFmtId="0" fontId="26" fillId="0" borderId="1" xfId="1" applyFont="1" applyBorder="1" applyAlignment="1" applyProtection="1">
      <alignment horizontal="left" vertical="center" wrapText="1"/>
      <protection locked="0"/>
    </xf>
    <xf numFmtId="0" fontId="26" fillId="6" borderId="1" xfId="1" quotePrefix="1" applyFont="1" applyFill="1" applyBorder="1" applyAlignment="1">
      <alignment horizontal="left" vertical="center" wrapText="1"/>
    </xf>
    <xf numFmtId="0" fontId="26" fillId="6" borderId="1" xfId="1" applyFont="1" applyFill="1" applyBorder="1" applyAlignment="1" applyProtection="1">
      <alignment horizontal="left" vertical="center" wrapText="1"/>
      <protection locked="0"/>
    </xf>
    <xf numFmtId="14" fontId="26" fillId="6" borderId="1" xfId="1" quotePrefix="1" applyNumberFormat="1" applyFont="1" applyFill="1" applyBorder="1" applyAlignment="1">
      <alignment horizontal="left" vertical="center" wrapText="1"/>
    </xf>
    <xf numFmtId="14" fontId="26" fillId="0" borderId="1" xfId="1" quotePrefix="1" applyNumberFormat="1" applyFont="1" applyBorder="1" applyAlignment="1">
      <alignment horizontal="left" vertical="center" wrapText="1"/>
    </xf>
    <xf numFmtId="164" fontId="26" fillId="4" borderId="1" xfId="1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4" applyFont="1" applyAlignment="1">
      <alignment horizontal="center" vertical="center"/>
    </xf>
    <xf numFmtId="0" fontId="12" fillId="0" borderId="0" xfId="4" applyAlignment="1">
      <alignment horizontal="center"/>
    </xf>
    <xf numFmtId="0" fontId="22" fillId="0" borderId="4" xfId="1" applyFont="1" applyBorder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horizontal="center" vertical="center"/>
      <protection locked="0"/>
    </xf>
    <xf numFmtId="164" fontId="3" fillId="0" borderId="0" xfId="1" applyNumberFormat="1" applyFont="1" applyAlignment="1" applyProtection="1">
      <alignment horizontal="center" vertical="center"/>
      <protection locked="0"/>
    </xf>
    <xf numFmtId="0" fontId="3" fillId="0" borderId="17" xfId="1" applyFont="1" applyBorder="1" applyAlignment="1" applyProtection="1">
      <alignment horizontal="center" vertical="center"/>
      <protection locked="0"/>
    </xf>
    <xf numFmtId="0" fontId="3" fillId="0" borderId="18" xfId="1" applyFont="1" applyBorder="1" applyAlignment="1" applyProtection="1">
      <alignment horizontal="center" vertical="center"/>
      <protection locked="0"/>
    </xf>
    <xf numFmtId="0" fontId="3" fillId="0" borderId="22" xfId="1" applyFont="1" applyBorder="1" applyAlignment="1" applyProtection="1">
      <alignment horizontal="center" vertical="center"/>
      <protection locked="0"/>
    </xf>
    <xf numFmtId="0" fontId="3" fillId="0" borderId="14" xfId="1" applyFont="1" applyBorder="1" applyAlignment="1" applyProtection="1">
      <alignment horizontal="center" vertical="center"/>
      <protection locked="0"/>
    </xf>
    <xf numFmtId="0" fontId="3" fillId="0" borderId="21" xfId="1" applyFont="1" applyBorder="1" applyAlignment="1" applyProtection="1">
      <alignment horizontal="center" vertical="center"/>
      <protection locked="0"/>
    </xf>
    <xf numFmtId="0" fontId="7" fillId="4" borderId="1" xfId="5" applyFont="1" applyFill="1" applyBorder="1" applyAlignment="1">
      <alignment horizontal="center" vertical="center"/>
    </xf>
    <xf numFmtId="0" fontId="7" fillId="4" borderId="21" xfId="5" applyFont="1" applyFill="1" applyBorder="1" applyAlignment="1">
      <alignment horizontal="center" vertical="center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1" xfId="4" applyFont="1" applyBorder="1" applyAlignment="1">
      <alignment horizontal="center" vertical="center"/>
    </xf>
    <xf numFmtId="0" fontId="1" fillId="0" borderId="21" xfId="4" applyFont="1" applyBorder="1" applyAlignment="1">
      <alignment horizontal="center" vertical="center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26" fillId="6" borderId="14" xfId="1" quotePrefix="1" applyFont="1" applyFill="1" applyBorder="1" applyAlignment="1">
      <alignment horizontal="center" vertical="center" wrapText="1"/>
    </xf>
    <xf numFmtId="0" fontId="26" fillId="6" borderId="1" xfId="1" applyFont="1" applyFill="1" applyBorder="1" applyAlignment="1" applyProtection="1">
      <alignment horizontal="center" vertical="center" wrapText="1"/>
      <protection locked="0"/>
    </xf>
    <xf numFmtId="14" fontId="26" fillId="6" borderId="1" xfId="1" applyNumberFormat="1" applyFont="1" applyFill="1" applyBorder="1" applyAlignment="1" applyProtection="1">
      <alignment horizontal="center" vertical="center" wrapText="1"/>
      <protection locked="0"/>
    </xf>
    <xf numFmtId="14" fontId="26" fillId="6" borderId="15" xfId="1" applyNumberFormat="1" applyFont="1" applyFill="1" applyBorder="1" applyAlignment="1" applyProtection="1">
      <alignment horizontal="center" vertical="center" wrapText="1"/>
      <protection locked="0"/>
    </xf>
    <xf numFmtId="0" fontId="3" fillId="6" borderId="17" xfId="1" applyFont="1" applyFill="1" applyBorder="1" applyAlignment="1" applyProtection="1">
      <alignment horizontal="center" vertical="center" wrapText="1"/>
      <protection locked="0"/>
    </xf>
    <xf numFmtId="0" fontId="3" fillId="6" borderId="18" xfId="1" applyFont="1" applyFill="1" applyBorder="1" applyAlignment="1" applyProtection="1">
      <alignment horizontal="center" vertical="center" wrapText="1"/>
      <protection locked="0"/>
    </xf>
    <xf numFmtId="0" fontId="3" fillId="6" borderId="19" xfId="1" applyFont="1" applyFill="1" applyBorder="1" applyAlignment="1" applyProtection="1">
      <alignment horizontal="center" vertical="center" wrapText="1"/>
      <protection locked="0"/>
    </xf>
    <xf numFmtId="0" fontId="3" fillId="6" borderId="14" xfId="1" applyFont="1" applyFill="1" applyBorder="1" applyAlignment="1" applyProtection="1">
      <alignment horizontal="center" vertical="center" wrapText="1"/>
      <protection locked="0"/>
    </xf>
    <xf numFmtId="0" fontId="3" fillId="6" borderId="15" xfId="1" applyFont="1" applyFill="1" applyBorder="1" applyAlignment="1" applyProtection="1">
      <alignment horizontal="center" vertical="center" wrapText="1"/>
      <protection locked="0"/>
    </xf>
    <xf numFmtId="0" fontId="30" fillId="0" borderId="1" xfId="1" applyFont="1" applyBorder="1" applyAlignment="1" applyProtection="1">
      <alignment horizontal="left" vertical="center"/>
      <protection locked="0"/>
    </xf>
    <xf numFmtId="0" fontId="30" fillId="4" borderId="1" xfId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14" fontId="30" fillId="4" borderId="1" xfId="1" applyNumberFormat="1" applyFont="1" applyFill="1" applyBorder="1" applyAlignment="1">
      <alignment horizontal="center" vertical="center"/>
    </xf>
    <xf numFmtId="0" fontId="30" fillId="0" borderId="1" xfId="1" quotePrefix="1" applyFont="1" applyBorder="1" applyAlignment="1" applyProtection="1">
      <alignment horizontal="center" vertical="center"/>
      <protection locked="0"/>
    </xf>
    <xf numFmtId="0" fontId="30" fillId="6" borderId="1" xfId="1" quotePrefix="1" applyFont="1" applyFill="1" applyBorder="1" applyAlignment="1">
      <alignment horizontal="center" vertical="center"/>
    </xf>
    <xf numFmtId="0" fontId="30" fillId="6" borderId="1" xfId="1" applyFont="1" applyFill="1" applyBorder="1" applyAlignment="1" applyProtection="1">
      <alignment horizontal="center" vertical="center"/>
      <protection locked="0"/>
    </xf>
    <xf numFmtId="164" fontId="30" fillId="6" borderId="1" xfId="1" applyNumberFormat="1" applyFont="1" applyFill="1" applyBorder="1" applyAlignment="1" applyProtection="1">
      <alignment horizontal="center" vertical="center"/>
      <protection locked="0"/>
    </xf>
    <xf numFmtId="164" fontId="30" fillId="6" borderId="1" xfId="1" applyNumberFormat="1" applyFont="1" applyFill="1" applyBorder="1" applyAlignment="1" applyProtection="1">
      <alignment horizontal="center" vertical="center" wrapText="1"/>
      <protection locked="0"/>
    </xf>
    <xf numFmtId="1" fontId="30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30" fillId="2" borderId="1" xfId="1" applyFont="1" applyFill="1" applyBorder="1" applyAlignment="1" applyProtection="1">
      <alignment horizontal="center" vertical="center"/>
      <protection locked="0"/>
    </xf>
    <xf numFmtId="0" fontId="30" fillId="0" borderId="1" xfId="1" quotePrefix="1" applyFont="1" applyBorder="1" applyAlignment="1">
      <alignment horizontal="center" vertical="center"/>
    </xf>
    <xf numFmtId="0" fontId="30" fillId="0" borderId="1" xfId="1" applyFont="1" applyBorder="1" applyAlignment="1" applyProtection="1">
      <alignment horizontal="center" vertical="center"/>
      <protection locked="0"/>
    </xf>
    <xf numFmtId="14" fontId="30" fillId="0" borderId="1" xfId="1" applyNumberFormat="1" applyFont="1" applyBorder="1" applyAlignment="1" applyProtection="1">
      <alignment horizontal="center" vertical="center"/>
      <protection locked="0"/>
    </xf>
    <xf numFmtId="0" fontId="30" fillId="3" borderId="1" xfId="1" quotePrefix="1" applyFont="1" applyFill="1" applyBorder="1" applyAlignment="1" applyProtection="1">
      <alignment horizontal="center" vertical="center" wrapText="1"/>
      <protection locked="0"/>
    </xf>
    <xf numFmtId="14" fontId="30" fillId="3" borderId="1" xfId="1" applyNumberFormat="1" applyFont="1" applyFill="1" applyBorder="1" applyAlignment="1" applyProtection="1">
      <alignment horizontal="center" vertical="center" wrapText="1"/>
      <protection locked="0"/>
    </xf>
    <xf numFmtId="1" fontId="30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0" fillId="0" borderId="1" xfId="1" quotePrefix="1" applyFont="1" applyBorder="1" applyAlignment="1">
      <alignment horizontal="center" vertical="center" wrapText="1"/>
    </xf>
    <xf numFmtId="1" fontId="30" fillId="0" borderId="1" xfId="1" applyNumberFormat="1" applyFont="1" applyBorder="1" applyAlignment="1" applyProtection="1">
      <alignment horizontal="center" vertical="center" wrapText="1"/>
      <protection locked="0"/>
    </xf>
    <xf numFmtId="0" fontId="30" fillId="0" borderId="1" xfId="1" applyFont="1" applyBorder="1" applyAlignment="1" applyProtection="1">
      <alignment horizontal="center" vertical="center" wrapText="1"/>
      <protection locked="0"/>
    </xf>
    <xf numFmtId="14" fontId="30" fillId="0" borderId="1" xfId="1" applyNumberFormat="1" applyFont="1" applyBorder="1" applyAlignment="1" applyProtection="1">
      <alignment horizontal="center" vertical="center" wrapText="1"/>
      <protection locked="0"/>
    </xf>
    <xf numFmtId="1" fontId="30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0" fontId="30" fillId="3" borderId="1" xfId="1" applyFont="1" applyFill="1" applyBorder="1" applyAlignment="1" applyProtection="1">
      <alignment horizontal="center" vertical="center" wrapText="1"/>
      <protection locked="0"/>
    </xf>
    <xf numFmtId="0" fontId="30" fillId="4" borderId="1" xfId="1" quotePrefix="1" applyFont="1" applyFill="1" applyBorder="1" applyAlignment="1" applyProtection="1">
      <alignment horizontal="center" vertical="center"/>
      <protection locked="0"/>
    </xf>
    <xf numFmtId="1" fontId="30" fillId="0" borderId="1" xfId="1" quotePrefix="1" applyNumberFormat="1" applyFont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left" vertical="center"/>
    </xf>
    <xf numFmtId="0" fontId="30" fillId="6" borderId="1" xfId="1" quotePrefix="1" applyFont="1" applyFill="1" applyBorder="1" applyAlignment="1" applyProtection="1">
      <alignment horizontal="center" vertical="center"/>
      <protection locked="0"/>
    </xf>
    <xf numFmtId="0" fontId="30" fillId="4" borderId="1" xfId="0" applyFont="1" applyFill="1" applyBorder="1" applyAlignment="1">
      <alignment horizontal="center" vertical="center" wrapText="1"/>
    </xf>
    <xf numFmtId="14" fontId="30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14" fontId="30" fillId="0" borderId="1" xfId="1" quotePrefix="1" applyNumberFormat="1" applyFont="1" applyBorder="1" applyAlignment="1">
      <alignment horizontal="center" vertical="center" wrapText="1"/>
    </xf>
    <xf numFmtId="14" fontId="30" fillId="4" borderId="1" xfId="1" applyNumberFormat="1" applyFont="1" applyFill="1" applyBorder="1" applyAlignment="1">
      <alignment horizontal="center" vertical="center" wrapText="1"/>
    </xf>
    <xf numFmtId="1" fontId="30" fillId="6" borderId="1" xfId="1" applyNumberFormat="1" applyFont="1" applyFill="1" applyBorder="1" applyAlignment="1" applyProtection="1">
      <alignment horizontal="center" vertical="center"/>
      <protection locked="0"/>
    </xf>
    <xf numFmtId="14" fontId="30" fillId="6" borderId="1" xfId="1" applyNumberFormat="1" applyFont="1" applyFill="1" applyBorder="1" applyAlignment="1" applyProtection="1">
      <alignment horizontal="center" vertical="center"/>
      <protection locked="0"/>
    </xf>
    <xf numFmtId="0" fontId="30" fillId="0" borderId="0" xfId="1" applyFont="1" applyAlignment="1" applyProtection="1">
      <alignment horizontal="left" vertical="center" wrapText="1"/>
      <protection locked="0"/>
    </xf>
    <xf numFmtId="0" fontId="30" fillId="0" borderId="0" xfId="1" applyFont="1" applyAlignment="1" applyProtection="1">
      <alignment horizontal="left" vertical="center"/>
      <protection locked="0"/>
    </xf>
    <xf numFmtId="0" fontId="30" fillId="0" borderId="0" xfId="1" applyFont="1" applyAlignment="1" applyProtection="1">
      <alignment horizontal="center" vertical="center"/>
      <protection locked="0"/>
    </xf>
    <xf numFmtId="0" fontId="30" fillId="0" borderId="0" xfId="1" applyFont="1" applyAlignment="1" applyProtection="1">
      <alignment horizontal="center" vertical="center" wrapText="1"/>
      <protection locked="0"/>
    </xf>
    <xf numFmtId="164" fontId="30" fillId="0" borderId="0" xfId="1" applyNumberFormat="1" applyFont="1" applyAlignment="1" applyProtection="1">
      <alignment horizontal="left" vertical="center"/>
      <protection locked="0"/>
    </xf>
    <xf numFmtId="14" fontId="30" fillId="0" borderId="0" xfId="1" applyNumberFormat="1" applyFont="1" applyAlignment="1" applyProtection="1">
      <alignment horizontal="left" vertical="center"/>
      <protection locked="0"/>
    </xf>
    <xf numFmtId="14" fontId="30" fillId="0" borderId="0" xfId="1" applyNumberFormat="1" applyFont="1" applyAlignment="1" applyProtection="1">
      <alignment horizontal="left" vertical="center" wrapText="1"/>
      <protection locked="0"/>
    </xf>
    <xf numFmtId="164" fontId="30" fillId="0" borderId="0" xfId="1" applyNumberFormat="1" applyFont="1" applyAlignment="1" applyProtection="1">
      <alignment horizontal="left" vertical="center" wrapText="1"/>
      <protection locked="0"/>
    </xf>
    <xf numFmtId="14" fontId="26" fillId="4" borderId="1" xfId="1" applyNumberFormat="1" applyFont="1" applyFill="1" applyBorder="1" applyAlignment="1" applyProtection="1">
      <alignment horizontal="center" vertical="center"/>
      <protection locked="0"/>
    </xf>
    <xf numFmtId="14" fontId="31" fillId="4" borderId="1" xfId="0" applyNumberFormat="1" applyFont="1" applyFill="1" applyBorder="1" applyAlignment="1">
      <alignment horizontal="center" vertical="center"/>
    </xf>
    <xf numFmtId="14" fontId="30" fillId="4" borderId="1" xfId="0" applyNumberFormat="1" applyFont="1" applyFill="1" applyBorder="1" applyAlignment="1">
      <alignment horizontal="center" vertical="center" wrapText="1" readingOrder="1"/>
    </xf>
    <xf numFmtId="0" fontId="30" fillId="4" borderId="1" xfId="0" applyFont="1" applyFill="1" applyBorder="1" applyAlignment="1">
      <alignment horizontal="left" vertical="top" wrapText="1"/>
    </xf>
    <xf numFmtId="0" fontId="30" fillId="4" borderId="1" xfId="0" applyFont="1" applyFill="1" applyBorder="1" applyAlignment="1">
      <alignment horizontal="left" vertical="center" wrapText="1"/>
    </xf>
    <xf numFmtId="0" fontId="30" fillId="4" borderId="0" xfId="1" applyFont="1" applyFill="1" applyAlignment="1" applyProtection="1">
      <alignment horizontal="left" vertical="center"/>
      <protection locked="0"/>
    </xf>
    <xf numFmtId="0" fontId="30" fillId="4" borderId="0" xfId="1" applyFont="1" applyFill="1" applyAlignment="1" applyProtection="1">
      <alignment horizontal="center" vertical="center"/>
      <protection locked="0"/>
    </xf>
    <xf numFmtId="0" fontId="34" fillId="4" borderId="1" xfId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left" vertical="center"/>
    </xf>
    <xf numFmtId="0" fontId="34" fillId="4" borderId="1" xfId="0" applyFont="1" applyFill="1" applyBorder="1" applyAlignment="1">
      <alignment horizontal="center" vertical="center" wrapText="1"/>
    </xf>
    <xf numFmtId="0" fontId="34" fillId="0" borderId="1" xfId="1" quotePrefix="1" applyFont="1" applyBorder="1" applyAlignment="1" applyProtection="1">
      <alignment horizontal="center" vertical="center"/>
      <protection locked="0"/>
    </xf>
    <xf numFmtId="0" fontId="34" fillId="6" borderId="1" xfId="1" quotePrefix="1" applyFont="1" applyFill="1" applyBorder="1" applyAlignment="1">
      <alignment horizontal="center" vertical="center"/>
    </xf>
    <xf numFmtId="0" fontId="34" fillId="6" borderId="1" xfId="1" applyFont="1" applyFill="1" applyBorder="1" applyAlignment="1" applyProtection="1">
      <alignment horizontal="center" vertical="center"/>
      <protection locked="0"/>
    </xf>
    <xf numFmtId="164" fontId="34" fillId="6" borderId="1" xfId="1" applyNumberFormat="1" applyFont="1" applyFill="1" applyBorder="1" applyAlignment="1" applyProtection="1">
      <alignment horizontal="center" vertical="center"/>
      <protection locked="0"/>
    </xf>
    <xf numFmtId="164" fontId="34" fillId="6" borderId="1" xfId="1" applyNumberFormat="1" applyFont="1" applyFill="1" applyBorder="1" applyAlignment="1" applyProtection="1">
      <alignment horizontal="center" vertical="center" wrapText="1"/>
      <protection locked="0"/>
    </xf>
    <xf numFmtId="1" fontId="34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34" fillId="2" borderId="1" xfId="1" applyFont="1" applyFill="1" applyBorder="1" applyAlignment="1" applyProtection="1">
      <alignment horizontal="center" vertical="center"/>
      <protection locked="0"/>
    </xf>
    <xf numFmtId="0" fontId="34" fillId="0" borderId="1" xfId="1" quotePrefix="1" applyFont="1" applyBorder="1" applyAlignment="1">
      <alignment horizontal="center" vertical="center"/>
    </xf>
    <xf numFmtId="0" fontId="34" fillId="0" borderId="1" xfId="1" applyFont="1" applyBorder="1" applyAlignment="1" applyProtection="1">
      <alignment horizontal="center" vertical="center"/>
      <protection locked="0"/>
    </xf>
    <xf numFmtId="14" fontId="34" fillId="0" borderId="1" xfId="1" applyNumberFormat="1" applyFont="1" applyBorder="1" applyAlignment="1" applyProtection="1">
      <alignment horizontal="center" vertical="center"/>
      <protection locked="0"/>
    </xf>
    <xf numFmtId="0" fontId="34" fillId="3" borderId="1" xfId="1" quotePrefix="1" applyFont="1" applyFill="1" applyBorder="1" applyAlignment="1" applyProtection="1">
      <alignment horizontal="center" vertical="center" wrapText="1"/>
      <protection locked="0"/>
    </xf>
    <xf numFmtId="14" fontId="34" fillId="3" borderId="1" xfId="1" applyNumberFormat="1" applyFont="1" applyFill="1" applyBorder="1" applyAlignment="1" applyProtection="1">
      <alignment horizontal="center" vertical="center" wrapText="1"/>
      <protection locked="0"/>
    </xf>
    <xf numFmtId="1" fontId="3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1" quotePrefix="1" applyFont="1" applyBorder="1" applyAlignment="1">
      <alignment horizontal="center" vertical="center" wrapText="1"/>
    </xf>
    <xf numFmtId="1" fontId="34" fillId="0" borderId="1" xfId="1" applyNumberFormat="1" applyFont="1" applyBorder="1" applyAlignment="1" applyProtection="1">
      <alignment horizontal="center" vertical="center" wrapText="1"/>
      <protection locked="0"/>
    </xf>
    <xf numFmtId="0" fontId="34" fillId="0" borderId="1" xfId="1" applyFont="1" applyBorder="1" applyAlignment="1" applyProtection="1">
      <alignment horizontal="center" vertical="center" wrapText="1"/>
      <protection locked="0"/>
    </xf>
    <xf numFmtId="14" fontId="34" fillId="0" borderId="1" xfId="1" applyNumberFormat="1" applyFont="1" applyBorder="1" applyAlignment="1" applyProtection="1">
      <alignment horizontal="center" vertical="center" wrapText="1"/>
      <protection locked="0"/>
    </xf>
    <xf numFmtId="1" fontId="34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1" fontId="34" fillId="0" borderId="1" xfId="1" quotePrefix="1" applyNumberFormat="1" applyFont="1" applyBorder="1" applyAlignment="1">
      <alignment horizontal="center" vertical="center" wrapText="1"/>
    </xf>
    <xf numFmtId="0" fontId="34" fillId="3" borderId="1" xfId="1" applyFont="1" applyFill="1" applyBorder="1" applyAlignment="1" applyProtection="1">
      <alignment horizontal="center" vertical="center" wrapText="1"/>
      <protection locked="0"/>
    </xf>
    <xf numFmtId="0" fontId="34" fillId="0" borderId="1" xfId="1" applyFont="1" applyBorder="1" applyAlignment="1" applyProtection="1">
      <alignment horizontal="left" vertical="center"/>
      <protection locked="0"/>
    </xf>
    <xf numFmtId="0" fontId="34" fillId="6" borderId="1" xfId="1" quotePrefix="1" applyFont="1" applyFill="1" applyBorder="1" applyAlignment="1" applyProtection="1">
      <alignment horizontal="center" vertical="center"/>
      <protection locked="0"/>
    </xf>
    <xf numFmtId="14" fontId="34" fillId="4" borderId="1" xfId="0" applyNumberFormat="1" applyFont="1" applyFill="1" applyBorder="1" applyAlignment="1">
      <alignment horizontal="center" vertical="center" wrapText="1" readingOrder="1"/>
    </xf>
    <xf numFmtId="14" fontId="34" fillId="4" borderId="1" xfId="1" applyNumberFormat="1" applyFont="1" applyFill="1" applyBorder="1" applyAlignment="1">
      <alignment horizontal="center" vertical="center" wrapText="1"/>
    </xf>
    <xf numFmtId="0" fontId="34" fillId="4" borderId="1" xfId="1" applyFont="1" applyFill="1" applyBorder="1" applyAlignment="1">
      <alignment horizontal="left" vertical="center"/>
    </xf>
    <xf numFmtId="14" fontId="34" fillId="4" borderId="1" xfId="1" applyNumberFormat="1" applyFont="1" applyFill="1" applyBorder="1" applyAlignment="1">
      <alignment horizontal="center" vertical="center"/>
    </xf>
    <xf numFmtId="14" fontId="34" fillId="4" borderId="1" xfId="0" applyNumberFormat="1" applyFont="1" applyFill="1" applyBorder="1" applyAlignment="1">
      <alignment horizontal="center" vertical="center"/>
    </xf>
    <xf numFmtId="14" fontId="34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14" fontId="34" fillId="0" borderId="1" xfId="1" quotePrefix="1" applyNumberFormat="1" applyFont="1" applyBorder="1" applyAlignment="1">
      <alignment horizontal="center" vertical="center" wrapText="1"/>
    </xf>
    <xf numFmtId="164" fontId="34" fillId="3" borderId="1" xfId="1" applyNumberFormat="1" applyFont="1" applyFill="1" applyBorder="1" applyAlignment="1" applyProtection="1">
      <alignment horizontal="center" vertical="center" wrapText="1"/>
      <protection locked="0"/>
    </xf>
    <xf numFmtId="14" fontId="35" fillId="4" borderId="1" xfId="0" applyNumberFormat="1" applyFont="1" applyFill="1" applyBorder="1" applyAlignment="1">
      <alignment horizontal="center" vertical="center"/>
    </xf>
    <xf numFmtId="1" fontId="34" fillId="0" borderId="1" xfId="1" applyNumberFormat="1" applyFont="1" applyBorder="1" applyAlignment="1" applyProtection="1">
      <alignment horizontal="center" vertical="center"/>
      <protection locked="0"/>
    </xf>
    <xf numFmtId="0" fontId="34" fillId="4" borderId="1" xfId="1" quotePrefix="1" applyFont="1" applyFill="1" applyBorder="1" applyAlignment="1" applyProtection="1">
      <alignment horizontal="center" vertical="center" wrapText="1"/>
      <protection locked="0"/>
    </xf>
    <xf numFmtId="1" fontId="34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34" fillId="4" borderId="1" xfId="1" applyFont="1" applyFill="1" applyBorder="1" applyAlignment="1" applyProtection="1">
      <alignment horizontal="center" vertical="center" wrapText="1"/>
      <protection locked="0"/>
    </xf>
    <xf numFmtId="0" fontId="34" fillId="4" borderId="1" xfId="1" applyFont="1" applyFill="1" applyBorder="1" applyAlignment="1" applyProtection="1">
      <alignment horizontal="left" vertical="center"/>
      <protection locked="0"/>
    </xf>
    <xf numFmtId="14" fontId="34" fillId="4" borderId="1" xfId="0" applyNumberFormat="1" applyFont="1" applyFill="1" applyBorder="1" applyAlignment="1">
      <alignment horizontal="center" vertical="center" wrapText="1"/>
    </xf>
    <xf numFmtId="0" fontId="34" fillId="10" borderId="1" xfId="1" applyFont="1" applyFill="1" applyBorder="1" applyAlignment="1" applyProtection="1">
      <alignment horizontal="left" vertical="center"/>
      <protection locked="0"/>
    </xf>
    <xf numFmtId="2" fontId="34" fillId="0" borderId="1" xfId="1" applyNumberFormat="1" applyFont="1" applyBorder="1" applyAlignment="1" applyProtection="1">
      <alignment horizontal="center" vertical="center" wrapText="1"/>
      <protection locked="0"/>
    </xf>
    <xf numFmtId="0" fontId="36" fillId="5" borderId="7" xfId="1" applyFont="1" applyFill="1" applyBorder="1" applyAlignment="1" applyProtection="1">
      <alignment horizontal="center" vertical="center" wrapText="1"/>
      <protection locked="0"/>
    </xf>
    <xf numFmtId="0" fontId="36" fillId="5" borderId="7" xfId="1" applyFont="1" applyFill="1" applyBorder="1" applyAlignment="1" applyProtection="1">
      <alignment horizontal="left" vertical="center" wrapText="1"/>
      <protection locked="0"/>
    </xf>
    <xf numFmtId="0" fontId="37" fillId="0" borderId="0" xfId="1" applyFont="1" applyAlignment="1" applyProtection="1">
      <alignment horizontal="left" vertical="center" wrapText="1"/>
      <protection locked="0"/>
    </xf>
    <xf numFmtId="0" fontId="34" fillId="0" borderId="4" xfId="1" applyFont="1" applyBorder="1" applyAlignment="1" applyProtection="1">
      <alignment horizontal="center" vertical="center"/>
      <protection locked="0"/>
    </xf>
    <xf numFmtId="0" fontId="24" fillId="6" borderId="7" xfId="1" applyFont="1" applyFill="1" applyBorder="1" applyAlignment="1" applyProtection="1">
      <alignment horizontal="center" vertical="center" textRotation="90" wrapText="1"/>
      <protection locked="0"/>
    </xf>
    <xf numFmtId="164" fontId="24" fillId="6" borderId="7" xfId="1" applyNumberFormat="1" applyFont="1" applyFill="1" applyBorder="1" applyAlignment="1" applyProtection="1">
      <alignment horizontal="center" vertical="center" textRotation="90" wrapText="1"/>
      <protection locked="0"/>
    </xf>
    <xf numFmtId="164" fontId="24" fillId="6" borderId="8" xfId="1" applyNumberFormat="1" applyFont="1" applyFill="1" applyBorder="1" applyAlignment="1" applyProtection="1">
      <alignment horizontal="center" vertical="center" textRotation="90" wrapText="1"/>
      <protection locked="0"/>
    </xf>
    <xf numFmtId="0" fontId="24" fillId="2" borderId="9" xfId="1" applyFont="1" applyFill="1" applyBorder="1" applyAlignment="1" applyProtection="1">
      <alignment horizontal="center" vertical="center" textRotation="90" wrapText="1"/>
      <protection locked="0"/>
    </xf>
    <xf numFmtId="0" fontId="38" fillId="4" borderId="1" xfId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left" vertical="center"/>
    </xf>
    <xf numFmtId="164" fontId="38" fillId="6" borderId="1" xfId="1" applyNumberFormat="1" applyFont="1" applyFill="1" applyBorder="1" applyAlignment="1" applyProtection="1">
      <alignment horizontal="center" vertical="center" wrapText="1"/>
      <protection locked="0"/>
    </xf>
    <xf numFmtId="1" fontId="38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38" fillId="2" borderId="1" xfId="1" applyFont="1" applyFill="1" applyBorder="1" applyAlignment="1" applyProtection="1">
      <alignment horizontal="center" vertical="center"/>
      <protection locked="0"/>
    </xf>
    <xf numFmtId="0" fontId="38" fillId="0" borderId="1" xfId="1" quotePrefix="1" applyFont="1" applyBorder="1" applyAlignment="1">
      <alignment horizontal="center" vertical="center"/>
    </xf>
    <xf numFmtId="0" fontId="38" fillId="0" borderId="1" xfId="1" applyFont="1" applyBorder="1" applyAlignment="1" applyProtection="1">
      <alignment horizontal="center" vertical="center"/>
      <protection locked="0"/>
    </xf>
    <xf numFmtId="14" fontId="38" fillId="0" borderId="1" xfId="1" applyNumberFormat="1" applyFont="1" applyBorder="1" applyAlignment="1" applyProtection="1">
      <alignment horizontal="center" vertical="center"/>
      <protection locked="0"/>
    </xf>
    <xf numFmtId="0" fontId="38" fillId="3" borderId="1" xfId="1" quotePrefix="1" applyFont="1" applyFill="1" applyBorder="1" applyAlignment="1" applyProtection="1">
      <alignment horizontal="center" vertical="center" wrapText="1"/>
      <protection locked="0"/>
    </xf>
    <xf numFmtId="14" fontId="38" fillId="3" borderId="1" xfId="1" applyNumberFormat="1" applyFont="1" applyFill="1" applyBorder="1" applyAlignment="1" applyProtection="1">
      <alignment horizontal="center" vertical="center" wrapText="1"/>
      <protection locked="0"/>
    </xf>
    <xf numFmtId="1" fontId="38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8" fillId="0" borderId="1" xfId="1" quotePrefix="1" applyFont="1" applyBorder="1" applyAlignment="1">
      <alignment horizontal="center" vertical="center" wrapText="1"/>
    </xf>
    <xf numFmtId="1" fontId="38" fillId="0" borderId="1" xfId="1" applyNumberFormat="1" applyFont="1" applyBorder="1" applyAlignment="1" applyProtection="1">
      <alignment horizontal="center" vertical="center" wrapText="1"/>
      <protection locked="0"/>
    </xf>
    <xf numFmtId="0" fontId="38" fillId="0" borderId="1" xfId="1" applyFont="1" applyBorder="1" applyAlignment="1" applyProtection="1">
      <alignment horizontal="center" vertical="center" wrapText="1"/>
      <protection locked="0"/>
    </xf>
    <xf numFmtId="14" fontId="38" fillId="0" borderId="1" xfId="1" applyNumberFormat="1" applyFont="1" applyBorder="1" applyAlignment="1" applyProtection="1">
      <alignment horizontal="center" vertical="center" wrapText="1"/>
      <protection locked="0"/>
    </xf>
    <xf numFmtId="1" fontId="38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1" fontId="38" fillId="0" borderId="1" xfId="1" quotePrefix="1" applyNumberFormat="1" applyFont="1" applyBorder="1" applyAlignment="1">
      <alignment horizontal="center" vertical="center" wrapText="1"/>
    </xf>
    <xf numFmtId="0" fontId="38" fillId="3" borderId="1" xfId="1" applyFont="1" applyFill="1" applyBorder="1" applyAlignment="1" applyProtection="1">
      <alignment horizontal="center" vertical="center" wrapText="1"/>
      <protection locked="0"/>
    </xf>
    <xf numFmtId="0" fontId="38" fillId="0" borderId="1" xfId="1" applyFont="1" applyBorder="1" applyAlignment="1" applyProtection="1">
      <alignment horizontal="left" vertical="center"/>
      <protection locked="0"/>
    </xf>
    <xf numFmtId="0" fontId="30" fillId="4" borderId="1" xfId="1" applyFont="1" applyFill="1" applyBorder="1" applyAlignment="1">
      <alignment horizontal="left" vertical="center"/>
    </xf>
    <xf numFmtId="0" fontId="30" fillId="4" borderId="0" xfId="1" applyFont="1" applyFill="1" applyAlignment="1" applyProtection="1">
      <alignment horizontal="left" vertical="center" wrapText="1"/>
      <protection locked="0"/>
    </xf>
    <xf numFmtId="14" fontId="34" fillId="0" borderId="1" xfId="1" applyNumberFormat="1" applyFont="1" applyBorder="1" applyAlignment="1" applyProtection="1">
      <alignment horizontal="left" vertical="center"/>
      <protection locked="0"/>
    </xf>
    <xf numFmtId="0" fontId="34" fillId="6" borderId="1" xfId="1" applyFont="1" applyFill="1" applyBorder="1" applyAlignment="1" applyProtection="1">
      <alignment horizontal="left" vertical="center"/>
      <protection locked="0"/>
    </xf>
    <xf numFmtId="1" fontId="34" fillId="6" borderId="1" xfId="1" applyNumberFormat="1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left" vertical="center"/>
    </xf>
    <xf numFmtId="0" fontId="42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left" vertical="center"/>
    </xf>
    <xf numFmtId="14" fontId="34" fillId="4" borderId="1" xfId="0" applyNumberFormat="1" applyFont="1" applyFill="1" applyBorder="1" applyAlignment="1">
      <alignment horizontal="left" vertical="center"/>
    </xf>
    <xf numFmtId="14" fontId="39" fillId="4" borderId="1" xfId="0" applyNumberFormat="1" applyFont="1" applyFill="1" applyBorder="1" applyAlignment="1">
      <alignment horizontal="center" vertical="center"/>
    </xf>
    <xf numFmtId="14" fontId="36" fillId="4" borderId="15" xfId="0" applyNumberFormat="1" applyFont="1" applyFill="1" applyBorder="1" applyAlignment="1">
      <alignment horizontal="center" vertical="center"/>
    </xf>
    <xf numFmtId="14" fontId="43" fillId="4" borderId="15" xfId="0" applyNumberFormat="1" applyFont="1" applyFill="1" applyBorder="1" applyAlignment="1">
      <alignment horizontal="center" vertical="center"/>
    </xf>
    <xf numFmtId="14" fontId="43" fillId="4" borderId="1" xfId="0" applyNumberFormat="1" applyFont="1" applyFill="1" applyBorder="1" applyAlignment="1">
      <alignment horizontal="center" vertical="center"/>
    </xf>
    <xf numFmtId="164" fontId="34" fillId="6" borderId="0" xfId="1" applyNumberFormat="1" applyFont="1" applyFill="1" applyAlignment="1" applyProtection="1">
      <alignment horizontal="center" vertical="center"/>
      <protection locked="0"/>
    </xf>
    <xf numFmtId="0" fontId="39" fillId="6" borderId="0" xfId="1" quotePrefix="1" applyFont="1" applyFill="1" applyAlignment="1">
      <alignment horizontal="center" vertical="center"/>
    </xf>
    <xf numFmtId="0" fontId="34" fillId="4" borderId="1" xfId="1" quotePrefix="1" applyFont="1" applyFill="1" applyBorder="1" applyAlignment="1" applyProtection="1">
      <alignment horizontal="center" vertical="center"/>
      <protection locked="0"/>
    </xf>
    <xf numFmtId="1" fontId="34" fillId="4" borderId="1" xfId="1" quotePrefix="1" applyNumberFormat="1" applyFont="1" applyFill="1" applyBorder="1" applyAlignment="1" applyProtection="1">
      <alignment horizontal="center" vertical="center" wrapText="1"/>
      <protection locked="0"/>
    </xf>
    <xf numFmtId="14" fontId="36" fillId="4" borderId="1" xfId="1" applyNumberFormat="1" applyFont="1" applyFill="1" applyBorder="1" applyAlignment="1">
      <alignment horizontal="left" vertical="center" wrapText="1"/>
    </xf>
    <xf numFmtId="14" fontId="43" fillId="4" borderId="1" xfId="1" applyNumberFormat="1" applyFont="1" applyFill="1" applyBorder="1" applyAlignment="1">
      <alignment horizontal="left" vertical="center" wrapText="1"/>
    </xf>
    <xf numFmtId="14" fontId="44" fillId="4" borderId="1" xfId="0" applyNumberFormat="1" applyFont="1" applyFill="1" applyBorder="1" applyAlignment="1">
      <alignment horizontal="left" vertical="center" wrapText="1"/>
    </xf>
    <xf numFmtId="14" fontId="43" fillId="4" borderId="1" xfId="0" applyNumberFormat="1" applyFont="1" applyFill="1" applyBorder="1" applyAlignment="1">
      <alignment horizontal="left" vertical="center"/>
    </xf>
    <xf numFmtId="14" fontId="44" fillId="4" borderId="1" xfId="0" applyNumberFormat="1" applyFont="1" applyFill="1" applyBorder="1" applyAlignment="1">
      <alignment horizontal="left" vertical="center"/>
    </xf>
    <xf numFmtId="14" fontId="43" fillId="4" borderId="1" xfId="0" applyNumberFormat="1" applyFont="1" applyFill="1" applyBorder="1" applyAlignment="1">
      <alignment horizontal="center" vertical="center" wrapText="1"/>
    </xf>
    <xf numFmtId="0" fontId="34" fillId="6" borderId="1" xfId="1" quotePrefix="1" applyFont="1" applyFill="1" applyBorder="1" applyAlignment="1" applyProtection="1">
      <alignment horizontal="left" vertical="center"/>
      <protection locked="0"/>
    </xf>
    <xf numFmtId="0" fontId="26" fillId="4" borderId="1" xfId="1" quotePrefix="1" applyFont="1" applyFill="1" applyBorder="1" applyAlignment="1">
      <alignment horizontal="center" vertical="center"/>
    </xf>
    <xf numFmtId="164" fontId="26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39" fillId="0" borderId="1" xfId="1" applyFont="1" applyBorder="1" applyAlignment="1" applyProtection="1">
      <alignment horizontal="left" vertical="center"/>
      <protection locked="0"/>
    </xf>
    <xf numFmtId="0" fontId="39" fillId="0" borderId="1" xfId="1" quotePrefix="1" applyFont="1" applyBorder="1" applyAlignment="1" applyProtection="1">
      <alignment horizontal="center" vertical="center"/>
      <protection locked="0"/>
    </xf>
    <xf numFmtId="0" fontId="39" fillId="6" borderId="1" xfId="1" quotePrefix="1" applyFont="1" applyFill="1" applyBorder="1" applyAlignment="1">
      <alignment horizontal="center" vertical="center"/>
    </xf>
    <xf numFmtId="0" fontId="39" fillId="6" borderId="1" xfId="1" applyFont="1" applyFill="1" applyBorder="1" applyAlignment="1" applyProtection="1">
      <alignment horizontal="center" vertical="center"/>
      <protection locked="0"/>
    </xf>
    <xf numFmtId="164" fontId="39" fillId="6" borderId="1" xfId="1" applyNumberFormat="1" applyFont="1" applyFill="1" applyBorder="1" applyAlignment="1" applyProtection="1">
      <alignment horizontal="center" vertical="center"/>
      <protection locked="0"/>
    </xf>
    <xf numFmtId="164" fontId="39" fillId="6" borderId="1" xfId="1" applyNumberFormat="1" applyFont="1" applyFill="1" applyBorder="1" applyAlignment="1" applyProtection="1">
      <alignment horizontal="center" vertical="center" wrapText="1"/>
      <protection locked="0"/>
    </xf>
    <xf numFmtId="1" fontId="39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39" fillId="2" borderId="1" xfId="1" applyFont="1" applyFill="1" applyBorder="1" applyAlignment="1" applyProtection="1">
      <alignment horizontal="center" vertical="center"/>
      <protection locked="0"/>
    </xf>
    <xf numFmtId="0" fontId="39" fillId="0" borderId="1" xfId="1" quotePrefix="1" applyFont="1" applyBorder="1" applyAlignment="1">
      <alignment horizontal="center" vertical="center"/>
    </xf>
    <xf numFmtId="0" fontId="39" fillId="0" borderId="1" xfId="1" applyFont="1" applyBorder="1" applyAlignment="1" applyProtection="1">
      <alignment horizontal="center" vertical="center"/>
      <protection locked="0"/>
    </xf>
    <xf numFmtId="14" fontId="39" fillId="0" borderId="1" xfId="1" applyNumberFormat="1" applyFont="1" applyBorder="1" applyAlignment="1" applyProtection="1">
      <alignment horizontal="center" vertical="center"/>
      <protection locked="0"/>
    </xf>
    <xf numFmtId="0" fontId="39" fillId="3" borderId="1" xfId="1" quotePrefix="1" applyFont="1" applyFill="1" applyBorder="1" applyAlignment="1" applyProtection="1">
      <alignment horizontal="center" vertical="center" wrapText="1"/>
      <protection locked="0"/>
    </xf>
    <xf numFmtId="14" fontId="39" fillId="3" borderId="1" xfId="1" applyNumberFormat="1" applyFont="1" applyFill="1" applyBorder="1" applyAlignment="1" applyProtection="1">
      <alignment horizontal="center" vertical="center" wrapText="1"/>
      <protection locked="0"/>
    </xf>
    <xf numFmtId="1" fontId="39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9" fillId="0" borderId="1" xfId="1" quotePrefix="1" applyFont="1" applyBorder="1" applyAlignment="1">
      <alignment horizontal="center" vertical="center" wrapText="1"/>
    </xf>
    <xf numFmtId="1" fontId="39" fillId="0" borderId="1" xfId="1" applyNumberFormat="1" applyFont="1" applyBorder="1" applyAlignment="1" applyProtection="1">
      <alignment horizontal="center" vertical="center" wrapText="1"/>
      <protection locked="0"/>
    </xf>
    <xf numFmtId="0" fontId="39" fillId="0" borderId="1" xfId="1" applyFont="1" applyBorder="1" applyAlignment="1" applyProtection="1">
      <alignment horizontal="center" vertical="center" wrapText="1"/>
      <protection locked="0"/>
    </xf>
    <xf numFmtId="14" fontId="39" fillId="0" borderId="1" xfId="1" applyNumberFormat="1" applyFont="1" applyBorder="1" applyAlignment="1" applyProtection="1">
      <alignment horizontal="center" vertical="center" wrapText="1"/>
      <protection locked="0"/>
    </xf>
    <xf numFmtId="1" fontId="39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1" fontId="39" fillId="0" borderId="1" xfId="1" quotePrefix="1" applyNumberFormat="1" applyFont="1" applyBorder="1" applyAlignment="1">
      <alignment horizontal="center" vertical="center" wrapText="1"/>
    </xf>
    <xf numFmtId="0" fontId="39" fillId="3" borderId="1" xfId="1" applyFont="1" applyFill="1" applyBorder="1" applyAlignment="1" applyProtection="1">
      <alignment horizontal="center" vertical="center" wrapText="1"/>
      <protection locked="0"/>
    </xf>
    <xf numFmtId="14" fontId="43" fillId="4" borderId="1" xfId="0" applyNumberFormat="1" applyFont="1" applyFill="1" applyBorder="1" applyAlignment="1">
      <alignment horizontal="center" vertical="center" wrapText="1" readingOrder="1"/>
    </xf>
    <xf numFmtId="14" fontId="36" fillId="4" borderId="1" xfId="1" applyNumberFormat="1" applyFont="1" applyFill="1" applyBorder="1" applyAlignment="1">
      <alignment horizontal="left" vertical="center"/>
    </xf>
    <xf numFmtId="0" fontId="15" fillId="0" borderId="0" xfId="1" applyFont="1" applyAlignment="1" applyProtection="1">
      <alignment vertical="center" wrapText="1"/>
      <protection locked="0"/>
    </xf>
    <xf numFmtId="0" fontId="14" fillId="0" borderId="1" xfId="1" applyFont="1" applyBorder="1" applyAlignment="1" applyProtection="1">
      <alignment horizontal="left" vertical="center"/>
      <protection locked="0"/>
    </xf>
    <xf numFmtId="0" fontId="14" fillId="3" borderId="1" xfId="1" applyFont="1" applyFill="1" applyBorder="1" applyAlignment="1" applyProtection="1">
      <alignment horizontal="center" vertical="center" wrapText="1"/>
      <protection locked="0"/>
    </xf>
    <xf numFmtId="0" fontId="14" fillId="3" borderId="1" xfId="1" quotePrefix="1" applyFont="1" applyFill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14" fillId="0" borderId="1" xfId="1" quotePrefix="1" applyFont="1" applyBorder="1" applyAlignment="1">
      <alignment horizontal="center" vertical="center" wrapText="1"/>
    </xf>
    <xf numFmtId="0" fontId="14" fillId="0" borderId="1" xfId="1" quotePrefix="1" applyFont="1" applyBorder="1" applyAlignment="1" applyProtection="1">
      <alignment horizontal="center" vertical="center" wrapText="1"/>
      <protection locked="0"/>
    </xf>
    <xf numFmtId="0" fontId="14" fillId="0" borderId="13" xfId="1" applyFont="1" applyBorder="1" applyAlignment="1" applyProtection="1">
      <alignment horizontal="center" vertical="center" wrapText="1"/>
      <protection locked="0"/>
    </xf>
    <xf numFmtId="0" fontId="14" fillId="0" borderId="0" xfId="1" quotePrefix="1" applyFont="1" applyAlignment="1">
      <alignment horizontal="center" vertical="center" wrapText="1"/>
    </xf>
    <xf numFmtId="0" fontId="14" fillId="0" borderId="0" xfId="1" quotePrefix="1" applyFont="1" applyAlignment="1" applyProtection="1">
      <alignment horizontal="center" vertical="center" wrapText="1"/>
      <protection locked="0"/>
    </xf>
    <xf numFmtId="164" fontId="45" fillId="6" borderId="25" xfId="1" applyNumberFormat="1" applyFont="1" applyFill="1" applyBorder="1" applyAlignment="1" applyProtection="1">
      <alignment horizontal="center" vertical="center" wrapText="1"/>
      <protection locked="0"/>
    </xf>
    <xf numFmtId="164" fontId="45" fillId="6" borderId="26" xfId="1" applyNumberFormat="1" applyFont="1" applyFill="1" applyBorder="1" applyAlignment="1" applyProtection="1">
      <alignment horizontal="center" vertical="center"/>
      <protection locked="0"/>
    </xf>
    <xf numFmtId="0" fontId="46" fillId="6" borderId="26" xfId="1" quotePrefix="1" applyFont="1" applyFill="1" applyBorder="1" applyAlignment="1">
      <alignment horizontal="center" vertical="center"/>
    </xf>
    <xf numFmtId="0" fontId="45" fillId="0" borderId="26" xfId="1" quotePrefix="1" applyFont="1" applyBorder="1" applyAlignment="1" applyProtection="1">
      <alignment horizontal="center" vertical="center"/>
      <protection locked="0"/>
    </xf>
    <xf numFmtId="0" fontId="45" fillId="4" borderId="26" xfId="1" applyFont="1" applyFill="1" applyBorder="1" applyAlignment="1">
      <alignment horizontal="left" vertical="center"/>
    </xf>
    <xf numFmtId="0" fontId="45" fillId="4" borderId="26" xfId="0" applyFont="1" applyFill="1" applyBorder="1" applyAlignment="1">
      <alignment horizontal="left" vertical="center"/>
    </xf>
    <xf numFmtId="0" fontId="46" fillId="4" borderId="27" xfId="1" applyFont="1" applyFill="1" applyBorder="1" applyAlignment="1">
      <alignment horizontal="center" vertical="center"/>
    </xf>
    <xf numFmtId="0" fontId="14" fillId="0" borderId="28" xfId="1" applyFont="1" applyBorder="1" applyAlignment="1" applyProtection="1">
      <alignment horizontal="left" vertical="center"/>
      <protection locked="0"/>
    </xf>
    <xf numFmtId="164" fontId="45" fillId="6" borderId="15" xfId="1" applyNumberFormat="1" applyFont="1" applyFill="1" applyBorder="1" applyAlignment="1" applyProtection="1">
      <alignment horizontal="center" vertical="center" wrapText="1"/>
      <protection locked="0"/>
    </xf>
    <xf numFmtId="164" fontId="45" fillId="6" borderId="1" xfId="1" applyNumberFormat="1" applyFont="1" applyFill="1" applyBorder="1" applyAlignment="1" applyProtection="1">
      <alignment horizontal="center" vertical="center"/>
      <protection locked="0"/>
    </xf>
    <xf numFmtId="0" fontId="45" fillId="6" borderId="1" xfId="1" quotePrefix="1" applyFont="1" applyFill="1" applyBorder="1" applyAlignment="1">
      <alignment horizontal="center" vertical="center"/>
    </xf>
    <xf numFmtId="0" fontId="45" fillId="0" borderId="1" xfId="1" quotePrefix="1" applyFont="1" applyBorder="1" applyAlignment="1" applyProtection="1">
      <alignment horizontal="center" vertical="center"/>
      <protection locked="0"/>
    </xf>
    <xf numFmtId="0" fontId="45" fillId="4" borderId="1" xfId="1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left" vertical="center"/>
    </xf>
    <xf numFmtId="0" fontId="46" fillId="4" borderId="14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left" vertical="center"/>
      <protection locked="0"/>
    </xf>
    <xf numFmtId="0" fontId="45" fillId="4" borderId="14" xfId="1" applyFont="1" applyFill="1" applyBorder="1" applyAlignment="1">
      <alignment horizontal="center" vertical="center"/>
    </xf>
    <xf numFmtId="0" fontId="46" fillId="6" borderId="1" xfId="1" quotePrefix="1" applyFont="1" applyFill="1" applyBorder="1" applyAlignment="1">
      <alignment horizontal="center" vertical="center"/>
    </xf>
    <xf numFmtId="0" fontId="47" fillId="0" borderId="16" xfId="1" applyFont="1" applyBorder="1" applyAlignment="1" applyProtection="1">
      <alignment horizontal="left" vertical="center"/>
      <protection locked="0"/>
    </xf>
    <xf numFmtId="0" fontId="16" fillId="4" borderId="14" xfId="1" applyFont="1" applyFill="1" applyBorder="1" applyAlignment="1">
      <alignment horizontal="center" vertical="center"/>
    </xf>
    <xf numFmtId="0" fontId="46" fillId="0" borderId="1" xfId="1" quotePrefix="1" applyFont="1" applyBorder="1" applyAlignment="1" applyProtection="1">
      <alignment horizontal="center" vertical="center"/>
      <protection locked="0"/>
    </xf>
    <xf numFmtId="164" fontId="45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46" fillId="4" borderId="1" xfId="1" applyFont="1" applyFill="1" applyBorder="1" applyAlignment="1">
      <alignment horizontal="center" vertical="center"/>
    </xf>
    <xf numFmtId="0" fontId="47" fillId="3" borderId="1" xfId="1" applyFont="1" applyFill="1" applyBorder="1" applyAlignment="1" applyProtection="1">
      <alignment horizontal="center" vertical="center" wrapText="1"/>
      <protection locked="0"/>
    </xf>
    <xf numFmtId="0" fontId="47" fillId="3" borderId="1" xfId="1" quotePrefix="1" applyFont="1" applyFill="1" applyBorder="1" applyAlignment="1" applyProtection="1">
      <alignment horizontal="center" vertical="center" wrapText="1"/>
      <protection locked="0"/>
    </xf>
    <xf numFmtId="0" fontId="47" fillId="0" borderId="1" xfId="1" applyFont="1" applyBorder="1" applyAlignment="1" applyProtection="1">
      <alignment horizontal="center" vertical="center" wrapText="1"/>
      <protection locked="0"/>
    </xf>
    <xf numFmtId="0" fontId="47" fillId="0" borderId="1" xfId="1" quotePrefix="1" applyFont="1" applyBorder="1" applyAlignment="1">
      <alignment horizontal="center" vertical="center" wrapText="1"/>
    </xf>
    <xf numFmtId="0" fontId="47" fillId="0" borderId="1" xfId="1" quotePrefix="1" applyFont="1" applyBorder="1" applyAlignment="1" applyProtection="1">
      <alignment horizontal="center" vertical="center" wrapText="1"/>
      <protection locked="0"/>
    </xf>
    <xf numFmtId="0" fontId="47" fillId="0" borderId="13" xfId="1" applyFont="1" applyBorder="1" applyAlignment="1" applyProtection="1">
      <alignment horizontal="center" vertical="center" wrapText="1"/>
      <protection locked="0"/>
    </xf>
    <xf numFmtId="0" fontId="47" fillId="0" borderId="0" xfId="1" applyFont="1" applyAlignment="1" applyProtection="1">
      <alignment horizontal="center" vertical="center" wrapText="1"/>
      <protection locked="0"/>
    </xf>
    <xf numFmtId="0" fontId="47" fillId="0" borderId="0" xfId="1" quotePrefix="1" applyFont="1" applyAlignment="1">
      <alignment horizontal="center" vertical="center" wrapText="1"/>
    </xf>
    <xf numFmtId="0" fontId="47" fillId="0" borderId="0" xfId="1" quotePrefix="1" applyFont="1" applyAlignment="1" applyProtection="1">
      <alignment horizontal="center" vertical="center" wrapText="1"/>
      <protection locked="0"/>
    </xf>
    <xf numFmtId="0" fontId="45" fillId="6" borderId="1" xfId="1" quotePrefix="1" applyFont="1" applyFill="1" applyBorder="1" applyAlignment="1" applyProtection="1">
      <alignment horizontal="center" vertical="center"/>
      <protection locked="0"/>
    </xf>
    <xf numFmtId="0" fontId="46" fillId="4" borderId="1" xfId="1" quotePrefix="1" applyFont="1" applyFill="1" applyBorder="1" applyAlignment="1">
      <alignment horizontal="center" vertical="center"/>
    </xf>
    <xf numFmtId="14" fontId="45" fillId="6" borderId="1" xfId="1" applyNumberFormat="1" applyFont="1" applyFill="1" applyBorder="1" applyAlignment="1" applyProtection="1">
      <alignment horizontal="center" vertical="center"/>
      <protection locked="0"/>
    </xf>
    <xf numFmtId="0" fontId="45" fillId="0" borderId="1" xfId="0" applyFont="1" applyBorder="1" applyAlignment="1">
      <alignment horizontal="left" vertical="center"/>
    </xf>
    <xf numFmtId="0" fontId="45" fillId="4" borderId="1" xfId="0" applyFont="1" applyFill="1" applyBorder="1" applyAlignment="1">
      <alignment horizontal="left" vertical="center" wrapText="1"/>
    </xf>
    <xf numFmtId="0" fontId="15" fillId="5" borderId="12" xfId="1" applyFont="1" applyFill="1" applyBorder="1" applyAlignment="1" applyProtection="1">
      <alignment horizontal="center" vertical="center" textRotation="90" wrapText="1"/>
      <protection locked="0"/>
    </xf>
    <xf numFmtId="0" fontId="15" fillId="0" borderId="12" xfId="1" applyFont="1" applyBorder="1" applyAlignment="1" applyProtection="1">
      <alignment horizontal="center" vertical="center" textRotation="90" wrapText="1"/>
      <protection locked="0"/>
    </xf>
    <xf numFmtId="0" fontId="15" fillId="0" borderId="7" xfId="1" applyFont="1" applyBorder="1" applyAlignment="1" applyProtection="1">
      <alignment horizontal="center" vertical="center" textRotation="90" wrapText="1"/>
      <protection locked="0"/>
    </xf>
    <xf numFmtId="0" fontId="15" fillId="0" borderId="10" xfId="1" applyFont="1" applyBorder="1" applyAlignment="1" applyProtection="1">
      <alignment horizontal="center" vertical="center" textRotation="90" wrapText="1"/>
      <protection locked="0"/>
    </xf>
    <xf numFmtId="0" fontId="15" fillId="0" borderId="8" xfId="1" applyFont="1" applyBorder="1" applyAlignment="1" applyProtection="1">
      <alignment horizontal="center" vertical="center" textRotation="90" wrapText="1"/>
      <protection locked="0"/>
    </xf>
    <xf numFmtId="0" fontId="15" fillId="0" borderId="11" xfId="1" applyFont="1" applyBorder="1" applyAlignment="1" applyProtection="1">
      <alignment horizontal="center" vertical="center" textRotation="90" wrapText="1"/>
      <protection locked="0"/>
    </xf>
    <xf numFmtId="0" fontId="15" fillId="0" borderId="0" xfId="1" applyFont="1" applyAlignment="1" applyProtection="1">
      <alignment horizontal="center" vertical="center" textRotation="90" wrapText="1"/>
      <protection locked="0"/>
    </xf>
    <xf numFmtId="0" fontId="14" fillId="0" borderId="29" xfId="1" applyFont="1" applyBorder="1" applyAlignment="1" applyProtection="1">
      <alignment horizontal="left" vertical="center" wrapText="1"/>
      <protection locked="0"/>
    </xf>
    <xf numFmtId="0" fontId="15" fillId="0" borderId="3" xfId="1" applyFont="1" applyBorder="1" applyAlignment="1" applyProtection="1">
      <alignment vertical="center" wrapText="1"/>
      <protection locked="0"/>
    </xf>
    <xf numFmtId="0" fontId="15" fillId="0" borderId="5" xfId="1" applyFont="1" applyBorder="1" applyAlignment="1" applyProtection="1">
      <alignment vertical="center" wrapText="1"/>
      <protection locked="0"/>
    </xf>
    <xf numFmtId="0" fontId="15" fillId="0" borderId="2" xfId="1" applyFont="1" applyBorder="1" applyAlignment="1" applyProtection="1">
      <alignment horizontal="left" vertical="center"/>
      <protection locked="0"/>
    </xf>
    <xf numFmtId="0" fontId="15" fillId="0" borderId="3" xfId="1" applyFont="1" applyBorder="1" applyAlignment="1" applyProtection="1">
      <alignment vertical="center"/>
      <protection locked="0"/>
    </xf>
    <xf numFmtId="0" fontId="15" fillId="0" borderId="5" xfId="1" applyFont="1" applyBorder="1" applyAlignment="1" applyProtection="1">
      <alignment vertical="center"/>
      <protection locked="0"/>
    </xf>
    <xf numFmtId="0" fontId="15" fillId="0" borderId="2" xfId="1" applyFont="1" applyBorder="1" applyAlignment="1" applyProtection="1">
      <alignment vertical="center"/>
      <protection locked="0"/>
    </xf>
    <xf numFmtId="0" fontId="15" fillId="0" borderId="0" xfId="1" applyFont="1" applyAlignment="1" applyProtection="1">
      <alignment vertical="center"/>
      <protection locked="0"/>
    </xf>
    <xf numFmtId="14" fontId="15" fillId="0" borderId="30" xfId="0" applyNumberFormat="1" applyFont="1" applyBorder="1" applyAlignment="1">
      <alignment horizontal="right" vertical="center"/>
    </xf>
    <xf numFmtId="0" fontId="14" fillId="0" borderId="29" xfId="1" applyFont="1" applyBorder="1" applyAlignment="1" applyProtection="1">
      <alignment horizontal="left" vertical="center"/>
      <protection locked="0"/>
    </xf>
    <xf numFmtId="0" fontId="15" fillId="0" borderId="31" xfId="0" applyFont="1" applyBorder="1" applyAlignment="1">
      <alignment horizontal="right" vertical="center"/>
    </xf>
    <xf numFmtId="164" fontId="14" fillId="0" borderId="32" xfId="1" applyNumberFormat="1" applyFont="1" applyBorder="1" applyAlignment="1" applyProtection="1">
      <alignment horizontal="left" vertical="center"/>
      <protection locked="0"/>
    </xf>
    <xf numFmtId="164" fontId="14" fillId="0" borderId="11" xfId="1" applyNumberFormat="1" applyFont="1" applyBorder="1" applyAlignment="1" applyProtection="1">
      <alignment horizontal="left" vertical="center"/>
      <protection locked="0"/>
    </xf>
    <xf numFmtId="0" fontId="14" fillId="0" borderId="11" xfId="1" applyFont="1" applyBorder="1" applyAlignment="1" applyProtection="1">
      <alignment horizontal="center" vertical="center"/>
      <protection locked="0"/>
    </xf>
    <xf numFmtId="0" fontId="14" fillId="0" borderId="11" xfId="1" applyFont="1" applyBorder="1" applyAlignment="1" applyProtection="1">
      <alignment horizontal="center" vertical="center" wrapText="1"/>
      <protection locked="0"/>
    </xf>
    <xf numFmtId="0" fontId="14" fillId="0" borderId="11" xfId="1" applyFont="1" applyBorder="1" applyAlignment="1" applyProtection="1">
      <alignment horizontal="left" vertical="center" wrapText="1"/>
      <protection locked="0"/>
    </xf>
    <xf numFmtId="0" fontId="14" fillId="0" borderId="11" xfId="1" applyFont="1" applyBorder="1" applyAlignment="1" applyProtection="1">
      <alignment horizontal="left" vertical="center"/>
      <protection locked="0"/>
    </xf>
    <xf numFmtId="0" fontId="14" fillId="0" borderId="33" xfId="1" applyFont="1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left"/>
    </xf>
    <xf numFmtId="0" fontId="48" fillId="5" borderId="35" xfId="1" applyFont="1" applyFill="1" applyBorder="1" applyAlignment="1" applyProtection="1">
      <alignment horizontal="center" vertical="center" wrapText="1"/>
      <protection locked="0"/>
    </xf>
    <xf numFmtId="0" fontId="48" fillId="11" borderId="36" xfId="1" applyFont="1" applyFill="1" applyBorder="1" applyAlignment="1" applyProtection="1">
      <alignment horizontal="center" vertical="center" wrapText="1"/>
      <protection locked="0"/>
    </xf>
    <xf numFmtId="0" fontId="48" fillId="5" borderId="36" xfId="1" applyFont="1" applyFill="1" applyBorder="1" applyAlignment="1" applyProtection="1">
      <alignment horizontal="center" vertical="center" wrapText="1"/>
      <protection locked="0"/>
    </xf>
    <xf numFmtId="0" fontId="48" fillId="5" borderId="37" xfId="1" applyFont="1" applyFill="1" applyBorder="1" applyAlignment="1" applyProtection="1">
      <alignment horizontal="center" vertical="center" wrapText="1"/>
      <protection locked="0"/>
    </xf>
    <xf numFmtId="0" fontId="50" fillId="0" borderId="0" xfId="1" applyFont="1" applyAlignment="1" applyProtection="1">
      <alignment horizontal="left" vertical="center" wrapText="1"/>
      <protection locked="0"/>
    </xf>
    <xf numFmtId="0" fontId="34" fillId="0" borderId="4" xfId="1" applyFont="1" applyBorder="1" applyAlignment="1" applyProtection="1">
      <alignment horizontal="left" vertical="center"/>
      <protection locked="0"/>
    </xf>
    <xf numFmtId="0" fontId="34" fillId="0" borderId="4" xfId="1" applyFont="1" applyBorder="1" applyAlignment="1" applyProtection="1">
      <alignment horizontal="left" vertical="center" wrapText="1"/>
      <protection locked="0"/>
    </xf>
    <xf numFmtId="0" fontId="34" fillId="0" borderId="4" xfId="1" applyFont="1" applyBorder="1" applyAlignment="1" applyProtection="1">
      <alignment horizontal="center" vertical="center" wrapText="1"/>
      <protection locked="0"/>
    </xf>
    <xf numFmtId="0" fontId="34" fillId="6" borderId="2" xfId="1" applyFont="1" applyFill="1" applyBorder="1" applyAlignment="1" applyProtection="1">
      <alignment vertical="center"/>
      <protection locked="0"/>
    </xf>
    <xf numFmtId="0" fontId="34" fillId="6" borderId="5" xfId="1" applyFont="1" applyFill="1" applyBorder="1" applyAlignment="1" applyProtection="1">
      <alignment vertical="center"/>
      <protection locked="0"/>
    </xf>
    <xf numFmtId="164" fontId="34" fillId="6" borderId="5" xfId="1" applyNumberFormat="1" applyFont="1" applyFill="1" applyBorder="1" applyAlignment="1" applyProtection="1">
      <alignment vertical="center"/>
      <protection locked="0"/>
    </xf>
    <xf numFmtId="0" fontId="34" fillId="6" borderId="3" xfId="1" applyFont="1" applyFill="1" applyBorder="1" applyAlignment="1" applyProtection="1">
      <alignment vertical="center"/>
      <protection locked="0"/>
    </xf>
    <xf numFmtId="0" fontId="34" fillId="0" borderId="2" xfId="1" applyFont="1" applyBorder="1" applyAlignment="1" applyProtection="1">
      <alignment vertical="center"/>
      <protection locked="0"/>
    </xf>
    <xf numFmtId="0" fontId="34" fillId="0" borderId="5" xfId="1" applyFont="1" applyBorder="1" applyAlignment="1" applyProtection="1">
      <alignment vertical="center"/>
      <protection locked="0"/>
    </xf>
    <xf numFmtId="0" fontId="34" fillId="0" borderId="3" xfId="1" applyFont="1" applyBorder="1" applyAlignment="1" applyProtection="1">
      <alignment vertical="center"/>
      <protection locked="0"/>
    </xf>
    <xf numFmtId="0" fontId="34" fillId="0" borderId="2" xfId="1" applyFont="1" applyBorder="1" applyAlignment="1" applyProtection="1">
      <alignment horizontal="left" vertical="center"/>
      <protection locked="0"/>
    </xf>
    <xf numFmtId="0" fontId="34" fillId="0" borderId="5" xfId="1" applyFont="1" applyBorder="1" applyAlignment="1" applyProtection="1">
      <alignment vertical="center" wrapText="1"/>
      <protection locked="0"/>
    </xf>
    <xf numFmtId="0" fontId="34" fillId="0" borderId="3" xfId="1" applyFont="1" applyBorder="1" applyAlignment="1" applyProtection="1">
      <alignment vertical="center" wrapText="1"/>
      <protection locked="0"/>
    </xf>
    <xf numFmtId="14" fontId="49" fillId="4" borderId="1" xfId="0" applyNumberFormat="1" applyFont="1" applyFill="1" applyBorder="1" applyAlignment="1">
      <alignment horizontal="center" vertical="center" wrapText="1"/>
    </xf>
    <xf numFmtId="0" fontId="16" fillId="0" borderId="1" xfId="1" quotePrefix="1" applyFont="1" applyBorder="1" applyAlignment="1" applyProtection="1">
      <alignment horizontal="center" vertical="center"/>
      <protection locked="0"/>
    </xf>
    <xf numFmtId="0" fontId="16" fillId="6" borderId="1" xfId="1" quotePrefix="1" applyFont="1" applyFill="1" applyBorder="1" applyAlignment="1">
      <alignment horizontal="center" vertical="center"/>
    </xf>
    <xf numFmtId="164" fontId="16" fillId="6" borderId="1" xfId="1" applyNumberFormat="1" applyFont="1" applyFill="1" applyBorder="1" applyAlignment="1" applyProtection="1">
      <alignment horizontal="center" vertical="center"/>
      <protection locked="0"/>
    </xf>
    <xf numFmtId="0" fontId="16" fillId="4" borderId="1" xfId="1" applyFont="1" applyFill="1" applyBorder="1" applyAlignment="1">
      <alignment horizontal="left" vertical="center"/>
    </xf>
    <xf numFmtId="0" fontId="48" fillId="4" borderId="34" xfId="0" applyFont="1" applyFill="1" applyBorder="1" applyAlignment="1">
      <alignment horizontal="center" vertical="center"/>
    </xf>
    <xf numFmtId="0" fontId="48" fillId="4" borderId="34" xfId="1" applyFont="1" applyFill="1" applyBorder="1" applyAlignment="1">
      <alignment horizontal="left" vertical="center" wrapText="1"/>
    </xf>
    <xf numFmtId="0" fontId="48" fillId="0" borderId="34" xfId="1" quotePrefix="1" applyFont="1" applyBorder="1" applyAlignment="1" applyProtection="1">
      <alignment horizontal="center" vertical="center"/>
      <protection locked="0"/>
    </xf>
    <xf numFmtId="0" fontId="48" fillId="6" borderId="34" xfId="1" quotePrefix="1" applyFont="1" applyFill="1" applyBorder="1" applyAlignment="1">
      <alignment horizontal="center" vertical="center"/>
    </xf>
    <xf numFmtId="164" fontId="48" fillId="6" borderId="34" xfId="1" applyNumberFormat="1" applyFont="1" applyFill="1" applyBorder="1" applyAlignment="1" applyProtection="1">
      <alignment horizontal="center" vertical="center"/>
      <protection locked="0"/>
    </xf>
    <xf numFmtId="164" fontId="48" fillId="6" borderId="34" xfId="1" applyNumberFormat="1" applyFont="1" applyFill="1" applyBorder="1" applyAlignment="1" applyProtection="1">
      <alignment horizontal="center" vertical="center" wrapText="1"/>
      <protection locked="0"/>
    </xf>
    <xf numFmtId="0" fontId="48" fillId="4" borderId="1" xfId="1" applyFont="1" applyFill="1" applyBorder="1" applyAlignment="1">
      <alignment horizontal="left" vertical="center" wrapText="1"/>
    </xf>
    <xf numFmtId="0" fontId="48" fillId="0" borderId="1" xfId="1" quotePrefix="1" applyFont="1" applyBorder="1" applyAlignment="1" applyProtection="1">
      <alignment horizontal="center" vertical="center"/>
      <protection locked="0"/>
    </xf>
    <xf numFmtId="0" fontId="48" fillId="6" borderId="1" xfId="1" quotePrefix="1" applyFont="1" applyFill="1" applyBorder="1" applyAlignment="1">
      <alignment horizontal="center" vertical="center" wrapText="1"/>
    </xf>
    <xf numFmtId="164" fontId="48" fillId="6" borderId="1" xfId="1" applyNumberFormat="1" applyFont="1" applyFill="1" applyBorder="1" applyAlignment="1" applyProtection="1">
      <alignment horizontal="center" vertical="center"/>
      <protection locked="0"/>
    </xf>
    <xf numFmtId="0" fontId="48" fillId="4" borderId="1" xfId="1" applyFont="1" applyFill="1" applyBorder="1" applyAlignment="1">
      <alignment horizontal="left" vertical="center"/>
    </xf>
    <xf numFmtId="0" fontId="48" fillId="6" borderId="1" xfId="1" quotePrefix="1" applyFont="1" applyFill="1" applyBorder="1" applyAlignment="1">
      <alignment horizontal="center" vertical="center"/>
    </xf>
    <xf numFmtId="0" fontId="15" fillId="0" borderId="16" xfId="1" applyFont="1" applyBorder="1" applyAlignment="1" applyProtection="1">
      <alignment horizontal="left" vertical="center"/>
      <protection locked="0"/>
    </xf>
    <xf numFmtId="0" fontId="15" fillId="0" borderId="0" xfId="1" quotePrefix="1" applyFont="1" applyAlignment="1" applyProtection="1">
      <alignment horizontal="center" vertical="center" wrapText="1"/>
      <protection locked="0"/>
    </xf>
    <xf numFmtId="0" fontId="15" fillId="0" borderId="0" xfId="1" quotePrefix="1" applyFont="1" applyAlignment="1">
      <alignment horizontal="center" vertical="center" wrapText="1"/>
    </xf>
    <xf numFmtId="0" fontId="15" fillId="0" borderId="13" xfId="1" applyFont="1" applyBorder="1" applyAlignment="1" applyProtection="1">
      <alignment horizontal="center" vertical="center" wrapText="1"/>
      <protection locked="0"/>
    </xf>
    <xf numFmtId="0" fontId="15" fillId="0" borderId="1" xfId="1" applyFont="1" applyBorder="1" applyAlignment="1" applyProtection="1">
      <alignment horizontal="center" vertical="center" wrapText="1"/>
      <protection locked="0"/>
    </xf>
    <xf numFmtId="0" fontId="15" fillId="0" borderId="1" xfId="1" quotePrefix="1" applyFont="1" applyBorder="1" applyAlignment="1" applyProtection="1">
      <alignment horizontal="center" vertical="center" wrapText="1"/>
      <protection locked="0"/>
    </xf>
    <xf numFmtId="0" fontId="15" fillId="0" borderId="1" xfId="1" quotePrefix="1" applyFont="1" applyBorder="1" applyAlignment="1">
      <alignment horizontal="center" vertical="center" wrapText="1"/>
    </xf>
    <xf numFmtId="0" fontId="15" fillId="3" borderId="1" xfId="1" quotePrefix="1" applyFont="1" applyFill="1" applyBorder="1" applyAlignment="1" applyProtection="1">
      <alignment horizontal="center" vertical="center" wrapText="1"/>
      <protection locked="0"/>
    </xf>
    <xf numFmtId="0" fontId="15" fillId="3" borderId="1" xfId="1" applyFont="1" applyFill="1" applyBorder="1" applyAlignment="1" applyProtection="1">
      <alignment horizontal="center" vertical="center" wrapText="1"/>
      <protection locked="0"/>
    </xf>
    <xf numFmtId="0" fontId="15" fillId="0" borderId="1" xfId="1" applyFont="1" applyBorder="1" applyAlignment="1" applyProtection="1">
      <alignment horizontal="left" vertical="center"/>
      <protection locked="0"/>
    </xf>
    <xf numFmtId="164" fontId="16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51" fillId="6" borderId="1" xfId="1" quotePrefix="1" applyFont="1" applyFill="1" applyBorder="1" applyAlignment="1">
      <alignment horizontal="center" vertical="center"/>
    </xf>
    <xf numFmtId="0" fontId="54" fillId="0" borderId="0" xfId="1" quotePrefix="1" applyFont="1" applyAlignment="1" applyProtection="1">
      <alignment horizontal="center" vertical="center" wrapText="1"/>
      <protection locked="0"/>
    </xf>
    <xf numFmtId="0" fontId="54" fillId="0" borderId="0" xfId="1" applyFont="1" applyAlignment="1" applyProtection="1">
      <alignment horizontal="center" vertical="center" wrapText="1"/>
      <protection locked="0"/>
    </xf>
    <xf numFmtId="0" fontId="54" fillId="0" borderId="0" xfId="1" quotePrefix="1" applyFont="1" applyAlignment="1">
      <alignment horizontal="center" vertical="center" wrapText="1"/>
    </xf>
    <xf numFmtId="0" fontId="54" fillId="0" borderId="13" xfId="1" applyFont="1" applyBorder="1" applyAlignment="1" applyProtection="1">
      <alignment horizontal="center" vertical="center" wrapText="1"/>
      <protection locked="0"/>
    </xf>
    <xf numFmtId="0" fontId="54" fillId="0" borderId="1" xfId="1" applyFont="1" applyBorder="1" applyAlignment="1" applyProtection="1">
      <alignment horizontal="center" vertical="center" wrapText="1"/>
      <protection locked="0"/>
    </xf>
    <xf numFmtId="0" fontId="54" fillId="0" borderId="1" xfId="1" quotePrefix="1" applyFont="1" applyBorder="1" applyAlignment="1" applyProtection="1">
      <alignment horizontal="center" vertical="center" wrapText="1"/>
      <protection locked="0"/>
    </xf>
    <xf numFmtId="0" fontId="54" fillId="0" borderId="1" xfId="1" quotePrefix="1" applyFont="1" applyBorder="1" applyAlignment="1">
      <alignment horizontal="center" vertical="center" wrapText="1"/>
    </xf>
    <xf numFmtId="0" fontId="54" fillId="3" borderId="1" xfId="1" quotePrefix="1" applyFont="1" applyFill="1" applyBorder="1" applyAlignment="1" applyProtection="1">
      <alignment horizontal="center" vertical="center" wrapText="1"/>
      <protection locked="0"/>
    </xf>
    <xf numFmtId="0" fontId="54" fillId="3" borderId="1" xfId="1" applyFont="1" applyFill="1" applyBorder="1" applyAlignment="1" applyProtection="1">
      <alignment horizontal="center" vertical="center" wrapText="1"/>
      <protection locked="0"/>
    </xf>
    <xf numFmtId="0" fontId="54" fillId="0" borderId="1" xfId="1" applyFont="1" applyBorder="1" applyAlignment="1" applyProtection="1">
      <alignment horizontal="left" vertical="center"/>
      <protection locked="0"/>
    </xf>
    <xf numFmtId="14" fontId="16" fillId="6" borderId="1" xfId="1" applyNumberFormat="1" applyFont="1" applyFill="1" applyBorder="1" applyAlignment="1" applyProtection="1">
      <alignment horizontal="center" vertical="center"/>
      <protection locked="0"/>
    </xf>
    <xf numFmtId="0" fontId="55" fillId="4" borderId="34" xfId="1" applyFont="1" applyFill="1" applyBorder="1" applyAlignment="1">
      <alignment horizontal="center" vertical="center"/>
    </xf>
    <xf numFmtId="0" fontId="55" fillId="4" borderId="1" xfId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left" vertical="center" wrapText="1"/>
    </xf>
    <xf numFmtId="0" fontId="16" fillId="4" borderId="1" xfId="1" applyFont="1" applyFill="1" applyBorder="1" applyAlignment="1">
      <alignment horizontal="left" vertical="center" wrapText="1"/>
    </xf>
    <xf numFmtId="0" fontId="16" fillId="6" borderId="1" xfId="1" quotePrefix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4" fontId="39" fillId="4" borderId="1" xfId="0" applyNumberFormat="1" applyFont="1" applyFill="1" applyBorder="1" applyAlignment="1">
      <alignment horizontal="center" vertical="center" wrapText="1"/>
    </xf>
    <xf numFmtId="0" fontId="55" fillId="11" borderId="1" xfId="1" applyFont="1" applyFill="1" applyBorder="1" applyAlignment="1">
      <alignment horizontal="center" vertical="center"/>
    </xf>
    <xf numFmtId="0" fontId="48" fillId="11" borderId="34" xfId="0" applyFont="1" applyFill="1" applyBorder="1" applyAlignment="1">
      <alignment horizontal="center" vertical="center"/>
    </xf>
    <xf numFmtId="0" fontId="16" fillId="11" borderId="1" xfId="1" applyFont="1" applyFill="1" applyBorder="1" applyAlignment="1">
      <alignment horizontal="left" vertical="center"/>
    </xf>
    <xf numFmtId="0" fontId="16" fillId="11" borderId="1" xfId="1" quotePrefix="1" applyFont="1" applyFill="1" applyBorder="1" applyAlignment="1" applyProtection="1">
      <alignment horizontal="center" vertical="center"/>
      <protection locked="0"/>
    </xf>
    <xf numFmtId="0" fontId="51" fillId="11" borderId="1" xfId="1" quotePrefix="1" applyFont="1" applyFill="1" applyBorder="1" applyAlignment="1">
      <alignment horizontal="center" vertical="center" wrapText="1"/>
    </xf>
    <xf numFmtId="164" fontId="16" fillId="11" borderId="1" xfId="1" applyNumberFormat="1" applyFont="1" applyFill="1" applyBorder="1" applyAlignment="1" applyProtection="1">
      <alignment horizontal="center" vertical="center"/>
      <protection locked="0"/>
    </xf>
    <xf numFmtId="164" fontId="16" fillId="11" borderId="1" xfId="1" applyNumberFormat="1" applyFont="1" applyFill="1" applyBorder="1" applyAlignment="1" applyProtection="1">
      <alignment horizontal="center" vertical="center" wrapText="1"/>
      <protection locked="0"/>
    </xf>
    <xf numFmtId="0" fontId="48" fillId="0" borderId="34" xfId="0" applyFont="1" applyBorder="1" applyAlignment="1">
      <alignment horizontal="center" vertical="center"/>
    </xf>
    <xf numFmtId="0" fontId="46" fillId="6" borderId="1" xfId="1" quotePrefix="1" applyFont="1" applyFill="1" applyBorder="1" applyAlignment="1">
      <alignment horizontal="center" vertical="center" wrapText="1"/>
    </xf>
    <xf numFmtId="0" fontId="45" fillId="4" borderId="1" xfId="1" applyFont="1" applyFill="1" applyBorder="1" applyAlignment="1">
      <alignment horizontal="left" vertical="center" wrapText="1"/>
    </xf>
    <xf numFmtId="0" fontId="57" fillId="5" borderId="7" xfId="1" applyFont="1" applyFill="1" applyBorder="1" applyAlignment="1" applyProtection="1">
      <alignment horizontal="center" vertical="center" wrapText="1"/>
      <protection locked="0"/>
    </xf>
    <xf numFmtId="0" fontId="57" fillId="5" borderId="7" xfId="1" applyFont="1" applyFill="1" applyBorder="1" applyAlignment="1" applyProtection="1">
      <alignment horizontal="left" vertical="center" wrapText="1"/>
      <protection locked="0"/>
    </xf>
    <xf numFmtId="0" fontId="57" fillId="5" borderId="7" xfId="1" applyFont="1" applyFill="1" applyBorder="1" applyAlignment="1" applyProtection="1">
      <alignment horizontal="center" vertical="center" textRotation="90" wrapText="1"/>
      <protection locked="0"/>
    </xf>
    <xf numFmtId="0" fontId="57" fillId="0" borderId="1" xfId="1" applyFont="1" applyBorder="1" applyAlignment="1" applyProtection="1">
      <alignment horizontal="center" vertical="center"/>
      <protection locked="0"/>
    </xf>
    <xf numFmtId="0" fontId="57" fillId="5" borderId="7" xfId="1" applyFont="1" applyFill="1" applyBorder="1" applyAlignment="1" applyProtection="1">
      <alignment horizontal="left" vertical="center"/>
      <protection locked="0"/>
    </xf>
    <xf numFmtId="14" fontId="0" fillId="0" borderId="0" xfId="0" applyNumberFormat="1"/>
    <xf numFmtId="0" fontId="45" fillId="6" borderId="1" xfId="1" quotePrefix="1" applyFont="1" applyFill="1" applyBorder="1" applyAlignment="1">
      <alignment horizontal="center" vertical="center" wrapText="1"/>
    </xf>
    <xf numFmtId="0" fontId="57" fillId="0" borderId="1" xfId="1" quotePrefix="1" applyFont="1" applyBorder="1" applyAlignment="1" applyProtection="1">
      <alignment horizontal="center" vertical="center"/>
      <protection locked="0"/>
    </xf>
    <xf numFmtId="0" fontId="57" fillId="0" borderId="1" xfId="0" applyFont="1" applyBorder="1" applyAlignment="1">
      <alignment horizontal="center" vertical="center"/>
    </xf>
    <xf numFmtId="14" fontId="59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left" vertical="center" wrapText="1"/>
    </xf>
    <xf numFmtId="14" fontId="59" fillId="0" borderId="1" xfId="0" applyNumberFormat="1" applyFont="1" applyBorder="1" applyAlignment="1">
      <alignment horizontal="center" vertical="center"/>
    </xf>
    <xf numFmtId="14" fontId="60" fillId="0" borderId="1" xfId="0" applyNumberFormat="1" applyFont="1" applyBorder="1" applyAlignment="1">
      <alignment horizontal="center" vertical="center"/>
    </xf>
    <xf numFmtId="0" fontId="57" fillId="13" borderId="7" xfId="1" applyFont="1" applyFill="1" applyBorder="1" applyAlignment="1" applyProtection="1">
      <alignment horizontal="center" vertical="center" wrapText="1"/>
      <protection locked="0"/>
    </xf>
    <xf numFmtId="14" fontId="26" fillId="6" borderId="1" xfId="1" applyNumberFormat="1" applyFont="1" applyFill="1" applyBorder="1" applyAlignment="1" applyProtection="1">
      <alignment horizontal="center" vertical="center"/>
      <protection locked="0"/>
    </xf>
    <xf numFmtId="164" fontId="26" fillId="6" borderId="15" xfId="1" applyNumberFormat="1" applyFont="1" applyFill="1" applyBorder="1" applyAlignment="1" applyProtection="1">
      <alignment horizontal="center" vertical="center" wrapText="1"/>
      <protection locked="0"/>
    </xf>
    <xf numFmtId="0" fontId="26" fillId="0" borderId="13" xfId="1" quotePrefix="1" applyFont="1" applyBorder="1" applyAlignment="1">
      <alignment horizontal="center" vertical="center"/>
    </xf>
    <xf numFmtId="0" fontId="26" fillId="0" borderId="13" xfId="1" quotePrefix="1" applyFont="1" applyBorder="1" applyAlignment="1">
      <alignment horizontal="center" vertical="center" wrapText="1"/>
    </xf>
    <xf numFmtId="0" fontId="26" fillId="0" borderId="1" xfId="1" applyFont="1" applyBorder="1" applyAlignment="1" applyProtection="1">
      <alignment horizontal="center" vertical="center" wrapText="1"/>
      <protection locked="0"/>
    </xf>
    <xf numFmtId="14" fontId="26" fillId="0" borderId="1" xfId="1" applyNumberFormat="1" applyFont="1" applyBorder="1" applyAlignment="1" applyProtection="1">
      <alignment horizontal="center" vertical="center" wrapText="1"/>
      <protection locked="0"/>
    </xf>
    <xf numFmtId="1" fontId="26" fillId="0" borderId="1" xfId="1" applyNumberFormat="1" applyFont="1" applyBorder="1" applyAlignment="1" applyProtection="1">
      <alignment horizontal="center" vertical="center" wrapText="1"/>
      <protection locked="0"/>
    </xf>
    <xf numFmtId="1" fontId="26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26" fillId="0" borderId="14" xfId="1" quotePrefix="1" applyFont="1" applyBorder="1" applyAlignment="1">
      <alignment horizontal="center" vertical="center" wrapText="1"/>
    </xf>
    <xf numFmtId="14" fontId="26" fillId="0" borderId="21" xfId="1" applyNumberFormat="1" applyFont="1" applyBorder="1" applyAlignment="1" applyProtection="1">
      <alignment horizontal="center" vertical="center" wrapText="1"/>
      <protection locked="0"/>
    </xf>
    <xf numFmtId="14" fontId="26" fillId="6" borderId="1" xfId="1" quotePrefix="1" applyNumberFormat="1" applyFont="1" applyFill="1" applyBorder="1" applyAlignment="1">
      <alignment horizontal="center" vertical="center" wrapText="1"/>
    </xf>
    <xf numFmtId="16" fontId="57" fillId="0" borderId="1" xfId="0" applyNumberFormat="1" applyFont="1" applyBorder="1" applyAlignment="1">
      <alignment horizontal="center" vertical="center" wrapText="1"/>
    </xf>
    <xf numFmtId="0" fontId="57" fillId="14" borderId="7" xfId="1" applyFont="1" applyFill="1" applyBorder="1" applyAlignment="1" applyProtection="1">
      <alignment horizontal="center" vertical="center" wrapText="1"/>
      <protection locked="0"/>
    </xf>
    <xf numFmtId="0" fontId="59" fillId="0" borderId="1" xfId="0" applyFont="1" applyBorder="1" applyAlignment="1">
      <alignment horizontal="center" vertical="center"/>
    </xf>
    <xf numFmtId="0" fontId="58" fillId="4" borderId="7" xfId="1" applyFont="1" applyFill="1" applyBorder="1" applyAlignment="1" applyProtection="1">
      <alignment horizontal="center" vertical="center" wrapText="1"/>
      <protection locked="0"/>
    </xf>
    <xf numFmtId="0" fontId="45" fillId="11" borderId="1" xfId="0" applyFont="1" applyFill="1" applyBorder="1" applyAlignment="1">
      <alignment horizontal="left" vertical="center"/>
    </xf>
    <xf numFmtId="14" fontId="62" fillId="0" borderId="1" xfId="0" applyNumberFormat="1" applyFont="1" applyBorder="1" applyAlignment="1">
      <alignment horizontal="center" vertical="center"/>
    </xf>
    <xf numFmtId="16" fontId="26" fillId="0" borderId="1" xfId="1" applyNumberFormat="1" applyFont="1" applyBorder="1" applyAlignment="1" applyProtection="1">
      <alignment horizontal="center" vertical="center" wrapText="1"/>
      <protection locked="0"/>
    </xf>
    <xf numFmtId="14" fontId="26" fillId="0" borderId="1" xfId="1" quotePrefix="1" applyNumberFormat="1" applyFont="1" applyBorder="1" applyAlignment="1">
      <alignment horizontal="center" vertical="center" wrapText="1"/>
    </xf>
    <xf numFmtId="16" fontId="26" fillId="6" borderId="1" xfId="1" applyNumberFormat="1" applyFont="1" applyFill="1" applyBorder="1" applyAlignment="1" applyProtection="1">
      <alignment horizontal="left" vertical="center" wrapText="1"/>
      <protection locked="0"/>
    </xf>
    <xf numFmtId="0" fontId="26" fillId="0" borderId="1" xfId="1" quotePrefix="1" applyFont="1" applyBorder="1" applyAlignment="1">
      <alignment horizontal="center" vertical="center" wrapText="1"/>
    </xf>
    <xf numFmtId="0" fontId="26" fillId="16" borderId="1" xfId="1" quotePrefix="1" applyFont="1" applyFill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/>
    </xf>
    <xf numFmtId="1" fontId="26" fillId="6" borderId="14" xfId="1" quotePrefix="1" applyNumberFormat="1" applyFont="1" applyFill="1" applyBorder="1" applyAlignment="1">
      <alignment horizontal="center" vertical="center" wrapText="1"/>
    </xf>
    <xf numFmtId="0" fontId="19" fillId="0" borderId="0" xfId="1" applyFont="1" applyAlignment="1" applyProtection="1">
      <alignment horizontal="left" vertical="center"/>
      <protection locked="0"/>
    </xf>
    <xf numFmtId="0" fontId="65" fillId="0" borderId="0" xfId="1" applyFont="1" applyAlignment="1" applyProtection="1">
      <alignment horizontal="center" vertical="center"/>
      <protection locked="0"/>
    </xf>
    <xf numFmtId="0" fontId="65" fillId="0" borderId="0" xfId="1" applyFont="1" applyAlignment="1" applyProtection="1">
      <alignment horizontal="left" vertical="center"/>
      <protection locked="0"/>
    </xf>
    <xf numFmtId="0" fontId="65" fillId="0" borderId="0" xfId="1" applyFont="1" applyAlignment="1" applyProtection="1">
      <alignment horizontal="center" vertical="center" wrapText="1"/>
      <protection locked="0"/>
    </xf>
    <xf numFmtId="0" fontId="19" fillId="0" borderId="0" xfId="1" applyFont="1" applyAlignment="1" applyProtection="1">
      <alignment horizontal="center" vertical="center"/>
      <protection locked="0"/>
    </xf>
    <xf numFmtId="164" fontId="19" fillId="0" borderId="0" xfId="1" applyNumberFormat="1" applyFont="1" applyAlignment="1" applyProtection="1">
      <alignment horizontal="left" vertical="center"/>
      <protection locked="0"/>
    </xf>
    <xf numFmtId="0" fontId="65" fillId="0" borderId="0" xfId="0" applyFont="1" applyAlignment="1">
      <alignment horizontal="right" vertical="center"/>
    </xf>
    <xf numFmtId="14" fontId="65" fillId="0" borderId="0" xfId="0" applyNumberFormat="1" applyFont="1" applyAlignment="1">
      <alignment horizontal="right" vertical="center"/>
    </xf>
    <xf numFmtId="14" fontId="65" fillId="0" borderId="0" xfId="1" applyNumberFormat="1" applyFont="1" applyAlignment="1" applyProtection="1">
      <alignment horizontal="center" vertical="center" wrapText="1"/>
      <protection locked="0"/>
    </xf>
    <xf numFmtId="164" fontId="65" fillId="0" borderId="0" xfId="1" applyNumberFormat="1" applyFont="1" applyAlignment="1" applyProtection="1">
      <alignment horizontal="center" vertical="center" wrapText="1"/>
      <protection locked="0"/>
    </xf>
    <xf numFmtId="0" fontId="19" fillId="0" borderId="0" xfId="1" applyFont="1" applyAlignment="1" applyProtection="1">
      <alignment horizontal="left" vertical="center" wrapText="1"/>
      <protection locked="0"/>
    </xf>
    <xf numFmtId="0" fontId="65" fillId="0" borderId="4" xfId="1" applyFont="1" applyBorder="1" applyAlignment="1" applyProtection="1">
      <alignment horizontal="center" vertical="center"/>
      <protection locked="0"/>
    </xf>
    <xf numFmtId="0" fontId="65" fillId="0" borderId="4" xfId="1" applyFont="1" applyBorder="1" applyAlignment="1" applyProtection="1">
      <alignment horizontal="left" vertical="center"/>
      <protection locked="0"/>
    </xf>
    <xf numFmtId="0" fontId="65" fillId="0" borderId="4" xfId="1" applyFont="1" applyBorder="1" applyAlignment="1" applyProtection="1">
      <alignment horizontal="center" vertical="center" wrapText="1"/>
      <protection locked="0"/>
    </xf>
    <xf numFmtId="0" fontId="65" fillId="6" borderId="2" xfId="1" applyFont="1" applyFill="1" applyBorder="1" applyAlignment="1" applyProtection="1">
      <alignment vertical="center"/>
      <protection locked="0"/>
    </xf>
    <xf numFmtId="0" fontId="65" fillId="6" borderId="5" xfId="1" applyFont="1" applyFill="1" applyBorder="1" applyAlignment="1" applyProtection="1">
      <alignment horizontal="center" vertical="center"/>
      <protection locked="0"/>
    </xf>
    <xf numFmtId="164" fontId="65" fillId="6" borderId="5" xfId="1" applyNumberFormat="1" applyFont="1" applyFill="1" applyBorder="1" applyAlignment="1" applyProtection="1">
      <alignment vertical="center"/>
      <protection locked="0"/>
    </xf>
    <xf numFmtId="0" fontId="65" fillId="6" borderId="3" xfId="1" applyFont="1" applyFill="1" applyBorder="1" applyAlignment="1" applyProtection="1">
      <alignment vertical="center"/>
      <protection locked="0"/>
    </xf>
    <xf numFmtId="0" fontId="65" fillId="0" borderId="2" xfId="1" applyFont="1" applyBorder="1" applyAlignment="1" applyProtection="1">
      <alignment vertical="center"/>
      <protection locked="0"/>
    </xf>
    <xf numFmtId="0" fontId="65" fillId="0" borderId="5" xfId="1" applyFont="1" applyBorder="1" applyAlignment="1" applyProtection="1">
      <alignment vertical="center"/>
      <protection locked="0"/>
    </xf>
    <xf numFmtId="0" fontId="65" fillId="0" borderId="3" xfId="1" applyFont="1" applyBorder="1" applyAlignment="1" applyProtection="1">
      <alignment vertical="center"/>
      <protection locked="0"/>
    </xf>
    <xf numFmtId="0" fontId="65" fillId="0" borderId="2" xfId="1" applyFont="1" applyBorder="1" applyAlignment="1" applyProtection="1">
      <alignment horizontal="left" vertical="center"/>
      <protection locked="0"/>
    </xf>
    <xf numFmtId="0" fontId="65" fillId="0" borderId="5" xfId="1" applyFont="1" applyBorder="1" applyAlignment="1" applyProtection="1">
      <alignment vertical="center" wrapText="1"/>
      <protection locked="0"/>
    </xf>
    <xf numFmtId="0" fontId="65" fillId="0" borderId="3" xfId="1" applyFont="1" applyBorder="1" applyAlignment="1" applyProtection="1">
      <alignment vertical="center" wrapText="1"/>
      <protection locked="0"/>
    </xf>
    <xf numFmtId="0" fontId="65" fillId="5" borderId="7" xfId="1" applyFont="1" applyFill="1" applyBorder="1" applyAlignment="1" applyProtection="1">
      <alignment horizontal="center" vertical="center" wrapText="1"/>
      <protection locked="0"/>
    </xf>
    <xf numFmtId="0" fontId="65" fillId="5" borderId="7" xfId="1" applyFont="1" applyFill="1" applyBorder="1" applyAlignment="1" applyProtection="1">
      <alignment horizontal="left" vertical="center" wrapText="1"/>
      <protection locked="0"/>
    </xf>
    <xf numFmtId="0" fontId="65" fillId="5" borderId="7" xfId="1" applyFont="1" applyFill="1" applyBorder="1" applyAlignment="1" applyProtection="1">
      <alignment horizontal="left" vertical="center"/>
      <protection locked="0"/>
    </xf>
    <xf numFmtId="0" fontId="65" fillId="13" borderId="7" xfId="1" applyFont="1" applyFill="1" applyBorder="1" applyAlignment="1" applyProtection="1">
      <alignment horizontal="center" vertical="center" wrapText="1"/>
      <protection locked="0"/>
    </xf>
    <xf numFmtId="0" fontId="65" fillId="14" borderId="7" xfId="1" applyFont="1" applyFill="1" applyBorder="1" applyAlignment="1" applyProtection="1">
      <alignment horizontal="center" vertical="center" wrapText="1"/>
      <protection locked="0"/>
    </xf>
    <xf numFmtId="0" fontId="65" fillId="12" borderId="7" xfId="1" applyFont="1" applyFill="1" applyBorder="1" applyAlignment="1" applyProtection="1">
      <alignment horizontal="center" vertical="center" wrapText="1"/>
      <protection locked="0"/>
    </xf>
    <xf numFmtId="0" fontId="66" fillId="4" borderId="7" xfId="1" applyFont="1" applyFill="1" applyBorder="1" applyAlignment="1" applyProtection="1">
      <alignment horizontal="center" vertical="center" wrapText="1"/>
      <protection locked="0"/>
    </xf>
    <xf numFmtId="0" fontId="65" fillId="5" borderId="7" xfId="1" applyFont="1" applyFill="1" applyBorder="1" applyAlignment="1" applyProtection="1">
      <alignment horizontal="center" vertical="center" textRotation="90" wrapText="1"/>
      <protection locked="0"/>
    </xf>
    <xf numFmtId="0" fontId="65" fillId="6" borderId="7" xfId="1" applyFont="1" applyFill="1" applyBorder="1" applyAlignment="1" applyProtection="1">
      <alignment horizontal="center" vertical="center" textRotation="90" wrapText="1"/>
      <protection locked="0"/>
    </xf>
    <xf numFmtId="164" fontId="65" fillId="6" borderId="7" xfId="1" applyNumberFormat="1" applyFont="1" applyFill="1" applyBorder="1" applyAlignment="1" applyProtection="1">
      <alignment horizontal="center" vertical="center" textRotation="90" wrapText="1"/>
      <protection locked="0"/>
    </xf>
    <xf numFmtId="164" fontId="65" fillId="5" borderId="8" xfId="1" applyNumberFormat="1" applyFont="1" applyFill="1" applyBorder="1" applyAlignment="1" applyProtection="1">
      <alignment horizontal="center" vertical="center" textRotation="90" wrapText="1"/>
      <protection locked="0"/>
    </xf>
    <xf numFmtId="164" fontId="65" fillId="6" borderId="8" xfId="1" applyNumberFormat="1" applyFont="1" applyFill="1" applyBorder="1" applyAlignment="1" applyProtection="1">
      <alignment horizontal="center" vertical="center" textRotation="90" wrapText="1"/>
      <protection locked="0"/>
    </xf>
    <xf numFmtId="0" fontId="65" fillId="2" borderId="9" xfId="1" applyFont="1" applyFill="1" applyBorder="1" applyAlignment="1" applyProtection="1">
      <alignment horizontal="center" vertical="center" textRotation="90" wrapText="1"/>
      <protection locked="0"/>
    </xf>
    <xf numFmtId="0" fontId="65" fillId="5" borderId="10" xfId="1" applyFont="1" applyFill="1" applyBorder="1" applyAlignment="1" applyProtection="1">
      <alignment horizontal="center" vertical="center" textRotation="90" wrapText="1"/>
      <protection locked="0"/>
    </xf>
    <xf numFmtId="0" fontId="65" fillId="5" borderId="12" xfId="1" applyFont="1" applyFill="1" applyBorder="1" applyAlignment="1" applyProtection="1">
      <alignment horizontal="center" vertical="center" textRotation="90" wrapText="1"/>
      <protection locked="0"/>
    </xf>
    <xf numFmtId="0" fontId="65" fillId="5" borderId="8" xfId="1" applyFont="1" applyFill="1" applyBorder="1" applyAlignment="1" applyProtection="1">
      <alignment horizontal="center" vertical="center" textRotation="90" wrapText="1"/>
      <protection locked="0"/>
    </xf>
    <xf numFmtId="0" fontId="65" fillId="0" borderId="1" xfId="1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left" vertical="center" wrapText="1"/>
    </xf>
    <xf numFmtId="14" fontId="64" fillId="0" borderId="1" xfId="0" applyNumberFormat="1" applyFont="1" applyBorder="1" applyAlignment="1">
      <alignment horizontal="center" vertical="center"/>
    </xf>
    <xf numFmtId="14" fontId="64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5" fillId="6" borderId="1" xfId="1" quotePrefix="1" applyFont="1" applyFill="1" applyBorder="1" applyAlignment="1">
      <alignment horizontal="center" vertical="center"/>
    </xf>
    <xf numFmtId="0" fontId="65" fillId="6" borderId="1" xfId="1" applyFont="1" applyFill="1" applyBorder="1" applyAlignment="1" applyProtection="1">
      <alignment horizontal="center" vertical="center"/>
      <protection locked="0"/>
    </xf>
    <xf numFmtId="164" fontId="65" fillId="6" borderId="1" xfId="1" applyNumberFormat="1" applyFont="1" applyFill="1" applyBorder="1" applyAlignment="1" applyProtection="1">
      <alignment horizontal="center" vertical="center"/>
      <protection locked="0"/>
    </xf>
    <xf numFmtId="164" fontId="65" fillId="6" borderId="1" xfId="1" applyNumberFormat="1" applyFont="1" applyFill="1" applyBorder="1" applyAlignment="1" applyProtection="1">
      <alignment horizontal="center" vertical="center" wrapText="1"/>
      <protection locked="0"/>
    </xf>
    <xf numFmtId="1" fontId="65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65" fillId="2" borderId="1" xfId="1" applyFont="1" applyFill="1" applyBorder="1" applyAlignment="1" applyProtection="1">
      <alignment horizontal="center" vertical="center"/>
      <protection locked="0"/>
    </xf>
    <xf numFmtId="0" fontId="65" fillId="0" borderId="1" xfId="1" quotePrefix="1" applyFont="1" applyBorder="1" applyAlignment="1">
      <alignment horizontal="center" vertical="center"/>
    </xf>
    <xf numFmtId="0" fontId="65" fillId="0" borderId="1" xfId="1" applyFont="1" applyBorder="1" applyAlignment="1" applyProtection="1">
      <alignment horizontal="center" vertical="center"/>
      <protection locked="0"/>
    </xf>
    <xf numFmtId="14" fontId="65" fillId="0" borderId="1" xfId="1" applyNumberFormat="1" applyFont="1" applyBorder="1" applyAlignment="1" applyProtection="1">
      <alignment horizontal="center" vertical="center"/>
      <protection locked="0"/>
    </xf>
    <xf numFmtId="0" fontId="65" fillId="3" borderId="1" xfId="1" quotePrefix="1" applyFont="1" applyFill="1" applyBorder="1" applyAlignment="1" applyProtection="1">
      <alignment horizontal="center" vertical="center" wrapText="1"/>
      <protection locked="0"/>
    </xf>
    <xf numFmtId="14" fontId="65" fillId="3" borderId="1" xfId="1" applyNumberFormat="1" applyFont="1" applyFill="1" applyBorder="1" applyAlignment="1" applyProtection="1">
      <alignment horizontal="center" vertical="center" wrapText="1"/>
      <protection locked="0"/>
    </xf>
    <xf numFmtId="1" fontId="65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65" fillId="0" borderId="1" xfId="1" quotePrefix="1" applyFont="1" applyBorder="1" applyAlignment="1">
      <alignment horizontal="center" vertical="center" wrapText="1"/>
    </xf>
    <xf numFmtId="0" fontId="65" fillId="0" borderId="1" xfId="1" applyFont="1" applyBorder="1" applyAlignment="1" applyProtection="1">
      <alignment horizontal="center" vertical="center" wrapText="1"/>
      <protection locked="0"/>
    </xf>
    <xf numFmtId="14" fontId="65" fillId="0" borderId="1" xfId="1" applyNumberFormat="1" applyFont="1" applyBorder="1" applyAlignment="1" applyProtection="1">
      <alignment horizontal="center" vertical="center" wrapText="1"/>
      <protection locked="0"/>
    </xf>
    <xf numFmtId="0" fontId="65" fillId="3" borderId="1" xfId="1" applyFont="1" applyFill="1" applyBorder="1" applyAlignment="1" applyProtection="1">
      <alignment horizontal="center" vertical="center" wrapText="1"/>
      <protection locked="0"/>
    </xf>
    <xf numFmtId="1" fontId="65" fillId="0" borderId="1" xfId="1" applyNumberFormat="1" applyFont="1" applyBorder="1" applyAlignment="1" applyProtection="1">
      <alignment horizontal="center" vertical="center" wrapText="1"/>
      <protection locked="0"/>
    </xf>
    <xf numFmtId="14" fontId="65" fillId="0" borderId="1" xfId="0" applyNumberFormat="1" applyFont="1" applyBorder="1" applyAlignment="1">
      <alignment horizontal="center" vertical="center"/>
    </xf>
    <xf numFmtId="0" fontId="65" fillId="0" borderId="1" xfId="1" quotePrefix="1" applyFont="1" applyBorder="1" applyAlignment="1" applyProtection="1">
      <alignment horizontal="center" vertical="center"/>
      <protection locked="0"/>
    </xf>
    <xf numFmtId="16" fontId="65" fillId="0" borderId="1" xfId="1" applyNumberFormat="1" applyFont="1" applyBorder="1" applyAlignment="1" applyProtection="1">
      <alignment horizontal="center" vertical="center"/>
      <protection locked="0"/>
    </xf>
    <xf numFmtId="0" fontId="66" fillId="0" borderId="0" xfId="1" applyFont="1" applyAlignment="1" applyProtection="1">
      <alignment horizontal="left" vertical="center"/>
      <protection locked="0"/>
    </xf>
    <xf numFmtId="14" fontId="67" fillId="0" borderId="1" xfId="0" applyNumberFormat="1" applyFont="1" applyBorder="1" applyAlignment="1">
      <alignment horizontal="center" vertical="center"/>
    </xf>
    <xf numFmtId="0" fontId="65" fillId="11" borderId="0" xfId="1" applyFont="1" applyFill="1" applyAlignment="1" applyProtection="1">
      <alignment horizontal="left" vertical="center"/>
      <protection locked="0"/>
    </xf>
    <xf numFmtId="0" fontId="65" fillId="6" borderId="1" xfId="1" quotePrefix="1" applyFont="1" applyFill="1" applyBorder="1" applyAlignment="1" applyProtection="1">
      <alignment horizontal="center" vertical="center"/>
      <protection locked="0"/>
    </xf>
    <xf numFmtId="1" fontId="65" fillId="0" borderId="1" xfId="1" applyNumberFormat="1" applyFont="1" applyBorder="1" applyAlignment="1" applyProtection="1">
      <alignment horizontal="center" vertical="center"/>
      <protection locked="0"/>
    </xf>
    <xf numFmtId="0" fontId="65" fillId="6" borderId="1" xfId="1" applyFont="1" applyFill="1" applyBorder="1" applyAlignment="1" applyProtection="1">
      <alignment horizontal="center" vertical="center" wrapText="1"/>
      <protection locked="0"/>
    </xf>
    <xf numFmtId="0" fontId="68" fillId="0" borderId="1" xfId="1" applyFont="1" applyBorder="1" applyAlignment="1">
      <alignment horizontal="center" vertical="center"/>
    </xf>
    <xf numFmtId="0" fontId="65" fillId="0" borderId="1" xfId="1" quotePrefix="1" applyFont="1" applyBorder="1" applyAlignment="1" applyProtection="1">
      <alignment horizontal="center" vertical="center" wrapText="1"/>
      <protection locked="0"/>
    </xf>
    <xf numFmtId="0" fontId="65" fillId="11" borderId="1" xfId="1" quotePrefix="1" applyFont="1" applyFill="1" applyBorder="1" applyAlignment="1" applyProtection="1">
      <alignment horizontal="center" vertical="center" wrapText="1"/>
      <protection locked="0"/>
    </xf>
    <xf numFmtId="14" fontId="65" fillId="11" borderId="1" xfId="1" applyNumberFormat="1" applyFont="1" applyFill="1" applyBorder="1" applyAlignment="1" applyProtection="1">
      <alignment horizontal="center" vertical="center" wrapText="1"/>
      <protection locked="0"/>
    </xf>
    <xf numFmtId="0" fontId="65" fillId="11" borderId="1" xfId="1" quotePrefix="1" applyFont="1" applyFill="1" applyBorder="1" applyAlignment="1">
      <alignment horizontal="center" vertical="center" wrapText="1"/>
    </xf>
    <xf numFmtId="1" fontId="65" fillId="11" borderId="1" xfId="1" applyNumberFormat="1" applyFont="1" applyFill="1" applyBorder="1" applyAlignment="1" applyProtection="1">
      <alignment horizontal="center" vertical="center" wrapText="1"/>
      <protection locked="0"/>
    </xf>
    <xf numFmtId="0" fontId="65" fillId="11" borderId="1" xfId="1" applyFont="1" applyFill="1" applyBorder="1" applyAlignment="1" applyProtection="1">
      <alignment horizontal="center" vertical="center" wrapText="1"/>
      <protection locked="0"/>
    </xf>
    <xf numFmtId="0" fontId="65" fillId="15" borderId="1" xfId="1" quotePrefix="1" applyFont="1" applyFill="1" applyBorder="1" applyAlignment="1" applyProtection="1">
      <alignment horizontal="center" vertical="center" wrapText="1"/>
      <protection locked="0"/>
    </xf>
    <xf numFmtId="14" fontId="65" fillId="15" borderId="1" xfId="1" applyNumberFormat="1" applyFont="1" applyFill="1" applyBorder="1" applyAlignment="1" applyProtection="1">
      <alignment horizontal="center" vertical="center" wrapText="1"/>
      <protection locked="0"/>
    </xf>
    <xf numFmtId="1" fontId="65" fillId="15" borderId="1" xfId="1" applyNumberFormat="1" applyFont="1" applyFill="1" applyBorder="1" applyAlignment="1" applyProtection="1">
      <alignment horizontal="center" vertical="center" wrapText="1"/>
      <protection locked="0"/>
    </xf>
    <xf numFmtId="0" fontId="65" fillId="15" borderId="1" xfId="1" quotePrefix="1" applyFont="1" applyFill="1" applyBorder="1" applyAlignment="1">
      <alignment horizontal="center" vertical="center" wrapText="1"/>
    </xf>
    <xf numFmtId="0" fontId="65" fillId="15" borderId="1" xfId="1" applyFont="1" applyFill="1" applyBorder="1" applyAlignment="1" applyProtection="1">
      <alignment horizontal="center" vertical="center" wrapText="1"/>
      <protection locked="0"/>
    </xf>
    <xf numFmtId="0" fontId="65" fillId="16" borderId="1" xfId="1" quotePrefix="1" applyFont="1" applyFill="1" applyBorder="1" applyAlignment="1" applyProtection="1">
      <alignment horizontal="center" vertical="center" wrapText="1"/>
      <protection locked="0"/>
    </xf>
    <xf numFmtId="16" fontId="65" fillId="0" borderId="1" xfId="1" applyNumberFormat="1" applyFont="1" applyBorder="1" applyAlignment="1" applyProtection="1">
      <alignment horizontal="center" vertical="center" wrapText="1"/>
      <protection locked="0"/>
    </xf>
    <xf numFmtId="0" fontId="65" fillId="16" borderId="1" xfId="1" quotePrefix="1" applyFont="1" applyFill="1" applyBorder="1" applyAlignment="1">
      <alignment horizontal="center" vertical="center" wrapText="1"/>
    </xf>
    <xf numFmtId="1" fontId="65" fillId="16" borderId="1" xfId="1" applyNumberFormat="1" applyFont="1" applyFill="1" applyBorder="1" applyAlignment="1" applyProtection="1">
      <alignment horizontal="center" vertical="center" wrapText="1"/>
      <protection locked="0"/>
    </xf>
    <xf numFmtId="14" fontId="65" fillId="16" borderId="1" xfId="1" applyNumberFormat="1" applyFont="1" applyFill="1" applyBorder="1" applyAlignment="1" applyProtection="1">
      <alignment horizontal="center" vertical="center" wrapText="1"/>
      <protection locked="0"/>
    </xf>
    <xf numFmtId="16" fontId="65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0" fontId="66" fillId="0" borderId="1" xfId="1" quotePrefix="1" applyFont="1" applyBorder="1" applyAlignment="1">
      <alignment horizontal="center" vertical="center" wrapText="1"/>
    </xf>
    <xf numFmtId="14" fontId="65" fillId="16" borderId="1" xfId="1" applyNumberFormat="1" applyFont="1" applyFill="1" applyBorder="1" applyAlignment="1" applyProtection="1">
      <alignment horizontal="center" vertical="center"/>
      <protection locked="0"/>
    </xf>
    <xf numFmtId="0" fontId="65" fillId="4" borderId="1" xfId="1" quotePrefix="1" applyFont="1" applyFill="1" applyBorder="1" applyAlignment="1">
      <alignment horizontal="center" vertical="center" wrapText="1"/>
    </xf>
    <xf numFmtId="1" fontId="65" fillId="4" borderId="1" xfId="1" applyNumberFormat="1" applyFont="1" applyFill="1" applyBorder="1" applyAlignment="1" applyProtection="1">
      <alignment horizontal="center" vertical="center" wrapText="1"/>
      <protection locked="0"/>
    </xf>
    <xf numFmtId="14" fontId="65" fillId="4" borderId="1" xfId="1" applyNumberFormat="1" applyFont="1" applyFill="1" applyBorder="1" applyAlignment="1" applyProtection="1">
      <alignment horizontal="center" vertical="center" wrapText="1"/>
      <protection locked="0"/>
    </xf>
    <xf numFmtId="1" fontId="65" fillId="14" borderId="1" xfId="1" applyNumberFormat="1" applyFont="1" applyFill="1" applyBorder="1" applyAlignment="1" applyProtection="1">
      <alignment horizontal="center" vertical="center" wrapText="1"/>
      <protection locked="0"/>
    </xf>
    <xf numFmtId="0" fontId="65" fillId="16" borderId="1" xfId="1" quotePrefix="1" applyFont="1" applyFill="1" applyBorder="1" applyAlignment="1">
      <alignment horizontal="center" vertical="center"/>
    </xf>
    <xf numFmtId="0" fontId="65" fillId="16" borderId="1" xfId="1" applyFont="1" applyFill="1" applyBorder="1" applyAlignment="1" applyProtection="1">
      <alignment horizontal="center" vertical="center"/>
      <protection locked="0"/>
    </xf>
    <xf numFmtId="0" fontId="65" fillId="15" borderId="0" xfId="1" applyFont="1" applyFill="1" applyAlignment="1" applyProtection="1">
      <alignment horizontal="left" vertical="center"/>
      <protection locked="0"/>
    </xf>
    <xf numFmtId="0" fontId="65" fillId="0" borderId="0" xfId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0" fontId="65" fillId="0" borderId="0" xfId="0" applyFont="1" applyAlignment="1">
      <alignment horizontal="left" vertical="center" wrapText="1"/>
    </xf>
    <xf numFmtId="14" fontId="64" fillId="0" borderId="0" xfId="0" applyNumberFormat="1" applyFont="1" applyAlignment="1">
      <alignment horizontal="center" vertical="center"/>
    </xf>
    <xf numFmtId="14" fontId="65" fillId="0" borderId="0" xfId="0" applyNumberFormat="1" applyFont="1" applyAlignment="1">
      <alignment horizontal="center" vertical="center"/>
    </xf>
    <xf numFmtId="14" fontId="67" fillId="0" borderId="0" xfId="0" applyNumberFormat="1" applyFont="1" applyAlignment="1">
      <alignment horizontal="center" vertical="center"/>
    </xf>
    <xf numFmtId="0" fontId="65" fillId="0" borderId="0" xfId="1" quotePrefix="1" applyFont="1" applyAlignment="1" applyProtection="1">
      <alignment horizontal="center" vertical="center"/>
      <protection locked="0"/>
    </xf>
    <xf numFmtId="0" fontId="65" fillId="6" borderId="0" xfId="1" quotePrefix="1" applyFont="1" applyFill="1" applyAlignment="1">
      <alignment horizontal="center" vertical="center"/>
    </xf>
    <xf numFmtId="0" fontId="65" fillId="6" borderId="0" xfId="1" applyFont="1" applyFill="1" applyAlignment="1" applyProtection="1">
      <alignment horizontal="center" vertical="center"/>
      <protection locked="0"/>
    </xf>
    <xf numFmtId="164" fontId="65" fillId="6" borderId="0" xfId="1" applyNumberFormat="1" applyFont="1" applyFill="1" applyAlignment="1" applyProtection="1">
      <alignment horizontal="center" vertical="center"/>
      <protection locked="0"/>
    </xf>
    <xf numFmtId="164" fontId="65" fillId="6" borderId="0" xfId="1" applyNumberFormat="1" applyFont="1" applyFill="1" applyAlignment="1" applyProtection="1">
      <alignment horizontal="center" vertical="center" wrapText="1"/>
      <protection locked="0"/>
    </xf>
    <xf numFmtId="1" fontId="65" fillId="6" borderId="0" xfId="1" applyNumberFormat="1" applyFont="1" applyFill="1" applyAlignment="1" applyProtection="1">
      <alignment horizontal="center" vertical="center" wrapText="1"/>
      <protection locked="0"/>
    </xf>
    <xf numFmtId="0" fontId="65" fillId="2" borderId="0" xfId="1" applyFont="1" applyFill="1" applyAlignment="1" applyProtection="1">
      <alignment horizontal="center" vertical="center"/>
      <protection locked="0"/>
    </xf>
    <xf numFmtId="0" fontId="65" fillId="0" borderId="0" xfId="1" quotePrefix="1" applyFont="1" applyAlignment="1">
      <alignment horizontal="center" vertical="center"/>
    </xf>
    <xf numFmtId="14" fontId="65" fillId="0" borderId="0" xfId="1" applyNumberFormat="1" applyFont="1" applyAlignment="1" applyProtection="1">
      <alignment horizontal="center" vertical="center"/>
      <protection locked="0"/>
    </xf>
    <xf numFmtId="0" fontId="65" fillId="3" borderId="0" xfId="1" quotePrefix="1" applyFont="1" applyFill="1" applyAlignment="1" applyProtection="1">
      <alignment horizontal="center" vertical="center" wrapText="1"/>
      <protection locked="0"/>
    </xf>
    <xf numFmtId="14" fontId="65" fillId="3" borderId="0" xfId="1" applyNumberFormat="1" applyFont="1" applyFill="1" applyAlignment="1" applyProtection="1">
      <alignment horizontal="center" vertical="center" wrapText="1"/>
      <protection locked="0"/>
    </xf>
    <xf numFmtId="1" fontId="65" fillId="3" borderId="0" xfId="1" applyNumberFormat="1" applyFont="1" applyFill="1" applyAlignment="1" applyProtection="1">
      <alignment horizontal="center" vertical="center" wrapText="1"/>
      <protection locked="0"/>
    </xf>
    <xf numFmtId="0" fontId="65" fillId="0" borderId="0" xfId="1" quotePrefix="1" applyFont="1" applyAlignment="1">
      <alignment horizontal="center" vertical="center" wrapText="1"/>
    </xf>
    <xf numFmtId="1" fontId="65" fillId="0" borderId="0" xfId="1" applyNumberFormat="1" applyFont="1" applyAlignment="1" applyProtection="1">
      <alignment horizontal="center" vertical="center" wrapText="1"/>
      <protection locked="0"/>
    </xf>
    <xf numFmtId="0" fontId="65" fillId="3" borderId="0" xfId="1" applyFont="1" applyFill="1" applyAlignment="1" applyProtection="1">
      <alignment horizontal="center" vertical="center" wrapText="1"/>
      <protection locked="0"/>
    </xf>
    <xf numFmtId="0" fontId="19" fillId="0" borderId="0" xfId="1" applyFont="1" applyAlignment="1" applyProtection="1">
      <alignment horizontal="center" vertical="center" wrapText="1"/>
      <protection locked="0"/>
    </xf>
    <xf numFmtId="14" fontId="19" fillId="0" borderId="0" xfId="1" applyNumberFormat="1" applyFont="1" applyAlignment="1" applyProtection="1">
      <alignment horizontal="left" vertical="center"/>
      <protection locked="0"/>
    </xf>
    <xf numFmtId="14" fontId="19" fillId="0" borderId="0" xfId="1" applyNumberFormat="1" applyFont="1" applyAlignment="1" applyProtection="1">
      <alignment horizontal="left" vertical="center" wrapText="1"/>
      <protection locked="0"/>
    </xf>
    <xf numFmtId="164" fontId="19" fillId="0" borderId="0" xfId="1" applyNumberFormat="1" applyFont="1" applyAlignment="1" applyProtection="1">
      <alignment horizontal="left" vertical="center" wrapText="1"/>
      <protection locked="0"/>
    </xf>
    <xf numFmtId="0" fontId="65" fillId="16" borderId="1" xfId="1" applyFont="1" applyFill="1" applyBorder="1" applyAlignment="1" applyProtection="1">
      <alignment horizontal="center" vertical="center" wrapText="1"/>
      <protection locked="0"/>
    </xf>
    <xf numFmtId="16" fontId="65" fillId="16" borderId="1" xfId="1" applyNumberFormat="1" applyFont="1" applyFill="1" applyBorder="1" applyAlignment="1" applyProtection="1">
      <alignment horizontal="center" vertical="center" wrapText="1"/>
      <protection locked="0"/>
    </xf>
    <xf numFmtId="1" fontId="26" fillId="16" borderId="1" xfId="1" applyNumberFormat="1" applyFont="1" applyFill="1" applyBorder="1" applyAlignment="1" applyProtection="1">
      <alignment horizontal="center" vertical="center" wrapText="1"/>
      <protection locked="0"/>
    </xf>
    <xf numFmtId="14" fontId="26" fillId="16" borderId="1" xfId="1" applyNumberFormat="1" applyFont="1" applyFill="1" applyBorder="1" applyAlignment="1" applyProtection="1">
      <alignment horizontal="center" vertical="center" wrapText="1"/>
      <protection locked="0"/>
    </xf>
    <xf numFmtId="0" fontId="26" fillId="16" borderId="14" xfId="1" quotePrefix="1" applyFont="1" applyFill="1" applyBorder="1" applyAlignment="1">
      <alignment horizontal="center" vertical="center" wrapText="1"/>
    </xf>
    <xf numFmtId="0" fontId="26" fillId="16" borderId="14" xfId="1" quotePrefix="1" applyFont="1" applyFill="1" applyBorder="1" applyAlignment="1">
      <alignment horizontal="center" vertical="center"/>
    </xf>
    <xf numFmtId="0" fontId="26" fillId="16" borderId="1" xfId="1" applyFont="1" applyFill="1" applyBorder="1" applyAlignment="1" applyProtection="1">
      <alignment horizontal="center" vertical="center"/>
      <protection locked="0"/>
    </xf>
    <xf numFmtId="14" fontId="26" fillId="16" borderId="1" xfId="1" applyNumberFormat="1" applyFont="1" applyFill="1" applyBorder="1" applyAlignment="1" applyProtection="1">
      <alignment horizontal="center" vertical="center"/>
      <protection locked="0"/>
    </xf>
    <xf numFmtId="0" fontId="65" fillId="7" borderId="1" xfId="1" quotePrefix="1" applyFont="1" applyFill="1" applyBorder="1" applyAlignment="1">
      <alignment horizontal="center" vertical="center" wrapText="1"/>
    </xf>
    <xf numFmtId="1" fontId="65" fillId="7" borderId="1" xfId="1" applyNumberFormat="1" applyFont="1" applyFill="1" applyBorder="1" applyAlignment="1" applyProtection="1">
      <alignment horizontal="center" vertical="center" wrapText="1"/>
      <protection locked="0"/>
    </xf>
    <xf numFmtId="14" fontId="65" fillId="7" borderId="1" xfId="1" applyNumberFormat="1" applyFont="1" applyFill="1" applyBorder="1" applyAlignment="1" applyProtection="1">
      <alignment horizontal="center" vertical="center" wrapText="1"/>
      <protection locked="0"/>
    </xf>
    <xf numFmtId="0" fontId="26" fillId="16" borderId="1" xfId="1" applyFont="1" applyFill="1" applyBorder="1" applyAlignment="1" applyProtection="1">
      <alignment horizontal="center" vertical="center" wrapText="1"/>
      <protection locked="0"/>
    </xf>
    <xf numFmtId="14" fontId="26" fillId="16" borderId="15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42" xfId="1" applyFont="1" applyBorder="1" applyAlignment="1" applyProtection="1">
      <alignment horizontal="center" vertical="center"/>
      <protection locked="0"/>
    </xf>
    <xf numFmtId="0" fontId="3" fillId="0" borderId="34" xfId="1" applyFont="1" applyBorder="1" applyAlignment="1" applyProtection="1">
      <alignment horizontal="center" vertical="center"/>
      <protection locked="0"/>
    </xf>
    <xf numFmtId="14" fontId="3" fillId="0" borderId="34" xfId="1" applyNumberFormat="1" applyFont="1" applyBorder="1" applyAlignment="1" applyProtection="1">
      <alignment horizontal="center" vertical="center"/>
      <protection locked="0"/>
    </xf>
    <xf numFmtId="14" fontId="3" fillId="0" borderId="43" xfId="1" applyNumberFormat="1" applyFont="1" applyBorder="1" applyAlignment="1" applyProtection="1">
      <alignment horizontal="center" vertical="center"/>
      <protection locked="0"/>
    </xf>
    <xf numFmtId="0" fontId="3" fillId="6" borderId="42" xfId="1" applyFont="1" applyFill="1" applyBorder="1" applyAlignment="1" applyProtection="1">
      <alignment horizontal="center" vertical="center" wrapText="1"/>
      <protection locked="0"/>
    </xf>
    <xf numFmtId="0" fontId="3" fillId="6" borderId="34" xfId="1" applyFont="1" applyFill="1" applyBorder="1" applyAlignment="1" applyProtection="1">
      <alignment horizontal="center" vertical="center" wrapText="1"/>
      <protection locked="0"/>
    </xf>
    <xf numFmtId="0" fontId="3" fillId="6" borderId="44" xfId="1" applyFont="1" applyFill="1" applyBorder="1" applyAlignment="1" applyProtection="1">
      <alignment horizontal="center" vertical="center" wrapText="1"/>
      <protection locked="0"/>
    </xf>
    <xf numFmtId="14" fontId="3" fillId="0" borderId="0" xfId="1" applyNumberFormat="1" applyFont="1" applyAlignment="1" applyProtection="1">
      <alignment horizontal="center" vertical="center"/>
      <protection locked="0"/>
    </xf>
    <xf numFmtId="0" fontId="3" fillId="6" borderId="0" xfId="1" applyFont="1" applyFill="1" applyAlignment="1" applyProtection="1">
      <alignment horizontal="center" vertical="center" wrapText="1"/>
      <protection locked="0"/>
    </xf>
    <xf numFmtId="0" fontId="26" fillId="16" borderId="13" xfId="1" quotePrefix="1" applyFont="1" applyFill="1" applyBorder="1" applyAlignment="1">
      <alignment horizontal="center" vertical="center" wrapText="1"/>
    </xf>
    <xf numFmtId="0" fontId="66" fillId="0" borderId="1" xfId="1" applyFont="1" applyBorder="1" applyAlignment="1">
      <alignment horizontal="center" vertical="center"/>
    </xf>
    <xf numFmtId="0" fontId="65" fillId="11" borderId="1" xfId="1" applyFont="1" applyFill="1" applyBorder="1" applyAlignment="1">
      <alignment horizontal="center" vertical="center"/>
    </xf>
    <xf numFmtId="164" fontId="65" fillId="3" borderId="1" xfId="1" applyNumberFormat="1" applyFont="1" applyFill="1" applyBorder="1" applyAlignment="1" applyProtection="1">
      <alignment horizontal="center" vertical="center" wrapText="1"/>
      <protection locked="0"/>
    </xf>
    <xf numFmtId="164" fontId="68" fillId="6" borderId="1" xfId="1" applyNumberFormat="1" applyFont="1" applyFill="1" applyBorder="1" applyAlignment="1" applyProtection="1">
      <alignment horizontal="center" vertical="center"/>
      <protection locked="0"/>
    </xf>
    <xf numFmtId="164" fontId="68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66" fillId="6" borderId="1" xfId="1" quotePrefix="1" applyFont="1" applyFill="1" applyBorder="1" applyAlignment="1">
      <alignment horizontal="center" vertical="center"/>
    </xf>
    <xf numFmtId="164" fontId="26" fillId="0" borderId="1" xfId="1" applyNumberFormat="1" applyFont="1" applyBorder="1" applyAlignment="1" applyProtection="1">
      <alignment horizontal="center" vertical="center"/>
      <protection locked="0"/>
    </xf>
    <xf numFmtId="164" fontId="26" fillId="0" borderId="21" xfId="1" applyNumberFormat="1" applyFont="1" applyBorder="1" applyAlignment="1" applyProtection="1">
      <alignment horizontal="center" vertical="center" wrapText="1"/>
      <protection locked="0"/>
    </xf>
    <xf numFmtId="14" fontId="65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16" fontId="26" fillId="16" borderId="1" xfId="1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164" fontId="65" fillId="0" borderId="1" xfId="1" applyNumberFormat="1" applyFont="1" applyBorder="1" applyAlignment="1" applyProtection="1">
      <alignment horizontal="center" vertical="center" wrapText="1"/>
      <protection locked="0"/>
    </xf>
    <xf numFmtId="14" fontId="26" fillId="16" borderId="21" xfId="1" applyNumberFormat="1" applyFont="1" applyFill="1" applyBorder="1" applyAlignment="1" applyProtection="1">
      <alignment horizontal="center" vertical="center"/>
      <protection locked="0"/>
    </xf>
    <xf numFmtId="0" fontId="68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left" vertical="center" wrapText="1"/>
    </xf>
    <xf numFmtId="0" fontId="68" fillId="0" borderId="1" xfId="1" quotePrefix="1" applyFont="1" applyBorder="1" applyAlignment="1" applyProtection="1">
      <alignment horizontal="center" vertical="center"/>
      <protection locked="0"/>
    </xf>
    <xf numFmtId="0" fontId="65" fillId="15" borderId="1" xfId="1" applyFont="1" applyFill="1" applyBorder="1" applyAlignment="1">
      <alignment horizontal="center" vertical="center"/>
    </xf>
    <xf numFmtId="0" fontId="48" fillId="5" borderId="7" xfId="1" applyFont="1" applyFill="1" applyBorder="1" applyAlignment="1" applyProtection="1">
      <alignment horizontal="center" vertical="center" wrapText="1"/>
      <protection locked="0"/>
    </xf>
    <xf numFmtId="0" fontId="48" fillId="5" borderId="7" xfId="1" applyFont="1" applyFill="1" applyBorder="1" applyAlignment="1" applyProtection="1">
      <alignment horizontal="center" vertical="center" textRotation="90" wrapText="1"/>
      <protection locked="0"/>
    </xf>
    <xf numFmtId="0" fontId="48" fillId="6" borderId="7" xfId="1" applyFont="1" applyFill="1" applyBorder="1" applyAlignment="1" applyProtection="1">
      <alignment horizontal="center" vertical="center" textRotation="90" wrapText="1"/>
      <protection locked="0"/>
    </xf>
    <xf numFmtId="164" fontId="48" fillId="6" borderId="7" xfId="1" applyNumberFormat="1" applyFont="1" applyFill="1" applyBorder="1" applyAlignment="1" applyProtection="1">
      <alignment horizontal="center" vertical="center" textRotation="90" wrapText="1"/>
      <protection locked="0"/>
    </xf>
    <xf numFmtId="164" fontId="48" fillId="6" borderId="8" xfId="1" applyNumberFormat="1" applyFont="1" applyFill="1" applyBorder="1" applyAlignment="1" applyProtection="1">
      <alignment horizontal="center" vertical="center" textRotation="90" wrapText="1"/>
      <protection locked="0"/>
    </xf>
    <xf numFmtId="0" fontId="69" fillId="0" borderId="1" xfId="0" applyFont="1" applyBorder="1" applyAlignment="1">
      <alignment horizontal="center" vertical="center"/>
    </xf>
    <xf numFmtId="0" fontId="71" fillId="0" borderId="1" xfId="1" quotePrefix="1" applyFont="1" applyBorder="1" applyAlignment="1" applyProtection="1">
      <alignment horizontal="center" vertical="center"/>
      <protection locked="0"/>
    </xf>
    <xf numFmtId="0" fontId="71" fillId="6" borderId="1" xfId="1" quotePrefix="1" applyFont="1" applyFill="1" applyBorder="1" applyAlignment="1">
      <alignment horizontal="center" vertical="center"/>
    </xf>
    <xf numFmtId="0" fontId="71" fillId="6" borderId="1" xfId="1" applyFont="1" applyFill="1" applyBorder="1" applyAlignment="1" applyProtection="1">
      <alignment horizontal="center" vertical="center"/>
      <protection locked="0"/>
    </xf>
    <xf numFmtId="164" fontId="71" fillId="6" borderId="1" xfId="1" applyNumberFormat="1" applyFont="1" applyFill="1" applyBorder="1" applyAlignment="1" applyProtection="1">
      <alignment horizontal="center" vertical="center"/>
      <protection locked="0"/>
    </xf>
    <xf numFmtId="164" fontId="71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69" fillId="0" borderId="1" xfId="0" applyFont="1" applyBorder="1" applyAlignment="1">
      <alignment horizontal="center" vertical="center" wrapText="1"/>
    </xf>
    <xf numFmtId="0" fontId="69" fillId="0" borderId="45" xfId="0" applyFont="1" applyBorder="1" applyAlignment="1">
      <alignment horizontal="left" vertical="center" wrapText="1"/>
    </xf>
    <xf numFmtId="0" fontId="70" fillId="0" borderId="46" xfId="0" applyFont="1" applyBorder="1" applyAlignment="1">
      <alignment horizontal="left" vertical="center" wrapText="1"/>
    </xf>
    <xf numFmtId="0" fontId="70" fillId="0" borderId="46" xfId="0" applyFont="1" applyBorder="1" applyAlignment="1">
      <alignment horizontal="left" vertical="center"/>
    </xf>
    <xf numFmtId="0" fontId="71" fillId="6" borderId="1" xfId="1" applyFont="1" applyFill="1" applyBorder="1" applyAlignment="1" applyProtection="1">
      <alignment horizontal="center" vertical="center" wrapText="1"/>
      <protection locked="0"/>
    </xf>
    <xf numFmtId="0" fontId="69" fillId="0" borderId="45" xfId="0" applyFont="1" applyBorder="1" applyAlignment="1">
      <alignment horizontal="left" vertical="center"/>
    </xf>
    <xf numFmtId="0" fontId="72" fillId="4" borderId="1" xfId="0" applyFont="1" applyFill="1" applyBorder="1" applyAlignment="1">
      <alignment horizontal="center" vertical="center"/>
    </xf>
    <xf numFmtId="0" fontId="73" fillId="4" borderId="46" xfId="0" applyFont="1" applyFill="1" applyBorder="1" applyAlignment="1">
      <alignment horizontal="left" vertical="center"/>
    </xf>
    <xf numFmtId="0" fontId="72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3" fillId="0" borderId="46" xfId="0" applyFont="1" applyBorder="1" applyAlignment="1">
      <alignment horizontal="left" vertical="center"/>
    </xf>
    <xf numFmtId="0" fontId="70" fillId="4" borderId="46" xfId="0" applyFont="1" applyFill="1" applyBorder="1" applyAlignment="1">
      <alignment horizontal="left" vertical="center"/>
    </xf>
    <xf numFmtId="0" fontId="75" fillId="6" borderId="1" xfId="1" quotePrefix="1" applyFont="1" applyFill="1" applyBorder="1" applyAlignment="1">
      <alignment horizontal="center" vertical="center"/>
    </xf>
    <xf numFmtId="0" fontId="76" fillId="9" borderId="1" xfId="4" applyFont="1" applyFill="1" applyBorder="1" applyAlignment="1">
      <alignment horizontal="center" vertical="center"/>
    </xf>
    <xf numFmtId="0" fontId="76" fillId="9" borderId="13" xfId="4" applyFont="1" applyFill="1" applyBorder="1" applyAlignment="1">
      <alignment horizontal="left" vertical="center"/>
    </xf>
    <xf numFmtId="0" fontId="77" fillId="0" borderId="1" xfId="4" applyFont="1" applyBorder="1" applyAlignment="1">
      <alignment horizontal="center" vertical="center"/>
    </xf>
    <xf numFmtId="0" fontId="76" fillId="0" borderId="1" xfId="4" applyFont="1" applyBorder="1" applyAlignment="1">
      <alignment horizontal="center" vertical="center"/>
    </xf>
    <xf numFmtId="0" fontId="76" fillId="0" borderId="13" xfId="4" applyFont="1" applyBorder="1" applyAlignment="1">
      <alignment horizontal="left" vertical="center"/>
    </xf>
    <xf numFmtId="0" fontId="65" fillId="0" borderId="1" xfId="1" quotePrefix="1" applyFont="1" applyBorder="1" applyAlignment="1" applyProtection="1">
      <alignment horizontal="left" vertical="center"/>
      <protection locked="0"/>
    </xf>
    <xf numFmtId="0" fontId="64" fillId="0" borderId="1" xfId="0" applyFont="1" applyBorder="1" applyAlignment="1">
      <alignment horizontal="center" vertical="center"/>
    </xf>
    <xf numFmtId="14" fontId="65" fillId="0" borderId="1" xfId="1" applyNumberFormat="1" applyFont="1" applyBorder="1" applyAlignment="1">
      <alignment horizontal="center" vertical="center" wrapText="1"/>
    </xf>
    <xf numFmtId="14" fontId="65" fillId="0" borderId="1" xfId="0" applyNumberFormat="1" applyFont="1" applyBorder="1" applyAlignment="1">
      <alignment horizontal="center" vertical="center" wrapText="1"/>
    </xf>
    <xf numFmtId="14" fontId="65" fillId="0" borderId="1" xfId="1" applyNumberFormat="1" applyFont="1" applyBorder="1" applyAlignment="1">
      <alignment horizontal="center" vertical="center"/>
    </xf>
    <xf numFmtId="14" fontId="65" fillId="0" borderId="1" xfId="1" applyNumberFormat="1" applyFont="1" applyBorder="1" applyAlignment="1">
      <alignment horizontal="left" vertical="center"/>
    </xf>
    <xf numFmtId="16" fontId="65" fillId="0" borderId="1" xfId="0" applyNumberFormat="1" applyFont="1" applyBorder="1" applyAlignment="1">
      <alignment horizontal="center" vertical="center" wrapText="1"/>
    </xf>
    <xf numFmtId="14" fontId="66" fillId="0" borderId="1" xfId="1" applyNumberFormat="1" applyFont="1" applyBorder="1" applyAlignment="1">
      <alignment horizontal="left" vertical="center" wrapText="1"/>
    </xf>
    <xf numFmtId="14" fontId="65" fillId="0" borderId="1" xfId="0" applyNumberFormat="1" applyFont="1" applyBorder="1" applyAlignment="1">
      <alignment horizontal="center" vertical="top" wrapText="1"/>
    </xf>
    <xf numFmtId="14" fontId="61" fillId="0" borderId="1" xfId="0" applyNumberFormat="1" applyFont="1" applyBorder="1" applyAlignment="1">
      <alignment horizontal="center" vertical="center" wrapText="1"/>
    </xf>
    <xf numFmtId="14" fontId="64" fillId="17" borderId="1" xfId="0" applyNumberFormat="1" applyFont="1" applyFill="1" applyBorder="1" applyAlignment="1">
      <alignment horizontal="center" vertical="center" wrapText="1"/>
    </xf>
    <xf numFmtId="0" fontId="76" fillId="9" borderId="46" xfId="4" applyFont="1" applyFill="1" applyBorder="1" applyAlignment="1">
      <alignment horizontal="left" vertical="center"/>
    </xf>
    <xf numFmtId="0" fontId="70" fillId="0" borderId="1" xfId="0" applyFont="1" applyBorder="1" applyAlignment="1">
      <alignment horizontal="left" vertical="center" wrapText="1"/>
    </xf>
    <xf numFmtId="0" fontId="26" fillId="6" borderId="1" xfId="1" quotePrefix="1" applyFont="1" applyFill="1" applyBorder="1" applyAlignment="1">
      <alignment horizontal="center" vertical="center" wrapText="1"/>
    </xf>
    <xf numFmtId="1" fontId="26" fillId="6" borderId="13" xfId="1" quotePrefix="1" applyNumberFormat="1" applyFont="1" applyFill="1" applyBorder="1" applyAlignment="1">
      <alignment horizontal="left" vertical="center" wrapText="1"/>
    </xf>
    <xf numFmtId="0" fontId="69" fillId="0" borderId="13" xfId="0" applyFont="1" applyBorder="1" applyAlignment="1">
      <alignment horizontal="left" vertical="center" wrapText="1"/>
    </xf>
    <xf numFmtId="0" fontId="69" fillId="0" borderId="46" xfId="0" applyFont="1" applyBorder="1" applyAlignment="1">
      <alignment horizontal="left" vertical="center" wrapText="1"/>
    </xf>
    <xf numFmtId="0" fontId="70" fillId="0" borderId="13" xfId="0" applyFont="1" applyBorder="1" applyAlignment="1">
      <alignment horizontal="left" vertical="center" wrapText="1"/>
    </xf>
    <xf numFmtId="0" fontId="68" fillId="6" borderId="1" xfId="1" applyFont="1" applyFill="1" applyBorder="1" applyAlignment="1" applyProtection="1">
      <alignment horizontal="center" vertical="center" wrapText="1"/>
      <protection locked="0"/>
    </xf>
    <xf numFmtId="1" fontId="26" fillId="0" borderId="1" xfId="1" quotePrefix="1" applyNumberFormat="1" applyFont="1" applyBorder="1" applyAlignment="1">
      <alignment horizontal="left" vertical="center" wrapText="1"/>
    </xf>
    <xf numFmtId="0" fontId="26" fillId="16" borderId="39" xfId="1" applyFont="1" applyFill="1" applyBorder="1" applyAlignment="1" applyProtection="1">
      <alignment horizontal="center" vertical="center" wrapText="1"/>
      <protection locked="0"/>
    </xf>
    <xf numFmtId="16" fontId="26" fillId="16" borderId="39" xfId="1" applyNumberFormat="1" applyFont="1" applyFill="1" applyBorder="1" applyAlignment="1" applyProtection="1">
      <alignment horizontal="center" vertical="center" wrapText="1"/>
      <protection locked="0"/>
    </xf>
    <xf numFmtId="0" fontId="26" fillId="6" borderId="39" xfId="1" applyFont="1" applyFill="1" applyBorder="1" applyAlignment="1" applyProtection="1">
      <alignment horizontal="left" vertical="center" wrapText="1"/>
      <protection locked="0"/>
    </xf>
    <xf numFmtId="0" fontId="3" fillId="6" borderId="39" xfId="1" applyFont="1" applyFill="1" applyBorder="1" applyAlignment="1" applyProtection="1">
      <alignment horizontal="center" vertical="center" wrapText="1"/>
      <protection locked="0"/>
    </xf>
    <xf numFmtId="0" fontId="3" fillId="0" borderId="34" xfId="1" applyFont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 applyProtection="1">
      <alignment horizontal="left" vertical="center" wrapText="1"/>
      <protection locked="0"/>
    </xf>
    <xf numFmtId="16" fontId="26" fillId="16" borderId="1" xfId="1" applyNumberFormat="1" applyFont="1" applyFill="1" applyBorder="1" applyAlignment="1" applyProtection="1">
      <alignment horizontal="center" vertical="center"/>
      <protection locked="0"/>
    </xf>
    <xf numFmtId="16" fontId="26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76" fillId="0" borderId="13" xfId="4" applyFont="1" applyBorder="1" applyAlignment="1">
      <alignment horizontal="left" vertical="center" wrapText="1"/>
    </xf>
    <xf numFmtId="0" fontId="76" fillId="0" borderId="46" xfId="4" applyFont="1" applyBorder="1" applyAlignment="1">
      <alignment horizontal="left" vertical="center" wrapText="1"/>
    </xf>
    <xf numFmtId="0" fontId="32" fillId="0" borderId="39" xfId="0" applyFont="1" applyBorder="1" applyAlignment="1">
      <alignment horizontal="center" vertical="center"/>
    </xf>
    <xf numFmtId="0" fontId="72" fillId="0" borderId="39" xfId="0" applyFont="1" applyBorder="1" applyAlignment="1">
      <alignment horizontal="center" vertical="center"/>
    </xf>
    <xf numFmtId="0" fontId="70" fillId="0" borderId="39" xfId="0" applyFont="1" applyBorder="1" applyAlignment="1">
      <alignment horizontal="left" vertical="center"/>
    </xf>
    <xf numFmtId="0" fontId="71" fillId="0" borderId="39" xfId="1" quotePrefix="1" applyFont="1" applyBorder="1" applyAlignment="1" applyProtection="1">
      <alignment horizontal="center" vertical="center"/>
      <protection locked="0"/>
    </xf>
    <xf numFmtId="0" fontId="71" fillId="6" borderId="39" xfId="1" quotePrefix="1" applyFont="1" applyFill="1" applyBorder="1" applyAlignment="1">
      <alignment horizontal="center" vertical="center"/>
    </xf>
    <xf numFmtId="0" fontId="71" fillId="6" borderId="39" xfId="1" applyFont="1" applyFill="1" applyBorder="1" applyAlignment="1" applyProtection="1">
      <alignment horizontal="center" vertical="center"/>
      <protection locked="0"/>
    </xf>
    <xf numFmtId="164" fontId="71" fillId="6" borderId="39" xfId="1" applyNumberFormat="1" applyFont="1" applyFill="1" applyBorder="1" applyAlignment="1" applyProtection="1">
      <alignment horizontal="center" vertical="center"/>
      <protection locked="0"/>
    </xf>
    <xf numFmtId="164" fontId="71" fillId="6" borderId="39" xfId="1" applyNumberFormat="1" applyFont="1" applyFill="1" applyBorder="1" applyAlignment="1" applyProtection="1">
      <alignment horizontal="center" vertical="center" wrapText="1"/>
      <protection locked="0"/>
    </xf>
    <xf numFmtId="0" fontId="26" fillId="16" borderId="38" xfId="1" quotePrefix="1" applyFont="1" applyFill="1" applyBorder="1" applyAlignment="1">
      <alignment horizontal="center" vertical="center"/>
    </xf>
    <xf numFmtId="0" fontId="26" fillId="16" borderId="39" xfId="1" applyFont="1" applyFill="1" applyBorder="1" applyAlignment="1" applyProtection="1">
      <alignment horizontal="center" vertical="center"/>
      <protection locked="0"/>
    </xf>
    <xf numFmtId="14" fontId="26" fillId="16" borderId="39" xfId="1" applyNumberFormat="1" applyFont="1" applyFill="1" applyBorder="1" applyAlignment="1" applyProtection="1">
      <alignment horizontal="center" vertical="center"/>
      <protection locked="0"/>
    </xf>
    <xf numFmtId="14" fontId="26" fillId="16" borderId="40" xfId="1" applyNumberFormat="1" applyFont="1" applyFill="1" applyBorder="1" applyAlignment="1" applyProtection="1">
      <alignment horizontal="center" vertical="center" wrapText="1"/>
      <protection locked="0"/>
    </xf>
    <xf numFmtId="0" fontId="26" fillId="6" borderId="38" xfId="1" quotePrefix="1" applyFont="1" applyFill="1" applyBorder="1" applyAlignment="1">
      <alignment horizontal="center" vertical="center" wrapText="1"/>
    </xf>
    <xf numFmtId="0" fontId="26" fillId="6" borderId="39" xfId="1" applyFont="1" applyFill="1" applyBorder="1" applyAlignment="1" applyProtection="1">
      <alignment horizontal="center" vertical="center" wrapText="1"/>
      <protection locked="0"/>
    </xf>
    <xf numFmtId="14" fontId="26" fillId="6" borderId="39" xfId="1" applyNumberFormat="1" applyFont="1" applyFill="1" applyBorder="1" applyAlignment="1" applyProtection="1">
      <alignment horizontal="center" vertical="center" wrapText="1"/>
      <protection locked="0"/>
    </xf>
    <xf numFmtId="14" fontId="26" fillId="6" borderId="41" xfId="1" applyNumberFormat="1" applyFont="1" applyFill="1" applyBorder="1" applyAlignment="1" applyProtection="1">
      <alignment horizontal="center" vertical="center" wrapText="1"/>
      <protection locked="0"/>
    </xf>
    <xf numFmtId="0" fontId="26" fillId="0" borderId="47" xfId="1" quotePrefix="1" applyFont="1" applyBorder="1" applyAlignment="1">
      <alignment horizontal="left" vertical="center" wrapText="1"/>
    </xf>
    <xf numFmtId="1" fontId="26" fillId="0" borderId="39" xfId="1" applyNumberFormat="1" applyFont="1" applyBorder="1" applyAlignment="1" applyProtection="1">
      <alignment horizontal="left" vertical="center" wrapText="1"/>
      <protection locked="0"/>
    </xf>
    <xf numFmtId="14" fontId="26" fillId="0" borderId="39" xfId="1" applyNumberFormat="1" applyFont="1" applyBorder="1" applyAlignment="1" applyProtection="1">
      <alignment horizontal="left" vertical="center" wrapText="1"/>
      <protection locked="0"/>
    </xf>
    <xf numFmtId="14" fontId="26" fillId="6" borderId="39" xfId="1" quotePrefix="1" applyNumberFormat="1" applyFont="1" applyFill="1" applyBorder="1" applyAlignment="1">
      <alignment horizontal="left" vertical="center" wrapText="1"/>
    </xf>
    <xf numFmtId="14" fontId="26" fillId="6" borderId="39" xfId="1" applyNumberFormat="1" applyFont="1" applyFill="1" applyBorder="1" applyAlignment="1" applyProtection="1">
      <alignment horizontal="left" vertical="center" wrapText="1"/>
      <protection locked="0"/>
    </xf>
    <xf numFmtId="0" fontId="26" fillId="0" borderId="39" xfId="1" quotePrefix="1" applyFont="1" applyBorder="1" applyAlignment="1">
      <alignment horizontal="left" vertical="center" wrapText="1"/>
    </xf>
    <xf numFmtId="0" fontId="26" fillId="0" borderId="39" xfId="1" applyFont="1" applyBorder="1" applyAlignment="1" applyProtection="1">
      <alignment horizontal="left" vertical="center" wrapText="1"/>
      <protection locked="0"/>
    </xf>
    <xf numFmtId="0" fontId="26" fillId="6" borderId="39" xfId="1" quotePrefix="1" applyFont="1" applyFill="1" applyBorder="1" applyAlignment="1">
      <alignment horizontal="left" vertical="center" wrapText="1"/>
    </xf>
    <xf numFmtId="14" fontId="26" fillId="0" borderId="39" xfId="1" quotePrefix="1" applyNumberFormat="1" applyFont="1" applyBorder="1" applyAlignment="1">
      <alignment horizontal="center" vertical="center" wrapText="1"/>
    </xf>
    <xf numFmtId="0" fontId="26" fillId="0" borderId="39" xfId="1" applyFont="1" applyBorder="1" applyAlignment="1" applyProtection="1">
      <alignment horizontal="center" vertical="center" wrapText="1"/>
      <protection locked="0"/>
    </xf>
    <xf numFmtId="16" fontId="26" fillId="0" borderId="39" xfId="1" applyNumberFormat="1" applyFont="1" applyBorder="1" applyAlignment="1" applyProtection="1">
      <alignment horizontal="center" vertical="center" wrapText="1"/>
      <protection locked="0"/>
    </xf>
    <xf numFmtId="0" fontId="3" fillId="0" borderId="34" xfId="1" quotePrefix="1" applyFont="1" applyBorder="1" applyAlignment="1">
      <alignment horizontal="center" vertical="center" wrapText="1"/>
    </xf>
    <xf numFmtId="0" fontId="3" fillId="0" borderId="34" xfId="1" applyFont="1" applyBorder="1" applyAlignment="1" applyProtection="1">
      <alignment horizontal="left" vertical="center" wrapText="1"/>
      <protection locked="0"/>
    </xf>
    <xf numFmtId="0" fontId="3" fillId="0" borderId="1" xfId="1" quotePrefix="1" applyFont="1" applyBorder="1" applyAlignment="1">
      <alignment horizontal="center" vertical="center"/>
    </xf>
    <xf numFmtId="14" fontId="26" fillId="0" borderId="15" xfId="1" applyNumberFormat="1" applyFont="1" applyBorder="1" applyAlignment="1" applyProtection="1">
      <alignment horizontal="center" vertical="center" wrapText="1"/>
      <protection locked="0"/>
    </xf>
    <xf numFmtId="0" fontId="26" fillId="16" borderId="47" xfId="1" quotePrefix="1" applyFont="1" applyFill="1" applyBorder="1" applyAlignment="1">
      <alignment horizontal="center" vertical="center"/>
    </xf>
    <xf numFmtId="0" fontId="26" fillId="6" borderId="47" xfId="1" quotePrefix="1" applyFont="1" applyFill="1" applyBorder="1" applyAlignment="1">
      <alignment horizontal="center" vertical="center" wrapText="1"/>
    </xf>
    <xf numFmtId="14" fontId="26" fillId="6" borderId="40" xfId="1" applyNumberFormat="1" applyFont="1" applyFill="1" applyBorder="1" applyAlignment="1" applyProtection="1">
      <alignment horizontal="center" vertical="center" wrapText="1"/>
      <protection locked="0"/>
    </xf>
    <xf numFmtId="14" fontId="65" fillId="7" borderId="1" xfId="1" applyNumberFormat="1" applyFont="1" applyFill="1" applyBorder="1" applyAlignment="1" applyProtection="1">
      <alignment horizontal="center" vertical="center"/>
      <protection locked="0"/>
    </xf>
    <xf numFmtId="0" fontId="65" fillId="14" borderId="1" xfId="1" quotePrefix="1" applyFont="1" applyFill="1" applyBorder="1" applyAlignment="1" applyProtection="1">
      <alignment horizontal="center" vertical="center" wrapText="1"/>
      <protection locked="0"/>
    </xf>
    <xf numFmtId="14" fontId="65" fillId="14" borderId="1" xfId="1" applyNumberFormat="1" applyFont="1" applyFill="1" applyBorder="1" applyAlignment="1" applyProtection="1">
      <alignment horizontal="center" vertical="center" wrapText="1"/>
      <protection locked="0"/>
    </xf>
    <xf numFmtId="0" fontId="77" fillId="0" borderId="13" xfId="4" applyFont="1" applyBorder="1" applyAlignment="1">
      <alignment horizontal="left" vertical="center" wrapText="1"/>
    </xf>
    <xf numFmtId="1" fontId="26" fillId="16" borderId="1" xfId="1" quotePrefix="1" applyNumberFormat="1" applyFont="1" applyFill="1" applyBorder="1" applyAlignment="1">
      <alignment horizontal="center" vertical="center" wrapText="1"/>
    </xf>
    <xf numFmtId="14" fontId="64" fillId="11" borderId="1" xfId="0" applyNumberFormat="1" applyFont="1" applyFill="1" applyBorder="1" applyAlignment="1">
      <alignment horizontal="center" vertical="center" wrapText="1"/>
    </xf>
    <xf numFmtId="0" fontId="65" fillId="0" borderId="0" xfId="1" applyFont="1" applyAlignment="1" applyProtection="1">
      <alignment vertical="center" wrapText="1"/>
      <protection locked="0"/>
    </xf>
    <xf numFmtId="0" fontId="27" fillId="4" borderId="39" xfId="1" applyFont="1" applyFill="1" applyBorder="1" applyAlignment="1">
      <alignment horizontal="center" vertical="center"/>
    </xf>
    <xf numFmtId="0" fontId="16" fillId="6" borderId="7" xfId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top" wrapText="1"/>
    </xf>
    <xf numFmtId="0" fontId="33" fillId="4" borderId="39" xfId="0" applyFont="1" applyFill="1" applyBorder="1" applyAlignment="1">
      <alignment horizontal="center" vertical="center"/>
    </xf>
    <xf numFmtId="0" fontId="73" fillId="0" borderId="39" xfId="0" applyFont="1" applyBorder="1" applyAlignment="1">
      <alignment horizontal="left" vertical="center"/>
    </xf>
    <xf numFmtId="0" fontId="26" fillId="2" borderId="40" xfId="1" applyFont="1" applyFill="1" applyBorder="1" applyAlignment="1" applyProtection="1">
      <alignment horizontal="center" vertical="center"/>
      <protection locked="0"/>
    </xf>
    <xf numFmtId="0" fontId="27" fillId="4" borderId="48" xfId="1" applyFont="1" applyFill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0" fontId="72" fillId="0" borderId="48" xfId="0" applyFont="1" applyBorder="1" applyAlignment="1">
      <alignment horizontal="center" vertical="center"/>
    </xf>
    <xf numFmtId="0" fontId="70" fillId="0" borderId="48" xfId="0" applyFont="1" applyBorder="1" applyAlignment="1">
      <alignment horizontal="left" vertical="center"/>
    </xf>
    <xf numFmtId="0" fontId="71" fillId="0" borderId="48" xfId="1" quotePrefix="1" applyFont="1" applyBorder="1" applyAlignment="1" applyProtection="1">
      <alignment horizontal="center" vertical="center"/>
      <protection locked="0"/>
    </xf>
    <xf numFmtId="0" fontId="71" fillId="6" borderId="48" xfId="1" quotePrefix="1" applyFont="1" applyFill="1" applyBorder="1" applyAlignment="1">
      <alignment horizontal="center" vertical="center"/>
    </xf>
    <xf numFmtId="0" fontId="71" fillId="6" borderId="48" xfId="1" applyFont="1" applyFill="1" applyBorder="1" applyAlignment="1" applyProtection="1">
      <alignment horizontal="center" vertical="center"/>
      <protection locked="0"/>
    </xf>
    <xf numFmtId="164" fontId="71" fillId="6" borderId="48" xfId="1" applyNumberFormat="1" applyFont="1" applyFill="1" applyBorder="1" applyAlignment="1" applyProtection="1">
      <alignment horizontal="center" vertical="center"/>
      <protection locked="0"/>
    </xf>
    <xf numFmtId="164" fontId="71" fillId="6" borderId="48" xfId="1" applyNumberFormat="1" applyFont="1" applyFill="1" applyBorder="1" applyAlignment="1" applyProtection="1">
      <alignment horizontal="center" vertical="center" wrapText="1"/>
      <protection locked="0"/>
    </xf>
    <xf numFmtId="0" fontId="26" fillId="2" borderId="43" xfId="1" applyFont="1" applyFill="1" applyBorder="1" applyAlignment="1" applyProtection="1">
      <alignment horizontal="center" vertical="center"/>
      <protection locked="0"/>
    </xf>
    <xf numFmtId="0" fontId="26" fillId="16" borderId="49" xfId="1" quotePrefix="1" applyFont="1" applyFill="1" applyBorder="1" applyAlignment="1">
      <alignment horizontal="center" vertical="center"/>
    </xf>
    <xf numFmtId="0" fontId="26" fillId="16" borderId="48" xfId="1" applyFont="1" applyFill="1" applyBorder="1" applyAlignment="1" applyProtection="1">
      <alignment horizontal="center" vertical="center"/>
      <protection locked="0"/>
    </xf>
    <xf numFmtId="14" fontId="26" fillId="16" borderId="48" xfId="1" applyNumberFormat="1" applyFont="1" applyFill="1" applyBorder="1" applyAlignment="1" applyProtection="1">
      <alignment horizontal="center" vertical="center"/>
      <protection locked="0"/>
    </xf>
    <xf numFmtId="14" fontId="26" fillId="16" borderId="50" xfId="1" applyNumberFormat="1" applyFont="1" applyFill="1" applyBorder="1" applyAlignment="1" applyProtection="1">
      <alignment horizontal="center" vertical="center" wrapText="1"/>
      <protection locked="0"/>
    </xf>
    <xf numFmtId="0" fontId="26" fillId="6" borderId="49" xfId="1" quotePrefix="1" applyFont="1" applyFill="1" applyBorder="1" applyAlignment="1">
      <alignment horizontal="center" vertical="center" wrapText="1"/>
    </xf>
    <xf numFmtId="0" fontId="26" fillId="6" borderId="48" xfId="1" applyFont="1" applyFill="1" applyBorder="1" applyAlignment="1" applyProtection="1">
      <alignment horizontal="center" vertical="center" wrapText="1"/>
      <protection locked="0"/>
    </xf>
    <xf numFmtId="14" fontId="26" fillId="6" borderId="48" xfId="1" applyNumberFormat="1" applyFont="1" applyFill="1" applyBorder="1" applyAlignment="1" applyProtection="1">
      <alignment horizontal="center" vertical="center" wrapText="1"/>
      <protection locked="0"/>
    </xf>
    <xf numFmtId="14" fontId="26" fillId="6" borderId="50" xfId="1" applyNumberFormat="1" applyFont="1" applyFill="1" applyBorder="1" applyAlignment="1" applyProtection="1">
      <alignment horizontal="center" vertical="center" wrapText="1"/>
      <protection locked="0"/>
    </xf>
    <xf numFmtId="0" fontId="26" fillId="0" borderId="49" xfId="1" quotePrefix="1" applyFont="1" applyBorder="1" applyAlignment="1">
      <alignment horizontal="left" vertical="center" wrapText="1"/>
    </xf>
    <xf numFmtId="1" fontId="26" fillId="0" borderId="48" xfId="1" applyNumberFormat="1" applyFont="1" applyBorder="1" applyAlignment="1" applyProtection="1">
      <alignment horizontal="left" vertical="center" wrapText="1"/>
      <protection locked="0"/>
    </xf>
    <xf numFmtId="14" fontId="26" fillId="0" borderId="48" xfId="1" applyNumberFormat="1" applyFont="1" applyBorder="1" applyAlignment="1" applyProtection="1">
      <alignment horizontal="left" vertical="center" wrapText="1"/>
      <protection locked="0"/>
    </xf>
    <xf numFmtId="14" fontId="26" fillId="6" borderId="48" xfId="1" quotePrefix="1" applyNumberFormat="1" applyFont="1" applyFill="1" applyBorder="1" applyAlignment="1">
      <alignment horizontal="left" vertical="center" wrapText="1"/>
    </xf>
    <xf numFmtId="14" fontId="26" fillId="6" borderId="48" xfId="1" applyNumberFormat="1" applyFont="1" applyFill="1" applyBorder="1" applyAlignment="1" applyProtection="1">
      <alignment horizontal="left" vertical="center" wrapText="1"/>
      <protection locked="0"/>
    </xf>
    <xf numFmtId="0" fontId="26" fillId="0" borderId="48" xfId="1" quotePrefix="1" applyFont="1" applyBorder="1" applyAlignment="1">
      <alignment horizontal="left" vertical="center" wrapText="1"/>
    </xf>
    <xf numFmtId="0" fontId="26" fillId="0" borderId="48" xfId="1" applyFont="1" applyBorder="1" applyAlignment="1" applyProtection="1">
      <alignment horizontal="left" vertical="center" wrapText="1"/>
      <protection locked="0"/>
    </xf>
    <xf numFmtId="0" fontId="26" fillId="6" borderId="48" xfId="1" quotePrefix="1" applyFont="1" applyFill="1" applyBorder="1" applyAlignment="1">
      <alignment horizontal="left" vertical="center" wrapText="1"/>
    </xf>
    <xf numFmtId="0" fontId="26" fillId="6" borderId="48" xfId="1" applyFont="1" applyFill="1" applyBorder="1" applyAlignment="1" applyProtection="1">
      <alignment horizontal="left" vertical="center" wrapText="1"/>
      <protection locked="0"/>
    </xf>
    <xf numFmtId="14" fontId="26" fillId="0" borderId="48" xfId="1" quotePrefix="1" applyNumberFormat="1" applyFont="1" applyBorder="1" applyAlignment="1">
      <alignment horizontal="center" vertical="center" wrapText="1"/>
    </xf>
    <xf numFmtId="0" fontId="26" fillId="0" borderId="48" xfId="1" applyFont="1" applyBorder="1" applyAlignment="1" applyProtection="1">
      <alignment horizontal="center" vertical="center" wrapText="1"/>
      <protection locked="0"/>
    </xf>
    <xf numFmtId="16" fontId="26" fillId="0" borderId="48" xfId="1" applyNumberFormat="1" applyFont="1" applyBorder="1" applyAlignment="1" applyProtection="1">
      <alignment horizontal="center" vertical="center" wrapText="1"/>
      <protection locked="0"/>
    </xf>
    <xf numFmtId="0" fontId="3" fillId="6" borderId="48" xfId="1" applyFont="1" applyFill="1" applyBorder="1" applyAlignment="1" applyProtection="1">
      <alignment horizontal="center" vertical="center" wrapText="1"/>
      <protection locked="0"/>
    </xf>
    <xf numFmtId="0" fontId="70" fillId="0" borderId="1" xfId="0" applyFont="1" applyBorder="1" applyAlignment="1">
      <alignment horizontal="left" vertical="center"/>
    </xf>
    <xf numFmtId="0" fontId="26" fillId="2" borderId="1" xfId="1" applyFont="1" applyFill="1" applyBorder="1" applyAlignment="1" applyProtection="1">
      <alignment horizontal="center" vertical="center"/>
      <protection locked="0"/>
    </xf>
    <xf numFmtId="0" fontId="26" fillId="16" borderId="1" xfId="1" quotePrefix="1" applyFont="1" applyFill="1" applyBorder="1" applyAlignment="1">
      <alignment horizontal="center" vertical="center"/>
    </xf>
    <xf numFmtId="0" fontId="27" fillId="4" borderId="1" xfId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71" fillId="11" borderId="1" xfId="1" applyFont="1" applyFill="1" applyBorder="1" applyAlignment="1" applyProtection="1">
      <alignment horizontal="center" vertical="center"/>
      <protection locked="0"/>
    </xf>
    <xf numFmtId="0" fontId="68" fillId="6" borderId="1" xfId="1" quotePrefix="1" applyFont="1" applyFill="1" applyBorder="1" applyAlignment="1">
      <alignment horizontal="center" vertical="center"/>
    </xf>
    <xf numFmtId="0" fontId="68" fillId="3" borderId="1" xfId="1" quotePrefix="1" applyFont="1" applyFill="1" applyBorder="1" applyAlignment="1" applyProtection="1">
      <alignment horizontal="center" vertical="center" wrapText="1"/>
      <protection locked="0"/>
    </xf>
    <xf numFmtId="14" fontId="68" fillId="3" borderId="1" xfId="1" applyNumberFormat="1" applyFont="1" applyFill="1" applyBorder="1" applyAlignment="1" applyProtection="1">
      <alignment horizontal="center" vertical="center" wrapText="1"/>
      <protection locked="0"/>
    </xf>
    <xf numFmtId="14" fontId="68" fillId="3" borderId="1" xfId="1" quotePrefix="1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1" quotePrefix="1" applyFont="1" applyBorder="1" applyAlignment="1">
      <alignment horizontal="center" vertical="center"/>
    </xf>
    <xf numFmtId="0" fontId="26" fillId="16" borderId="39" xfId="1" quotePrefix="1" applyFont="1" applyFill="1" applyBorder="1" applyAlignment="1">
      <alignment horizontal="center" vertical="center" wrapText="1"/>
    </xf>
    <xf numFmtId="0" fontId="63" fillId="0" borderId="39" xfId="0" applyFont="1" applyBorder="1" applyAlignment="1">
      <alignment horizontal="center" vertical="center" wrapText="1"/>
    </xf>
    <xf numFmtId="0" fontId="65" fillId="5" borderId="49" xfId="1" applyFont="1" applyFill="1" applyBorder="1" applyAlignment="1" applyProtection="1">
      <alignment horizontal="center" vertical="center" textRotation="90" wrapText="1"/>
      <protection locked="0"/>
    </xf>
    <xf numFmtId="0" fontId="65" fillId="5" borderId="48" xfId="1" applyFont="1" applyFill="1" applyBorder="1" applyAlignment="1" applyProtection="1">
      <alignment horizontal="center" vertical="center" textRotation="90" wrapText="1"/>
      <protection locked="0"/>
    </xf>
    <xf numFmtId="0" fontId="65" fillId="5" borderId="50" xfId="1" applyFont="1" applyFill="1" applyBorder="1" applyAlignment="1" applyProtection="1">
      <alignment horizontal="center" vertical="center" textRotation="90" wrapText="1"/>
      <protection locked="0"/>
    </xf>
    <xf numFmtId="0" fontId="27" fillId="0" borderId="1" xfId="1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26" fillId="14" borderId="14" xfId="1" quotePrefix="1" applyFont="1" applyFill="1" applyBorder="1" applyAlignment="1">
      <alignment horizontal="center" vertical="center"/>
    </xf>
    <xf numFmtId="0" fontId="26" fillId="14" borderId="1" xfId="1" applyFont="1" applyFill="1" applyBorder="1" applyAlignment="1" applyProtection="1">
      <alignment horizontal="center" vertical="center"/>
      <protection locked="0"/>
    </xf>
    <xf numFmtId="14" fontId="26" fillId="14" borderId="1" xfId="1" applyNumberFormat="1" applyFont="1" applyFill="1" applyBorder="1" applyAlignment="1" applyProtection="1">
      <alignment horizontal="center" vertical="center"/>
      <protection locked="0"/>
    </xf>
    <xf numFmtId="164" fontId="26" fillId="14" borderId="21" xfId="1" applyNumberFormat="1" applyFont="1" applyFill="1" applyBorder="1" applyAlignment="1" applyProtection="1">
      <alignment horizontal="center" vertical="center" wrapText="1"/>
      <protection locked="0"/>
    </xf>
    <xf numFmtId="0" fontId="78" fillId="0" borderId="1" xfId="4" applyFont="1" applyBorder="1" applyAlignment="1">
      <alignment horizontal="center" vertical="center"/>
    </xf>
    <xf numFmtId="0" fontId="26" fillId="3" borderId="1" xfId="1" quotePrefix="1" applyFont="1" applyFill="1" applyBorder="1" applyAlignment="1">
      <alignment horizontal="center" vertical="center" wrapText="1"/>
    </xf>
    <xf numFmtId="0" fontId="26" fillId="3" borderId="1" xfId="1" applyFont="1" applyFill="1" applyBorder="1" applyAlignment="1" applyProtection="1">
      <alignment horizontal="center" vertical="center" wrapText="1"/>
      <protection locked="0"/>
    </xf>
    <xf numFmtId="14" fontId="26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68" fillId="6" borderId="1" xfId="1" quotePrefix="1" applyFont="1" applyFill="1" applyBorder="1" applyAlignment="1">
      <alignment horizontal="center" vertical="center" wrapText="1"/>
    </xf>
    <xf numFmtId="0" fontId="79" fillId="6" borderId="1" xfId="1" quotePrefix="1" applyFont="1" applyFill="1" applyBorder="1" applyAlignment="1">
      <alignment horizontal="center" vertical="center"/>
    </xf>
    <xf numFmtId="0" fontId="80" fillId="16" borderId="14" xfId="1" quotePrefix="1" applyFont="1" applyFill="1" applyBorder="1" applyAlignment="1">
      <alignment horizontal="center" vertical="center" wrapText="1"/>
    </xf>
    <xf numFmtId="0" fontId="80" fillId="6" borderId="1" xfId="1" quotePrefix="1" applyFont="1" applyFill="1" applyBorder="1" applyAlignment="1">
      <alignment horizontal="center" vertical="center"/>
    </xf>
    <xf numFmtId="14" fontId="66" fillId="3" borderId="1" xfId="1" applyNumberFormat="1" applyFont="1" applyFill="1" applyBorder="1" applyAlignment="1" applyProtection="1">
      <alignment horizontal="center" vertical="center" wrapText="1"/>
      <protection locked="0"/>
    </xf>
    <xf numFmtId="14" fontId="66" fillId="16" borderId="1" xfId="1" applyNumberFormat="1" applyFont="1" applyFill="1" applyBorder="1" applyAlignment="1" applyProtection="1">
      <alignment horizontal="center" vertical="center" wrapText="1"/>
      <protection locked="0"/>
    </xf>
    <xf numFmtId="14" fontId="64" fillId="14" borderId="1" xfId="0" applyNumberFormat="1" applyFont="1" applyFill="1" applyBorder="1" applyAlignment="1">
      <alignment horizontal="center" vertical="center" wrapText="1"/>
    </xf>
    <xf numFmtId="14" fontId="26" fillId="16" borderId="1" xfId="1" quotePrefix="1" applyNumberFormat="1" applyFont="1" applyFill="1" applyBorder="1" applyAlignment="1">
      <alignment horizontal="center" vertical="center" wrapText="1"/>
    </xf>
    <xf numFmtId="0" fontId="65" fillId="0" borderId="1" xfId="1" quotePrefix="1" applyFont="1" applyBorder="1" applyAlignment="1" applyProtection="1">
      <alignment horizontal="left" vertical="center" wrapText="1"/>
      <protection locked="0"/>
    </xf>
    <xf numFmtId="16" fontId="66" fillId="16" borderId="1" xfId="1" applyNumberFormat="1" applyFont="1" applyFill="1" applyBorder="1" applyAlignment="1" applyProtection="1">
      <alignment horizontal="center" vertical="center" wrapText="1"/>
      <protection locked="0"/>
    </xf>
    <xf numFmtId="0" fontId="66" fillId="0" borderId="1" xfId="1" applyFont="1" applyBorder="1" applyAlignment="1" applyProtection="1">
      <alignment horizontal="center" vertical="center" wrapText="1"/>
      <protection locked="0"/>
    </xf>
    <xf numFmtId="16" fontId="66" fillId="0" borderId="1" xfId="1" applyNumberFormat="1" applyFont="1" applyBorder="1" applyAlignment="1" applyProtection="1">
      <alignment horizontal="center" vertical="center" wrapText="1"/>
      <protection locked="0"/>
    </xf>
    <xf numFmtId="0" fontId="66" fillId="16" borderId="1" xfId="1" quotePrefix="1" applyFont="1" applyFill="1" applyBorder="1" applyAlignment="1">
      <alignment horizontal="center" vertical="center" wrapText="1"/>
    </xf>
    <xf numFmtId="0" fontId="66" fillId="16" borderId="1" xfId="1" applyFont="1" applyFill="1" applyBorder="1" applyAlignment="1" applyProtection="1">
      <alignment horizontal="center" vertical="center" wrapText="1"/>
      <protection locked="0"/>
    </xf>
    <xf numFmtId="0" fontId="65" fillId="6" borderId="0" xfId="1" applyFont="1" applyFill="1" applyAlignment="1" applyProtection="1">
      <alignment horizontal="center" vertical="center" wrapText="1"/>
      <protection locked="0"/>
    </xf>
    <xf numFmtId="16" fontId="26" fillId="6" borderId="39" xfId="1" applyNumberFormat="1" applyFont="1" applyFill="1" applyBorder="1" applyAlignment="1" applyProtection="1">
      <alignment horizontal="center" vertical="center" wrapText="1"/>
      <protection locked="0"/>
    </xf>
    <xf numFmtId="16" fontId="26" fillId="6" borderId="1" xfId="1" applyNumberFormat="1" applyFont="1" applyFill="1" applyBorder="1" applyAlignment="1" applyProtection="1">
      <alignment horizontal="center" vertical="center"/>
      <protection locked="0"/>
    </xf>
    <xf numFmtId="0" fontId="26" fillId="0" borderId="13" xfId="1" applyFont="1" applyBorder="1" applyAlignment="1" applyProtection="1">
      <alignment horizontal="left" vertical="center" wrapText="1"/>
      <protection locked="0"/>
    </xf>
    <xf numFmtId="0" fontId="26" fillId="0" borderId="13" xfId="1" applyFont="1" applyBorder="1" applyAlignment="1" applyProtection="1">
      <alignment horizontal="left" vertical="center"/>
      <protection locked="0"/>
    </xf>
    <xf numFmtId="0" fontId="32" fillId="0" borderId="1" xfId="0" applyFont="1" applyBorder="1" applyAlignment="1">
      <alignment horizontal="center" vertical="center" wrapText="1"/>
    </xf>
    <xf numFmtId="164" fontId="65" fillId="16" borderId="1" xfId="1" applyNumberFormat="1" applyFont="1" applyFill="1" applyBorder="1" applyAlignment="1" applyProtection="1">
      <alignment horizontal="center" vertical="center" wrapText="1"/>
      <protection locked="0"/>
    </xf>
    <xf numFmtId="0" fontId="65" fillId="18" borderId="1" xfId="1" applyFont="1" applyFill="1" applyBorder="1" applyAlignment="1">
      <alignment horizontal="center" vertical="center"/>
    </xf>
    <xf numFmtId="0" fontId="65" fillId="18" borderId="1" xfId="0" applyFont="1" applyFill="1" applyBorder="1" applyAlignment="1">
      <alignment horizontal="center" vertical="center" wrapText="1"/>
    </xf>
    <xf numFmtId="14" fontId="64" fillId="18" borderId="1" xfId="0" applyNumberFormat="1" applyFont="1" applyFill="1" applyBorder="1" applyAlignment="1">
      <alignment horizontal="center" vertical="center" wrapText="1"/>
    </xf>
    <xf numFmtId="14" fontId="65" fillId="18" borderId="1" xfId="0" applyNumberFormat="1" applyFont="1" applyFill="1" applyBorder="1" applyAlignment="1">
      <alignment horizontal="center" vertical="center"/>
    </xf>
    <xf numFmtId="14" fontId="65" fillId="0" borderId="6" xfId="0" applyNumberFormat="1" applyFont="1" applyBorder="1" applyAlignment="1">
      <alignment horizontal="right" vertical="center"/>
    </xf>
    <xf numFmtId="0" fontId="22" fillId="6" borderId="2" xfId="1" applyFont="1" applyFill="1" applyBorder="1" applyAlignment="1" applyProtection="1">
      <alignment horizontal="center" vertical="center"/>
      <protection locked="0"/>
    </xf>
    <xf numFmtId="0" fontId="22" fillId="6" borderId="5" xfId="1" applyFont="1" applyFill="1" applyBorder="1" applyAlignment="1" applyProtection="1">
      <alignment horizontal="center" vertical="center"/>
      <protection locked="0"/>
    </xf>
    <xf numFmtId="0" fontId="22" fillId="6" borderId="3" xfId="1" applyFont="1" applyFill="1" applyBorder="1" applyAlignment="1" applyProtection="1">
      <alignment horizontal="center" vertical="center"/>
      <protection locked="0"/>
    </xf>
    <xf numFmtId="0" fontId="23" fillId="6" borderId="2" xfId="1" applyFont="1" applyFill="1" applyBorder="1" applyAlignment="1" applyProtection="1">
      <alignment horizontal="center" vertical="center"/>
      <protection locked="0"/>
    </xf>
    <xf numFmtId="0" fontId="23" fillId="6" borderId="5" xfId="1" applyFont="1" applyFill="1" applyBorder="1" applyAlignment="1" applyProtection="1">
      <alignment horizontal="center" vertical="center"/>
      <protection locked="0"/>
    </xf>
    <xf numFmtId="0" fontId="23" fillId="6" borderId="3" xfId="1" applyFont="1" applyFill="1" applyBorder="1" applyAlignment="1" applyProtection="1">
      <alignment horizontal="center" vertical="center"/>
      <protection locked="0"/>
    </xf>
    <xf numFmtId="0" fontId="22" fillId="0" borderId="16" xfId="1" applyFont="1" applyBorder="1" applyAlignment="1" applyProtection="1">
      <alignment horizontal="center" vertical="center"/>
      <protection locked="0"/>
    </xf>
    <xf numFmtId="0" fontId="22" fillId="0" borderId="23" xfId="1" applyFont="1" applyBorder="1" applyAlignment="1" applyProtection="1">
      <alignment horizontal="center" vertical="center"/>
      <protection locked="0"/>
    </xf>
    <xf numFmtId="0" fontId="22" fillId="0" borderId="24" xfId="1" applyFont="1" applyBorder="1" applyAlignment="1" applyProtection="1">
      <alignment horizontal="center" vertical="center"/>
      <protection locked="0"/>
    </xf>
    <xf numFmtId="0" fontId="22" fillId="6" borderId="16" xfId="1" applyFont="1" applyFill="1" applyBorder="1" applyAlignment="1" applyProtection="1">
      <alignment horizontal="center" vertical="center"/>
      <protection locked="0"/>
    </xf>
    <xf numFmtId="0" fontId="22" fillId="6" borderId="23" xfId="1" applyFont="1" applyFill="1" applyBorder="1" applyAlignment="1" applyProtection="1">
      <alignment horizontal="center" vertical="center"/>
      <protection locked="0"/>
    </xf>
    <xf numFmtId="0" fontId="22" fillId="6" borderId="24" xfId="1" applyFont="1" applyFill="1" applyBorder="1" applyAlignment="1" applyProtection="1">
      <alignment horizontal="center" vertical="center"/>
      <protection locked="0"/>
    </xf>
    <xf numFmtId="0" fontId="22" fillId="0" borderId="2" xfId="1" applyFont="1" applyBorder="1" applyAlignment="1" applyProtection="1">
      <alignment horizontal="center" vertical="center"/>
      <protection locked="0"/>
    </xf>
    <xf numFmtId="0" fontId="22" fillId="0" borderId="5" xfId="1" applyFont="1" applyBorder="1" applyAlignment="1" applyProtection="1">
      <alignment horizontal="center" vertical="center"/>
      <protection locked="0"/>
    </xf>
    <xf numFmtId="0" fontId="22" fillId="0" borderId="3" xfId="1" applyFont="1" applyBorder="1" applyAlignment="1" applyProtection="1">
      <alignment horizontal="center" vertical="center"/>
      <protection locked="0"/>
    </xf>
    <xf numFmtId="14" fontId="8" fillId="0" borderId="6" xfId="4" applyNumberFormat="1" applyFont="1" applyBorder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4" fillId="0" borderId="0" xfId="1" applyFont="1" applyAlignment="1" applyProtection="1">
      <alignment horizontal="left" vertical="center" wrapText="1"/>
      <protection locked="0"/>
    </xf>
    <xf numFmtId="0" fontId="8" fillId="0" borderId="0" xfId="4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horizontal="left" vertical="center" wrapText="1"/>
      <protection locked="0"/>
    </xf>
    <xf numFmtId="0" fontId="52" fillId="0" borderId="2" xfId="1" applyFont="1" applyBorder="1" applyAlignment="1" applyProtection="1">
      <alignment horizontal="center" vertical="center" wrapText="1"/>
      <protection locked="0"/>
    </xf>
    <xf numFmtId="0" fontId="52" fillId="0" borderId="5" xfId="1" applyFont="1" applyBorder="1" applyAlignment="1" applyProtection="1">
      <alignment horizontal="center" vertical="center" wrapText="1"/>
      <protection locked="0"/>
    </xf>
    <xf numFmtId="0" fontId="52" fillId="0" borderId="3" xfId="1" applyFont="1" applyBorder="1" applyAlignment="1" applyProtection="1">
      <alignment horizontal="center" vertical="center" wrapText="1"/>
      <protection locked="0"/>
    </xf>
    <xf numFmtId="0" fontId="53" fillId="6" borderId="2" xfId="1" applyFont="1" applyFill="1" applyBorder="1" applyAlignment="1" applyProtection="1">
      <alignment horizontal="center" vertical="center"/>
      <protection locked="0"/>
    </xf>
    <xf numFmtId="0" fontId="53" fillId="6" borderId="5" xfId="1" applyFont="1" applyFill="1" applyBorder="1" applyAlignment="1" applyProtection="1">
      <alignment horizontal="center" vertical="center"/>
      <protection locked="0"/>
    </xf>
    <xf numFmtId="0" fontId="53" fillId="6" borderId="3" xfId="1" applyFont="1" applyFill="1" applyBorder="1" applyAlignment="1" applyProtection="1">
      <alignment horizontal="center" vertical="center"/>
      <protection locked="0"/>
    </xf>
    <xf numFmtId="0" fontId="39" fillId="6" borderId="6" xfId="1" applyFont="1" applyFill="1" applyBorder="1" applyAlignment="1" applyProtection="1">
      <alignment horizontal="center" vertical="center"/>
      <protection locked="0"/>
    </xf>
    <xf numFmtId="0" fontId="39" fillId="6" borderId="30" xfId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right" vertical="center"/>
    </xf>
    <xf numFmtId="0" fontId="15" fillId="0" borderId="0" xfId="1" applyFont="1" applyAlignment="1" applyProtection="1">
      <alignment vertical="center" wrapText="1"/>
      <protection locked="0"/>
    </xf>
    <xf numFmtId="14" fontId="15" fillId="0" borderId="6" xfId="0" applyNumberFormat="1" applyFont="1" applyBorder="1" applyAlignment="1">
      <alignment horizontal="right" vertical="center"/>
    </xf>
  </cellXfs>
  <cellStyles count="6">
    <cellStyle name="Normal" xfId="0" builtinId="0"/>
    <cellStyle name="Normal 2" xfId="1" xr:uid="{00000000-0005-0000-0000-000001000000}"/>
    <cellStyle name="Normal 2 3" xfId="2" xr:uid="{00000000-0005-0000-0000-000002000000}"/>
    <cellStyle name="Normal 2 3 2" xfId="5" xr:uid="{BE1B13CB-0B56-4CCD-8B99-3041C7B24BE1}"/>
    <cellStyle name="Normal 3" xfId="4" xr:uid="{163F974C-706C-4CEE-90EF-1AD423757A34}"/>
    <cellStyle name="Normal 7" xfId="3" xr:uid="{00000000-0005-0000-0000-000003000000}"/>
  </cellStyles>
  <dxfs count="14">
    <dxf>
      <font>
        <b/>
        <i val="0"/>
        <color rgb="FFFFFF00"/>
      </font>
    </dxf>
    <dxf>
      <font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</dxf>
    <dxf>
      <font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C55A11"/>
      <color rgb="FFD76213"/>
      <color rgb="FFCC66FF"/>
      <color rgb="FFFF9F9F"/>
      <color rgb="FFFF66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65987</xdr:colOff>
      <xdr:row>0</xdr:row>
      <xdr:rowOff>119744</xdr:rowOff>
    </xdr:from>
    <xdr:ext cx="2953196" cy="1097642"/>
    <xdr:pic>
      <xdr:nvPicPr>
        <xdr:cNvPr id="2" name="Imagen 1">
          <a:extLst>
            <a:ext uri="{FF2B5EF4-FFF2-40B4-BE49-F238E27FC236}">
              <a16:creationId xmlns:a16="http://schemas.microsoft.com/office/drawing/2014/main" id="{4AA4137B-2D05-48D2-B9AA-15CD0860E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1487" y="119744"/>
          <a:ext cx="2953196" cy="1097642"/>
        </a:xfrm>
        <a:prstGeom prst="rect">
          <a:avLst/>
        </a:prstGeom>
      </xdr:spPr>
    </xdr:pic>
    <xdr:clientData/>
  </xdr:oneCellAnchor>
  <xdr:twoCellAnchor>
    <xdr:from>
      <xdr:col>4</xdr:col>
      <xdr:colOff>416214</xdr:colOff>
      <xdr:row>1</xdr:row>
      <xdr:rowOff>65153</xdr:rowOff>
    </xdr:from>
    <xdr:to>
      <xdr:col>7</xdr:col>
      <xdr:colOff>391239</xdr:colOff>
      <xdr:row>3</xdr:row>
      <xdr:rowOff>194501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1EEC9FF-1B21-4D06-AE7E-9C5D1EC1F788}"/>
            </a:ext>
          </a:extLst>
        </xdr:cNvPr>
        <xdr:cNvSpPr txBox="1"/>
      </xdr:nvSpPr>
      <xdr:spPr>
        <a:xfrm>
          <a:off x="3368964" y="249303"/>
          <a:ext cx="1746675" cy="4849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CONTROL</a:t>
          </a:r>
          <a:r>
            <a:rPr lang="en-US" sz="2000" b="1" baseline="0">
              <a:latin typeface="Arial" panose="020B0604020202020204" pitchFamily="34" charset="0"/>
              <a:cs typeface="Arial" panose="020B0604020202020204" pitchFamily="34" charset="0"/>
            </a:rPr>
            <a:t> DOCUMENTAL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786328</xdr:colOff>
      <xdr:row>4</xdr:row>
      <xdr:rowOff>32497</xdr:rowOff>
    </xdr:from>
    <xdr:to>
      <xdr:col>7</xdr:col>
      <xdr:colOff>21767</xdr:colOff>
      <xdr:row>6</xdr:row>
      <xdr:rowOff>161845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97B2569-D3FC-4F94-93D0-763F4F96F617}"/>
            </a:ext>
          </a:extLst>
        </xdr:cNvPr>
        <xdr:cNvSpPr txBox="1"/>
      </xdr:nvSpPr>
      <xdr:spPr>
        <a:xfrm>
          <a:off x="3542228" y="769097"/>
          <a:ext cx="1203939" cy="4976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MASTER INGENIERÍA CLIENTE</a:t>
          </a:r>
        </a:p>
      </xdr:txBody>
    </xdr:sp>
    <xdr:clientData/>
  </xdr:twoCellAnchor>
  <xdr:oneCellAnchor>
    <xdr:from>
      <xdr:col>3</xdr:col>
      <xdr:colOff>14151</xdr:colOff>
      <xdr:row>0</xdr:row>
      <xdr:rowOff>177863</xdr:rowOff>
    </xdr:from>
    <xdr:ext cx="1898186" cy="712587"/>
    <xdr:pic>
      <xdr:nvPicPr>
        <xdr:cNvPr id="5" name="Imagen 4" descr="Image">
          <a:extLst>
            <a:ext uri="{FF2B5EF4-FFF2-40B4-BE49-F238E27FC236}">
              <a16:creationId xmlns:a16="http://schemas.microsoft.com/office/drawing/2014/main" id="{926C48D1-0ECF-47DA-9768-150871ECA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251" y="177863"/>
          <a:ext cx="1898186" cy="712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1853129</xdr:colOff>
      <xdr:row>0</xdr:row>
      <xdr:rowOff>130468</xdr:rowOff>
    </xdr:from>
    <xdr:to>
      <xdr:col>4</xdr:col>
      <xdr:colOff>0</xdr:colOff>
      <xdr:row>3</xdr:row>
      <xdr:rowOff>20329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CF0A188-A8A0-4BDA-82CB-1EF7AB1AEA67}"/>
            </a:ext>
          </a:extLst>
        </xdr:cNvPr>
        <xdr:cNvSpPr txBox="1"/>
      </xdr:nvSpPr>
      <xdr:spPr>
        <a:xfrm>
          <a:off x="2361129" y="130468"/>
          <a:ext cx="591621" cy="4423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CONTROL</a:t>
          </a:r>
          <a:r>
            <a:rPr lang="en-US" sz="2000" b="1" baseline="0">
              <a:latin typeface="Arial" panose="020B0604020202020204" pitchFamily="34" charset="0"/>
              <a:cs typeface="Arial" panose="020B0604020202020204" pitchFamily="34" charset="0"/>
            </a:rPr>
            <a:t> DOCUMENTAL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0</xdr:colOff>
      <xdr:row>3</xdr:row>
      <xdr:rowOff>76040</xdr:rowOff>
    </xdr:from>
    <xdr:to>
      <xdr:col>4</xdr:col>
      <xdr:colOff>0</xdr:colOff>
      <xdr:row>5</xdr:row>
      <xdr:rowOff>205388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3FE63D7-6CD1-4224-AE8C-7F686BAF7F60}"/>
            </a:ext>
          </a:extLst>
        </xdr:cNvPr>
        <xdr:cNvSpPr txBox="1"/>
      </xdr:nvSpPr>
      <xdr:spPr>
        <a:xfrm>
          <a:off x="2362200" y="628490"/>
          <a:ext cx="590550" cy="4785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MASTER INGENIERÍA CLIENTE</a:t>
          </a:r>
        </a:p>
      </xdr:txBody>
    </xdr:sp>
    <xdr:clientData/>
  </xdr:twoCellAnchor>
  <xdr:oneCellAnchor>
    <xdr:from>
      <xdr:col>2</xdr:col>
      <xdr:colOff>0</xdr:colOff>
      <xdr:row>1</xdr:row>
      <xdr:rowOff>54429</xdr:rowOff>
    </xdr:from>
    <xdr:ext cx="3485635" cy="1095653"/>
    <xdr:pic>
      <xdr:nvPicPr>
        <xdr:cNvPr id="4" name="Imagen 3">
          <a:extLst>
            <a:ext uri="{FF2B5EF4-FFF2-40B4-BE49-F238E27FC236}">
              <a16:creationId xmlns:a16="http://schemas.microsoft.com/office/drawing/2014/main" id="{1FF2963E-9D9A-42CE-9726-C00BA14FFA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70" t="15412"/>
        <a:stretch/>
      </xdr:blipFill>
      <xdr:spPr>
        <a:xfrm>
          <a:off x="1344603" y="238579"/>
          <a:ext cx="3485635" cy="109565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1853129</xdr:colOff>
      <xdr:row>0</xdr:row>
      <xdr:rowOff>130468</xdr:rowOff>
    </xdr:from>
    <xdr:to>
      <xdr:col>7</xdr:col>
      <xdr:colOff>826668</xdr:colOff>
      <xdr:row>3</xdr:row>
      <xdr:rowOff>20329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F28C1C7-0FB1-4C34-B0C3-926A3D4E81C8}"/>
            </a:ext>
          </a:extLst>
        </xdr:cNvPr>
        <xdr:cNvSpPr txBox="1"/>
      </xdr:nvSpPr>
      <xdr:spPr>
        <a:xfrm>
          <a:off x="2951679" y="130468"/>
          <a:ext cx="1773889" cy="4327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CONTROL</a:t>
          </a:r>
          <a:r>
            <a:rPr lang="en-US" sz="2000" b="1" baseline="0">
              <a:latin typeface="Arial" panose="020B0604020202020204" pitchFamily="34" charset="0"/>
              <a:cs typeface="Arial" panose="020B0604020202020204" pitchFamily="34" charset="0"/>
            </a:rPr>
            <a:t> DOCUMENTAL</a:t>
          </a:r>
          <a:endParaRPr lang="en-US" sz="2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67871</xdr:colOff>
      <xdr:row>3</xdr:row>
      <xdr:rowOff>76040</xdr:rowOff>
    </xdr:from>
    <xdr:to>
      <xdr:col>7</xdr:col>
      <xdr:colOff>522510</xdr:colOff>
      <xdr:row>5</xdr:row>
      <xdr:rowOff>205388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7A3E43A-D5CD-4662-8CBB-1C242F82AFD0}"/>
            </a:ext>
          </a:extLst>
        </xdr:cNvPr>
        <xdr:cNvSpPr txBox="1"/>
      </xdr:nvSpPr>
      <xdr:spPr>
        <a:xfrm>
          <a:off x="3017446" y="618965"/>
          <a:ext cx="1642089" cy="46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MASTER INGENIERÍA CLIENTE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liana  Gomez Zamora" id="{FCE5DBBD-E47A-43F1-8DA6-2759A973B671}" userId="S::lgomez@seguraehijos.cl::2a9879fe-a29f-41ce-9c68-7519655887b0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Z9" dT="2026-04-07T23:23:21.41" personId="{FCE5DBBD-E47A-43F1-8DA6-2759A973B671}" id="{FD15F99C-D5AB-4D0C-922C-66A192C91CD0}">
    <text xml:space="preserve">REVISAR TRAZABILIDAD
</text>
  </threadedComment>
  <threadedComment ref="O62" dT="2026-01-05T23:40:52.83" personId="{FCE5DBBD-E47A-43F1-8DA6-2759A973B671}" id="{C54F296D-D379-4397-AB18-0D7BB3659C50}">
    <text xml:space="preserve">Comentarios de metacontrol, fueron formalizados por ttal (098) el 05-01-2026. </text>
  </threadedComment>
  <threadedComment ref="N74" dT="2026-02-23T13:50:56.39" personId="{FCE5DBBD-E47A-43F1-8DA6-2759A973B671}" id="{0992F917-D51B-4861-BF33-87B97E968736}">
    <text>Fecha 1 0_RL1: 19-02 (obsoleta)
Fecha 2 0_RL1:23-02 (valida para uso)</text>
  </threadedComment>
  <threadedComment ref="Q79" dT="2025-12-16T15:38:12.90" personId="{FCE5DBBD-E47A-43F1-8DA6-2759A973B671}" id="{FD3CBD60-CFC8-4F3D-8D5B-530018BD52D5}">
    <text>Aprobación de REV_0 para pasar a 0_RL1 (enviada el 24-11)</text>
  </threadedComment>
  <threadedComment ref="Q85" dT="2025-12-17T14:07:19.53" personId="{FCE5DBBD-E47A-43F1-8DA6-2759A973B671}" id="{24634C83-00FF-443D-98A2-182C9FB87B9A}">
    <text xml:space="preserve">Rev comentada anterior </text>
  </threadedComment>
  <threadedComment ref="R85" dT="2025-12-17T14:10:44.81" personId="{FCE5DBBD-E47A-43F1-8DA6-2759A973B671}" id="{741B6B00-440F-4E9F-977E-A37DCEAE57BB}">
    <text>Comentada versión anterior.</text>
  </threadedComment>
  <threadedComment ref="Q86" dT="2025-12-16T15:44:36.64" personId="{FCE5DBBD-E47A-43F1-8DA6-2759A973B671}" id="{9D3B8CF6-ED26-40FA-A5AB-FE7FAD1A9502}">
    <text xml:space="preserve">Aprobación de REV_0 para levantar a 0RL1 (ya enviada previamente a INN)
</text>
  </threadedComment>
  <threadedComment ref="O89" dT="2026-01-05T23:40:59.40" personId="{FCE5DBBD-E47A-43F1-8DA6-2759A973B671}" id="{14143C64-11A4-4658-8D99-86AB7E60868A}">
    <text xml:space="preserve">Comentarios de metacontrol, fueron formalizados por ttal (098) el 05-01-2026. </text>
  </threadedComment>
  <threadedComment ref="O100" dT="2026-03-16T19:52:34.68" personId="{FCE5DBBD-E47A-43F1-8DA6-2759A973B671}" id="{77A3E3B5-713F-4E9F-A348-027081437483}">
    <text>INN ENVIA EN ESTE TTAL SOLO LA APROBACIÓN DE CLIENTE. FALTA LA APROBACIÓN DE REVISOR SISMICO.</text>
  </threadedComment>
  <threadedComment ref="AO100" dT="2025-11-21T16:36:37.18" personId="{FCE5DBBD-E47A-43F1-8DA6-2759A973B671}" id="{0B0CF34F-B262-4486-84BC-B5285E88A2B8}">
    <text>Se sustituyo rev a 0 sin actualizar transmital incial. Se comparte el 21-11</text>
  </threadedComment>
  <threadedComment ref="AX115" dT="2025-12-17T14:29:57.58" personId="{FCE5DBBD-E47A-43F1-8DA6-2759A973B671}" id="{ABDD88D1-9C2D-4845-B529-EDB9D926C173}">
    <text xml:space="preserve">Cliente comento REV_B pero se seguirá flujo normal del documento a REV_2
</text>
  </threadedComment>
  <threadedComment ref="AO120" dT="2025-11-21T16:36:28.00" personId="{FCE5DBBD-E47A-43F1-8DA6-2759A973B671}" id="{AE5B6647-5DDE-47EB-ACD3-BDD3DB15064A}">
    <text xml:space="preserve">Se sustituyo rev a 0 sin actualizar transmital incial. Se comparte el 21-11
</text>
  </threadedComment>
  <threadedComment ref="O162" dT="2026-03-16T19:52:34.68" personId="{FCE5DBBD-E47A-43F1-8DA6-2759A973B671}" id="{466B4234-E19B-45C9-AB78-EE717CD059AB}">
    <text>INN ENVIA EN ESTE TTAL SOLO LA APROBACIÓN DE CLIENTE. FALTA LA APROBACIÓN DE REVISOR SISMICO.</text>
  </threadedComment>
  <threadedComment ref="AO162" dT="2025-11-21T16:36:32.94" personId="{FCE5DBBD-E47A-43F1-8DA6-2759A973B671}" id="{BDC40121-9F62-44B8-B6E6-891C25EC68F8}">
    <text>Se sustituyo rev a 0 sin actualizar transmital incial. Se comparte el 21-11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9" dT="2025-11-03T16:37:11.16" personId="{FCE5DBBD-E47A-43F1-8DA6-2759A973B671}" id="{32351424-942B-43FC-96D5-67F6A19F1F6D}">
    <text xml:space="preserve">Se entrega 1 copia a Pablo Nuñez el 03-11-25
</text>
  </threadedComment>
  <threadedComment ref="G24" dT="2026-03-12T20:59:24.05" personId="{FCE5DBBD-E47A-43F1-8DA6-2759A973B671}" id="{3A50AABA-440C-4670-BCBF-5E2D67C573D7}">
    <text>NO EXISTE REVISIÓN 1_RL1 A PLANTA</text>
  </threadedComment>
  <threadedComment ref="AB28" dT="2026-03-17T16:05:24.54" personId="{FCE5DBBD-E47A-43F1-8DA6-2759A973B671}" id="{D3DA4AAA-3AF8-404B-BF0C-36AE3FDFD3E3}">
    <text xml:space="preserve">NO EXISTE Rev_1RL2 a planta.
</text>
  </threadedComment>
  <threadedComment ref="AB36" dT="2026-03-17T16:05:24.54" personId="{FCE5DBBD-E47A-43F1-8DA6-2759A973B671}" id="{661832BD-1278-4049-A59C-B8D5873AB41C}">
    <text xml:space="preserve">NO EXISTE Rev_1RL2 a planta.
</text>
  </threadedComment>
  <threadedComment ref="AB37" dT="2026-03-17T16:05:24.54" personId="{FCE5DBBD-E47A-43F1-8DA6-2759A973B671}" id="{25AD877F-D9FA-4DAA-8A4F-FB5111F0AD58}">
    <text xml:space="preserve">NO EXISTE Rev_1RL2 a planta.
</text>
  </threadedComment>
  <threadedComment ref="D51" dT="2026-03-23T14:22:25.53" personId="{FCE5DBBD-E47A-43F1-8DA6-2759A973B671}" id="{A83D822F-EFAE-4061-8DEF-41C6A7520887}">
    <text>66OP12044-INN-PRET-ME-PL0184</text>
  </threadedComment>
  <threadedComment ref="D52" dT="2026-03-23T14:22:48.32" personId="{FCE5DBBD-E47A-43F1-8DA6-2759A973B671}" id="{47FB951A-BFE9-430B-9ECF-82A41741A45D}">
    <text>66OP12044-INN-PRET-ME-PL0185</text>
  </threadedComment>
  <threadedComment ref="D53" dT="2026-03-23T14:23:18.45" personId="{FCE5DBBD-E47A-43F1-8DA6-2759A973B671}" id="{CA6421D4-5CF8-4F52-9384-08D1E228221D}">
    <text>66OP12044-INN-PRET-ME-PL0186</text>
  </threadedComment>
  <threadedComment ref="C62" dT="2026-03-23T14:40:13.49" personId="{FCE5DBBD-E47A-43F1-8DA6-2759A973B671}" id="{72300E85-BFF8-4E60-B3FC-CD9D6903DBD9}">
    <text>RECIBIDA POR CARLOS GARCÍA</text>
  </threadedComment>
  <threadedComment ref="D62" dT="2026-03-23T11:47:00.17" personId="{FCE5DBBD-E47A-43F1-8DA6-2759A973B671}" id="{D5F55F98-3B11-47DB-9A32-B517ED0DA1AD}">
    <text xml:space="preserve">Viendo cód con Jean
</text>
  </threadedComment>
  <threadedComment ref="D62" dT="2026-03-26T15:00:46.01" personId="{FCE5DBBD-E47A-43F1-8DA6-2759A973B671}" id="{557E12F2-31F2-43AA-98BA-35FACF641BD7}" parentId="{D5F55F98-3B11-47DB-9A32-B517ED0DA1AD}">
    <text xml:space="preserve">Jean indicó el 25-03 a través de Emerson, que el documento cambiaría a numeración 6021-M-FB-0020. SE RETIRAN TODAS LAS VERSIONES EN FABRICA PARA EVITAR CONFUSIONES con cód 16
. </text>
  </threadedComment>
  <threadedComment ref="L62" dT="2026-03-26T15:01:47.88" personId="{FCE5DBBD-E47A-43F1-8DA6-2759A973B671}" id="{13AD9B11-DA2C-4B06-9B32-E79147A10544}">
    <text>REVISIÓN CORRESPONDE A VERSIÓN CODIFICADA ERRONEAMENTE. SE REINICIA SU FLUJO DESDE LA REVISIÓN 0 (PREVIAMENTE RETIRADAS LAS VERSIONES EQUIVOCADAS EN PLANTA)</text>
  </threadedComment>
  <threadedComment ref="P65" dT="2026-03-25T20:27:02.45" personId="{FCE5DBBD-E47A-43F1-8DA6-2759A973B671}" id="{A71B8947-63AD-496D-9A15-96245D205ADA}">
    <text xml:space="preserve">Fecha 1 0_RL1: 19-02 (obsoleta)
Fecha 2 0_RL1:23-02 (valida para uso)
</text>
  </threadedComment>
  <threadedComment ref="C80" dT="2026-03-24T14:24:44.32" personId="{FCE5DBBD-E47A-43F1-8DA6-2759A973B671}" id="{CB93B283-729E-4305-AE29-A5EBD28CD7E2}">
    <text>3 para carpetas de supervisores. 1 para carpeta don alex</text>
  </threadedComment>
  <threadedComment ref="D81" dT="2026-03-23T11:47:11.26" personId="{FCE5DBBD-E47A-43F1-8DA6-2759A973B671}" id="{4B79CBCF-7C41-403D-B915-FEB97AAD8CAF}">
    <text>Viendo cód con Jean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5" dT="2025-09-24T16:52:13.62" personId="{FCE5DBBD-E47A-43F1-8DA6-2759A973B671}" id="{EB37094E-EF68-488A-8B5B-9C5BA509080E}">
    <text xml:space="preserve">Este transmittal corresponde a orden de compra por ingeniería de Servicios Auxiliares, para lo cual INN lo  identifico con las siglas SEH2. 
</text>
  </threadedComment>
  <threadedComment ref="F25" dT="2025-09-24T16:39:04.40" personId="{FCE5DBBD-E47A-43F1-8DA6-2759A973B671}" id="{4B01174F-C81D-461D-9FB9-2C332D749013}">
    <text xml:space="preserve">No se pudo guardar subdividido por problemas en carpetas. Toda la información está dentro de la info del transmittal
</text>
  </threadedComment>
  <threadedComment ref="C52" dT="2025-10-27T15:01:11.88" personId="{FCE5DBBD-E47A-43F1-8DA6-2759A973B671}" id="{B536D2D4-FDC1-4ABA-99F2-7AAC30175A71}">
    <text>CORREO MARCIA RE: 66OP12044 // Proyecto Relaves Espesados Talabre // SEH // OT6021-Acta de Envío 051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247"/>
  <sheetViews>
    <sheetView showGridLines="0" tabSelected="1" zoomScale="50" zoomScaleNormal="50" zoomScaleSheetLayoutView="90" workbookViewId="0">
      <pane xSplit="21" ySplit="3" topLeftCell="W4" activePane="bottomRight" state="frozen"/>
      <selection pane="topRight" activeCell="T1" sqref="T1"/>
      <selection pane="bottomLeft" activeCell="A4" sqref="A4"/>
      <selection pane="bottomRight" activeCell="W4" sqref="W4"/>
    </sheetView>
  </sheetViews>
  <sheetFormatPr baseColWidth="10" defaultColWidth="8.453125" defaultRowHeight="14" x14ac:dyDescent="0.35"/>
  <cols>
    <col min="1" max="1" width="3.1796875" style="514" customWidth="1"/>
    <col min="2" max="2" width="7.7265625" style="504" customWidth="1"/>
    <col min="3" max="3" width="24.1796875" style="504" hidden="1" customWidth="1"/>
    <col min="4" max="4" width="19" style="504" customWidth="1"/>
    <col min="5" max="5" width="32.81640625" style="508" customWidth="1"/>
    <col min="6" max="6" width="45.1796875" style="508" customWidth="1"/>
    <col min="7" max="7" width="50" style="504" customWidth="1"/>
    <col min="8" max="8" width="65.81640625" style="504" customWidth="1"/>
    <col min="9" max="9" width="33.26953125" style="626" hidden="1" customWidth="1"/>
    <col min="10" max="10" width="19.81640625" style="626" hidden="1" customWidth="1"/>
    <col min="11" max="11" width="18.26953125" style="626" hidden="1" customWidth="1"/>
    <col min="12" max="12" width="37.54296875" style="626" hidden="1" customWidth="1"/>
    <col min="13" max="13" width="9.54296875" style="626" customWidth="1"/>
    <col min="14" max="14" width="11.453125" style="508" customWidth="1"/>
    <col min="15" max="15" width="10.54296875" style="508" customWidth="1"/>
    <col min="16" max="16" width="17" style="509" customWidth="1"/>
    <col min="17" max="17" width="15.26953125" style="509" customWidth="1"/>
    <col min="18" max="18" width="21.7265625" style="509" customWidth="1"/>
    <col min="19" max="19" width="13.7265625" style="509" customWidth="1"/>
    <col min="20" max="20" width="12.7265625" style="509" customWidth="1"/>
    <col min="21" max="22" width="5.1796875" style="504" customWidth="1"/>
    <col min="23" max="23" width="6.1796875" style="504" customWidth="1"/>
    <col min="24" max="24" width="6.1796875" style="504" hidden="1" customWidth="1"/>
    <col min="25" max="25" width="15.7265625" style="627" customWidth="1"/>
    <col min="26" max="26" width="15.1796875" style="514" customWidth="1"/>
    <col min="27" max="27" width="14.1796875" style="514" customWidth="1"/>
    <col min="28" max="28" width="6.1796875" style="514" hidden="1" customWidth="1"/>
    <col min="29" max="29" width="22.453125" style="514" customWidth="1"/>
    <col min="30" max="30" width="15.453125" style="514" customWidth="1"/>
    <col min="31" max="31" width="6.1796875" style="514" customWidth="1"/>
    <col min="32" max="32" width="6.1796875" style="514" hidden="1" customWidth="1"/>
    <col min="33" max="33" width="15.81640625" style="514" customWidth="1"/>
    <col min="34" max="34" width="28.453125" style="514" customWidth="1"/>
    <col min="35" max="35" width="16.1796875" style="514" customWidth="1"/>
    <col min="36" max="36" width="6.1796875" style="514" hidden="1" customWidth="1"/>
    <col min="37" max="37" width="18.453125" style="514" customWidth="1"/>
    <col min="38" max="38" width="10.7265625" style="514" customWidth="1"/>
    <col min="39" max="39" width="6.1796875" style="514" customWidth="1"/>
    <col min="40" max="40" width="6.1796875" style="514" hidden="1" customWidth="1"/>
    <col min="41" max="41" width="15" style="628" customWidth="1"/>
    <col min="42" max="42" width="9.54296875" style="514" customWidth="1"/>
    <col min="43" max="43" width="15.26953125" style="514" customWidth="1"/>
    <col min="44" max="44" width="5.81640625" style="514" hidden="1" customWidth="1"/>
    <col min="45" max="45" width="19" style="514" customWidth="1"/>
    <col min="46" max="46" width="11.81640625" style="514" customWidth="1"/>
    <col min="47" max="47" width="6.1796875" style="514" customWidth="1"/>
    <col min="48" max="48" width="6.1796875" style="514" hidden="1" customWidth="1"/>
    <col min="49" max="49" width="14.54296875" style="629" customWidth="1"/>
    <col min="50" max="50" width="20.26953125" style="514" customWidth="1"/>
    <col min="51" max="51" width="16.453125" style="514" customWidth="1"/>
    <col min="52" max="52" width="6.1796875" style="514" hidden="1" customWidth="1"/>
    <col min="53" max="53" width="24.1796875" style="514" customWidth="1"/>
    <col min="54" max="54" width="8.54296875" style="514" customWidth="1"/>
    <col min="55" max="55" width="6.1796875" style="514" customWidth="1"/>
    <col min="56" max="56" width="4.81640625" style="514" hidden="1" customWidth="1"/>
    <col min="57" max="57" width="17.7265625" style="514" customWidth="1"/>
    <col min="58" max="58" width="11.81640625" style="514" customWidth="1"/>
    <col min="59" max="59" width="18.1796875" style="514" customWidth="1"/>
    <col min="60" max="60" width="14.7265625" style="514" hidden="1" customWidth="1"/>
    <col min="61" max="61" width="19.54296875" style="514" customWidth="1"/>
    <col min="62" max="62" width="16.54296875" style="514" customWidth="1"/>
    <col min="63" max="63" width="6.1796875" style="514" customWidth="1"/>
    <col min="64" max="64" width="6.1796875" style="514" hidden="1" customWidth="1"/>
    <col min="65" max="65" width="16.81640625" style="514" customWidth="1"/>
    <col min="66" max="66" width="10" style="514" customWidth="1"/>
    <col min="67" max="67" width="17" style="514" customWidth="1"/>
    <col min="68" max="68" width="6.1796875" style="514" hidden="1" customWidth="1"/>
    <col min="69" max="69" width="22.26953125" style="514" customWidth="1"/>
    <col min="70" max="70" width="9.1796875" style="514" customWidth="1"/>
    <col min="71" max="71" width="6.1796875" style="514" customWidth="1"/>
    <col min="72" max="72" width="4.81640625" style="514" hidden="1" customWidth="1"/>
    <col min="73" max="73" width="14.7265625" style="514" bestFit="1" customWidth="1"/>
    <col min="74" max="74" width="6.1796875" style="514" customWidth="1"/>
    <col min="75" max="75" width="14.1796875" style="514" customWidth="1"/>
    <col min="76" max="76" width="3.453125" style="514" hidden="1" customWidth="1"/>
    <col min="77" max="77" width="12.7265625" style="514" customWidth="1"/>
    <col min="78" max="79" width="6.1796875" style="514" customWidth="1"/>
    <col min="80" max="80" width="3.26953125" style="514" hidden="1" customWidth="1"/>
    <col min="81" max="81" width="14.26953125" style="514" customWidth="1"/>
    <col min="82" max="82" width="14.54296875" style="514" customWidth="1"/>
    <col min="83" max="83" width="23.26953125" style="514" customWidth="1"/>
    <col min="84" max="84" width="6.1796875" style="514" hidden="1" customWidth="1"/>
    <col min="85" max="85" width="18" style="514" customWidth="1"/>
    <col min="86" max="86" width="8.7265625" style="514" customWidth="1"/>
    <col min="87" max="87" width="6.1796875" style="514" customWidth="1"/>
    <col min="88" max="88" width="6.1796875" style="514" hidden="1" customWidth="1"/>
    <col min="89" max="89" width="9.453125" style="514" bestFit="1" customWidth="1"/>
    <col min="90" max="90" width="6.1796875" style="514" customWidth="1"/>
    <col min="91" max="91" width="15.1796875" style="514" customWidth="1"/>
    <col min="92" max="92" width="6.1796875" style="514" hidden="1" customWidth="1"/>
    <col min="93" max="93" width="16.1796875" style="514" customWidth="1"/>
    <col min="94" max="95" width="6.1796875" style="514" customWidth="1"/>
    <col min="96" max="96" width="6.1796875" style="514" hidden="1" customWidth="1"/>
    <col min="97" max="97" width="9.453125" style="514" customWidth="1"/>
    <col min="98" max="98" width="6.1796875" style="514" customWidth="1"/>
    <col min="99" max="99" width="16.453125" style="514" customWidth="1"/>
    <col min="100" max="100" width="7.26953125" style="514" hidden="1" customWidth="1"/>
    <col min="101" max="101" width="20.54296875" style="514" customWidth="1"/>
    <col min="102" max="103" width="6.1796875" style="514" customWidth="1"/>
    <col min="104" max="104" width="6.1796875" style="514" hidden="1" customWidth="1"/>
    <col min="105" max="105" width="12.54296875" style="514" customWidth="1"/>
    <col min="106" max="111" width="6.1796875" style="514" customWidth="1"/>
    <col min="112" max="112" width="6.1796875" style="514" hidden="1" customWidth="1"/>
    <col min="113" max="113" width="9.7265625" style="514" customWidth="1"/>
    <col min="114" max="120" width="6.1796875" style="514" customWidth="1"/>
    <col min="121" max="121" width="9.81640625" style="514" customWidth="1"/>
    <col min="122" max="127" width="6.1796875" style="514" customWidth="1"/>
    <col min="128" max="128" width="6.1796875" style="514" hidden="1" customWidth="1"/>
    <col min="129" max="135" width="6.1796875" style="514" customWidth="1"/>
    <col min="136" max="136" width="6.1796875" style="514" hidden="1" customWidth="1"/>
    <col min="137" max="143" width="6.1796875" style="514" customWidth="1"/>
    <col min="144" max="144" width="6.1796875" style="514" hidden="1" customWidth="1"/>
    <col min="145" max="145" width="10" style="514" customWidth="1"/>
    <col min="146" max="159" width="6.1796875" style="514" customWidth="1"/>
    <col min="160" max="160" width="6.1796875" style="514" hidden="1" customWidth="1"/>
    <col min="161" max="161" width="11.26953125" style="514" customWidth="1"/>
    <col min="162" max="167" width="6.1796875" style="514" customWidth="1"/>
    <col min="168" max="168" width="6.1796875" style="514" hidden="1" customWidth="1"/>
    <col min="169" max="169" width="9.453125" style="514" customWidth="1"/>
    <col min="170" max="175" width="6.1796875" style="514" customWidth="1"/>
    <col min="176" max="176" width="6.1796875" style="514" hidden="1" customWidth="1"/>
    <col min="177" max="177" width="12.1796875" style="514" customWidth="1"/>
    <col min="178" max="183" width="6.1796875" style="514" customWidth="1"/>
    <col min="184" max="184" width="6.1796875" style="514" hidden="1" customWidth="1"/>
    <col min="185" max="185" width="11" style="514" customWidth="1"/>
    <col min="186" max="191" width="6.1796875" style="514" customWidth="1"/>
    <col min="192" max="192" width="6.1796875" style="514" hidden="1" customWidth="1"/>
    <col min="193" max="193" width="6.1796875" style="514" customWidth="1"/>
    <col min="194" max="194" width="32.453125" style="514" bestFit="1" customWidth="1"/>
    <col min="195" max="195" width="11.453125" style="514" bestFit="1" customWidth="1"/>
    <col min="196" max="196" width="14" style="514" bestFit="1" customWidth="1"/>
    <col min="197" max="197" width="11.453125" style="514" bestFit="1" customWidth="1"/>
    <col min="198" max="198" width="12.1796875" style="514" bestFit="1" customWidth="1"/>
    <col min="199" max="200" width="14" style="514" bestFit="1" customWidth="1"/>
    <col min="201" max="201" width="11.453125" style="514" bestFit="1" customWidth="1"/>
    <col min="202" max="202" width="32.453125" style="514" bestFit="1" customWidth="1"/>
    <col min="203" max="203" width="11.453125" style="514" bestFit="1" customWidth="1"/>
    <col min="204" max="204" width="14" style="514" bestFit="1" customWidth="1"/>
    <col min="205" max="205" width="11.453125" style="514" bestFit="1" customWidth="1"/>
    <col min="206" max="207" width="6.1796875" style="514" customWidth="1"/>
    <col min="208" max="208" width="6.1796875" style="514" hidden="1" customWidth="1"/>
    <col min="209" max="211" width="6.1796875" style="514" customWidth="1"/>
    <col min="212" max="215" width="8.453125" style="514"/>
    <col min="216" max="216" width="0" style="514" hidden="1" customWidth="1"/>
    <col min="217" max="16384" width="8.453125" style="514"/>
  </cols>
  <sheetData>
    <row r="1" spans="2:229" s="504" customFormat="1" ht="14.5" thickBot="1" x14ac:dyDescent="0.4">
      <c r="E1" s="505"/>
      <c r="F1" s="505"/>
      <c r="G1" s="506"/>
      <c r="H1" s="506"/>
      <c r="I1" s="507"/>
      <c r="J1" s="507"/>
      <c r="K1" s="507"/>
      <c r="L1" s="507"/>
      <c r="M1" s="507"/>
      <c r="N1" s="508"/>
      <c r="O1" s="508"/>
      <c r="P1" s="509"/>
      <c r="Q1" s="510" t="s">
        <v>0</v>
      </c>
      <c r="R1" s="866">
        <f ca="1">TODAY()</f>
        <v>46130</v>
      </c>
      <c r="S1" s="866"/>
      <c r="T1" s="866"/>
      <c r="U1" s="866"/>
      <c r="V1" s="505"/>
      <c r="W1" s="505"/>
      <c r="X1" s="505"/>
      <c r="Y1" s="510"/>
      <c r="Z1" s="511"/>
      <c r="AA1" s="507"/>
      <c r="AB1" s="507"/>
      <c r="AC1" s="511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12"/>
      <c r="AP1" s="507"/>
      <c r="AQ1" s="507"/>
      <c r="AR1" s="507"/>
      <c r="AS1" s="507"/>
      <c r="AT1" s="507"/>
      <c r="AU1" s="507"/>
      <c r="AV1" s="507"/>
      <c r="AW1" s="513"/>
      <c r="AX1" s="507"/>
      <c r="AY1" s="507"/>
      <c r="AZ1" s="507"/>
      <c r="BA1" s="507"/>
      <c r="BB1" s="507"/>
      <c r="BC1" s="507"/>
      <c r="BD1" s="507"/>
      <c r="BE1" s="507"/>
      <c r="BF1" s="507"/>
      <c r="BG1" s="507"/>
      <c r="BH1" s="507"/>
      <c r="BI1" s="507"/>
      <c r="BJ1" s="507"/>
      <c r="BK1" s="507"/>
      <c r="BL1" s="507"/>
      <c r="BM1" s="507"/>
      <c r="BN1" s="507"/>
      <c r="BO1" s="507"/>
      <c r="BP1" s="507"/>
      <c r="BQ1" s="507"/>
      <c r="BR1" s="507"/>
      <c r="BS1" s="507"/>
      <c r="BT1" s="507"/>
      <c r="BU1" s="507"/>
      <c r="BV1" s="507"/>
      <c r="BW1" s="507"/>
      <c r="BX1" s="507"/>
      <c r="BY1" s="507"/>
      <c r="BZ1" s="507"/>
      <c r="CA1" s="507"/>
      <c r="CB1" s="507"/>
      <c r="CC1" s="507"/>
      <c r="CD1" s="507"/>
      <c r="CE1" s="507"/>
      <c r="CF1" s="507"/>
      <c r="CG1" s="507"/>
      <c r="CH1" s="507"/>
      <c r="CI1" s="507"/>
      <c r="CJ1" s="507"/>
      <c r="CK1" s="507"/>
      <c r="CL1" s="507"/>
      <c r="CM1" s="507"/>
      <c r="CN1" s="507"/>
      <c r="CO1" s="507"/>
      <c r="CP1" s="507"/>
      <c r="CQ1" s="507"/>
      <c r="CR1" s="507"/>
      <c r="CS1" s="507"/>
      <c r="CT1" s="507"/>
      <c r="CU1" s="507"/>
      <c r="CV1" s="507"/>
      <c r="CW1" s="507"/>
      <c r="CX1" s="507"/>
      <c r="CY1" s="507"/>
      <c r="CZ1" s="507"/>
      <c r="DA1" s="507"/>
      <c r="DB1" s="507"/>
      <c r="DC1" s="507"/>
      <c r="DD1" s="507"/>
      <c r="DE1" s="507"/>
      <c r="DF1" s="507"/>
      <c r="DG1" s="507"/>
      <c r="DH1" s="507"/>
      <c r="DI1" s="507"/>
      <c r="DJ1" s="507"/>
      <c r="DK1" s="507"/>
      <c r="DL1" s="507"/>
      <c r="DM1" s="507"/>
      <c r="DN1" s="507"/>
      <c r="DO1" s="507"/>
      <c r="DP1" s="507"/>
      <c r="DQ1" s="507"/>
      <c r="DR1" s="507"/>
      <c r="DS1" s="507"/>
      <c r="DT1" s="507"/>
      <c r="DU1" s="507"/>
      <c r="DV1" s="507"/>
      <c r="DW1" s="507"/>
      <c r="DX1" s="507"/>
      <c r="DY1" s="507"/>
      <c r="DZ1" s="507"/>
      <c r="EA1" s="507"/>
      <c r="EB1" s="507"/>
      <c r="EC1" s="507"/>
      <c r="ED1" s="507"/>
      <c r="EE1" s="507"/>
      <c r="EF1" s="507"/>
      <c r="EG1" s="507"/>
      <c r="EH1" s="507"/>
      <c r="EI1" s="507"/>
      <c r="EJ1" s="507"/>
      <c r="EK1" s="507"/>
      <c r="EL1" s="507"/>
      <c r="EM1" s="507"/>
      <c r="EN1" s="507"/>
      <c r="EO1" s="507"/>
      <c r="EP1" s="507"/>
      <c r="EQ1" s="507"/>
      <c r="ER1" s="507"/>
      <c r="ES1" s="507"/>
      <c r="ET1" s="507"/>
      <c r="EU1" s="507"/>
      <c r="EV1" s="507"/>
      <c r="EW1" s="507"/>
      <c r="EX1" s="507"/>
      <c r="EY1" s="507"/>
      <c r="EZ1" s="507"/>
      <c r="FA1" s="507"/>
      <c r="FB1" s="507"/>
      <c r="FC1" s="507"/>
      <c r="FD1" s="507"/>
      <c r="FE1" s="507"/>
      <c r="FF1" s="507"/>
      <c r="FG1" s="507"/>
      <c r="FH1" s="507"/>
      <c r="FI1" s="507"/>
      <c r="FJ1" s="507"/>
      <c r="FK1" s="507"/>
      <c r="FL1" s="507"/>
      <c r="FM1" s="507"/>
      <c r="FN1" s="507"/>
      <c r="FO1" s="507"/>
      <c r="FP1" s="507"/>
      <c r="FQ1" s="507"/>
      <c r="FR1" s="507"/>
      <c r="FS1" s="507"/>
      <c r="FT1" s="507"/>
      <c r="FU1" s="507"/>
      <c r="FV1" s="507"/>
      <c r="FW1" s="507"/>
      <c r="FX1" s="507"/>
      <c r="FY1" s="507"/>
      <c r="FZ1" s="507"/>
      <c r="GA1" s="507"/>
      <c r="GB1" s="507"/>
      <c r="GC1" s="507"/>
      <c r="GD1" s="507"/>
      <c r="GE1" s="507"/>
      <c r="GF1" s="507"/>
      <c r="GG1" s="507"/>
      <c r="GH1" s="507"/>
      <c r="GI1" s="507"/>
      <c r="GJ1" s="507"/>
      <c r="GK1" s="507"/>
      <c r="GL1" s="507"/>
      <c r="GM1" s="507"/>
      <c r="GN1" s="507"/>
      <c r="GO1" s="507"/>
      <c r="GP1" s="507"/>
      <c r="GQ1" s="507"/>
      <c r="GR1" s="507"/>
      <c r="GS1" s="507"/>
      <c r="GT1" s="507"/>
      <c r="GU1" s="507"/>
      <c r="GV1" s="507"/>
      <c r="GW1" s="507"/>
      <c r="GX1" s="507"/>
      <c r="GY1" s="507"/>
      <c r="GZ1" s="507"/>
      <c r="HA1" s="507"/>
      <c r="HB1" s="507"/>
      <c r="HC1" s="507"/>
    </row>
    <row r="2" spans="2:229" ht="14.5" thickBot="1" x14ac:dyDescent="0.4">
      <c r="E2" s="515" t="s">
        <v>1</v>
      </c>
      <c r="F2" s="515"/>
      <c r="G2" s="516"/>
      <c r="H2" s="516">
        <f>SUBTOTAL(3,H4:H244)</f>
        <v>222</v>
      </c>
      <c r="I2" s="517"/>
      <c r="J2" s="517"/>
      <c r="K2" s="517"/>
      <c r="L2" s="517"/>
      <c r="M2" s="517"/>
      <c r="N2" s="518" t="s">
        <v>2</v>
      </c>
      <c r="O2" s="519"/>
      <c r="P2" s="520"/>
      <c r="Q2" s="520"/>
      <c r="R2" s="520"/>
      <c r="S2" s="520"/>
      <c r="T2" s="520"/>
      <c r="U2" s="521"/>
      <c r="V2" s="522" t="s">
        <v>3</v>
      </c>
      <c r="W2" s="523"/>
      <c r="X2" s="523"/>
      <c r="Y2" s="524"/>
      <c r="Z2" s="525" t="s">
        <v>4</v>
      </c>
      <c r="AA2" s="526"/>
      <c r="AB2" s="526"/>
      <c r="AC2" s="527"/>
      <c r="AD2" s="522" t="s">
        <v>5</v>
      </c>
      <c r="AE2" s="523"/>
      <c r="AF2" s="523"/>
      <c r="AG2" s="524"/>
      <c r="AH2" s="525" t="s">
        <v>4</v>
      </c>
      <c r="AI2" s="526"/>
      <c r="AJ2" s="526"/>
      <c r="AK2" s="527"/>
      <c r="AL2" s="522" t="s">
        <v>6</v>
      </c>
      <c r="AM2" s="523"/>
      <c r="AN2" s="523"/>
      <c r="AO2" s="524"/>
      <c r="AP2" s="525" t="s">
        <v>4</v>
      </c>
      <c r="AQ2" s="526"/>
      <c r="AR2" s="526"/>
      <c r="AS2" s="527"/>
      <c r="AT2" s="522" t="s">
        <v>7</v>
      </c>
      <c r="AU2" s="523"/>
      <c r="AV2" s="523"/>
      <c r="AW2" s="524"/>
      <c r="AX2" s="525" t="s">
        <v>4</v>
      </c>
      <c r="AY2" s="526"/>
      <c r="AZ2" s="526"/>
      <c r="BA2" s="527"/>
      <c r="BB2" s="522" t="s">
        <v>8</v>
      </c>
      <c r="BC2" s="523"/>
      <c r="BD2" s="523"/>
      <c r="BE2" s="524"/>
      <c r="BF2" s="525" t="s">
        <v>4</v>
      </c>
      <c r="BG2" s="526"/>
      <c r="BH2" s="526"/>
      <c r="BI2" s="527"/>
      <c r="BJ2" s="522" t="s">
        <v>9</v>
      </c>
      <c r="BK2" s="523"/>
      <c r="BL2" s="523"/>
      <c r="BM2" s="524"/>
      <c r="BN2" s="525" t="s">
        <v>4</v>
      </c>
      <c r="BO2" s="526"/>
      <c r="BP2" s="526"/>
      <c r="BQ2" s="527"/>
      <c r="BR2" s="522" t="s">
        <v>10</v>
      </c>
      <c r="BS2" s="523"/>
      <c r="BT2" s="523"/>
      <c r="BU2" s="524"/>
      <c r="BV2" s="525" t="s">
        <v>4</v>
      </c>
      <c r="BW2" s="526"/>
      <c r="BX2" s="526"/>
      <c r="BY2" s="527"/>
      <c r="BZ2" s="522" t="s">
        <v>11</v>
      </c>
      <c r="CA2" s="523"/>
      <c r="CB2" s="523"/>
      <c r="CC2" s="524"/>
      <c r="CD2" s="525" t="s">
        <v>4</v>
      </c>
      <c r="CE2" s="526"/>
      <c r="CF2" s="526"/>
      <c r="CG2" s="527"/>
      <c r="CH2" s="522" t="s">
        <v>12</v>
      </c>
      <c r="CI2" s="523"/>
      <c r="CJ2" s="523"/>
      <c r="CK2" s="524"/>
      <c r="CL2" s="525" t="s">
        <v>4</v>
      </c>
      <c r="CM2" s="526"/>
      <c r="CN2" s="526"/>
      <c r="CO2" s="527"/>
      <c r="CP2" s="522" t="s">
        <v>13</v>
      </c>
      <c r="CQ2" s="523"/>
      <c r="CR2" s="523"/>
      <c r="CS2" s="524"/>
      <c r="CT2" s="525" t="s">
        <v>4</v>
      </c>
      <c r="CU2" s="526"/>
      <c r="CV2" s="526"/>
      <c r="CW2" s="527"/>
      <c r="CX2" s="522" t="s">
        <v>14</v>
      </c>
      <c r="CY2" s="523"/>
      <c r="CZ2" s="523"/>
      <c r="DA2" s="524"/>
      <c r="DB2" s="525" t="s">
        <v>4</v>
      </c>
      <c r="DC2" s="526"/>
      <c r="DD2" s="526"/>
      <c r="DE2" s="527"/>
      <c r="DF2" s="522" t="s">
        <v>14</v>
      </c>
      <c r="DG2" s="523"/>
      <c r="DH2" s="523"/>
      <c r="DI2" s="524"/>
      <c r="DJ2" s="525" t="s">
        <v>4</v>
      </c>
      <c r="DK2" s="526"/>
      <c r="DL2" s="526"/>
      <c r="DM2" s="527"/>
      <c r="DN2" s="522" t="s">
        <v>14</v>
      </c>
      <c r="DO2" s="523"/>
      <c r="DP2" s="523"/>
      <c r="DQ2" s="524"/>
      <c r="DR2" s="525" t="s">
        <v>4</v>
      </c>
      <c r="DS2" s="526"/>
      <c r="DT2" s="526"/>
      <c r="DU2" s="527"/>
      <c r="DV2" s="522" t="s">
        <v>14</v>
      </c>
      <c r="DW2" s="523"/>
      <c r="DX2" s="523"/>
      <c r="DY2" s="524"/>
      <c r="DZ2" s="525" t="s">
        <v>4</v>
      </c>
      <c r="EA2" s="526"/>
      <c r="EB2" s="526"/>
      <c r="EC2" s="527"/>
      <c r="ED2" s="522" t="s">
        <v>14</v>
      </c>
      <c r="EE2" s="523"/>
      <c r="EF2" s="523"/>
      <c r="EG2" s="524"/>
      <c r="EH2" s="525" t="s">
        <v>4</v>
      </c>
      <c r="EI2" s="526"/>
      <c r="EJ2" s="526"/>
      <c r="EK2" s="527"/>
      <c r="EL2" s="522" t="s">
        <v>14</v>
      </c>
      <c r="EM2" s="523"/>
      <c r="EN2" s="523"/>
      <c r="EO2" s="524"/>
      <c r="EP2" s="525" t="s">
        <v>4</v>
      </c>
      <c r="EQ2" s="526"/>
      <c r="ER2" s="526"/>
      <c r="ES2" s="527"/>
      <c r="ET2" s="522" t="s">
        <v>14</v>
      </c>
      <c r="EU2" s="523"/>
      <c r="EV2" s="523"/>
      <c r="EW2" s="524"/>
      <c r="EX2" s="525" t="s">
        <v>4</v>
      </c>
      <c r="EY2" s="526"/>
      <c r="EZ2" s="526"/>
      <c r="FA2" s="527"/>
      <c r="FB2" s="522" t="s">
        <v>14</v>
      </c>
      <c r="FC2" s="523"/>
      <c r="FD2" s="523"/>
      <c r="FE2" s="524"/>
      <c r="FF2" s="525" t="s">
        <v>4</v>
      </c>
      <c r="FG2" s="526"/>
      <c r="FH2" s="526"/>
      <c r="FI2" s="527"/>
      <c r="FJ2" s="522" t="s">
        <v>14</v>
      </c>
      <c r="FK2" s="523"/>
      <c r="FL2" s="523"/>
      <c r="FM2" s="524"/>
      <c r="FN2" s="525" t="s">
        <v>4</v>
      </c>
      <c r="FO2" s="526"/>
      <c r="FP2" s="526"/>
      <c r="FQ2" s="527"/>
      <c r="FR2" s="522" t="s">
        <v>14</v>
      </c>
      <c r="FS2" s="523"/>
      <c r="FT2" s="523"/>
      <c r="FU2" s="524"/>
      <c r="FV2" s="525" t="s">
        <v>4</v>
      </c>
      <c r="FW2" s="526"/>
      <c r="FX2" s="526"/>
      <c r="FY2" s="527"/>
      <c r="FZ2" s="522" t="s">
        <v>14</v>
      </c>
      <c r="GA2" s="523"/>
      <c r="GB2" s="523"/>
      <c r="GC2" s="524"/>
      <c r="GD2" s="525" t="s">
        <v>4</v>
      </c>
      <c r="GE2" s="526"/>
      <c r="GF2" s="526"/>
      <c r="GG2" s="527"/>
      <c r="GH2" s="522" t="s">
        <v>14</v>
      </c>
      <c r="GI2" s="523"/>
      <c r="GJ2" s="523"/>
      <c r="GK2" s="524"/>
      <c r="GL2" s="525" t="s">
        <v>4</v>
      </c>
      <c r="GM2" s="526"/>
      <c r="GN2" s="526"/>
      <c r="GO2" s="527"/>
      <c r="GP2" s="522" t="s">
        <v>14</v>
      </c>
      <c r="GQ2" s="523"/>
      <c r="GR2" s="523"/>
      <c r="GS2" s="524"/>
      <c r="GT2" s="525" t="s">
        <v>4</v>
      </c>
      <c r="GU2" s="526"/>
      <c r="GV2" s="526"/>
      <c r="GW2" s="527"/>
      <c r="GX2" s="774"/>
      <c r="GY2" s="774"/>
      <c r="GZ2" s="774"/>
      <c r="HA2" s="774"/>
      <c r="HB2" s="774"/>
      <c r="HC2" s="774"/>
    </row>
    <row r="3" spans="2:229" ht="114" customHeight="1" x14ac:dyDescent="0.35">
      <c r="B3" s="528" t="s">
        <v>1148</v>
      </c>
      <c r="C3" s="528" t="s">
        <v>16</v>
      </c>
      <c r="D3" s="528" t="s">
        <v>17</v>
      </c>
      <c r="E3" s="528" t="s">
        <v>18</v>
      </c>
      <c r="F3" s="529" t="s">
        <v>19</v>
      </c>
      <c r="G3" s="529" t="s">
        <v>20</v>
      </c>
      <c r="H3" s="530" t="s">
        <v>21</v>
      </c>
      <c r="I3" s="531" t="s">
        <v>22</v>
      </c>
      <c r="J3" s="532" t="s">
        <v>23</v>
      </c>
      <c r="K3" s="533" t="s">
        <v>24</v>
      </c>
      <c r="L3" s="534" t="s">
        <v>25</v>
      </c>
      <c r="M3" s="535" t="s">
        <v>26</v>
      </c>
      <c r="N3" s="536" t="s">
        <v>27</v>
      </c>
      <c r="O3" s="536" t="s">
        <v>28</v>
      </c>
      <c r="P3" s="537" t="s">
        <v>29</v>
      </c>
      <c r="Q3" s="537" t="s">
        <v>30</v>
      </c>
      <c r="R3" s="538" t="s">
        <v>31</v>
      </c>
      <c r="S3" s="539" t="s">
        <v>32</v>
      </c>
      <c r="T3" s="539" t="s">
        <v>33</v>
      </c>
      <c r="U3" s="540" t="s">
        <v>34</v>
      </c>
      <c r="V3" s="541" t="s">
        <v>35</v>
      </c>
      <c r="W3" s="535" t="s">
        <v>36</v>
      </c>
      <c r="X3" s="542" t="s">
        <v>37</v>
      </c>
      <c r="Y3" s="543" t="s">
        <v>38</v>
      </c>
      <c r="Z3" s="541" t="s">
        <v>39</v>
      </c>
      <c r="AA3" s="535" t="s">
        <v>40</v>
      </c>
      <c r="AB3" s="542" t="s">
        <v>37</v>
      </c>
      <c r="AC3" s="543" t="s">
        <v>41</v>
      </c>
      <c r="AD3" s="541" t="s">
        <v>35</v>
      </c>
      <c r="AE3" s="535" t="s">
        <v>36</v>
      </c>
      <c r="AF3" s="542" t="s">
        <v>42</v>
      </c>
      <c r="AG3" s="543" t="s">
        <v>40</v>
      </c>
      <c r="AH3" s="541" t="s">
        <v>39</v>
      </c>
      <c r="AI3" s="535" t="s">
        <v>40</v>
      </c>
      <c r="AJ3" s="542" t="s">
        <v>37</v>
      </c>
      <c r="AK3" s="543" t="s">
        <v>41</v>
      </c>
      <c r="AL3" s="541" t="s">
        <v>35</v>
      </c>
      <c r="AM3" s="535" t="s">
        <v>36</v>
      </c>
      <c r="AN3" s="542" t="s">
        <v>37</v>
      </c>
      <c r="AO3" s="543" t="s">
        <v>40</v>
      </c>
      <c r="AP3" s="541" t="s">
        <v>39</v>
      </c>
      <c r="AQ3" s="535" t="s">
        <v>40</v>
      </c>
      <c r="AR3" s="542" t="s">
        <v>37</v>
      </c>
      <c r="AS3" s="543" t="s">
        <v>41</v>
      </c>
      <c r="AT3" s="541" t="s">
        <v>35</v>
      </c>
      <c r="AU3" s="535" t="s">
        <v>36</v>
      </c>
      <c r="AV3" s="542" t="s">
        <v>37</v>
      </c>
      <c r="AW3" s="543" t="s">
        <v>40</v>
      </c>
      <c r="AX3" s="541" t="s">
        <v>39</v>
      </c>
      <c r="AY3" s="535" t="s">
        <v>40</v>
      </c>
      <c r="AZ3" s="542" t="s">
        <v>37</v>
      </c>
      <c r="BA3" s="543" t="s">
        <v>41</v>
      </c>
      <c r="BB3" s="541" t="s">
        <v>35</v>
      </c>
      <c r="BC3" s="535" t="s">
        <v>36</v>
      </c>
      <c r="BD3" s="542" t="s">
        <v>37</v>
      </c>
      <c r="BE3" s="543" t="s">
        <v>40</v>
      </c>
      <c r="BF3" s="541" t="s">
        <v>39</v>
      </c>
      <c r="BG3" s="535" t="s">
        <v>40</v>
      </c>
      <c r="BH3" s="542" t="s">
        <v>37</v>
      </c>
      <c r="BI3" s="543" t="s">
        <v>41</v>
      </c>
      <c r="BJ3" s="541" t="s">
        <v>35</v>
      </c>
      <c r="BK3" s="535" t="s">
        <v>36</v>
      </c>
      <c r="BL3" s="542" t="s">
        <v>37</v>
      </c>
      <c r="BM3" s="543" t="s">
        <v>40</v>
      </c>
      <c r="BN3" s="541" t="s">
        <v>39</v>
      </c>
      <c r="BO3" s="535" t="s">
        <v>40</v>
      </c>
      <c r="BP3" s="542" t="s">
        <v>37</v>
      </c>
      <c r="BQ3" s="543" t="s">
        <v>41</v>
      </c>
      <c r="BR3" s="541" t="s">
        <v>35</v>
      </c>
      <c r="BS3" s="535" t="s">
        <v>36</v>
      </c>
      <c r="BT3" s="542" t="s">
        <v>37</v>
      </c>
      <c r="BU3" s="543" t="s">
        <v>40</v>
      </c>
      <c r="BV3" s="541" t="s">
        <v>39</v>
      </c>
      <c r="BW3" s="535" t="s">
        <v>40</v>
      </c>
      <c r="BX3" s="542" t="s">
        <v>37</v>
      </c>
      <c r="BY3" s="543" t="s">
        <v>41</v>
      </c>
      <c r="BZ3" s="541" t="s">
        <v>35</v>
      </c>
      <c r="CA3" s="535" t="s">
        <v>36</v>
      </c>
      <c r="CB3" s="542" t="s">
        <v>37</v>
      </c>
      <c r="CC3" s="543" t="s">
        <v>40</v>
      </c>
      <c r="CD3" s="541" t="s">
        <v>39</v>
      </c>
      <c r="CE3" s="535" t="s">
        <v>40</v>
      </c>
      <c r="CF3" s="542" t="s">
        <v>37</v>
      </c>
      <c r="CG3" s="543" t="s">
        <v>41</v>
      </c>
      <c r="CH3" s="541" t="s">
        <v>35</v>
      </c>
      <c r="CI3" s="535" t="s">
        <v>36</v>
      </c>
      <c r="CJ3" s="542" t="s">
        <v>37</v>
      </c>
      <c r="CK3" s="543" t="s">
        <v>40</v>
      </c>
      <c r="CL3" s="541" t="s">
        <v>39</v>
      </c>
      <c r="CM3" s="535" t="s">
        <v>40</v>
      </c>
      <c r="CN3" s="542" t="s">
        <v>37</v>
      </c>
      <c r="CO3" s="543" t="s">
        <v>41</v>
      </c>
      <c r="CP3" s="541" t="s">
        <v>35</v>
      </c>
      <c r="CQ3" s="535" t="s">
        <v>36</v>
      </c>
      <c r="CR3" s="542" t="s">
        <v>37</v>
      </c>
      <c r="CS3" s="543" t="s">
        <v>40</v>
      </c>
      <c r="CT3" s="541" t="s">
        <v>43</v>
      </c>
      <c r="CU3" s="535" t="s">
        <v>40</v>
      </c>
      <c r="CV3" s="542" t="s">
        <v>37</v>
      </c>
      <c r="CW3" s="543" t="s">
        <v>41</v>
      </c>
      <c r="CX3" s="541" t="s">
        <v>35</v>
      </c>
      <c r="CY3" s="535" t="s">
        <v>36</v>
      </c>
      <c r="CZ3" s="542" t="s">
        <v>37</v>
      </c>
      <c r="DA3" s="543" t="s">
        <v>40</v>
      </c>
      <c r="DB3" s="541" t="s">
        <v>43</v>
      </c>
      <c r="DC3" s="535" t="s">
        <v>40</v>
      </c>
      <c r="DD3" s="542" t="s">
        <v>37</v>
      </c>
      <c r="DE3" s="543" t="s">
        <v>41</v>
      </c>
      <c r="DF3" s="541" t="s">
        <v>35</v>
      </c>
      <c r="DG3" s="535" t="s">
        <v>36</v>
      </c>
      <c r="DH3" s="542" t="s">
        <v>37</v>
      </c>
      <c r="DI3" s="543" t="s">
        <v>40</v>
      </c>
      <c r="DJ3" s="541" t="s">
        <v>43</v>
      </c>
      <c r="DK3" s="535" t="s">
        <v>40</v>
      </c>
      <c r="DL3" s="542" t="s">
        <v>37</v>
      </c>
      <c r="DM3" s="543" t="s">
        <v>41</v>
      </c>
      <c r="DN3" s="541" t="s">
        <v>35</v>
      </c>
      <c r="DO3" s="535" t="s">
        <v>36</v>
      </c>
      <c r="DP3" s="542" t="s">
        <v>37</v>
      </c>
      <c r="DQ3" s="543" t="s">
        <v>40</v>
      </c>
      <c r="DR3" s="541" t="s">
        <v>43</v>
      </c>
      <c r="DS3" s="535" t="s">
        <v>40</v>
      </c>
      <c r="DT3" s="542" t="s">
        <v>37</v>
      </c>
      <c r="DU3" s="543" t="s">
        <v>41</v>
      </c>
      <c r="DV3" s="541" t="s">
        <v>35</v>
      </c>
      <c r="DW3" s="535" t="s">
        <v>36</v>
      </c>
      <c r="DX3" s="542" t="s">
        <v>37</v>
      </c>
      <c r="DY3" s="543" t="s">
        <v>40</v>
      </c>
      <c r="DZ3" s="541" t="s">
        <v>43</v>
      </c>
      <c r="EA3" s="535" t="s">
        <v>40</v>
      </c>
      <c r="EB3" s="542" t="s">
        <v>37</v>
      </c>
      <c r="EC3" s="543" t="s">
        <v>41</v>
      </c>
      <c r="ED3" s="541" t="s">
        <v>35</v>
      </c>
      <c r="EE3" s="535" t="s">
        <v>36</v>
      </c>
      <c r="EF3" s="542" t="s">
        <v>37</v>
      </c>
      <c r="EG3" s="543" t="s">
        <v>40</v>
      </c>
      <c r="EH3" s="541" t="s">
        <v>43</v>
      </c>
      <c r="EI3" s="535" t="s">
        <v>40</v>
      </c>
      <c r="EJ3" s="542" t="s">
        <v>37</v>
      </c>
      <c r="EK3" s="543" t="s">
        <v>41</v>
      </c>
      <c r="EL3" s="541" t="s">
        <v>35</v>
      </c>
      <c r="EM3" s="535" t="s">
        <v>36</v>
      </c>
      <c r="EN3" s="542" t="s">
        <v>37</v>
      </c>
      <c r="EO3" s="543" t="s">
        <v>40</v>
      </c>
      <c r="EP3" s="541" t="s">
        <v>43</v>
      </c>
      <c r="EQ3" s="535" t="s">
        <v>40</v>
      </c>
      <c r="ER3" s="542" t="s">
        <v>37</v>
      </c>
      <c r="ES3" s="543" t="s">
        <v>41</v>
      </c>
      <c r="ET3" s="541" t="s">
        <v>35</v>
      </c>
      <c r="EU3" s="535" t="s">
        <v>36</v>
      </c>
      <c r="EV3" s="542" t="s">
        <v>37</v>
      </c>
      <c r="EW3" s="543" t="s">
        <v>40</v>
      </c>
      <c r="EX3" s="541" t="s">
        <v>43</v>
      </c>
      <c r="EY3" s="535" t="s">
        <v>40</v>
      </c>
      <c r="EZ3" s="542" t="s">
        <v>37</v>
      </c>
      <c r="FA3" s="543" t="s">
        <v>41</v>
      </c>
      <c r="FB3" s="541" t="s">
        <v>35</v>
      </c>
      <c r="FC3" s="535" t="s">
        <v>36</v>
      </c>
      <c r="FD3" s="542" t="s">
        <v>37</v>
      </c>
      <c r="FE3" s="543" t="s">
        <v>40</v>
      </c>
      <c r="FF3" s="541" t="s">
        <v>43</v>
      </c>
      <c r="FG3" s="535" t="s">
        <v>40</v>
      </c>
      <c r="FH3" s="542" t="s">
        <v>37</v>
      </c>
      <c r="FI3" s="543" t="s">
        <v>41</v>
      </c>
      <c r="FJ3" s="541" t="s">
        <v>35</v>
      </c>
      <c r="FK3" s="535" t="s">
        <v>36</v>
      </c>
      <c r="FL3" s="542" t="s">
        <v>37</v>
      </c>
      <c r="FM3" s="543" t="s">
        <v>40</v>
      </c>
      <c r="FN3" s="541" t="s">
        <v>43</v>
      </c>
      <c r="FO3" s="535" t="s">
        <v>40</v>
      </c>
      <c r="FP3" s="542" t="s">
        <v>37</v>
      </c>
      <c r="FQ3" s="543" t="s">
        <v>41</v>
      </c>
      <c r="FR3" s="541" t="s">
        <v>35</v>
      </c>
      <c r="FS3" s="535" t="s">
        <v>36</v>
      </c>
      <c r="FT3" s="542" t="s">
        <v>37</v>
      </c>
      <c r="FU3" s="543" t="s">
        <v>40</v>
      </c>
      <c r="FV3" s="541" t="s">
        <v>43</v>
      </c>
      <c r="FW3" s="535" t="s">
        <v>40</v>
      </c>
      <c r="FX3" s="542" t="s">
        <v>37</v>
      </c>
      <c r="FY3" s="543" t="s">
        <v>41</v>
      </c>
      <c r="FZ3" s="541" t="s">
        <v>35</v>
      </c>
      <c r="GA3" s="535" t="s">
        <v>36</v>
      </c>
      <c r="GB3" s="542" t="s">
        <v>37</v>
      </c>
      <c r="GC3" s="543" t="s">
        <v>40</v>
      </c>
      <c r="GD3" s="541" t="s">
        <v>43</v>
      </c>
      <c r="GE3" s="535" t="s">
        <v>40</v>
      </c>
      <c r="GF3" s="542" t="s">
        <v>37</v>
      </c>
      <c r="GG3" s="543" t="s">
        <v>41</v>
      </c>
      <c r="GH3" s="541" t="s">
        <v>35</v>
      </c>
      <c r="GI3" s="535" t="s">
        <v>36</v>
      </c>
      <c r="GJ3" s="542" t="s">
        <v>37</v>
      </c>
      <c r="GK3" s="543" t="s">
        <v>40</v>
      </c>
      <c r="GL3" s="541" t="s">
        <v>43</v>
      </c>
      <c r="GM3" s="535" t="s">
        <v>40</v>
      </c>
      <c r="GN3" s="542" t="s">
        <v>37</v>
      </c>
      <c r="GO3" s="543" t="s">
        <v>41</v>
      </c>
      <c r="GP3" s="541" t="s">
        <v>35</v>
      </c>
      <c r="GQ3" s="535" t="s">
        <v>36</v>
      </c>
      <c r="GR3" s="542" t="s">
        <v>37</v>
      </c>
      <c r="GS3" s="543" t="s">
        <v>40</v>
      </c>
      <c r="GT3" s="541" t="s">
        <v>43</v>
      </c>
      <c r="GU3" s="535" t="s">
        <v>40</v>
      </c>
      <c r="GV3" s="542" t="s">
        <v>37</v>
      </c>
      <c r="GW3" s="543" t="s">
        <v>41</v>
      </c>
      <c r="GX3" s="541" t="s">
        <v>35</v>
      </c>
      <c r="GY3" s="535" t="s">
        <v>36</v>
      </c>
      <c r="GZ3" s="542" t="s">
        <v>37</v>
      </c>
      <c r="HA3" s="543" t="s">
        <v>40</v>
      </c>
      <c r="HB3" s="541" t="s">
        <v>43</v>
      </c>
      <c r="HC3" s="535" t="s">
        <v>40</v>
      </c>
      <c r="HD3" s="542" t="s">
        <v>37</v>
      </c>
      <c r="HE3" s="543" t="s">
        <v>41</v>
      </c>
      <c r="HF3" s="541" t="s">
        <v>35</v>
      </c>
      <c r="HG3" s="535" t="s">
        <v>36</v>
      </c>
      <c r="HH3" s="542" t="s">
        <v>37</v>
      </c>
      <c r="HI3" s="543" t="s">
        <v>40</v>
      </c>
      <c r="HJ3" s="541" t="s">
        <v>43</v>
      </c>
      <c r="HK3" s="535" t="s">
        <v>40</v>
      </c>
      <c r="HL3" s="542" t="s">
        <v>37</v>
      </c>
      <c r="HM3" s="543" t="s">
        <v>41</v>
      </c>
      <c r="HN3" s="541" t="s">
        <v>35</v>
      </c>
      <c r="HO3" s="535" t="s">
        <v>36</v>
      </c>
      <c r="HP3" s="542" t="s">
        <v>37</v>
      </c>
      <c r="HQ3" s="543" t="s">
        <v>40</v>
      </c>
      <c r="HR3" s="541" t="s">
        <v>43</v>
      </c>
      <c r="HS3" s="535" t="s">
        <v>40</v>
      </c>
      <c r="HT3" s="542" t="s">
        <v>37</v>
      </c>
      <c r="HU3" s="543" t="s">
        <v>41</v>
      </c>
    </row>
    <row r="4" spans="2:229" s="506" customFormat="1" ht="72.650000000000006" customHeight="1" x14ac:dyDescent="0.35">
      <c r="B4" s="544">
        <v>1</v>
      </c>
      <c r="C4" s="544"/>
      <c r="D4" s="545" t="s">
        <v>44</v>
      </c>
      <c r="E4" s="545" t="s">
        <v>45</v>
      </c>
      <c r="F4" s="546" t="s">
        <v>46</v>
      </c>
      <c r="G4" s="546" t="s">
        <v>46</v>
      </c>
      <c r="H4" s="547" t="s">
        <v>47</v>
      </c>
      <c r="I4" s="549"/>
      <c r="J4" s="705"/>
      <c r="K4" s="568"/>
      <c r="L4" s="548"/>
      <c r="M4" s="569" t="s">
        <v>48</v>
      </c>
      <c r="N4" s="551">
        <v>0</v>
      </c>
      <c r="O4" s="552">
        <v>136</v>
      </c>
      <c r="P4" s="553">
        <v>46036</v>
      </c>
      <c r="Q4" s="553"/>
      <c r="R4" s="554" t="s">
        <v>49</v>
      </c>
      <c r="S4" s="555"/>
      <c r="T4" s="555"/>
      <c r="U4" s="556"/>
      <c r="V4" s="557">
        <v>0</v>
      </c>
      <c r="W4" s="558">
        <v>136</v>
      </c>
      <c r="X4" s="558"/>
      <c r="Y4" s="559">
        <v>46036</v>
      </c>
      <c r="Z4" s="560"/>
      <c r="AA4" s="561"/>
      <c r="AB4" s="562"/>
      <c r="AC4" s="561"/>
      <c r="AD4" s="563"/>
      <c r="AE4" s="567"/>
      <c r="AF4" s="564"/>
      <c r="AG4" s="565"/>
      <c r="AH4" s="560"/>
      <c r="AI4" s="561"/>
      <c r="AJ4" s="562"/>
      <c r="AK4" s="561"/>
      <c r="AL4" s="563"/>
      <c r="AM4" s="567"/>
      <c r="AN4" s="564"/>
      <c r="AO4" s="565"/>
      <c r="AP4" s="560"/>
      <c r="AQ4" s="561"/>
      <c r="AR4" s="562"/>
      <c r="AS4" s="561"/>
      <c r="AT4" s="563"/>
      <c r="AU4" s="567"/>
      <c r="AV4" s="564"/>
      <c r="AW4" s="565"/>
      <c r="AX4" s="560"/>
      <c r="AY4" s="561"/>
      <c r="AZ4" s="562"/>
      <c r="BA4" s="561"/>
      <c r="BB4" s="563"/>
      <c r="BC4" s="567"/>
      <c r="BD4" s="564"/>
      <c r="BE4" s="565"/>
      <c r="BF4" s="560"/>
      <c r="BG4" s="561"/>
      <c r="BH4" s="562"/>
      <c r="BI4" s="561"/>
      <c r="BJ4" s="563"/>
      <c r="BK4" s="567"/>
      <c r="BL4" s="564"/>
      <c r="BM4" s="565"/>
      <c r="BN4" s="560"/>
      <c r="BO4" s="561"/>
      <c r="BP4" s="562"/>
      <c r="BQ4" s="561"/>
      <c r="BR4" s="563"/>
      <c r="BS4" s="567"/>
      <c r="BT4" s="564"/>
      <c r="BU4" s="565"/>
      <c r="BV4" s="560"/>
      <c r="BW4" s="561"/>
      <c r="BX4" s="562"/>
      <c r="BY4" s="561"/>
      <c r="BZ4" s="563"/>
      <c r="CA4" s="567"/>
      <c r="CB4" s="564"/>
      <c r="CC4" s="565"/>
      <c r="CD4" s="560"/>
      <c r="CE4" s="561"/>
      <c r="CF4" s="562"/>
      <c r="CG4" s="561"/>
      <c r="CH4" s="563"/>
      <c r="CI4" s="564"/>
      <c r="CJ4" s="564"/>
      <c r="CK4" s="564"/>
      <c r="CL4" s="560"/>
      <c r="CM4" s="561"/>
      <c r="CN4" s="562"/>
      <c r="CO4" s="561"/>
      <c r="CP4" s="563"/>
      <c r="CQ4" s="564"/>
      <c r="CR4" s="564"/>
      <c r="CS4" s="564"/>
      <c r="CT4" s="560"/>
      <c r="CU4" s="561"/>
      <c r="CV4" s="562"/>
      <c r="CW4" s="561"/>
      <c r="CX4" s="563"/>
      <c r="CY4" s="564"/>
      <c r="CZ4" s="564"/>
      <c r="DA4" s="564"/>
      <c r="DB4" s="560"/>
      <c r="DC4" s="561"/>
      <c r="DD4" s="562"/>
      <c r="DE4" s="561"/>
      <c r="DF4" s="563"/>
      <c r="DG4" s="564"/>
      <c r="DH4" s="564"/>
      <c r="DI4" s="564"/>
      <c r="DJ4" s="560"/>
      <c r="DK4" s="561"/>
      <c r="DL4" s="562"/>
      <c r="DM4" s="561"/>
      <c r="DN4" s="563"/>
      <c r="DO4" s="564"/>
      <c r="DP4" s="564"/>
      <c r="DQ4" s="564"/>
      <c r="DR4" s="560"/>
      <c r="DS4" s="561"/>
      <c r="DT4" s="562"/>
      <c r="DU4" s="561"/>
      <c r="DV4" s="563"/>
      <c r="DW4" s="564"/>
      <c r="DX4" s="564"/>
      <c r="DY4" s="564"/>
      <c r="DZ4" s="560"/>
      <c r="EA4" s="561"/>
      <c r="EB4" s="562"/>
      <c r="EC4" s="561"/>
      <c r="ED4" s="563"/>
      <c r="EE4" s="564"/>
      <c r="EF4" s="564"/>
      <c r="EG4" s="564"/>
      <c r="EH4" s="560"/>
      <c r="EI4" s="561"/>
      <c r="EJ4" s="562"/>
      <c r="EK4" s="561"/>
      <c r="EL4" s="563"/>
      <c r="EM4" s="564"/>
      <c r="EN4" s="564"/>
      <c r="EO4" s="564"/>
      <c r="EP4" s="560"/>
      <c r="EQ4" s="561"/>
      <c r="ER4" s="562"/>
      <c r="ES4" s="561"/>
      <c r="ET4" s="563"/>
      <c r="EU4" s="564"/>
      <c r="EV4" s="564"/>
      <c r="EW4" s="564"/>
      <c r="EX4" s="560"/>
      <c r="EY4" s="561"/>
      <c r="EZ4" s="562"/>
      <c r="FA4" s="561"/>
      <c r="FB4" s="563"/>
      <c r="FC4" s="564"/>
      <c r="FD4" s="564"/>
      <c r="FE4" s="564"/>
      <c r="FF4" s="560"/>
      <c r="FG4" s="561"/>
      <c r="FH4" s="562"/>
      <c r="FI4" s="561"/>
      <c r="FJ4" s="563"/>
      <c r="FK4" s="564"/>
      <c r="FL4" s="564"/>
      <c r="FM4" s="564"/>
      <c r="FN4" s="560"/>
      <c r="FO4" s="561"/>
      <c r="FP4" s="562"/>
      <c r="FQ4" s="561"/>
      <c r="FR4" s="563"/>
      <c r="FS4" s="564"/>
      <c r="FT4" s="564"/>
      <c r="FU4" s="564"/>
      <c r="FV4" s="560"/>
      <c r="FW4" s="566"/>
      <c r="FX4" s="566"/>
      <c r="FY4" s="566"/>
      <c r="FZ4" s="563"/>
      <c r="GA4" s="564"/>
      <c r="GB4" s="564"/>
      <c r="GC4" s="564"/>
      <c r="GD4" s="560"/>
      <c r="GE4" s="566"/>
      <c r="GF4" s="566"/>
      <c r="GG4" s="566"/>
      <c r="GH4" s="563"/>
      <c r="GI4" s="564"/>
      <c r="GJ4" s="564"/>
      <c r="GK4" s="564"/>
      <c r="GL4" s="560"/>
      <c r="GM4" s="566"/>
      <c r="GN4" s="566"/>
      <c r="GO4" s="566"/>
      <c r="GP4" s="563"/>
      <c r="GQ4" s="564"/>
      <c r="GR4" s="564"/>
      <c r="GS4" s="564"/>
      <c r="GT4" s="560"/>
      <c r="GU4" s="566"/>
      <c r="GV4" s="566"/>
      <c r="GW4" s="566"/>
      <c r="GX4" s="563"/>
      <c r="GY4" s="564"/>
      <c r="GZ4" s="564"/>
      <c r="HA4" s="590"/>
      <c r="HB4" s="560"/>
      <c r="HC4" s="566"/>
      <c r="HD4" s="566"/>
      <c r="HE4" s="566"/>
      <c r="HF4" s="563"/>
      <c r="HG4" s="564"/>
      <c r="HH4" s="564"/>
      <c r="HI4" s="590"/>
      <c r="HJ4" s="560"/>
      <c r="HK4" s="566"/>
      <c r="HL4" s="566"/>
      <c r="HM4" s="566"/>
      <c r="HN4" s="563"/>
      <c r="HO4" s="564"/>
      <c r="HP4" s="564"/>
      <c r="HQ4" s="590"/>
      <c r="HR4" s="560"/>
      <c r="HS4" s="566"/>
      <c r="HT4" s="566"/>
      <c r="HU4" s="566"/>
    </row>
    <row r="5" spans="2:229" s="506" customFormat="1" ht="72.650000000000006" customHeight="1" x14ac:dyDescent="0.35">
      <c r="B5" s="544">
        <v>2</v>
      </c>
      <c r="C5" s="544"/>
      <c r="D5" s="544" t="s">
        <v>44</v>
      </c>
      <c r="E5" s="546" t="s">
        <v>50</v>
      </c>
      <c r="F5" s="546" t="s">
        <v>46</v>
      </c>
      <c r="G5" s="546" t="s">
        <v>46</v>
      </c>
      <c r="H5" s="547" t="s">
        <v>51</v>
      </c>
      <c r="I5" s="549"/>
      <c r="J5" s="705"/>
      <c r="K5" s="568"/>
      <c r="L5" s="548"/>
      <c r="M5" s="569" t="s">
        <v>48</v>
      </c>
      <c r="N5" s="551">
        <v>0</v>
      </c>
      <c r="O5" s="552">
        <v>136</v>
      </c>
      <c r="P5" s="553">
        <v>46036</v>
      </c>
      <c r="Q5" s="553"/>
      <c r="R5" s="554" t="s">
        <v>49</v>
      </c>
      <c r="S5" s="555">
        <f ca="1">IF(R5="Aprobado con comentarios / Emitir en Rev_0", NETWORKDAYS(Q5,TODAY(),Hoja1!$C$3:$C$25),0)</f>
        <v>0</v>
      </c>
      <c r="T5" s="555">
        <f ca="1">IF(R5="Revisión INN",NETWORKDAYS(P5,TODAY(),Hoja1!$C$3:$C$25),0)</f>
        <v>0</v>
      </c>
      <c r="U5" s="556">
        <f t="shared" ref="U5:U8" si="0">ROUNDUP(((COUNTA(V5:GW5)/4)/2),0)</f>
        <v>1</v>
      </c>
      <c r="V5" s="557">
        <v>0</v>
      </c>
      <c r="W5" s="558">
        <v>136</v>
      </c>
      <c r="X5" s="558"/>
      <c r="Y5" s="559">
        <v>46036</v>
      </c>
      <c r="Z5" s="560"/>
      <c r="AA5" s="561"/>
      <c r="AB5" s="562"/>
      <c r="AC5" s="561"/>
      <c r="AD5" s="563"/>
      <c r="AE5" s="567"/>
      <c r="AF5" s="564"/>
      <c r="AG5" s="565"/>
      <c r="AH5" s="560"/>
      <c r="AI5" s="561"/>
      <c r="AJ5" s="562"/>
      <c r="AK5" s="561"/>
      <c r="AL5" s="563"/>
      <c r="AM5" s="567"/>
      <c r="AN5" s="564"/>
      <c r="AO5" s="565"/>
      <c r="AP5" s="560"/>
      <c r="AQ5" s="561"/>
      <c r="AR5" s="562"/>
      <c r="AS5" s="561"/>
      <c r="AT5" s="563"/>
      <c r="AU5" s="567"/>
      <c r="AV5" s="564"/>
      <c r="AW5" s="565"/>
      <c r="AX5" s="560"/>
      <c r="AY5" s="561"/>
      <c r="AZ5" s="562"/>
      <c r="BA5" s="561"/>
      <c r="BB5" s="563"/>
      <c r="BC5" s="567"/>
      <c r="BD5" s="564"/>
      <c r="BE5" s="565"/>
      <c r="BF5" s="560"/>
      <c r="BG5" s="561"/>
      <c r="BH5" s="562"/>
      <c r="BI5" s="561"/>
      <c r="BJ5" s="563"/>
      <c r="BK5" s="567"/>
      <c r="BL5" s="564"/>
      <c r="BM5" s="565"/>
      <c r="BN5" s="560"/>
      <c r="BO5" s="561"/>
      <c r="BP5" s="562"/>
      <c r="BQ5" s="561"/>
      <c r="BR5" s="563"/>
      <c r="BS5" s="567"/>
      <c r="BT5" s="564"/>
      <c r="BU5" s="565"/>
      <c r="BV5" s="560"/>
      <c r="BW5" s="561"/>
      <c r="BX5" s="562"/>
      <c r="BY5" s="561"/>
      <c r="BZ5" s="563"/>
      <c r="CA5" s="567"/>
      <c r="CB5" s="564"/>
      <c r="CC5" s="565"/>
      <c r="CD5" s="560"/>
      <c r="CE5" s="561"/>
      <c r="CF5" s="562"/>
      <c r="CG5" s="561"/>
      <c r="CH5" s="563"/>
      <c r="CI5" s="564"/>
      <c r="CJ5" s="564"/>
      <c r="CK5" s="564"/>
      <c r="CL5" s="560"/>
      <c r="CM5" s="561"/>
      <c r="CN5" s="562"/>
      <c r="CO5" s="561"/>
      <c r="CP5" s="563"/>
      <c r="CQ5" s="564"/>
      <c r="CR5" s="564"/>
      <c r="CS5" s="564"/>
      <c r="CT5" s="560"/>
      <c r="CU5" s="561"/>
      <c r="CV5" s="562"/>
      <c r="CW5" s="561"/>
      <c r="CX5" s="563"/>
      <c r="CY5" s="564"/>
      <c r="CZ5" s="564"/>
      <c r="DA5" s="564"/>
      <c r="DB5" s="560"/>
      <c r="DC5" s="561"/>
      <c r="DD5" s="562"/>
      <c r="DE5" s="561"/>
      <c r="DF5" s="563"/>
      <c r="DG5" s="564"/>
      <c r="DH5" s="564"/>
      <c r="DI5" s="564"/>
      <c r="DJ5" s="560"/>
      <c r="DK5" s="561"/>
      <c r="DL5" s="562"/>
      <c r="DM5" s="561"/>
      <c r="DN5" s="563"/>
      <c r="DO5" s="564"/>
      <c r="DP5" s="564"/>
      <c r="DQ5" s="564"/>
      <c r="DR5" s="560"/>
      <c r="DS5" s="561"/>
      <c r="DT5" s="562"/>
      <c r="DU5" s="561"/>
      <c r="DV5" s="563"/>
      <c r="DW5" s="564"/>
      <c r="DX5" s="564"/>
      <c r="DY5" s="564"/>
      <c r="DZ5" s="560"/>
      <c r="EA5" s="561"/>
      <c r="EB5" s="562"/>
      <c r="EC5" s="561"/>
      <c r="ED5" s="563"/>
      <c r="EE5" s="564"/>
      <c r="EF5" s="564"/>
      <c r="EG5" s="564"/>
      <c r="EH5" s="560"/>
      <c r="EI5" s="561"/>
      <c r="EJ5" s="562"/>
      <c r="EK5" s="561"/>
      <c r="EL5" s="563"/>
      <c r="EM5" s="564"/>
      <c r="EN5" s="564"/>
      <c r="EO5" s="564"/>
      <c r="EP5" s="560"/>
      <c r="EQ5" s="561"/>
      <c r="ER5" s="562"/>
      <c r="ES5" s="561"/>
      <c r="ET5" s="563"/>
      <c r="EU5" s="564"/>
      <c r="EV5" s="564"/>
      <c r="EW5" s="564"/>
      <c r="EX5" s="560"/>
      <c r="EY5" s="561"/>
      <c r="EZ5" s="562"/>
      <c r="FA5" s="561"/>
      <c r="FB5" s="563"/>
      <c r="FC5" s="564"/>
      <c r="FD5" s="564"/>
      <c r="FE5" s="564"/>
      <c r="FF5" s="560"/>
      <c r="FG5" s="561"/>
      <c r="FH5" s="562"/>
      <c r="FI5" s="561"/>
      <c r="FJ5" s="563"/>
      <c r="FK5" s="564"/>
      <c r="FL5" s="564"/>
      <c r="FM5" s="564"/>
      <c r="FN5" s="560"/>
      <c r="FO5" s="561"/>
      <c r="FP5" s="562"/>
      <c r="FQ5" s="561"/>
      <c r="FR5" s="563"/>
      <c r="FS5" s="564"/>
      <c r="FT5" s="564"/>
      <c r="FU5" s="564"/>
      <c r="FV5" s="560"/>
      <c r="FW5" s="566"/>
      <c r="FX5" s="566"/>
      <c r="FY5" s="566"/>
      <c r="FZ5" s="563"/>
      <c r="GA5" s="564"/>
      <c r="GB5" s="564"/>
      <c r="GC5" s="564"/>
      <c r="GD5" s="560"/>
      <c r="GE5" s="566"/>
      <c r="GF5" s="566"/>
      <c r="GG5" s="566"/>
      <c r="GH5" s="563"/>
      <c r="GI5" s="564"/>
      <c r="GJ5" s="564"/>
      <c r="GK5" s="564"/>
      <c r="GL5" s="560"/>
      <c r="GM5" s="566"/>
      <c r="GN5" s="566"/>
      <c r="GO5" s="566"/>
      <c r="GP5" s="563"/>
      <c r="GQ5" s="564"/>
      <c r="GR5" s="564"/>
      <c r="GS5" s="564"/>
      <c r="GT5" s="560"/>
      <c r="GU5" s="566"/>
      <c r="GV5" s="566"/>
      <c r="GW5" s="566"/>
      <c r="GX5" s="563"/>
      <c r="GY5" s="564"/>
      <c r="GZ5" s="564"/>
      <c r="HA5" s="590"/>
      <c r="HB5" s="560"/>
      <c r="HC5" s="566"/>
      <c r="HD5" s="566"/>
      <c r="HE5" s="566"/>
      <c r="HF5" s="563"/>
      <c r="HG5" s="564"/>
      <c r="HH5" s="564"/>
      <c r="HI5" s="590"/>
      <c r="HJ5" s="560"/>
      <c r="HK5" s="566"/>
      <c r="HL5" s="566"/>
      <c r="HM5" s="566"/>
      <c r="HN5" s="563"/>
      <c r="HO5" s="564"/>
      <c r="HP5" s="564"/>
      <c r="HQ5" s="590"/>
      <c r="HR5" s="560"/>
      <c r="HS5" s="566"/>
      <c r="HT5" s="566"/>
      <c r="HU5" s="566"/>
    </row>
    <row r="6" spans="2:229" s="506" customFormat="1" ht="72.650000000000006" customHeight="1" x14ac:dyDescent="0.35">
      <c r="B6" s="544">
        <v>3</v>
      </c>
      <c r="C6" s="544"/>
      <c r="D6" s="544" t="s">
        <v>44</v>
      </c>
      <c r="E6" s="546" t="s">
        <v>52</v>
      </c>
      <c r="F6" s="545" t="s">
        <v>46</v>
      </c>
      <c r="G6" s="546" t="s">
        <v>46</v>
      </c>
      <c r="H6" s="704" t="s">
        <v>53</v>
      </c>
      <c r="I6" s="548"/>
      <c r="J6" s="548"/>
      <c r="K6" s="568"/>
      <c r="L6" s="572"/>
      <c r="M6" s="550" t="s">
        <v>48</v>
      </c>
      <c r="N6" s="551">
        <v>0</v>
      </c>
      <c r="O6" s="552">
        <v>136</v>
      </c>
      <c r="P6" s="553">
        <v>46036</v>
      </c>
      <c r="Q6" s="554"/>
      <c r="R6" s="554" t="s">
        <v>49</v>
      </c>
      <c r="S6" s="555">
        <f ca="1">IF(R6="Aprobado con comentarios / Emitir en Rev_0", NETWORKDAYS(Q6,TODAY(),Hoja1!$C$3:$C$25),0)</f>
        <v>0</v>
      </c>
      <c r="T6" s="555">
        <f ca="1">IF(R6="Revisión INN",NETWORKDAYS(P6,TODAY(),Hoja1!$C$3:$C$25),0)</f>
        <v>0</v>
      </c>
      <c r="U6" s="556">
        <f t="shared" si="0"/>
        <v>1</v>
      </c>
      <c r="V6" s="557">
        <v>0</v>
      </c>
      <c r="W6" s="558">
        <v>136</v>
      </c>
      <c r="X6" s="567"/>
      <c r="Y6" s="559">
        <v>46036</v>
      </c>
      <c r="Z6" s="560"/>
      <c r="AA6" s="561"/>
      <c r="AB6" s="562"/>
      <c r="AC6" s="561"/>
      <c r="AD6" s="563"/>
      <c r="AE6" s="567"/>
      <c r="AF6" s="564"/>
      <c r="AG6" s="565"/>
      <c r="AH6" s="560"/>
      <c r="AI6" s="561"/>
      <c r="AJ6" s="562"/>
      <c r="AK6" s="561"/>
      <c r="AL6" s="563"/>
      <c r="AM6" s="567"/>
      <c r="AN6" s="564"/>
      <c r="AO6" s="565"/>
      <c r="AP6" s="560"/>
      <c r="AQ6" s="561"/>
      <c r="AR6" s="562"/>
      <c r="AS6" s="561"/>
      <c r="AT6" s="563"/>
      <c r="AU6" s="567"/>
      <c r="AV6" s="564"/>
      <c r="AW6" s="565"/>
      <c r="AX6" s="560"/>
      <c r="AY6" s="561"/>
      <c r="AZ6" s="562"/>
      <c r="BA6" s="561"/>
      <c r="BB6" s="563"/>
      <c r="BC6" s="567"/>
      <c r="BD6" s="564"/>
      <c r="BE6" s="565"/>
      <c r="BF6" s="560"/>
      <c r="BG6" s="561"/>
      <c r="BH6" s="562"/>
      <c r="BI6" s="561"/>
      <c r="BJ6" s="563"/>
      <c r="BK6" s="567"/>
      <c r="BL6" s="564"/>
      <c r="BM6" s="565"/>
      <c r="BN6" s="560"/>
      <c r="BO6" s="561"/>
      <c r="BP6" s="562"/>
      <c r="BQ6" s="561"/>
      <c r="BR6" s="563"/>
      <c r="BS6" s="567"/>
      <c r="BT6" s="564"/>
      <c r="BU6" s="565"/>
      <c r="BV6" s="560"/>
      <c r="BW6" s="561"/>
      <c r="BX6" s="562"/>
      <c r="BY6" s="561"/>
      <c r="BZ6" s="563"/>
      <c r="CA6" s="567"/>
      <c r="CB6" s="564"/>
      <c r="CC6" s="565"/>
      <c r="CD6" s="560"/>
      <c r="CE6" s="561"/>
      <c r="CF6" s="562"/>
      <c r="CG6" s="561"/>
      <c r="CH6" s="563"/>
      <c r="CI6" s="564"/>
      <c r="CJ6" s="564"/>
      <c r="CK6" s="564"/>
      <c r="CL6" s="560"/>
      <c r="CM6" s="561"/>
      <c r="CN6" s="562"/>
      <c r="CO6" s="561"/>
      <c r="CP6" s="563"/>
      <c r="CQ6" s="564"/>
      <c r="CR6" s="564"/>
      <c r="CS6" s="564"/>
      <c r="CT6" s="560"/>
      <c r="CU6" s="561"/>
      <c r="CV6" s="562"/>
      <c r="CW6" s="561"/>
      <c r="CX6" s="563"/>
      <c r="CY6" s="564"/>
      <c r="CZ6" s="564"/>
      <c r="DA6" s="564"/>
      <c r="DB6" s="560"/>
      <c r="DC6" s="561"/>
      <c r="DD6" s="562"/>
      <c r="DE6" s="561"/>
      <c r="DF6" s="563"/>
      <c r="DG6" s="564"/>
      <c r="DH6" s="564"/>
      <c r="DI6" s="564"/>
      <c r="DJ6" s="560"/>
      <c r="DK6" s="561"/>
      <c r="DL6" s="562"/>
      <c r="DM6" s="561"/>
      <c r="DN6" s="563"/>
      <c r="DO6" s="564"/>
      <c r="DP6" s="564"/>
      <c r="DQ6" s="564"/>
      <c r="DR6" s="560"/>
      <c r="DS6" s="561"/>
      <c r="DT6" s="562"/>
      <c r="DU6" s="561"/>
      <c r="DV6" s="563"/>
      <c r="DW6" s="564"/>
      <c r="DX6" s="564"/>
      <c r="DY6" s="564"/>
      <c r="DZ6" s="560"/>
      <c r="EA6" s="561"/>
      <c r="EB6" s="562"/>
      <c r="EC6" s="561"/>
      <c r="ED6" s="563"/>
      <c r="EE6" s="564"/>
      <c r="EF6" s="564"/>
      <c r="EG6" s="564"/>
      <c r="EH6" s="560"/>
      <c r="EI6" s="561"/>
      <c r="EJ6" s="562"/>
      <c r="EK6" s="561"/>
      <c r="EL6" s="563"/>
      <c r="EM6" s="564"/>
      <c r="EN6" s="564"/>
      <c r="EO6" s="564"/>
      <c r="EP6" s="560"/>
      <c r="EQ6" s="561"/>
      <c r="ER6" s="562"/>
      <c r="ES6" s="561"/>
      <c r="ET6" s="563"/>
      <c r="EU6" s="564"/>
      <c r="EV6" s="564"/>
      <c r="EW6" s="564"/>
      <c r="EX6" s="560"/>
      <c r="EY6" s="561"/>
      <c r="EZ6" s="562"/>
      <c r="FA6" s="561"/>
      <c r="FB6" s="563"/>
      <c r="FC6" s="564"/>
      <c r="FD6" s="564"/>
      <c r="FE6" s="564"/>
      <c r="FF6" s="560"/>
      <c r="FG6" s="561"/>
      <c r="FH6" s="562"/>
      <c r="FI6" s="561"/>
      <c r="FJ6" s="563"/>
      <c r="FK6" s="564"/>
      <c r="FL6" s="564"/>
      <c r="FM6" s="564"/>
      <c r="FN6" s="560"/>
      <c r="FO6" s="561"/>
      <c r="FP6" s="562"/>
      <c r="FQ6" s="561"/>
      <c r="FR6" s="563"/>
      <c r="FS6" s="564"/>
      <c r="FT6" s="564"/>
      <c r="FU6" s="564"/>
      <c r="FV6" s="560"/>
      <c r="FW6" s="566"/>
      <c r="FX6" s="566"/>
      <c r="FY6" s="566"/>
      <c r="FZ6" s="563"/>
      <c r="GA6" s="564"/>
      <c r="GB6" s="564"/>
      <c r="GC6" s="564"/>
      <c r="GD6" s="560"/>
      <c r="GE6" s="566"/>
      <c r="GF6" s="566"/>
      <c r="GG6" s="566"/>
      <c r="GH6" s="563"/>
      <c r="GI6" s="564"/>
      <c r="GJ6" s="564"/>
      <c r="GK6" s="564"/>
      <c r="GL6" s="560"/>
      <c r="GM6" s="566"/>
      <c r="GN6" s="566"/>
      <c r="GO6" s="566"/>
      <c r="GP6" s="563"/>
      <c r="GQ6" s="564"/>
      <c r="GR6" s="564"/>
      <c r="GS6" s="564"/>
      <c r="GT6" s="560"/>
      <c r="GU6" s="566"/>
      <c r="GV6" s="566"/>
      <c r="GW6" s="566"/>
      <c r="GX6" s="563"/>
      <c r="GY6" s="564"/>
      <c r="GZ6" s="564"/>
      <c r="HA6" s="590"/>
      <c r="HB6" s="560"/>
      <c r="HC6" s="566"/>
      <c r="HD6" s="566"/>
      <c r="HE6" s="566"/>
      <c r="HF6" s="563"/>
      <c r="HG6" s="564"/>
      <c r="HH6" s="564"/>
      <c r="HI6" s="590"/>
      <c r="HJ6" s="560"/>
      <c r="HK6" s="566"/>
      <c r="HL6" s="566"/>
      <c r="HM6" s="566"/>
      <c r="HN6" s="563"/>
      <c r="HO6" s="564"/>
      <c r="HP6" s="564"/>
      <c r="HQ6" s="590"/>
      <c r="HR6" s="560"/>
      <c r="HS6" s="566"/>
      <c r="HT6" s="566"/>
      <c r="HU6" s="566"/>
    </row>
    <row r="7" spans="2:229" s="506" customFormat="1" ht="72.650000000000006" customHeight="1" thickBot="1" x14ac:dyDescent="0.4">
      <c r="B7" s="544"/>
      <c r="C7" s="862"/>
      <c r="D7" s="544"/>
      <c r="E7" s="546" t="s">
        <v>54</v>
      </c>
      <c r="F7" s="545" t="s">
        <v>46</v>
      </c>
      <c r="G7" s="863"/>
      <c r="H7" s="849" t="s">
        <v>55</v>
      </c>
      <c r="I7" s="864"/>
      <c r="J7" s="864"/>
      <c r="K7" s="865"/>
      <c r="L7" s="864"/>
      <c r="M7" s="569" t="s">
        <v>48</v>
      </c>
      <c r="N7" s="551">
        <v>0</v>
      </c>
      <c r="O7" s="552">
        <v>262</v>
      </c>
      <c r="P7" s="553">
        <v>46126</v>
      </c>
      <c r="Q7" s="553"/>
      <c r="R7" s="554" t="s">
        <v>56</v>
      </c>
      <c r="S7" s="555">
        <f ca="1">IF(R7="Aprobado con comentarios / Emitir en Rev_0", NETWORKDAYS(Q7,TODAY(),Hoja1!$C$3:$C$25),0)</f>
        <v>0</v>
      </c>
      <c r="T7" s="555">
        <f ca="1">IF(R7="Revisión INN",NETWORKDAYS(P7,TODAY(),Hoja1!$C$3:$C$25),0)</f>
        <v>0</v>
      </c>
      <c r="U7" s="556">
        <f t="shared" si="0"/>
        <v>0</v>
      </c>
      <c r="V7" s="557"/>
      <c r="W7" s="558"/>
      <c r="X7" s="567"/>
      <c r="Y7" s="559"/>
      <c r="Z7" s="560"/>
      <c r="AA7" s="561"/>
      <c r="AB7" s="562"/>
      <c r="AC7" s="561"/>
      <c r="AD7" s="563"/>
      <c r="AE7" s="567"/>
      <c r="AF7" s="564"/>
      <c r="AG7" s="565"/>
      <c r="AH7" s="560"/>
      <c r="AI7" s="561"/>
      <c r="AJ7" s="562"/>
      <c r="AK7" s="561"/>
      <c r="AL7" s="563"/>
      <c r="AM7" s="567"/>
      <c r="AN7" s="564"/>
      <c r="AO7" s="565"/>
      <c r="AP7" s="560"/>
      <c r="AQ7" s="561"/>
      <c r="AR7" s="562"/>
      <c r="AS7" s="561"/>
      <c r="AT7" s="563"/>
      <c r="AU7" s="567"/>
      <c r="AV7" s="564"/>
      <c r="AW7" s="565"/>
      <c r="AX7" s="560"/>
      <c r="AY7" s="561"/>
      <c r="AZ7" s="562"/>
      <c r="BA7" s="561"/>
      <c r="BB7" s="563"/>
      <c r="BC7" s="567"/>
      <c r="BD7" s="564"/>
      <c r="BE7" s="565"/>
      <c r="BF7" s="560"/>
      <c r="BG7" s="560"/>
      <c r="BH7" s="560"/>
      <c r="BI7" s="560"/>
      <c r="BJ7" s="563"/>
      <c r="BK7" s="567"/>
      <c r="BL7" s="564"/>
      <c r="BM7" s="565"/>
      <c r="BN7" s="560"/>
      <c r="BO7" s="561"/>
      <c r="BP7" s="562"/>
      <c r="BQ7" s="561"/>
      <c r="BR7" s="563"/>
      <c r="BS7" s="567"/>
      <c r="BT7" s="564"/>
      <c r="BU7" s="565"/>
      <c r="BV7" s="560"/>
      <c r="BW7" s="561"/>
      <c r="BX7" s="562"/>
      <c r="BY7" s="561"/>
      <c r="BZ7" s="563"/>
      <c r="CA7" s="567"/>
      <c r="CB7" s="564"/>
      <c r="CC7" s="565"/>
      <c r="CD7" s="560"/>
      <c r="CE7" s="561"/>
      <c r="CF7" s="562"/>
      <c r="CG7" s="561"/>
      <c r="CH7" s="563"/>
      <c r="CI7" s="564"/>
      <c r="CJ7" s="564"/>
      <c r="CK7" s="590"/>
      <c r="CL7" s="560"/>
      <c r="CM7" s="561"/>
      <c r="CN7" s="562"/>
      <c r="CO7" s="561"/>
      <c r="CP7" s="563"/>
      <c r="CQ7" s="564"/>
      <c r="CR7" s="564"/>
      <c r="CS7" s="590"/>
      <c r="CT7" s="560"/>
      <c r="CU7" s="561"/>
      <c r="CV7" s="562"/>
      <c r="CW7" s="561"/>
      <c r="CX7" s="563"/>
      <c r="CY7" s="564"/>
      <c r="CZ7" s="564"/>
      <c r="DA7" s="565"/>
      <c r="DB7" s="560"/>
      <c r="DC7" s="561"/>
      <c r="DD7" s="562"/>
      <c r="DE7" s="561"/>
      <c r="DF7" s="563"/>
      <c r="DG7" s="564"/>
      <c r="DH7" s="564"/>
      <c r="DI7" s="590"/>
      <c r="DJ7" s="560"/>
      <c r="DK7" s="561"/>
      <c r="DL7" s="562"/>
      <c r="DM7" s="561"/>
      <c r="DN7" s="563"/>
      <c r="DO7" s="564"/>
      <c r="DP7" s="564"/>
      <c r="DQ7" s="590"/>
      <c r="DR7" s="560"/>
      <c r="DS7" s="561"/>
      <c r="DT7" s="562"/>
      <c r="DU7" s="561"/>
      <c r="DV7" s="563"/>
      <c r="DW7" s="564"/>
      <c r="DX7" s="564"/>
      <c r="DY7" s="590"/>
      <c r="DZ7" s="560"/>
      <c r="EA7" s="561"/>
      <c r="EB7" s="562"/>
      <c r="EC7" s="561"/>
      <c r="ED7" s="563"/>
      <c r="EE7" s="564"/>
      <c r="EF7" s="564"/>
      <c r="EG7" s="590"/>
      <c r="EH7" s="560"/>
      <c r="EI7" s="561"/>
      <c r="EJ7" s="562"/>
      <c r="EK7" s="561"/>
      <c r="EL7" s="563"/>
      <c r="EM7" s="564"/>
      <c r="EN7" s="564"/>
      <c r="EO7" s="590"/>
      <c r="EP7" s="560"/>
      <c r="EQ7" s="561"/>
      <c r="ER7" s="562"/>
      <c r="ES7" s="561"/>
      <c r="ET7" s="563"/>
      <c r="EU7" s="564"/>
      <c r="EV7" s="564"/>
      <c r="EW7" s="590"/>
      <c r="EX7" s="560"/>
      <c r="EY7" s="561"/>
      <c r="EZ7" s="562"/>
      <c r="FA7" s="561"/>
      <c r="FB7" s="563"/>
      <c r="FC7" s="564"/>
      <c r="FD7" s="564"/>
      <c r="FE7" s="590"/>
      <c r="FF7" s="560"/>
      <c r="FG7" s="561"/>
      <c r="FH7" s="562"/>
      <c r="FI7" s="561"/>
      <c r="FJ7" s="563"/>
      <c r="FK7" s="564"/>
      <c r="FL7" s="564"/>
      <c r="FM7" s="590"/>
      <c r="FN7" s="560"/>
      <c r="FO7" s="561"/>
      <c r="FP7" s="562"/>
      <c r="FQ7" s="561"/>
      <c r="FR7" s="563"/>
      <c r="FS7" s="564"/>
      <c r="FT7" s="564"/>
      <c r="FU7" s="590"/>
      <c r="FV7" s="560"/>
      <c r="FW7" s="566"/>
      <c r="FX7" s="566"/>
      <c r="FY7" s="566"/>
      <c r="FZ7" s="591"/>
      <c r="GA7" s="630"/>
      <c r="GB7" s="564"/>
      <c r="GC7" s="631"/>
      <c r="GD7" s="560"/>
      <c r="GE7" s="566"/>
      <c r="GF7" s="566"/>
      <c r="GG7" s="566"/>
      <c r="GH7" s="563"/>
      <c r="GI7" s="564"/>
      <c r="GJ7" s="564"/>
      <c r="GK7" s="564"/>
      <c r="GL7" s="560"/>
      <c r="GM7" s="566"/>
      <c r="GN7" s="566"/>
      <c r="GO7" s="566"/>
      <c r="GP7" s="563"/>
      <c r="GQ7" s="564"/>
      <c r="GR7" s="564"/>
      <c r="GS7" s="564"/>
      <c r="GT7" s="560"/>
      <c r="GU7" s="566"/>
      <c r="GV7" s="566"/>
      <c r="GW7" s="566"/>
      <c r="GX7" s="563"/>
      <c r="GY7" s="564"/>
      <c r="GZ7" s="564"/>
      <c r="HA7" s="590"/>
      <c r="HB7" s="560"/>
      <c r="HC7" s="566"/>
      <c r="HD7" s="566"/>
      <c r="HE7" s="566"/>
      <c r="HF7" s="563"/>
      <c r="HG7" s="564"/>
      <c r="HH7" s="564"/>
      <c r="HI7" s="590"/>
      <c r="HJ7" s="560"/>
      <c r="HK7" s="566"/>
      <c r="HL7" s="566"/>
      <c r="HM7" s="566"/>
      <c r="HN7" s="563"/>
      <c r="HO7" s="564"/>
      <c r="HP7" s="564"/>
      <c r="HQ7" s="590"/>
      <c r="HR7" s="560"/>
      <c r="HS7" s="566"/>
      <c r="HT7" s="566"/>
      <c r="HU7" s="566"/>
    </row>
    <row r="8" spans="2:229" s="506" customFormat="1" ht="72.650000000000006" customHeight="1" x14ac:dyDescent="0.35">
      <c r="B8" s="544"/>
      <c r="C8" s="654"/>
      <c r="D8" s="544"/>
      <c r="E8" s="545" t="s">
        <v>57</v>
      </c>
      <c r="F8" s="546" t="s">
        <v>46</v>
      </c>
      <c r="G8" s="546"/>
      <c r="H8" s="547" t="s">
        <v>58</v>
      </c>
      <c r="I8" s="773"/>
      <c r="J8" s="773"/>
      <c r="K8" s="773"/>
      <c r="L8" s="773"/>
      <c r="M8" s="550" t="s">
        <v>48</v>
      </c>
      <c r="N8" s="551">
        <v>0</v>
      </c>
      <c r="O8" s="552">
        <v>262</v>
      </c>
      <c r="P8" s="553">
        <v>46126</v>
      </c>
      <c r="Q8" s="554"/>
      <c r="R8" s="554" t="s">
        <v>56</v>
      </c>
      <c r="S8" s="555">
        <f ca="1">IF(R8="Aprobado con comentarios / Emitir en Rev_0", NETWORKDAYS(Q8,TODAY(),Hoja1!$C$3:$C$25),0)</f>
        <v>0</v>
      </c>
      <c r="T8" s="555">
        <f ca="1">IF(R8="Revisión INN",NETWORKDAYS(P8,TODAY(),Hoja1!$C$3:$C$25),0)</f>
        <v>0</v>
      </c>
      <c r="U8" s="556">
        <f t="shared" si="0"/>
        <v>0</v>
      </c>
      <c r="V8" s="557"/>
      <c r="W8" s="558"/>
      <c r="X8" s="558"/>
      <c r="Y8" s="559"/>
      <c r="Z8" s="560"/>
      <c r="AA8" s="561"/>
      <c r="AB8" s="562"/>
      <c r="AC8" s="561"/>
      <c r="AD8" s="563"/>
      <c r="AE8" s="567"/>
      <c r="AF8" s="564"/>
      <c r="AG8" s="565"/>
      <c r="AH8" s="560"/>
      <c r="AI8" s="561"/>
      <c r="AJ8" s="562"/>
      <c r="AK8" s="561"/>
      <c r="AL8" s="563"/>
      <c r="AM8" s="567"/>
      <c r="AN8" s="564"/>
      <c r="AO8" s="565"/>
      <c r="AP8" s="560"/>
      <c r="AQ8" s="561"/>
      <c r="AR8" s="562"/>
      <c r="AS8" s="561"/>
      <c r="AT8" s="563"/>
      <c r="AU8" s="567"/>
      <c r="AV8" s="564"/>
      <c r="AW8" s="565"/>
      <c r="AX8" s="560"/>
      <c r="AY8" s="561"/>
      <c r="AZ8" s="562"/>
      <c r="BA8" s="561"/>
      <c r="BB8" s="563"/>
      <c r="BC8" s="567"/>
      <c r="BD8" s="564"/>
      <c r="BE8" s="565"/>
      <c r="BF8" s="560"/>
      <c r="BG8" s="561"/>
      <c r="BH8" s="562"/>
      <c r="BI8" s="561"/>
      <c r="BJ8" s="563"/>
      <c r="BK8" s="567"/>
      <c r="BL8" s="564"/>
      <c r="BM8" s="565"/>
      <c r="BN8" s="560"/>
      <c r="BO8" s="561"/>
      <c r="BP8" s="562"/>
      <c r="BQ8" s="561"/>
      <c r="BR8" s="563"/>
      <c r="BS8" s="567"/>
      <c r="BT8" s="564"/>
      <c r="BU8" s="565"/>
      <c r="BV8" s="560"/>
      <c r="BW8" s="561"/>
      <c r="BX8" s="562"/>
      <c r="BY8" s="561"/>
      <c r="BZ8" s="563"/>
      <c r="CA8" s="567"/>
      <c r="CB8" s="564"/>
      <c r="CC8" s="565"/>
      <c r="CD8" s="560"/>
      <c r="CE8" s="561"/>
      <c r="CF8" s="562"/>
      <c r="CG8" s="561"/>
      <c r="CH8" s="563"/>
      <c r="CI8" s="564"/>
      <c r="CJ8" s="564"/>
      <c r="CK8" s="564"/>
      <c r="CL8" s="560"/>
      <c r="CM8" s="561"/>
      <c r="CN8" s="562"/>
      <c r="CO8" s="561"/>
      <c r="CP8" s="563"/>
      <c r="CQ8" s="564"/>
      <c r="CR8" s="564"/>
      <c r="CS8" s="564"/>
      <c r="CT8" s="560"/>
      <c r="CU8" s="561"/>
      <c r="CV8" s="562"/>
      <c r="CW8" s="561"/>
      <c r="CX8" s="563"/>
      <c r="CY8" s="564"/>
      <c r="CZ8" s="564"/>
      <c r="DA8" s="564"/>
      <c r="DB8" s="560"/>
      <c r="DC8" s="561"/>
      <c r="DD8" s="562"/>
      <c r="DE8" s="561"/>
      <c r="DF8" s="563"/>
      <c r="DG8" s="564"/>
      <c r="DH8" s="564"/>
      <c r="DI8" s="564"/>
      <c r="DJ8" s="560"/>
      <c r="DK8" s="561"/>
      <c r="DL8" s="562"/>
      <c r="DM8" s="561"/>
      <c r="DN8" s="563"/>
      <c r="DO8" s="564"/>
      <c r="DP8" s="564"/>
      <c r="DQ8" s="564"/>
      <c r="DR8" s="560"/>
      <c r="DS8" s="561"/>
      <c r="DT8" s="562"/>
      <c r="DU8" s="561"/>
      <c r="DV8" s="563"/>
      <c r="DW8" s="564"/>
      <c r="DX8" s="564"/>
      <c r="DY8" s="564"/>
      <c r="DZ8" s="560"/>
      <c r="EA8" s="561"/>
      <c r="EB8" s="562"/>
      <c r="EC8" s="561"/>
      <c r="ED8" s="563"/>
      <c r="EE8" s="564"/>
      <c r="EF8" s="564"/>
      <c r="EG8" s="564"/>
      <c r="EH8" s="560"/>
      <c r="EI8" s="561"/>
      <c r="EJ8" s="562"/>
      <c r="EK8" s="561"/>
      <c r="EL8" s="563"/>
      <c r="EM8" s="564"/>
      <c r="EN8" s="564"/>
      <c r="EO8" s="564"/>
      <c r="EP8" s="560"/>
      <c r="EQ8" s="561"/>
      <c r="ER8" s="562"/>
      <c r="ES8" s="561"/>
      <c r="ET8" s="563"/>
      <c r="EU8" s="564"/>
      <c r="EV8" s="564"/>
      <c r="EW8" s="564"/>
      <c r="EX8" s="560"/>
      <c r="EY8" s="561"/>
      <c r="EZ8" s="562"/>
      <c r="FA8" s="561"/>
      <c r="FB8" s="563"/>
      <c r="FC8" s="564"/>
      <c r="FD8" s="564"/>
      <c r="FE8" s="564"/>
      <c r="FF8" s="560"/>
      <c r="FG8" s="561"/>
      <c r="FH8" s="562"/>
      <c r="FI8" s="561"/>
      <c r="FJ8" s="563"/>
      <c r="FK8" s="564"/>
      <c r="FL8" s="564"/>
      <c r="FM8" s="564"/>
      <c r="FN8" s="560"/>
      <c r="FO8" s="561"/>
      <c r="FP8" s="562"/>
      <c r="FQ8" s="561"/>
      <c r="FR8" s="563"/>
      <c r="FS8" s="564"/>
      <c r="FT8" s="564"/>
      <c r="FU8" s="564"/>
      <c r="FV8" s="560"/>
      <c r="FW8" s="566"/>
      <c r="FX8" s="566"/>
      <c r="FY8" s="566"/>
      <c r="FZ8" s="563"/>
      <c r="GA8" s="564"/>
      <c r="GB8" s="564"/>
      <c r="GC8" s="564"/>
      <c r="GD8" s="560"/>
      <c r="GE8" s="566"/>
      <c r="GF8" s="566"/>
      <c r="GG8" s="566"/>
      <c r="GH8" s="563"/>
      <c r="GI8" s="564"/>
      <c r="GJ8" s="564"/>
      <c r="GK8" s="564"/>
      <c r="GL8" s="560"/>
      <c r="GM8" s="566"/>
      <c r="GN8" s="566"/>
      <c r="GO8" s="566"/>
      <c r="GP8" s="563"/>
      <c r="GQ8" s="564"/>
      <c r="GR8" s="564"/>
      <c r="GS8" s="564"/>
      <c r="GT8" s="560"/>
      <c r="GU8" s="566"/>
      <c r="GV8" s="566"/>
      <c r="GW8" s="566"/>
      <c r="GX8" s="541"/>
      <c r="GY8" s="535"/>
      <c r="GZ8" s="542"/>
      <c r="HA8" s="543"/>
      <c r="HB8" s="541"/>
      <c r="HC8" s="535"/>
      <c r="HD8" s="542"/>
      <c r="HE8" s="543"/>
      <c r="HF8" s="541"/>
      <c r="HG8" s="535"/>
      <c r="HH8" s="542"/>
      <c r="HI8" s="543"/>
      <c r="HJ8" s="541"/>
      <c r="HK8" s="535"/>
      <c r="HL8" s="542"/>
      <c r="HM8" s="543"/>
      <c r="HN8" s="541"/>
      <c r="HO8" s="535"/>
      <c r="HP8" s="542"/>
      <c r="HQ8" s="543"/>
      <c r="HR8" s="541"/>
      <c r="HS8" s="535"/>
      <c r="HT8" s="542"/>
      <c r="HU8" s="543"/>
    </row>
    <row r="9" spans="2:229" s="506" customFormat="1" ht="72.650000000000006" customHeight="1" x14ac:dyDescent="0.35">
      <c r="B9" s="544">
        <v>4</v>
      </c>
      <c r="C9" s="544" t="s">
        <v>46</v>
      </c>
      <c r="D9" s="544" t="s">
        <v>59</v>
      </c>
      <c r="E9" s="545" t="s">
        <v>60</v>
      </c>
      <c r="F9" s="546" t="s">
        <v>46</v>
      </c>
      <c r="G9" s="545" t="s">
        <v>46</v>
      </c>
      <c r="H9" s="547" t="s">
        <v>61</v>
      </c>
      <c r="I9" s="549" t="s">
        <v>62</v>
      </c>
      <c r="J9" s="549"/>
      <c r="K9" s="568" t="s">
        <v>62</v>
      </c>
      <c r="L9" s="549"/>
      <c r="M9" s="569" t="s">
        <v>48</v>
      </c>
      <c r="N9" s="551">
        <v>0</v>
      </c>
      <c r="O9" s="552">
        <v>262</v>
      </c>
      <c r="P9" s="553">
        <v>46126</v>
      </c>
      <c r="Q9" s="553">
        <v>45937</v>
      </c>
      <c r="R9" s="554" t="s">
        <v>56</v>
      </c>
      <c r="S9" s="555">
        <f ca="1">IF(R9="Aprobado con comentarios / Emitir en Rev_0", NETWORKDAYS(Q9,TODAY(),Hoja1!$C$3:$C$25),0)</f>
        <v>0</v>
      </c>
      <c r="T9" s="555">
        <f ca="1">IF(R9="Revisión INN",NETWORKDAYS(P9,TODAY(),Hoja1!$C$3:$C$25),0)</f>
        <v>0</v>
      </c>
      <c r="U9" s="556">
        <f t="shared" ref="U9:U48" si="1">ROUNDUP(((COUNTA(V9:GW9)/4)/2),0)</f>
        <v>13</v>
      </c>
      <c r="V9" s="557" t="s">
        <v>63</v>
      </c>
      <c r="W9" s="558">
        <v>5</v>
      </c>
      <c r="X9" s="567" t="s">
        <v>62</v>
      </c>
      <c r="Y9" s="559">
        <v>45895</v>
      </c>
      <c r="Z9" s="560">
        <v>12</v>
      </c>
      <c r="AA9" s="561">
        <v>45904</v>
      </c>
      <c r="AB9" s="562">
        <f>AA9-Y9</f>
        <v>9</v>
      </c>
      <c r="AC9" s="561" t="s">
        <v>64</v>
      </c>
      <c r="AD9" s="563" t="s">
        <v>65</v>
      </c>
      <c r="AE9" s="567">
        <v>17</v>
      </c>
      <c r="AF9" s="564">
        <f>AG9-AA9</f>
        <v>7</v>
      </c>
      <c r="AG9" s="565">
        <v>45911</v>
      </c>
      <c r="AH9" s="560">
        <v>25</v>
      </c>
      <c r="AI9" s="561">
        <v>45926</v>
      </c>
      <c r="AJ9" s="562">
        <f>AG9-AI9</f>
        <v>-15</v>
      </c>
      <c r="AK9" s="561" t="s">
        <v>66</v>
      </c>
      <c r="AL9" s="563">
        <v>0</v>
      </c>
      <c r="AM9" s="567">
        <v>30</v>
      </c>
      <c r="AN9" s="564">
        <f>AO9-AI9</f>
        <v>4</v>
      </c>
      <c r="AO9" s="565">
        <v>45930</v>
      </c>
      <c r="AP9" s="560">
        <v>32</v>
      </c>
      <c r="AQ9" s="561">
        <v>45937</v>
      </c>
      <c r="AR9" s="562">
        <f>AQ9-AO9</f>
        <v>7</v>
      </c>
      <c r="AS9" s="561" t="s">
        <v>67</v>
      </c>
      <c r="AT9" s="563">
        <v>0</v>
      </c>
      <c r="AU9" s="567">
        <v>35</v>
      </c>
      <c r="AV9" s="564">
        <f>AW9-AQ9</f>
        <v>0</v>
      </c>
      <c r="AW9" s="565">
        <v>45937</v>
      </c>
      <c r="AX9" s="560" t="s">
        <v>62</v>
      </c>
      <c r="AY9" s="561" t="s">
        <v>62</v>
      </c>
      <c r="AZ9" s="562" t="s">
        <v>62</v>
      </c>
      <c r="BA9" s="561" t="s">
        <v>62</v>
      </c>
      <c r="BB9" s="563">
        <v>0</v>
      </c>
      <c r="BC9" s="567">
        <v>57</v>
      </c>
      <c r="BD9" s="564"/>
      <c r="BE9" s="565">
        <v>45958</v>
      </c>
      <c r="BF9" s="560" t="s">
        <v>62</v>
      </c>
      <c r="BG9" s="560" t="s">
        <v>62</v>
      </c>
      <c r="BH9" s="560" t="s">
        <v>62</v>
      </c>
      <c r="BI9" s="560" t="s">
        <v>62</v>
      </c>
      <c r="BJ9" s="563">
        <v>0</v>
      </c>
      <c r="BK9" s="567">
        <v>64</v>
      </c>
      <c r="BL9" s="564" t="s">
        <v>62</v>
      </c>
      <c r="BM9" s="565">
        <v>45966</v>
      </c>
      <c r="BN9" s="560"/>
      <c r="BO9" s="561"/>
      <c r="BP9" s="562"/>
      <c r="BQ9" s="561"/>
      <c r="BR9" s="563">
        <v>0</v>
      </c>
      <c r="BS9" s="567">
        <v>70</v>
      </c>
      <c r="BT9" s="564"/>
      <c r="BU9" s="565">
        <v>45972</v>
      </c>
      <c r="BV9" s="560" t="s">
        <v>62</v>
      </c>
      <c r="BW9" s="561" t="s">
        <v>62</v>
      </c>
      <c r="BX9" s="562" t="s">
        <v>62</v>
      </c>
      <c r="BY9" s="561" t="s">
        <v>62</v>
      </c>
      <c r="BZ9" s="563">
        <v>0</v>
      </c>
      <c r="CA9" s="567">
        <v>83</v>
      </c>
      <c r="CB9" s="564"/>
      <c r="CC9" s="565">
        <v>45986</v>
      </c>
      <c r="CD9" s="560"/>
      <c r="CE9" s="561"/>
      <c r="CF9" s="562"/>
      <c r="CG9" s="561"/>
      <c r="CH9" s="563">
        <v>0</v>
      </c>
      <c r="CI9" s="564">
        <v>92</v>
      </c>
      <c r="CJ9" s="564" t="s">
        <v>62</v>
      </c>
      <c r="CK9" s="590">
        <v>45993</v>
      </c>
      <c r="CL9" s="560"/>
      <c r="CM9" s="561"/>
      <c r="CN9" s="562"/>
      <c r="CO9" s="561"/>
      <c r="CP9" s="563">
        <v>0</v>
      </c>
      <c r="CQ9" s="564">
        <v>102</v>
      </c>
      <c r="CR9" s="564"/>
      <c r="CS9" s="590">
        <v>46000</v>
      </c>
      <c r="CT9" s="560"/>
      <c r="CU9" s="561"/>
      <c r="CV9" s="562"/>
      <c r="CW9" s="561"/>
      <c r="CX9" s="563">
        <v>0</v>
      </c>
      <c r="CY9" s="564">
        <v>86</v>
      </c>
      <c r="CZ9" s="564"/>
      <c r="DA9" s="565">
        <v>46008</v>
      </c>
      <c r="DB9" s="560"/>
      <c r="DC9" s="561"/>
      <c r="DD9" s="562"/>
      <c r="DE9" s="561"/>
      <c r="DF9" s="563">
        <v>0</v>
      </c>
      <c r="DG9" s="564">
        <v>117</v>
      </c>
      <c r="DH9" s="564"/>
      <c r="DI9" s="590">
        <v>46014</v>
      </c>
      <c r="DJ9" s="560"/>
      <c r="DK9" s="561"/>
      <c r="DL9" s="562"/>
      <c r="DM9" s="561"/>
      <c r="DN9" s="563">
        <v>0</v>
      </c>
      <c r="DO9" s="564">
        <v>126</v>
      </c>
      <c r="DP9" s="564"/>
      <c r="DQ9" s="590">
        <v>46022</v>
      </c>
      <c r="DR9" s="560"/>
      <c r="DS9" s="561"/>
      <c r="DT9" s="562"/>
      <c r="DU9" s="561"/>
      <c r="DV9" s="563">
        <v>0</v>
      </c>
      <c r="DW9" s="564">
        <v>128</v>
      </c>
      <c r="DX9" s="564"/>
      <c r="DY9" s="590">
        <v>46028</v>
      </c>
      <c r="DZ9" s="560"/>
      <c r="EA9" s="561"/>
      <c r="EB9" s="562"/>
      <c r="EC9" s="561"/>
      <c r="ED9" s="563">
        <v>0</v>
      </c>
      <c r="EE9" s="564">
        <v>136</v>
      </c>
      <c r="EF9" s="564"/>
      <c r="EG9" s="590">
        <v>46036</v>
      </c>
      <c r="EH9" s="560"/>
      <c r="EI9" s="561"/>
      <c r="EJ9" s="562"/>
      <c r="EK9" s="561"/>
      <c r="EL9" s="563">
        <v>0</v>
      </c>
      <c r="EM9" s="564">
        <v>142</v>
      </c>
      <c r="EN9" s="564"/>
      <c r="EO9" s="590">
        <v>46042</v>
      </c>
      <c r="EP9" s="560"/>
      <c r="EQ9" s="561"/>
      <c r="ER9" s="562"/>
      <c r="ES9" s="561"/>
      <c r="ET9" s="563">
        <v>0</v>
      </c>
      <c r="EU9" s="564">
        <v>154</v>
      </c>
      <c r="EV9" s="564"/>
      <c r="EW9" s="590">
        <v>46049</v>
      </c>
      <c r="EX9" s="560"/>
      <c r="EY9" s="561"/>
      <c r="EZ9" s="562"/>
      <c r="FA9" s="561"/>
      <c r="FB9" s="563">
        <v>0</v>
      </c>
      <c r="FC9" s="564">
        <v>164</v>
      </c>
      <c r="FD9" s="564"/>
      <c r="FE9" s="590">
        <v>46057</v>
      </c>
      <c r="FF9" s="560"/>
      <c r="FG9" s="561"/>
      <c r="FH9" s="562"/>
      <c r="FI9" s="561"/>
      <c r="FJ9" s="563">
        <v>0</v>
      </c>
      <c r="FK9" s="564">
        <v>166</v>
      </c>
      <c r="FL9" s="564"/>
      <c r="FM9" s="590">
        <v>46064</v>
      </c>
      <c r="FN9" s="560"/>
      <c r="FO9" s="561"/>
      <c r="FP9" s="562"/>
      <c r="FQ9" s="561"/>
      <c r="FR9" s="563">
        <v>0</v>
      </c>
      <c r="FS9" s="564">
        <v>194</v>
      </c>
      <c r="FT9" s="564"/>
      <c r="FU9" s="590">
        <v>46077</v>
      </c>
      <c r="FV9" s="560"/>
      <c r="FW9" s="566"/>
      <c r="FX9" s="566"/>
      <c r="FY9" s="566"/>
      <c r="FZ9" s="595">
        <v>0</v>
      </c>
      <c r="GA9" s="851">
        <v>225</v>
      </c>
      <c r="GB9" s="564"/>
      <c r="GC9" s="852">
        <v>46099</v>
      </c>
      <c r="GD9" s="560"/>
      <c r="GE9" s="566"/>
      <c r="GF9" s="566"/>
      <c r="GG9" s="566"/>
      <c r="GH9" s="853">
        <v>0</v>
      </c>
      <c r="GI9" s="854">
        <v>255</v>
      </c>
      <c r="GJ9" s="564"/>
      <c r="GK9" s="850">
        <v>46119</v>
      </c>
      <c r="GL9" s="560"/>
      <c r="GM9" s="566"/>
      <c r="GN9" s="566"/>
      <c r="GO9" s="566"/>
      <c r="GP9" s="591">
        <v>0</v>
      </c>
      <c r="GQ9" s="630">
        <v>262</v>
      </c>
      <c r="GR9" s="630"/>
      <c r="GS9" s="631">
        <v>46126</v>
      </c>
      <c r="GT9" s="560"/>
      <c r="GU9" s="566"/>
      <c r="GV9" s="566"/>
      <c r="GW9" s="566"/>
      <c r="GX9" s="563"/>
      <c r="GY9" s="564"/>
      <c r="GZ9" s="564"/>
      <c r="HA9" s="590"/>
      <c r="HB9" s="560"/>
      <c r="HC9" s="566"/>
      <c r="HD9" s="566"/>
      <c r="HE9" s="566"/>
      <c r="HF9" s="563"/>
      <c r="HG9" s="564"/>
      <c r="HH9" s="564"/>
      <c r="HI9" s="590"/>
      <c r="HJ9" s="560"/>
      <c r="HK9" s="566"/>
      <c r="HL9" s="566"/>
      <c r="HM9" s="566"/>
      <c r="HN9" s="563"/>
      <c r="HO9" s="564"/>
      <c r="HP9" s="564"/>
      <c r="HQ9" s="590"/>
      <c r="HR9" s="560"/>
      <c r="HS9" s="566"/>
      <c r="HT9" s="566"/>
      <c r="HU9" s="566"/>
    </row>
    <row r="10" spans="2:229" s="506" customFormat="1" ht="72.650000000000006" customHeight="1" x14ac:dyDescent="0.35">
      <c r="B10" s="544">
        <v>5</v>
      </c>
      <c r="C10" s="544" t="s">
        <v>46</v>
      </c>
      <c r="D10" s="544" t="s">
        <v>68</v>
      </c>
      <c r="E10" s="545" t="s">
        <v>69</v>
      </c>
      <c r="F10" s="546" t="s">
        <v>46</v>
      </c>
      <c r="G10" s="545" t="s">
        <v>46</v>
      </c>
      <c r="H10" s="547" t="s">
        <v>70</v>
      </c>
      <c r="I10" s="549" t="s">
        <v>62</v>
      </c>
      <c r="J10" s="549"/>
      <c r="K10" s="568" t="s">
        <v>62</v>
      </c>
      <c r="L10" s="549"/>
      <c r="M10" s="569" t="s">
        <v>48</v>
      </c>
      <c r="N10" s="551">
        <v>0</v>
      </c>
      <c r="O10" s="552">
        <v>262</v>
      </c>
      <c r="P10" s="553">
        <v>46126</v>
      </c>
      <c r="Q10" s="554">
        <v>45937</v>
      </c>
      <c r="R10" s="554" t="s">
        <v>56</v>
      </c>
      <c r="S10" s="555">
        <f ca="1">IF(R10="Aprobado con comentarios / Emitir en Rev_0", NETWORKDAYS(Q10,TODAY(),Hoja1!$C$3:$C$25),0)</f>
        <v>0</v>
      </c>
      <c r="T10" s="555">
        <f ca="1">IF(R10="Revisión INN",NETWORKDAYS(P10,TODAY(),Hoja1!$C$3:$C$25),0)</f>
        <v>0</v>
      </c>
      <c r="U10" s="556">
        <f t="shared" si="1"/>
        <v>13</v>
      </c>
      <c r="V10" s="557" t="s">
        <v>63</v>
      </c>
      <c r="W10" s="558">
        <v>5</v>
      </c>
      <c r="X10" s="567" t="s">
        <v>62</v>
      </c>
      <c r="Y10" s="559">
        <v>45895</v>
      </c>
      <c r="Z10" s="560">
        <v>12</v>
      </c>
      <c r="AA10" s="561">
        <v>45904</v>
      </c>
      <c r="AB10" s="562">
        <f>AA10-Y10</f>
        <v>9</v>
      </c>
      <c r="AC10" s="561" t="s">
        <v>64</v>
      </c>
      <c r="AD10" s="563" t="s">
        <v>65</v>
      </c>
      <c r="AE10" s="567">
        <v>17</v>
      </c>
      <c r="AF10" s="564">
        <f>AG10-AA10</f>
        <v>7</v>
      </c>
      <c r="AG10" s="565">
        <v>45911</v>
      </c>
      <c r="AH10" s="560">
        <v>25</v>
      </c>
      <c r="AI10" s="561">
        <v>45926</v>
      </c>
      <c r="AJ10" s="562">
        <f>AG10-AI10</f>
        <v>-15</v>
      </c>
      <c r="AK10" s="561" t="s">
        <v>66</v>
      </c>
      <c r="AL10" s="563">
        <v>0</v>
      </c>
      <c r="AM10" s="567">
        <v>30</v>
      </c>
      <c r="AN10" s="564">
        <f>AO10-AI10</f>
        <v>4</v>
      </c>
      <c r="AO10" s="565">
        <v>45930</v>
      </c>
      <c r="AP10" s="560">
        <v>32</v>
      </c>
      <c r="AQ10" s="561">
        <v>45937</v>
      </c>
      <c r="AR10" s="562">
        <f>AQ10-AO10</f>
        <v>7</v>
      </c>
      <c r="AS10" s="561" t="s">
        <v>67</v>
      </c>
      <c r="AT10" s="563">
        <v>0</v>
      </c>
      <c r="AU10" s="567">
        <v>35</v>
      </c>
      <c r="AV10" s="564">
        <f>AW10-AQ10</f>
        <v>0</v>
      </c>
      <c r="AW10" s="565">
        <v>45937</v>
      </c>
      <c r="AX10" s="560" t="s">
        <v>62</v>
      </c>
      <c r="AY10" s="561" t="s">
        <v>62</v>
      </c>
      <c r="AZ10" s="562" t="s">
        <v>62</v>
      </c>
      <c r="BA10" s="561" t="s">
        <v>62</v>
      </c>
      <c r="BB10" s="563">
        <v>0</v>
      </c>
      <c r="BC10" s="567">
        <v>57</v>
      </c>
      <c r="BD10" s="564"/>
      <c r="BE10" s="565">
        <v>45958</v>
      </c>
      <c r="BF10" s="560" t="s">
        <v>62</v>
      </c>
      <c r="BG10" s="560" t="s">
        <v>62</v>
      </c>
      <c r="BH10" s="560" t="s">
        <v>62</v>
      </c>
      <c r="BI10" s="560" t="s">
        <v>62</v>
      </c>
      <c r="BJ10" s="563">
        <v>0</v>
      </c>
      <c r="BK10" s="567">
        <v>64</v>
      </c>
      <c r="BL10" s="564" t="s">
        <v>62</v>
      </c>
      <c r="BM10" s="565">
        <v>45966</v>
      </c>
      <c r="BN10" s="560"/>
      <c r="BO10" s="561"/>
      <c r="BP10" s="562"/>
      <c r="BQ10" s="561"/>
      <c r="BR10" s="563">
        <v>0</v>
      </c>
      <c r="BS10" s="567">
        <v>70</v>
      </c>
      <c r="BT10" s="564"/>
      <c r="BU10" s="565">
        <v>45972</v>
      </c>
      <c r="BV10" s="560" t="s">
        <v>62</v>
      </c>
      <c r="BW10" s="561" t="s">
        <v>62</v>
      </c>
      <c r="BX10" s="562" t="s">
        <v>62</v>
      </c>
      <c r="BY10" s="561" t="s">
        <v>62</v>
      </c>
      <c r="BZ10" s="563">
        <v>0</v>
      </c>
      <c r="CA10" s="567">
        <v>83</v>
      </c>
      <c r="CB10" s="564"/>
      <c r="CC10" s="565">
        <v>45986</v>
      </c>
      <c r="CD10" s="560"/>
      <c r="CE10" s="561"/>
      <c r="CF10" s="562"/>
      <c r="CG10" s="561"/>
      <c r="CH10" s="563">
        <v>0</v>
      </c>
      <c r="CI10" s="564">
        <v>92</v>
      </c>
      <c r="CJ10" s="564" t="s">
        <v>62</v>
      </c>
      <c r="CK10" s="590">
        <v>45993</v>
      </c>
      <c r="CL10" s="560"/>
      <c r="CM10" s="561"/>
      <c r="CN10" s="562"/>
      <c r="CO10" s="561"/>
      <c r="CP10" s="563">
        <v>0</v>
      </c>
      <c r="CQ10" s="564">
        <v>102</v>
      </c>
      <c r="CR10" s="564"/>
      <c r="CS10" s="590">
        <v>46000</v>
      </c>
      <c r="CT10" s="560"/>
      <c r="CU10" s="561"/>
      <c r="CV10" s="562"/>
      <c r="CW10" s="561"/>
      <c r="CX10" s="563">
        <v>0</v>
      </c>
      <c r="CY10" s="564">
        <v>86</v>
      </c>
      <c r="CZ10" s="564"/>
      <c r="DA10" s="565">
        <v>46008</v>
      </c>
      <c r="DB10" s="560"/>
      <c r="DC10" s="561"/>
      <c r="DD10" s="562"/>
      <c r="DE10" s="561"/>
      <c r="DF10" s="563">
        <v>0</v>
      </c>
      <c r="DG10" s="564">
        <v>117</v>
      </c>
      <c r="DH10" s="564"/>
      <c r="DI10" s="590">
        <v>46014</v>
      </c>
      <c r="DJ10" s="560"/>
      <c r="DK10" s="561"/>
      <c r="DL10" s="562"/>
      <c r="DM10" s="561"/>
      <c r="DN10" s="563">
        <v>0</v>
      </c>
      <c r="DO10" s="564">
        <v>126</v>
      </c>
      <c r="DP10" s="564"/>
      <c r="DQ10" s="590">
        <v>46022</v>
      </c>
      <c r="DR10" s="560"/>
      <c r="DS10" s="561"/>
      <c r="DT10" s="562"/>
      <c r="DU10" s="561"/>
      <c r="DV10" s="563">
        <v>0</v>
      </c>
      <c r="DW10" s="564">
        <v>128</v>
      </c>
      <c r="DX10" s="564"/>
      <c r="DY10" s="590">
        <v>46028</v>
      </c>
      <c r="DZ10" s="560"/>
      <c r="EA10" s="561"/>
      <c r="EB10" s="562"/>
      <c r="EC10" s="561"/>
      <c r="ED10" s="563">
        <v>0</v>
      </c>
      <c r="EE10" s="564">
        <v>136</v>
      </c>
      <c r="EF10" s="564"/>
      <c r="EG10" s="590">
        <v>46036</v>
      </c>
      <c r="EH10" s="560"/>
      <c r="EI10" s="561"/>
      <c r="EJ10" s="562"/>
      <c r="EK10" s="561"/>
      <c r="EL10" s="563">
        <v>0</v>
      </c>
      <c r="EM10" s="564">
        <v>142</v>
      </c>
      <c r="EN10" s="564"/>
      <c r="EO10" s="590">
        <v>46042</v>
      </c>
      <c r="EP10" s="560"/>
      <c r="EQ10" s="561"/>
      <c r="ER10" s="562"/>
      <c r="ES10" s="561"/>
      <c r="ET10" s="563">
        <v>0</v>
      </c>
      <c r="EU10" s="564">
        <v>154</v>
      </c>
      <c r="EV10" s="564"/>
      <c r="EW10" s="590">
        <v>46049</v>
      </c>
      <c r="EX10" s="560"/>
      <c r="EY10" s="561"/>
      <c r="EZ10" s="562"/>
      <c r="FA10" s="561"/>
      <c r="FB10" s="563">
        <v>0</v>
      </c>
      <c r="FC10" s="564">
        <v>164</v>
      </c>
      <c r="FD10" s="564"/>
      <c r="FE10" s="590">
        <v>46057</v>
      </c>
      <c r="FF10" s="560"/>
      <c r="FG10" s="561"/>
      <c r="FH10" s="562"/>
      <c r="FI10" s="561"/>
      <c r="FJ10" s="563">
        <v>0</v>
      </c>
      <c r="FK10" s="564">
        <v>166</v>
      </c>
      <c r="FL10" s="564"/>
      <c r="FM10" s="590">
        <v>46064</v>
      </c>
      <c r="FN10" s="560"/>
      <c r="FO10" s="561"/>
      <c r="FP10" s="562"/>
      <c r="FQ10" s="561"/>
      <c r="FR10" s="563">
        <v>0</v>
      </c>
      <c r="FS10" s="564">
        <v>194</v>
      </c>
      <c r="FT10" s="564"/>
      <c r="FU10" s="590">
        <v>46077</v>
      </c>
      <c r="FV10" s="560"/>
      <c r="FW10" s="566"/>
      <c r="FX10" s="566"/>
      <c r="FY10" s="566"/>
      <c r="FZ10" s="595">
        <v>0</v>
      </c>
      <c r="GA10" s="851">
        <v>225</v>
      </c>
      <c r="GB10" s="564"/>
      <c r="GC10" s="852">
        <v>46099</v>
      </c>
      <c r="GD10" s="560"/>
      <c r="GE10" s="566"/>
      <c r="GF10" s="566"/>
      <c r="GG10" s="566"/>
      <c r="GH10" s="853">
        <v>0</v>
      </c>
      <c r="GI10" s="854">
        <v>255</v>
      </c>
      <c r="GJ10" s="564"/>
      <c r="GK10" s="850">
        <v>46119</v>
      </c>
      <c r="GL10" s="560"/>
      <c r="GM10" s="566"/>
      <c r="GN10" s="566"/>
      <c r="GO10" s="566"/>
      <c r="GP10" s="591">
        <v>0</v>
      </c>
      <c r="GQ10" s="630">
        <v>262</v>
      </c>
      <c r="GR10" s="630"/>
      <c r="GS10" s="631">
        <v>46126</v>
      </c>
      <c r="GT10" s="560"/>
      <c r="GU10" s="566"/>
      <c r="GV10" s="566"/>
      <c r="GW10" s="566"/>
      <c r="GX10" s="563"/>
      <c r="GY10" s="564"/>
      <c r="GZ10" s="564"/>
      <c r="HA10" s="590"/>
      <c r="HB10" s="560"/>
      <c r="HC10" s="566"/>
      <c r="HD10" s="566"/>
      <c r="HE10" s="566"/>
      <c r="HF10" s="563"/>
      <c r="HG10" s="564"/>
      <c r="HH10" s="564"/>
      <c r="HI10" s="590"/>
      <c r="HJ10" s="560"/>
      <c r="HK10" s="566"/>
      <c r="HL10" s="566"/>
      <c r="HM10" s="566"/>
      <c r="HN10" s="563"/>
      <c r="HO10" s="564"/>
      <c r="HP10" s="564"/>
      <c r="HQ10" s="590"/>
      <c r="HR10" s="560"/>
      <c r="HS10" s="566"/>
      <c r="HT10" s="566"/>
      <c r="HU10" s="566"/>
    </row>
    <row r="11" spans="2:229" s="506" customFormat="1" ht="72.650000000000006" customHeight="1" x14ac:dyDescent="0.35">
      <c r="B11" s="544">
        <v>8</v>
      </c>
      <c r="C11" s="544" t="s">
        <v>46</v>
      </c>
      <c r="D11" s="545" t="s">
        <v>44</v>
      </c>
      <c r="E11" s="545" t="s">
        <v>71</v>
      </c>
      <c r="F11" s="546" t="s">
        <v>46</v>
      </c>
      <c r="G11" s="545" t="s">
        <v>46</v>
      </c>
      <c r="H11" s="547" t="s">
        <v>72</v>
      </c>
      <c r="I11" s="548" t="s">
        <v>46</v>
      </c>
      <c r="J11" s="548"/>
      <c r="K11" s="549" t="s">
        <v>46</v>
      </c>
      <c r="L11" s="549"/>
      <c r="M11" s="550" t="s">
        <v>48</v>
      </c>
      <c r="N11" s="551">
        <v>0</v>
      </c>
      <c r="O11" s="552">
        <v>8</v>
      </c>
      <c r="P11" s="553">
        <v>45898</v>
      </c>
      <c r="Q11" s="553" t="s">
        <v>62</v>
      </c>
      <c r="R11" s="554" t="s">
        <v>73</v>
      </c>
      <c r="S11" s="555">
        <f ca="1">IF(R11="Aprobado con comentarios / Emitir en Rev_0", NETWORKDAYS(Q11,TODAY(),Hoja1!$C$3:$C$25),0)</f>
        <v>0</v>
      </c>
      <c r="T11" s="555">
        <f ca="1">IF(R11="Revisión INN",NETWORKDAYS(P11,TODAY(),Hoja1!$C$3:$C$25),0)</f>
        <v>0</v>
      </c>
      <c r="U11" s="556">
        <f t="shared" si="1"/>
        <v>1</v>
      </c>
      <c r="V11" s="557">
        <v>0</v>
      </c>
      <c r="W11" s="558">
        <v>8</v>
      </c>
      <c r="X11" s="558"/>
      <c r="Y11" s="559">
        <v>45898</v>
      </c>
      <c r="Z11" s="560"/>
      <c r="AA11" s="561"/>
      <c r="AB11" s="562"/>
      <c r="AC11" s="561"/>
      <c r="AD11" s="563"/>
      <c r="AE11" s="564"/>
      <c r="AF11" s="564"/>
      <c r="AG11" s="565"/>
      <c r="AH11" s="560"/>
      <c r="AI11" s="561"/>
      <c r="AJ11" s="562"/>
      <c r="AK11" s="561"/>
      <c r="AL11" s="563"/>
      <c r="AM11" s="564"/>
      <c r="AN11" s="564"/>
      <c r="AO11" s="565"/>
      <c r="AP11" s="560"/>
      <c r="AQ11" s="561"/>
      <c r="AR11" s="562"/>
      <c r="AS11" s="561"/>
      <c r="AT11" s="563"/>
      <c r="AU11" s="564"/>
      <c r="AV11" s="564"/>
      <c r="AW11" s="565"/>
      <c r="AX11" s="560"/>
      <c r="AY11" s="561"/>
      <c r="AZ11" s="562"/>
      <c r="BA11" s="561"/>
      <c r="BB11" s="563"/>
      <c r="BC11" s="564"/>
      <c r="BD11" s="564"/>
      <c r="BE11" s="565"/>
      <c r="BF11" s="560"/>
      <c r="BG11" s="561"/>
      <c r="BH11" s="562"/>
      <c r="BI11" s="561"/>
      <c r="BJ11" s="563"/>
      <c r="BK11" s="564"/>
      <c r="BL11" s="564"/>
      <c r="BM11" s="565"/>
      <c r="BN11" s="560"/>
      <c r="BO11" s="561"/>
      <c r="BP11" s="562"/>
      <c r="BQ11" s="561"/>
      <c r="BR11" s="563"/>
      <c r="BS11" s="564"/>
      <c r="BT11" s="564"/>
      <c r="BU11" s="565"/>
      <c r="BV11" s="560"/>
      <c r="BW11" s="561"/>
      <c r="BX11" s="562"/>
      <c r="BY11" s="561"/>
      <c r="BZ11" s="563"/>
      <c r="CA11" s="564"/>
      <c r="CB11" s="564"/>
      <c r="CC11" s="565"/>
      <c r="CD11" s="560"/>
      <c r="CE11" s="561"/>
      <c r="CF11" s="562"/>
      <c r="CG11" s="561"/>
      <c r="CH11" s="563"/>
      <c r="CI11" s="564"/>
      <c r="CJ11" s="564"/>
      <c r="CK11" s="564"/>
      <c r="CL11" s="560"/>
      <c r="CM11" s="561"/>
      <c r="CN11" s="562"/>
      <c r="CO11" s="561"/>
      <c r="CP11" s="563"/>
      <c r="CQ11" s="564"/>
      <c r="CR11" s="564"/>
      <c r="CS11" s="564"/>
      <c r="CT11" s="560"/>
      <c r="CU11" s="561"/>
      <c r="CV11" s="562"/>
      <c r="CW11" s="561"/>
      <c r="CX11" s="563"/>
      <c r="CY11" s="564"/>
      <c r="CZ11" s="564"/>
      <c r="DA11" s="564"/>
      <c r="DB11" s="560"/>
      <c r="DC11" s="561"/>
      <c r="DD11" s="562"/>
      <c r="DE11" s="561"/>
      <c r="DF11" s="563"/>
      <c r="DG11" s="564"/>
      <c r="DH11" s="564"/>
      <c r="DI11" s="564"/>
      <c r="DJ11" s="560"/>
      <c r="DK11" s="561"/>
      <c r="DL11" s="562"/>
      <c r="DM11" s="561"/>
      <c r="DN11" s="563"/>
      <c r="DO11" s="564"/>
      <c r="DP11" s="564"/>
      <c r="DQ11" s="564"/>
      <c r="DR11" s="560"/>
      <c r="DS11" s="561"/>
      <c r="DT11" s="562"/>
      <c r="DU11" s="561"/>
      <c r="DV11" s="563"/>
      <c r="DW11" s="564"/>
      <c r="DX11" s="564"/>
      <c r="DY11" s="564"/>
      <c r="DZ11" s="560"/>
      <c r="EA11" s="561"/>
      <c r="EB11" s="562"/>
      <c r="EC11" s="561"/>
      <c r="ED11" s="563"/>
      <c r="EE11" s="564"/>
      <c r="EF11" s="564"/>
      <c r="EG11" s="564"/>
      <c r="EH11" s="560"/>
      <c r="EI11" s="561"/>
      <c r="EJ11" s="562"/>
      <c r="EK11" s="561"/>
      <c r="EL11" s="563"/>
      <c r="EM11" s="564"/>
      <c r="EN11" s="564"/>
      <c r="EO11" s="564"/>
      <c r="EP11" s="560"/>
      <c r="EQ11" s="561"/>
      <c r="ER11" s="562"/>
      <c r="ES11" s="561"/>
      <c r="ET11" s="563"/>
      <c r="EU11" s="564"/>
      <c r="EV11" s="564"/>
      <c r="EW11" s="564"/>
      <c r="EX11" s="560"/>
      <c r="EY11" s="561"/>
      <c r="EZ11" s="562"/>
      <c r="FA11" s="561"/>
      <c r="FB11" s="563"/>
      <c r="FC11" s="564"/>
      <c r="FD11" s="564"/>
      <c r="FE11" s="564"/>
      <c r="FF11" s="560"/>
      <c r="FG11" s="561"/>
      <c r="FH11" s="562"/>
      <c r="FI11" s="561"/>
      <c r="FJ11" s="563"/>
      <c r="FK11" s="564"/>
      <c r="FL11" s="564"/>
      <c r="FM11" s="564"/>
      <c r="FN11" s="560"/>
      <c r="FO11" s="561"/>
      <c r="FP11" s="562"/>
      <c r="FQ11" s="561"/>
      <c r="FR11" s="563"/>
      <c r="FS11" s="564"/>
      <c r="FT11" s="564"/>
      <c r="FU11" s="564"/>
      <c r="FV11" s="560"/>
      <c r="FW11" s="566"/>
      <c r="FX11" s="566"/>
      <c r="FY11" s="566"/>
      <c r="FZ11" s="563"/>
      <c r="GA11" s="564"/>
      <c r="GB11" s="564"/>
      <c r="GC11" s="564"/>
      <c r="GD11" s="560"/>
      <c r="GE11" s="566"/>
      <c r="GF11" s="566"/>
      <c r="GG11" s="566"/>
      <c r="GH11" s="563"/>
      <c r="GI11" s="564"/>
      <c r="GJ11" s="564"/>
      <c r="GK11" s="564"/>
      <c r="GL11" s="560"/>
      <c r="GM11" s="566"/>
      <c r="GN11" s="566"/>
      <c r="GO11" s="566"/>
      <c r="GP11" s="563"/>
      <c r="GQ11" s="564"/>
      <c r="GR11" s="564"/>
      <c r="GS11" s="564"/>
      <c r="GT11" s="560"/>
      <c r="GU11" s="566"/>
      <c r="GV11" s="566"/>
      <c r="GW11" s="566"/>
      <c r="GX11" s="563"/>
      <c r="GY11" s="564"/>
      <c r="GZ11" s="564"/>
      <c r="HA11" s="590"/>
      <c r="HB11" s="560"/>
      <c r="HC11" s="566"/>
      <c r="HD11" s="566"/>
      <c r="HE11" s="566"/>
      <c r="HF11" s="563"/>
      <c r="HG11" s="564"/>
      <c r="HH11" s="564"/>
      <c r="HI11" s="590"/>
      <c r="HJ11" s="560"/>
      <c r="HK11" s="566"/>
      <c r="HL11" s="566"/>
      <c r="HM11" s="566"/>
      <c r="HN11" s="563"/>
      <c r="HO11" s="564"/>
      <c r="HP11" s="564"/>
      <c r="HQ11" s="590"/>
      <c r="HR11" s="560"/>
      <c r="HS11" s="566"/>
      <c r="HT11" s="566"/>
      <c r="HU11" s="566"/>
    </row>
    <row r="12" spans="2:229" s="506" customFormat="1" ht="72.650000000000006" customHeight="1" x14ac:dyDescent="0.35">
      <c r="B12" s="544">
        <v>9</v>
      </c>
      <c r="C12" s="544" t="s">
        <v>46</v>
      </c>
      <c r="D12" s="545" t="s">
        <v>44</v>
      </c>
      <c r="E12" s="545" t="s">
        <v>74</v>
      </c>
      <c r="F12" s="546" t="s">
        <v>46</v>
      </c>
      <c r="G12" s="545" t="s">
        <v>46</v>
      </c>
      <c r="H12" s="547" t="s">
        <v>75</v>
      </c>
      <c r="I12" s="548" t="s">
        <v>46</v>
      </c>
      <c r="J12" s="548"/>
      <c r="K12" s="549" t="s">
        <v>46</v>
      </c>
      <c r="L12" s="549"/>
      <c r="M12" s="550" t="s">
        <v>48</v>
      </c>
      <c r="N12" s="551">
        <v>0</v>
      </c>
      <c r="O12" s="552">
        <v>12</v>
      </c>
      <c r="P12" s="553">
        <v>45904</v>
      </c>
      <c r="Q12" s="553" t="s">
        <v>62</v>
      </c>
      <c r="R12" s="554" t="s">
        <v>73</v>
      </c>
      <c r="S12" s="555">
        <f ca="1">IF(R12="Aprobado con comentarios / Emitir en Rev_0", NETWORKDAYS(Q12,TODAY(),Hoja1!$C$3:$C$25),0)</f>
        <v>0</v>
      </c>
      <c r="T12" s="555">
        <f ca="1">IF(R12="Revisión INN",NETWORKDAYS(P12,TODAY(),Hoja1!$C$3:$C$25),0)</f>
        <v>0</v>
      </c>
      <c r="U12" s="556">
        <f t="shared" si="1"/>
        <v>1</v>
      </c>
      <c r="V12" s="557">
        <v>0</v>
      </c>
      <c r="W12" s="558">
        <v>12</v>
      </c>
      <c r="X12" s="558"/>
      <c r="Y12" s="559">
        <v>45905</v>
      </c>
      <c r="Z12" s="560"/>
      <c r="AA12" s="561"/>
      <c r="AB12" s="562"/>
      <c r="AC12" s="561"/>
      <c r="AD12" s="563"/>
      <c r="AE12" s="567"/>
      <c r="AF12" s="564"/>
      <c r="AG12" s="565"/>
      <c r="AH12" s="560"/>
      <c r="AI12" s="561"/>
      <c r="AJ12" s="562"/>
      <c r="AK12" s="561"/>
      <c r="AL12" s="563"/>
      <c r="AM12" s="567"/>
      <c r="AN12" s="564"/>
      <c r="AO12" s="565"/>
      <c r="AP12" s="560"/>
      <c r="AQ12" s="561"/>
      <c r="AR12" s="562"/>
      <c r="AS12" s="561"/>
      <c r="AT12" s="563"/>
      <c r="AU12" s="567"/>
      <c r="AV12" s="564"/>
      <c r="AW12" s="565"/>
      <c r="AX12" s="560"/>
      <c r="AY12" s="561"/>
      <c r="AZ12" s="562"/>
      <c r="BA12" s="561"/>
      <c r="BB12" s="563"/>
      <c r="BC12" s="567"/>
      <c r="BD12" s="564"/>
      <c r="BE12" s="565"/>
      <c r="BF12" s="560"/>
      <c r="BG12" s="561"/>
      <c r="BH12" s="562"/>
      <c r="BI12" s="561"/>
      <c r="BJ12" s="563"/>
      <c r="BK12" s="567"/>
      <c r="BL12" s="564"/>
      <c r="BM12" s="565"/>
      <c r="BN12" s="560"/>
      <c r="BO12" s="561"/>
      <c r="BP12" s="562"/>
      <c r="BQ12" s="561"/>
      <c r="BR12" s="563"/>
      <c r="BS12" s="567"/>
      <c r="BT12" s="564"/>
      <c r="BU12" s="565"/>
      <c r="BV12" s="560"/>
      <c r="BW12" s="561"/>
      <c r="BX12" s="562"/>
      <c r="BY12" s="561"/>
      <c r="BZ12" s="563"/>
      <c r="CA12" s="567"/>
      <c r="CB12" s="564"/>
      <c r="CC12" s="565"/>
      <c r="CD12" s="560"/>
      <c r="CE12" s="561"/>
      <c r="CF12" s="562"/>
      <c r="CG12" s="561"/>
      <c r="CH12" s="563"/>
      <c r="CI12" s="564"/>
      <c r="CJ12" s="564"/>
      <c r="CK12" s="564"/>
      <c r="CL12" s="560"/>
      <c r="CM12" s="561"/>
      <c r="CN12" s="562"/>
      <c r="CO12" s="561"/>
      <c r="CP12" s="563"/>
      <c r="CQ12" s="564"/>
      <c r="CR12" s="564"/>
      <c r="CS12" s="564"/>
      <c r="CT12" s="560"/>
      <c r="CU12" s="561"/>
      <c r="CV12" s="562"/>
      <c r="CW12" s="561"/>
      <c r="CX12" s="563"/>
      <c r="CY12" s="564"/>
      <c r="CZ12" s="564"/>
      <c r="DA12" s="564"/>
      <c r="DB12" s="560"/>
      <c r="DC12" s="561"/>
      <c r="DD12" s="562"/>
      <c r="DE12" s="561"/>
      <c r="DF12" s="563"/>
      <c r="DG12" s="564"/>
      <c r="DH12" s="564"/>
      <c r="DI12" s="564"/>
      <c r="DJ12" s="560"/>
      <c r="DK12" s="561"/>
      <c r="DL12" s="562"/>
      <c r="DM12" s="561"/>
      <c r="DN12" s="563"/>
      <c r="DO12" s="564"/>
      <c r="DP12" s="564"/>
      <c r="DQ12" s="564"/>
      <c r="DR12" s="560"/>
      <c r="DS12" s="561"/>
      <c r="DT12" s="562"/>
      <c r="DU12" s="561"/>
      <c r="DV12" s="563"/>
      <c r="DW12" s="564"/>
      <c r="DX12" s="564"/>
      <c r="DY12" s="564"/>
      <c r="DZ12" s="560"/>
      <c r="EA12" s="561"/>
      <c r="EB12" s="562"/>
      <c r="EC12" s="561"/>
      <c r="ED12" s="563"/>
      <c r="EE12" s="564"/>
      <c r="EF12" s="564"/>
      <c r="EG12" s="564"/>
      <c r="EH12" s="560"/>
      <c r="EI12" s="561"/>
      <c r="EJ12" s="562"/>
      <c r="EK12" s="561"/>
      <c r="EL12" s="563"/>
      <c r="EM12" s="564"/>
      <c r="EN12" s="564"/>
      <c r="EO12" s="564"/>
      <c r="EP12" s="560"/>
      <c r="EQ12" s="561"/>
      <c r="ER12" s="562"/>
      <c r="ES12" s="561"/>
      <c r="ET12" s="563"/>
      <c r="EU12" s="564"/>
      <c r="EV12" s="564"/>
      <c r="EW12" s="564"/>
      <c r="EX12" s="560"/>
      <c r="EY12" s="561"/>
      <c r="EZ12" s="562"/>
      <c r="FA12" s="561"/>
      <c r="FB12" s="563"/>
      <c r="FC12" s="564"/>
      <c r="FD12" s="564"/>
      <c r="FE12" s="564"/>
      <c r="FF12" s="560"/>
      <c r="FG12" s="561"/>
      <c r="FH12" s="562"/>
      <c r="FI12" s="561"/>
      <c r="FJ12" s="563"/>
      <c r="FK12" s="564"/>
      <c r="FL12" s="564"/>
      <c r="FM12" s="564"/>
      <c r="FN12" s="560"/>
      <c r="FO12" s="561"/>
      <c r="FP12" s="562"/>
      <c r="FQ12" s="561"/>
      <c r="FR12" s="563"/>
      <c r="FS12" s="564"/>
      <c r="FT12" s="564"/>
      <c r="FU12" s="564"/>
      <c r="FV12" s="560"/>
      <c r="FW12" s="566"/>
      <c r="FX12" s="566"/>
      <c r="FY12" s="566"/>
      <c r="FZ12" s="563"/>
      <c r="GA12" s="564"/>
      <c r="GB12" s="564"/>
      <c r="GC12" s="564"/>
      <c r="GD12" s="560"/>
      <c r="GE12" s="566"/>
      <c r="GF12" s="566"/>
      <c r="GG12" s="566"/>
      <c r="GH12" s="563"/>
      <c r="GI12" s="564"/>
      <c r="GJ12" s="564"/>
      <c r="GK12" s="564"/>
      <c r="GL12" s="560"/>
      <c r="GM12" s="566"/>
      <c r="GN12" s="566"/>
      <c r="GO12" s="566"/>
      <c r="GP12" s="563"/>
      <c r="GQ12" s="564"/>
      <c r="GR12" s="564"/>
      <c r="GS12" s="564"/>
      <c r="GT12" s="560"/>
      <c r="GU12" s="566"/>
      <c r="GV12" s="566"/>
      <c r="GW12" s="566"/>
      <c r="GX12" s="563"/>
      <c r="GY12" s="564"/>
      <c r="GZ12" s="564"/>
      <c r="HA12" s="590"/>
      <c r="HB12" s="560"/>
      <c r="HC12" s="566"/>
      <c r="HD12" s="566"/>
      <c r="HE12" s="566"/>
      <c r="HF12" s="563"/>
      <c r="HG12" s="564"/>
      <c r="HH12" s="564"/>
      <c r="HI12" s="590"/>
      <c r="HJ12" s="560"/>
      <c r="HK12" s="566"/>
      <c r="HL12" s="566"/>
      <c r="HM12" s="566"/>
      <c r="HN12" s="563"/>
      <c r="HO12" s="564"/>
      <c r="HP12" s="564"/>
      <c r="HQ12" s="590"/>
      <c r="HR12" s="560"/>
      <c r="HS12" s="566"/>
      <c r="HT12" s="566"/>
      <c r="HU12" s="566"/>
    </row>
    <row r="13" spans="2:229" s="506" customFormat="1" ht="72.650000000000006" customHeight="1" thickBot="1" x14ac:dyDescent="0.4">
      <c r="B13" s="544">
        <v>10</v>
      </c>
      <c r="C13" s="544" t="s">
        <v>46</v>
      </c>
      <c r="D13" s="545" t="s">
        <v>44</v>
      </c>
      <c r="E13" s="545" t="s">
        <v>76</v>
      </c>
      <c r="F13" s="546" t="s">
        <v>46</v>
      </c>
      <c r="G13" s="545" t="s">
        <v>46</v>
      </c>
      <c r="H13" s="547" t="s">
        <v>77</v>
      </c>
      <c r="I13" s="548" t="s">
        <v>46</v>
      </c>
      <c r="J13" s="548"/>
      <c r="K13" s="549" t="s">
        <v>46</v>
      </c>
      <c r="L13" s="549"/>
      <c r="M13" s="550" t="s">
        <v>48</v>
      </c>
      <c r="N13" s="551">
        <v>0</v>
      </c>
      <c r="O13" s="552">
        <v>14</v>
      </c>
      <c r="P13" s="553">
        <v>45909</v>
      </c>
      <c r="Q13" s="553" t="s">
        <v>62</v>
      </c>
      <c r="R13" s="554" t="s">
        <v>73</v>
      </c>
      <c r="S13" s="555">
        <f ca="1">IF(R13="Aprobado con comentarios / Emitir en Rev_0", NETWORKDAYS(Q13,TODAY(),Hoja1!$C$3:$C$25),0)</f>
        <v>0</v>
      </c>
      <c r="T13" s="555">
        <f ca="1">IF(R13="Revisión INN",NETWORKDAYS(P13,TODAY(),Hoja1!$C$3:$C$25),0)</f>
        <v>0</v>
      </c>
      <c r="U13" s="556">
        <f t="shared" si="1"/>
        <v>1</v>
      </c>
      <c r="V13" s="557">
        <v>0</v>
      </c>
      <c r="W13" s="558">
        <v>14</v>
      </c>
      <c r="X13" s="558"/>
      <c r="Y13" s="559">
        <v>45909</v>
      </c>
      <c r="Z13" s="560"/>
      <c r="AA13" s="561"/>
      <c r="AB13" s="562"/>
      <c r="AC13" s="561"/>
      <c r="AD13" s="563"/>
      <c r="AE13" s="567"/>
      <c r="AF13" s="564"/>
      <c r="AG13" s="565"/>
      <c r="AH13" s="560"/>
      <c r="AI13" s="561"/>
      <c r="AJ13" s="562"/>
      <c r="AK13" s="561"/>
      <c r="AL13" s="563"/>
      <c r="AM13" s="567"/>
      <c r="AN13" s="564"/>
      <c r="AO13" s="565"/>
      <c r="AP13" s="560"/>
      <c r="AQ13" s="561"/>
      <c r="AR13" s="562"/>
      <c r="AS13" s="561"/>
      <c r="AT13" s="563"/>
      <c r="AU13" s="567"/>
      <c r="AV13" s="564"/>
      <c r="AW13" s="565"/>
      <c r="AX13" s="560"/>
      <c r="AY13" s="561"/>
      <c r="AZ13" s="562"/>
      <c r="BA13" s="561"/>
      <c r="BB13" s="563"/>
      <c r="BC13" s="567"/>
      <c r="BD13" s="564"/>
      <c r="BE13" s="565"/>
      <c r="BF13" s="560"/>
      <c r="BG13" s="561"/>
      <c r="BH13" s="562"/>
      <c r="BI13" s="561"/>
      <c r="BJ13" s="563"/>
      <c r="BK13" s="567"/>
      <c r="BL13" s="564"/>
      <c r="BM13" s="565"/>
      <c r="BN13" s="560"/>
      <c r="BO13" s="561"/>
      <c r="BP13" s="562"/>
      <c r="BQ13" s="561"/>
      <c r="BR13" s="563"/>
      <c r="BS13" s="567"/>
      <c r="BT13" s="564"/>
      <c r="BU13" s="565"/>
      <c r="BV13" s="560"/>
      <c r="BW13" s="561"/>
      <c r="BX13" s="562"/>
      <c r="BY13" s="561"/>
      <c r="BZ13" s="563"/>
      <c r="CA13" s="567"/>
      <c r="CB13" s="564"/>
      <c r="CC13" s="565"/>
      <c r="CD13" s="560"/>
      <c r="CE13" s="561"/>
      <c r="CF13" s="562"/>
      <c r="CG13" s="561"/>
      <c r="CH13" s="563"/>
      <c r="CI13" s="564"/>
      <c r="CJ13" s="564"/>
      <c r="CK13" s="564"/>
      <c r="CL13" s="560"/>
      <c r="CM13" s="561"/>
      <c r="CN13" s="562"/>
      <c r="CO13" s="561"/>
      <c r="CP13" s="563"/>
      <c r="CQ13" s="564"/>
      <c r="CR13" s="564"/>
      <c r="CS13" s="564"/>
      <c r="CT13" s="560"/>
      <c r="CU13" s="561"/>
      <c r="CV13" s="562"/>
      <c r="CW13" s="561"/>
      <c r="CX13" s="563"/>
      <c r="CY13" s="564"/>
      <c r="CZ13" s="564"/>
      <c r="DA13" s="564"/>
      <c r="DB13" s="560"/>
      <c r="DC13" s="561"/>
      <c r="DD13" s="562"/>
      <c r="DE13" s="561"/>
      <c r="DF13" s="563"/>
      <c r="DG13" s="564"/>
      <c r="DH13" s="564"/>
      <c r="DI13" s="564"/>
      <c r="DJ13" s="560"/>
      <c r="DK13" s="561"/>
      <c r="DL13" s="562"/>
      <c r="DM13" s="561"/>
      <c r="DN13" s="563"/>
      <c r="DO13" s="564"/>
      <c r="DP13" s="564"/>
      <c r="DQ13" s="564"/>
      <c r="DR13" s="560"/>
      <c r="DS13" s="561"/>
      <c r="DT13" s="562"/>
      <c r="DU13" s="561"/>
      <c r="DV13" s="563"/>
      <c r="DW13" s="564"/>
      <c r="DX13" s="564"/>
      <c r="DY13" s="564"/>
      <c r="DZ13" s="560"/>
      <c r="EA13" s="561"/>
      <c r="EB13" s="562"/>
      <c r="EC13" s="561"/>
      <c r="ED13" s="563"/>
      <c r="EE13" s="564"/>
      <c r="EF13" s="564"/>
      <c r="EG13" s="564"/>
      <c r="EH13" s="560"/>
      <c r="EI13" s="561"/>
      <c r="EJ13" s="562"/>
      <c r="EK13" s="561"/>
      <c r="EL13" s="563"/>
      <c r="EM13" s="564"/>
      <c r="EN13" s="564"/>
      <c r="EO13" s="564"/>
      <c r="EP13" s="560"/>
      <c r="EQ13" s="561"/>
      <c r="ER13" s="562"/>
      <c r="ES13" s="561"/>
      <c r="ET13" s="563"/>
      <c r="EU13" s="564"/>
      <c r="EV13" s="564"/>
      <c r="EW13" s="564"/>
      <c r="EX13" s="560"/>
      <c r="EY13" s="561"/>
      <c r="EZ13" s="562"/>
      <c r="FA13" s="561"/>
      <c r="FB13" s="563"/>
      <c r="FC13" s="564"/>
      <c r="FD13" s="564"/>
      <c r="FE13" s="564"/>
      <c r="FF13" s="560"/>
      <c r="FG13" s="561"/>
      <c r="FH13" s="562"/>
      <c r="FI13" s="561"/>
      <c r="FJ13" s="563"/>
      <c r="FK13" s="564"/>
      <c r="FL13" s="564"/>
      <c r="FM13" s="564"/>
      <c r="FN13" s="560"/>
      <c r="FO13" s="561"/>
      <c r="FP13" s="562"/>
      <c r="FQ13" s="561"/>
      <c r="FR13" s="563"/>
      <c r="FS13" s="564"/>
      <c r="FT13" s="564"/>
      <c r="FU13" s="564"/>
      <c r="FV13" s="560"/>
      <c r="FW13" s="566"/>
      <c r="FX13" s="566"/>
      <c r="FY13" s="566"/>
      <c r="FZ13" s="563"/>
      <c r="GA13" s="564"/>
      <c r="GB13" s="564"/>
      <c r="GC13" s="564"/>
      <c r="GD13" s="560"/>
      <c r="GE13" s="566"/>
      <c r="GF13" s="566"/>
      <c r="GG13" s="566"/>
      <c r="GH13" s="563"/>
      <c r="GI13" s="564"/>
      <c r="GJ13" s="564"/>
      <c r="GK13" s="564"/>
      <c r="GL13" s="560"/>
      <c r="GM13" s="566"/>
      <c r="GN13" s="566"/>
      <c r="GO13" s="566"/>
      <c r="GP13" s="563"/>
      <c r="GQ13" s="564"/>
      <c r="GR13" s="564"/>
      <c r="GS13" s="564"/>
      <c r="GT13" s="560"/>
      <c r="GU13" s="566"/>
      <c r="GV13" s="566"/>
      <c r="GW13" s="566"/>
      <c r="GX13" s="563"/>
      <c r="GY13" s="564"/>
      <c r="GZ13" s="564"/>
      <c r="HA13" s="590"/>
      <c r="HB13" s="560"/>
      <c r="HC13" s="566"/>
      <c r="HD13" s="566"/>
      <c r="HE13" s="566"/>
      <c r="HF13" s="563"/>
      <c r="HG13" s="564"/>
      <c r="HH13" s="564"/>
      <c r="HI13" s="590"/>
      <c r="HJ13" s="560"/>
      <c r="HK13" s="566"/>
      <c r="HL13" s="566"/>
      <c r="HM13" s="566"/>
      <c r="HN13" s="563"/>
      <c r="HO13" s="564"/>
      <c r="HP13" s="564"/>
      <c r="HQ13" s="590"/>
      <c r="HR13" s="560"/>
      <c r="HS13" s="566"/>
      <c r="HT13" s="566"/>
      <c r="HU13" s="566"/>
    </row>
    <row r="14" spans="2:229" s="506" customFormat="1" ht="72.650000000000006" customHeight="1" x14ac:dyDescent="0.35">
      <c r="B14" s="544">
        <v>11</v>
      </c>
      <c r="C14" s="544" t="s">
        <v>46</v>
      </c>
      <c r="D14" s="545" t="s">
        <v>44</v>
      </c>
      <c r="E14" s="545" t="s">
        <v>78</v>
      </c>
      <c r="F14" s="546" t="s">
        <v>46</v>
      </c>
      <c r="G14" s="545" t="s">
        <v>46</v>
      </c>
      <c r="H14" s="547" t="s">
        <v>79</v>
      </c>
      <c r="I14" s="549" t="s">
        <v>46</v>
      </c>
      <c r="J14" s="549"/>
      <c r="K14" s="549" t="s">
        <v>46</v>
      </c>
      <c r="L14" s="549"/>
      <c r="M14" s="550" t="s">
        <v>48</v>
      </c>
      <c r="N14" s="551">
        <v>0</v>
      </c>
      <c r="O14" s="552"/>
      <c r="P14" s="553">
        <v>45916</v>
      </c>
      <c r="Q14" s="554" t="s">
        <v>62</v>
      </c>
      <c r="R14" s="554" t="s">
        <v>73</v>
      </c>
      <c r="S14" s="555">
        <f ca="1">IF(R14="Aprobado con comentarios / Emitir en Rev_0", NETWORKDAYS(Q14,TODAY(),Hoja1!$C$3:$C$25),0)</f>
        <v>0</v>
      </c>
      <c r="T14" s="555">
        <f ca="1">IF(R14="Revisión INN",NETWORKDAYS(P14,TODAY(),Hoja1!$C$3:$C$25),0)</f>
        <v>0</v>
      </c>
      <c r="U14" s="556">
        <f t="shared" si="1"/>
        <v>1</v>
      </c>
      <c r="V14" s="557">
        <v>0</v>
      </c>
      <c r="W14" s="558">
        <v>20</v>
      </c>
      <c r="X14" s="558"/>
      <c r="Y14" s="559">
        <v>45916</v>
      </c>
      <c r="Z14" s="560"/>
      <c r="AA14" s="561"/>
      <c r="AB14" s="562"/>
      <c r="AC14" s="561"/>
      <c r="AD14" s="563"/>
      <c r="AE14" s="567"/>
      <c r="AF14" s="564"/>
      <c r="AG14" s="565"/>
      <c r="AH14" s="560"/>
      <c r="AI14" s="561"/>
      <c r="AJ14" s="562"/>
      <c r="AK14" s="561"/>
      <c r="AL14" s="563"/>
      <c r="AM14" s="567"/>
      <c r="AN14" s="564"/>
      <c r="AO14" s="565"/>
      <c r="AP14" s="560"/>
      <c r="AQ14" s="561"/>
      <c r="AR14" s="562"/>
      <c r="AS14" s="561"/>
      <c r="AT14" s="563"/>
      <c r="AU14" s="567"/>
      <c r="AV14" s="564"/>
      <c r="AW14" s="565"/>
      <c r="AX14" s="560"/>
      <c r="AY14" s="561"/>
      <c r="AZ14" s="562"/>
      <c r="BA14" s="561"/>
      <c r="BB14" s="563"/>
      <c r="BC14" s="567"/>
      <c r="BD14" s="564"/>
      <c r="BE14" s="565"/>
      <c r="BF14" s="560"/>
      <c r="BG14" s="561"/>
      <c r="BH14" s="562"/>
      <c r="BI14" s="561"/>
      <c r="BJ14" s="563"/>
      <c r="BK14" s="567"/>
      <c r="BL14" s="564"/>
      <c r="BM14" s="565"/>
      <c r="BN14" s="560"/>
      <c r="BO14" s="561"/>
      <c r="BP14" s="562"/>
      <c r="BQ14" s="561"/>
      <c r="BR14" s="563"/>
      <c r="BS14" s="567"/>
      <c r="BT14" s="564"/>
      <c r="BU14" s="565"/>
      <c r="BV14" s="560"/>
      <c r="BW14" s="561"/>
      <c r="BX14" s="562"/>
      <c r="BY14" s="561"/>
      <c r="BZ14" s="563"/>
      <c r="CA14" s="567"/>
      <c r="CB14" s="564"/>
      <c r="CC14" s="565"/>
      <c r="CD14" s="560"/>
      <c r="CE14" s="561"/>
      <c r="CF14" s="562"/>
      <c r="CG14" s="561"/>
      <c r="CH14" s="563"/>
      <c r="CI14" s="564"/>
      <c r="CJ14" s="564"/>
      <c r="CK14" s="564"/>
      <c r="CL14" s="560"/>
      <c r="CM14" s="561"/>
      <c r="CN14" s="562"/>
      <c r="CO14" s="561"/>
      <c r="CP14" s="563"/>
      <c r="CQ14" s="564"/>
      <c r="CR14" s="564"/>
      <c r="CS14" s="564"/>
      <c r="CT14" s="560"/>
      <c r="CU14" s="561"/>
      <c r="CV14" s="562"/>
      <c r="CW14" s="561"/>
      <c r="CX14" s="563"/>
      <c r="CY14" s="564"/>
      <c r="CZ14" s="564"/>
      <c r="DA14" s="564"/>
      <c r="DB14" s="560"/>
      <c r="DC14" s="561"/>
      <c r="DD14" s="562"/>
      <c r="DE14" s="561"/>
      <c r="DF14" s="563"/>
      <c r="DG14" s="564"/>
      <c r="DH14" s="564"/>
      <c r="DI14" s="564"/>
      <c r="DJ14" s="560"/>
      <c r="DK14" s="561"/>
      <c r="DL14" s="562"/>
      <c r="DM14" s="561"/>
      <c r="DN14" s="563"/>
      <c r="DO14" s="564"/>
      <c r="DP14" s="564"/>
      <c r="DQ14" s="564"/>
      <c r="DR14" s="560"/>
      <c r="DS14" s="561"/>
      <c r="DT14" s="562"/>
      <c r="DU14" s="561"/>
      <c r="DV14" s="563"/>
      <c r="DW14" s="564"/>
      <c r="DX14" s="564"/>
      <c r="DY14" s="564"/>
      <c r="DZ14" s="560"/>
      <c r="EA14" s="561"/>
      <c r="EB14" s="562"/>
      <c r="EC14" s="561"/>
      <c r="ED14" s="563"/>
      <c r="EE14" s="564"/>
      <c r="EF14" s="564"/>
      <c r="EG14" s="564"/>
      <c r="EH14" s="560"/>
      <c r="EI14" s="561"/>
      <c r="EJ14" s="562"/>
      <c r="EK14" s="561"/>
      <c r="EL14" s="563"/>
      <c r="EM14" s="564"/>
      <c r="EN14" s="564"/>
      <c r="EO14" s="564"/>
      <c r="EP14" s="560"/>
      <c r="EQ14" s="561"/>
      <c r="ER14" s="562"/>
      <c r="ES14" s="561"/>
      <c r="ET14" s="563"/>
      <c r="EU14" s="564"/>
      <c r="EV14" s="564"/>
      <c r="EW14" s="564"/>
      <c r="EX14" s="560"/>
      <c r="EY14" s="561"/>
      <c r="EZ14" s="562"/>
      <c r="FA14" s="561"/>
      <c r="FB14" s="563"/>
      <c r="FC14" s="564"/>
      <c r="FD14" s="564"/>
      <c r="FE14" s="564"/>
      <c r="FF14" s="560"/>
      <c r="FG14" s="561"/>
      <c r="FH14" s="562"/>
      <c r="FI14" s="561"/>
      <c r="FJ14" s="563"/>
      <c r="FK14" s="564"/>
      <c r="FL14" s="564"/>
      <c r="FM14" s="564"/>
      <c r="FN14" s="560"/>
      <c r="FO14" s="561"/>
      <c r="FP14" s="562"/>
      <c r="FQ14" s="561"/>
      <c r="FR14" s="563"/>
      <c r="FS14" s="564"/>
      <c r="FT14" s="564"/>
      <c r="FU14" s="564"/>
      <c r="FV14" s="560"/>
      <c r="FW14" s="566"/>
      <c r="FX14" s="566"/>
      <c r="FY14" s="566"/>
      <c r="FZ14" s="563"/>
      <c r="GA14" s="564"/>
      <c r="GB14" s="564"/>
      <c r="GC14" s="564"/>
      <c r="GD14" s="560"/>
      <c r="GE14" s="566"/>
      <c r="GF14" s="566"/>
      <c r="GG14" s="566"/>
      <c r="GH14" s="563"/>
      <c r="GI14" s="564"/>
      <c r="GJ14" s="564"/>
      <c r="GK14" s="564"/>
      <c r="GL14" s="560"/>
      <c r="GM14" s="566"/>
      <c r="GN14" s="566"/>
      <c r="GO14" s="566"/>
      <c r="GP14" s="563"/>
      <c r="GQ14" s="564"/>
      <c r="GR14" s="564"/>
      <c r="GS14" s="564"/>
      <c r="GT14" s="560"/>
      <c r="GU14" s="566"/>
      <c r="GV14" s="566"/>
      <c r="GW14" s="566"/>
      <c r="GX14" s="541"/>
      <c r="GY14" s="535"/>
      <c r="GZ14" s="542"/>
      <c r="HA14" s="543"/>
      <c r="HB14" s="541"/>
      <c r="HC14" s="535"/>
      <c r="HD14" s="542"/>
      <c r="HE14" s="543"/>
      <c r="HF14" s="541"/>
      <c r="HG14" s="535"/>
      <c r="HH14" s="542"/>
      <c r="HI14" s="543"/>
      <c r="HJ14" s="541"/>
      <c r="HK14" s="535"/>
      <c r="HL14" s="542"/>
      <c r="HM14" s="543"/>
      <c r="HN14" s="541"/>
      <c r="HO14" s="535"/>
      <c r="HP14" s="542"/>
      <c r="HQ14" s="543"/>
      <c r="HR14" s="541"/>
      <c r="HS14" s="535"/>
      <c r="HT14" s="542"/>
      <c r="HU14" s="543"/>
    </row>
    <row r="15" spans="2:229" s="506" customFormat="1" ht="72.650000000000006" customHeight="1" x14ac:dyDescent="0.35">
      <c r="B15" s="544">
        <v>12</v>
      </c>
      <c r="C15" s="544" t="s">
        <v>46</v>
      </c>
      <c r="D15" s="545" t="s">
        <v>44</v>
      </c>
      <c r="E15" s="545" t="s">
        <v>80</v>
      </c>
      <c r="F15" s="546" t="s">
        <v>46</v>
      </c>
      <c r="G15" s="545" t="s">
        <v>46</v>
      </c>
      <c r="H15" s="547" t="s">
        <v>81</v>
      </c>
      <c r="I15" s="549" t="s">
        <v>46</v>
      </c>
      <c r="J15" s="549"/>
      <c r="K15" s="549" t="s">
        <v>46</v>
      </c>
      <c r="L15" s="549"/>
      <c r="M15" s="550" t="s">
        <v>48</v>
      </c>
      <c r="N15" s="551">
        <v>0</v>
      </c>
      <c r="O15" s="552">
        <v>23</v>
      </c>
      <c r="P15" s="553">
        <v>45923</v>
      </c>
      <c r="Q15" s="553" t="s">
        <v>62</v>
      </c>
      <c r="R15" s="554" t="s">
        <v>73</v>
      </c>
      <c r="S15" s="555">
        <f ca="1">IF(R15="Aprobado con comentarios / Emitir en Rev_0", NETWORKDAYS(Q15,TODAY(),Hoja1!$C$3:$C$25),0)</f>
        <v>0</v>
      </c>
      <c r="T15" s="555">
        <f ca="1">IF(R15="Revisión INN",NETWORKDAYS(P15,TODAY(),Hoja1!$C$3:$C$25),0)</f>
        <v>0</v>
      </c>
      <c r="U15" s="556">
        <f t="shared" si="1"/>
        <v>1</v>
      </c>
      <c r="V15" s="557">
        <v>0</v>
      </c>
      <c r="W15" s="558">
        <v>23</v>
      </c>
      <c r="X15" s="558"/>
      <c r="Y15" s="559">
        <v>45923</v>
      </c>
      <c r="Z15" s="560"/>
      <c r="AA15" s="561"/>
      <c r="AB15" s="562"/>
      <c r="AC15" s="561"/>
      <c r="AD15" s="563"/>
      <c r="AE15" s="567"/>
      <c r="AF15" s="564"/>
      <c r="AG15" s="565"/>
      <c r="AH15" s="560"/>
      <c r="AI15" s="561"/>
      <c r="AJ15" s="562"/>
      <c r="AK15" s="561"/>
      <c r="AL15" s="563"/>
      <c r="AM15" s="567"/>
      <c r="AN15" s="564"/>
      <c r="AO15" s="565"/>
      <c r="AP15" s="560"/>
      <c r="AQ15" s="561"/>
      <c r="AR15" s="562"/>
      <c r="AS15" s="561"/>
      <c r="AT15" s="563"/>
      <c r="AU15" s="567"/>
      <c r="AV15" s="564"/>
      <c r="AW15" s="565"/>
      <c r="AX15" s="560"/>
      <c r="AY15" s="561"/>
      <c r="AZ15" s="562"/>
      <c r="BA15" s="561"/>
      <c r="BB15" s="563"/>
      <c r="BC15" s="567"/>
      <c r="BD15" s="564"/>
      <c r="BE15" s="565"/>
      <c r="BF15" s="560"/>
      <c r="BG15" s="561"/>
      <c r="BH15" s="562"/>
      <c r="BI15" s="561"/>
      <c r="BJ15" s="563"/>
      <c r="BK15" s="567"/>
      <c r="BL15" s="564"/>
      <c r="BM15" s="565"/>
      <c r="BN15" s="560"/>
      <c r="BO15" s="561"/>
      <c r="BP15" s="562"/>
      <c r="BQ15" s="561"/>
      <c r="BR15" s="563"/>
      <c r="BS15" s="567"/>
      <c r="BT15" s="564"/>
      <c r="BU15" s="565"/>
      <c r="BV15" s="560"/>
      <c r="BW15" s="561"/>
      <c r="BX15" s="562"/>
      <c r="BY15" s="561"/>
      <c r="BZ15" s="563"/>
      <c r="CA15" s="567"/>
      <c r="CB15" s="564"/>
      <c r="CC15" s="565"/>
      <c r="CD15" s="560"/>
      <c r="CE15" s="561"/>
      <c r="CF15" s="562"/>
      <c r="CG15" s="561"/>
      <c r="CH15" s="563"/>
      <c r="CI15" s="564"/>
      <c r="CJ15" s="564"/>
      <c r="CK15" s="564"/>
      <c r="CL15" s="560"/>
      <c r="CM15" s="561"/>
      <c r="CN15" s="562"/>
      <c r="CO15" s="561"/>
      <c r="CP15" s="563"/>
      <c r="CQ15" s="564"/>
      <c r="CR15" s="564"/>
      <c r="CS15" s="564"/>
      <c r="CT15" s="560"/>
      <c r="CU15" s="561"/>
      <c r="CV15" s="562"/>
      <c r="CW15" s="561"/>
      <c r="CX15" s="563"/>
      <c r="CY15" s="564"/>
      <c r="CZ15" s="564"/>
      <c r="DA15" s="564"/>
      <c r="DB15" s="560"/>
      <c r="DC15" s="561"/>
      <c r="DD15" s="562"/>
      <c r="DE15" s="561"/>
      <c r="DF15" s="563"/>
      <c r="DG15" s="564"/>
      <c r="DH15" s="564"/>
      <c r="DI15" s="564"/>
      <c r="DJ15" s="560"/>
      <c r="DK15" s="561"/>
      <c r="DL15" s="562"/>
      <c r="DM15" s="561"/>
      <c r="DN15" s="563"/>
      <c r="DO15" s="564"/>
      <c r="DP15" s="564"/>
      <c r="DQ15" s="564"/>
      <c r="DR15" s="560"/>
      <c r="DS15" s="561"/>
      <c r="DT15" s="562"/>
      <c r="DU15" s="561"/>
      <c r="DV15" s="563"/>
      <c r="DW15" s="564"/>
      <c r="DX15" s="564"/>
      <c r="DY15" s="564"/>
      <c r="DZ15" s="560"/>
      <c r="EA15" s="561"/>
      <c r="EB15" s="562"/>
      <c r="EC15" s="561"/>
      <c r="ED15" s="563"/>
      <c r="EE15" s="564"/>
      <c r="EF15" s="564"/>
      <c r="EG15" s="564"/>
      <c r="EH15" s="560"/>
      <c r="EI15" s="561"/>
      <c r="EJ15" s="562"/>
      <c r="EK15" s="561"/>
      <c r="EL15" s="563"/>
      <c r="EM15" s="564"/>
      <c r="EN15" s="564"/>
      <c r="EO15" s="564"/>
      <c r="EP15" s="560"/>
      <c r="EQ15" s="561"/>
      <c r="ER15" s="562"/>
      <c r="ES15" s="561"/>
      <c r="ET15" s="563"/>
      <c r="EU15" s="564"/>
      <c r="EV15" s="564"/>
      <c r="EW15" s="564"/>
      <c r="EX15" s="560"/>
      <c r="EY15" s="561"/>
      <c r="EZ15" s="562"/>
      <c r="FA15" s="561"/>
      <c r="FB15" s="563"/>
      <c r="FC15" s="564"/>
      <c r="FD15" s="564"/>
      <c r="FE15" s="564"/>
      <c r="FF15" s="560"/>
      <c r="FG15" s="561"/>
      <c r="FH15" s="562"/>
      <c r="FI15" s="561"/>
      <c r="FJ15" s="563"/>
      <c r="FK15" s="564"/>
      <c r="FL15" s="564"/>
      <c r="FM15" s="564"/>
      <c r="FN15" s="560"/>
      <c r="FO15" s="561"/>
      <c r="FP15" s="562"/>
      <c r="FQ15" s="561"/>
      <c r="FR15" s="563"/>
      <c r="FS15" s="564"/>
      <c r="FT15" s="564"/>
      <c r="FU15" s="564"/>
      <c r="FV15" s="560"/>
      <c r="FW15" s="566"/>
      <c r="FX15" s="566"/>
      <c r="FY15" s="566"/>
      <c r="FZ15" s="563"/>
      <c r="GA15" s="564"/>
      <c r="GB15" s="564"/>
      <c r="GC15" s="564"/>
      <c r="GD15" s="560"/>
      <c r="GE15" s="566"/>
      <c r="GF15" s="566"/>
      <c r="GG15" s="566"/>
      <c r="GH15" s="563"/>
      <c r="GI15" s="564"/>
      <c r="GJ15" s="564"/>
      <c r="GK15" s="564"/>
      <c r="GL15" s="560"/>
      <c r="GM15" s="566"/>
      <c r="GN15" s="566"/>
      <c r="GO15" s="566"/>
      <c r="GP15" s="563"/>
      <c r="GQ15" s="564"/>
      <c r="GR15" s="564"/>
      <c r="GS15" s="564"/>
      <c r="GT15" s="560"/>
      <c r="GU15" s="566"/>
      <c r="GV15" s="566"/>
      <c r="GW15" s="566"/>
      <c r="GX15" s="563"/>
      <c r="GY15" s="564"/>
      <c r="GZ15" s="564"/>
      <c r="HA15" s="590"/>
      <c r="HB15" s="560"/>
      <c r="HC15" s="566"/>
      <c r="HD15" s="566"/>
      <c r="HE15" s="566"/>
      <c r="HF15" s="563"/>
      <c r="HG15" s="564"/>
      <c r="HH15" s="564"/>
      <c r="HI15" s="590"/>
      <c r="HJ15" s="560"/>
      <c r="HK15" s="566"/>
      <c r="HL15" s="566"/>
      <c r="HM15" s="566"/>
      <c r="HN15" s="563"/>
      <c r="HO15" s="564"/>
      <c r="HP15" s="564"/>
      <c r="HQ15" s="590"/>
      <c r="HR15" s="560"/>
      <c r="HS15" s="566"/>
      <c r="HT15" s="566"/>
      <c r="HU15" s="566"/>
    </row>
    <row r="16" spans="2:229" s="506" customFormat="1" ht="72.650000000000006" customHeight="1" x14ac:dyDescent="0.35">
      <c r="B16" s="544">
        <v>13</v>
      </c>
      <c r="C16" s="544" t="s">
        <v>46</v>
      </c>
      <c r="D16" s="545" t="s">
        <v>44</v>
      </c>
      <c r="E16" s="545" t="s">
        <v>82</v>
      </c>
      <c r="F16" s="546" t="s">
        <v>46</v>
      </c>
      <c r="G16" s="545" t="s">
        <v>46</v>
      </c>
      <c r="H16" s="547" t="s">
        <v>83</v>
      </c>
      <c r="I16" s="549" t="s">
        <v>46</v>
      </c>
      <c r="J16" s="549"/>
      <c r="K16" s="549" t="s">
        <v>46</v>
      </c>
      <c r="L16" s="549"/>
      <c r="M16" s="550" t="s">
        <v>48</v>
      </c>
      <c r="N16" s="551">
        <v>0</v>
      </c>
      <c r="O16" s="552">
        <v>35</v>
      </c>
      <c r="P16" s="553">
        <v>45937</v>
      </c>
      <c r="Q16" s="553" t="s">
        <v>62</v>
      </c>
      <c r="R16" s="554" t="s">
        <v>73</v>
      </c>
      <c r="S16" s="555">
        <f ca="1">IF(R16="Aprobado con comentarios / Emitir en Rev_0", NETWORKDAYS(Q16,TODAY(),Hoja1!$C$3:$C$25),0)</f>
        <v>0</v>
      </c>
      <c r="T16" s="555">
        <f ca="1">IF(R16="Revisión INN",NETWORKDAYS(P16,TODAY(),Hoja1!$C$3:$C$25),0)</f>
        <v>0</v>
      </c>
      <c r="U16" s="556">
        <f t="shared" si="1"/>
        <v>1</v>
      </c>
      <c r="V16" s="557">
        <v>0</v>
      </c>
      <c r="W16" s="558">
        <v>35</v>
      </c>
      <c r="X16" s="558"/>
      <c r="Y16" s="559">
        <v>45937</v>
      </c>
      <c r="Z16" s="560"/>
      <c r="AA16" s="561"/>
      <c r="AB16" s="562"/>
      <c r="AC16" s="561"/>
      <c r="AD16" s="563"/>
      <c r="AE16" s="567"/>
      <c r="AF16" s="564"/>
      <c r="AG16" s="565"/>
      <c r="AH16" s="560"/>
      <c r="AI16" s="561"/>
      <c r="AJ16" s="562"/>
      <c r="AK16" s="561"/>
      <c r="AL16" s="563"/>
      <c r="AM16" s="567"/>
      <c r="AN16" s="564"/>
      <c r="AO16" s="565"/>
      <c r="AP16" s="560"/>
      <c r="AQ16" s="561"/>
      <c r="AR16" s="562"/>
      <c r="AS16" s="561"/>
      <c r="AT16" s="563"/>
      <c r="AU16" s="567"/>
      <c r="AV16" s="564"/>
      <c r="AW16" s="565"/>
      <c r="AX16" s="560"/>
      <c r="AY16" s="561"/>
      <c r="AZ16" s="562"/>
      <c r="BA16" s="561"/>
      <c r="BB16" s="563"/>
      <c r="BC16" s="567"/>
      <c r="BD16" s="564"/>
      <c r="BE16" s="565"/>
      <c r="BF16" s="560"/>
      <c r="BG16" s="561"/>
      <c r="BH16" s="562"/>
      <c r="BI16" s="561"/>
      <c r="BJ16" s="563"/>
      <c r="BK16" s="567"/>
      <c r="BL16" s="564"/>
      <c r="BM16" s="565"/>
      <c r="BN16" s="560"/>
      <c r="BO16" s="561"/>
      <c r="BP16" s="562"/>
      <c r="BQ16" s="561"/>
      <c r="BR16" s="563"/>
      <c r="BS16" s="567"/>
      <c r="BT16" s="564"/>
      <c r="BU16" s="565"/>
      <c r="BV16" s="560"/>
      <c r="BW16" s="561"/>
      <c r="BX16" s="562"/>
      <c r="BY16" s="561"/>
      <c r="BZ16" s="563"/>
      <c r="CA16" s="567"/>
      <c r="CB16" s="564"/>
      <c r="CC16" s="565"/>
      <c r="CD16" s="560"/>
      <c r="CE16" s="561"/>
      <c r="CF16" s="562"/>
      <c r="CG16" s="561"/>
      <c r="CH16" s="563"/>
      <c r="CI16" s="564"/>
      <c r="CJ16" s="564"/>
      <c r="CK16" s="564"/>
      <c r="CL16" s="560"/>
      <c r="CM16" s="561"/>
      <c r="CN16" s="562"/>
      <c r="CO16" s="561"/>
      <c r="CP16" s="563"/>
      <c r="CQ16" s="564"/>
      <c r="CR16" s="564"/>
      <c r="CS16" s="564"/>
      <c r="CT16" s="560"/>
      <c r="CU16" s="561"/>
      <c r="CV16" s="562"/>
      <c r="CW16" s="561"/>
      <c r="CX16" s="563"/>
      <c r="CY16" s="564"/>
      <c r="CZ16" s="564"/>
      <c r="DA16" s="564"/>
      <c r="DB16" s="560"/>
      <c r="DC16" s="561"/>
      <c r="DD16" s="562"/>
      <c r="DE16" s="561"/>
      <c r="DF16" s="563"/>
      <c r="DG16" s="564"/>
      <c r="DH16" s="564"/>
      <c r="DI16" s="564"/>
      <c r="DJ16" s="560"/>
      <c r="DK16" s="561"/>
      <c r="DL16" s="562"/>
      <c r="DM16" s="561"/>
      <c r="DN16" s="563"/>
      <c r="DO16" s="564"/>
      <c r="DP16" s="564"/>
      <c r="DQ16" s="564"/>
      <c r="DR16" s="560"/>
      <c r="DS16" s="561"/>
      <c r="DT16" s="562"/>
      <c r="DU16" s="561"/>
      <c r="DV16" s="563"/>
      <c r="DW16" s="564"/>
      <c r="DX16" s="564"/>
      <c r="DY16" s="564"/>
      <c r="DZ16" s="560"/>
      <c r="EA16" s="561"/>
      <c r="EB16" s="562"/>
      <c r="EC16" s="561"/>
      <c r="ED16" s="563"/>
      <c r="EE16" s="564"/>
      <c r="EF16" s="564"/>
      <c r="EG16" s="564"/>
      <c r="EH16" s="560"/>
      <c r="EI16" s="561"/>
      <c r="EJ16" s="562"/>
      <c r="EK16" s="561"/>
      <c r="EL16" s="563"/>
      <c r="EM16" s="564"/>
      <c r="EN16" s="564"/>
      <c r="EO16" s="564"/>
      <c r="EP16" s="560"/>
      <c r="EQ16" s="561"/>
      <c r="ER16" s="562"/>
      <c r="ES16" s="561"/>
      <c r="ET16" s="563"/>
      <c r="EU16" s="564"/>
      <c r="EV16" s="564"/>
      <c r="EW16" s="564"/>
      <c r="EX16" s="560"/>
      <c r="EY16" s="561"/>
      <c r="EZ16" s="562"/>
      <c r="FA16" s="561"/>
      <c r="FB16" s="563"/>
      <c r="FC16" s="564"/>
      <c r="FD16" s="564"/>
      <c r="FE16" s="564"/>
      <c r="FF16" s="560"/>
      <c r="FG16" s="561"/>
      <c r="FH16" s="562"/>
      <c r="FI16" s="561"/>
      <c r="FJ16" s="563"/>
      <c r="FK16" s="564"/>
      <c r="FL16" s="564"/>
      <c r="FM16" s="564"/>
      <c r="FN16" s="560"/>
      <c r="FO16" s="561"/>
      <c r="FP16" s="562"/>
      <c r="FQ16" s="561"/>
      <c r="FR16" s="563"/>
      <c r="FS16" s="564"/>
      <c r="FT16" s="564"/>
      <c r="FU16" s="564"/>
      <c r="FV16" s="560"/>
      <c r="FW16" s="566"/>
      <c r="FX16" s="566"/>
      <c r="FY16" s="566"/>
      <c r="FZ16" s="563"/>
      <c r="GA16" s="564"/>
      <c r="GB16" s="564"/>
      <c r="GC16" s="564"/>
      <c r="GD16" s="560"/>
      <c r="GE16" s="566"/>
      <c r="GF16" s="566"/>
      <c r="GG16" s="566"/>
      <c r="GH16" s="563"/>
      <c r="GI16" s="564"/>
      <c r="GJ16" s="564"/>
      <c r="GK16" s="564"/>
      <c r="GL16" s="560"/>
      <c r="GM16" s="566"/>
      <c r="GN16" s="566"/>
      <c r="GO16" s="566"/>
      <c r="GP16" s="563"/>
      <c r="GQ16" s="564"/>
      <c r="GR16" s="564"/>
      <c r="GS16" s="564"/>
      <c r="GT16" s="560"/>
      <c r="GU16" s="566"/>
      <c r="GV16" s="566"/>
      <c r="GW16" s="566"/>
      <c r="GX16" s="563"/>
      <c r="GY16" s="564"/>
      <c r="GZ16" s="564"/>
      <c r="HA16" s="590"/>
      <c r="HB16" s="560"/>
      <c r="HC16" s="566"/>
      <c r="HD16" s="566"/>
      <c r="HE16" s="566"/>
      <c r="HF16" s="563"/>
      <c r="HG16" s="564"/>
      <c r="HH16" s="564"/>
      <c r="HI16" s="590"/>
      <c r="HJ16" s="560"/>
      <c r="HK16" s="566"/>
      <c r="HL16" s="566"/>
      <c r="HM16" s="566"/>
      <c r="HN16" s="563"/>
      <c r="HO16" s="564"/>
      <c r="HP16" s="564"/>
      <c r="HQ16" s="590"/>
      <c r="HR16" s="560"/>
      <c r="HS16" s="566"/>
      <c r="HT16" s="566"/>
      <c r="HU16" s="566"/>
    </row>
    <row r="17" spans="1:229" s="506" customFormat="1" ht="72.650000000000006" customHeight="1" thickBot="1" x14ac:dyDescent="0.4">
      <c r="B17" s="544">
        <v>14</v>
      </c>
      <c r="C17" s="544" t="s">
        <v>46</v>
      </c>
      <c r="D17" s="544" t="s">
        <v>44</v>
      </c>
      <c r="E17" s="545" t="s">
        <v>84</v>
      </c>
      <c r="F17" s="546" t="s">
        <v>46</v>
      </c>
      <c r="G17" s="545" t="s">
        <v>46</v>
      </c>
      <c r="H17" s="547" t="s">
        <v>85</v>
      </c>
      <c r="I17" s="548" t="s">
        <v>86</v>
      </c>
      <c r="J17" s="549"/>
      <c r="K17" s="568" t="s">
        <v>86</v>
      </c>
      <c r="L17" s="549"/>
      <c r="M17" s="569" t="s">
        <v>87</v>
      </c>
      <c r="N17" s="551">
        <v>0</v>
      </c>
      <c r="O17" s="552">
        <v>64</v>
      </c>
      <c r="P17" s="553">
        <v>45943</v>
      </c>
      <c r="Q17" s="553">
        <v>45979</v>
      </c>
      <c r="R17" s="554" t="s">
        <v>67</v>
      </c>
      <c r="S17" s="555">
        <f ca="1">IF(R17="Aprobado con comentarios / Emitir en Rev_0", NETWORKDAYS(Q17,TODAY(),Hoja1!$C$3:$C$25),0)</f>
        <v>0</v>
      </c>
      <c r="T17" s="555">
        <f ca="1">IF(R17="Revisión INN",NETWORKDAYS(P17,TODAY(),Hoja1!$C$3:$C$25),0)</f>
        <v>0</v>
      </c>
      <c r="U17" s="556">
        <f t="shared" si="1"/>
        <v>3</v>
      </c>
      <c r="V17" s="557" t="s">
        <v>63</v>
      </c>
      <c r="W17" s="558">
        <v>2</v>
      </c>
      <c r="X17" s="558"/>
      <c r="Y17" s="559">
        <v>45887</v>
      </c>
      <c r="Z17" s="560">
        <v>9</v>
      </c>
      <c r="AA17" s="561">
        <v>45898</v>
      </c>
      <c r="AB17" s="562">
        <f>AA17-Y17</f>
        <v>11</v>
      </c>
      <c r="AC17" s="561" t="s">
        <v>88</v>
      </c>
      <c r="AD17" s="563" t="s">
        <v>65</v>
      </c>
      <c r="AE17" s="567">
        <v>10</v>
      </c>
      <c r="AF17" s="564">
        <f>AG17-AA17</f>
        <v>5</v>
      </c>
      <c r="AG17" s="559">
        <v>45903</v>
      </c>
      <c r="AH17" s="560">
        <v>28</v>
      </c>
      <c r="AI17" s="561">
        <v>45931</v>
      </c>
      <c r="AJ17" s="562">
        <f>AI17-AG17</f>
        <v>28</v>
      </c>
      <c r="AK17" s="561" t="s">
        <v>89</v>
      </c>
      <c r="AL17" s="563">
        <v>0</v>
      </c>
      <c r="AM17" s="567">
        <v>40</v>
      </c>
      <c r="AN17" s="564">
        <f>AO17-AI17</f>
        <v>12</v>
      </c>
      <c r="AO17" s="559">
        <v>45943</v>
      </c>
      <c r="AP17" s="560">
        <v>64</v>
      </c>
      <c r="AQ17" s="561">
        <v>45981</v>
      </c>
      <c r="AR17" s="562"/>
      <c r="AS17" s="561" t="s">
        <v>67</v>
      </c>
      <c r="AT17" s="563"/>
      <c r="AU17" s="567"/>
      <c r="AV17" s="564"/>
      <c r="AW17" s="559"/>
      <c r="AX17" s="560"/>
      <c r="AY17" s="561"/>
      <c r="AZ17" s="562"/>
      <c r="BA17" s="561"/>
      <c r="BB17" s="563"/>
      <c r="BC17" s="567"/>
      <c r="BD17" s="564"/>
      <c r="BE17" s="559"/>
      <c r="BF17" s="560"/>
      <c r="BG17" s="561"/>
      <c r="BH17" s="562"/>
      <c r="BI17" s="561"/>
      <c r="BJ17" s="563"/>
      <c r="BK17" s="567"/>
      <c r="BL17" s="564"/>
      <c r="BM17" s="559"/>
      <c r="BN17" s="560"/>
      <c r="BO17" s="561"/>
      <c r="BP17" s="562"/>
      <c r="BQ17" s="561"/>
      <c r="BR17" s="563"/>
      <c r="BS17" s="567"/>
      <c r="BT17" s="564"/>
      <c r="BU17" s="559"/>
      <c r="BV17" s="560"/>
      <c r="BW17" s="561"/>
      <c r="BX17" s="562"/>
      <c r="BY17" s="561"/>
      <c r="BZ17" s="563"/>
      <c r="CA17" s="567"/>
      <c r="CB17" s="564"/>
      <c r="CC17" s="559"/>
      <c r="CD17" s="560"/>
      <c r="CE17" s="561"/>
      <c r="CF17" s="562"/>
      <c r="CG17" s="561"/>
      <c r="CH17" s="563"/>
      <c r="CI17" s="564"/>
      <c r="CJ17" s="564"/>
      <c r="CK17" s="564"/>
      <c r="CL17" s="560"/>
      <c r="CM17" s="561"/>
      <c r="CN17" s="562"/>
      <c r="CO17" s="561"/>
      <c r="CP17" s="563"/>
      <c r="CQ17" s="564"/>
      <c r="CR17" s="564"/>
      <c r="CS17" s="564"/>
      <c r="CT17" s="560"/>
      <c r="CU17" s="561"/>
      <c r="CV17" s="562"/>
      <c r="CW17" s="561"/>
      <c r="CX17" s="563"/>
      <c r="CY17" s="564"/>
      <c r="CZ17" s="564"/>
      <c r="DA17" s="564"/>
      <c r="DB17" s="560"/>
      <c r="DC17" s="561"/>
      <c r="DD17" s="562"/>
      <c r="DE17" s="561"/>
      <c r="DF17" s="563"/>
      <c r="DG17" s="564"/>
      <c r="DH17" s="564"/>
      <c r="DI17" s="564"/>
      <c r="DJ17" s="560"/>
      <c r="DK17" s="561"/>
      <c r="DL17" s="562"/>
      <c r="DM17" s="561"/>
      <c r="DN17" s="563"/>
      <c r="DO17" s="564"/>
      <c r="DP17" s="564"/>
      <c r="DQ17" s="564"/>
      <c r="DR17" s="560"/>
      <c r="DS17" s="561"/>
      <c r="DT17" s="562"/>
      <c r="DU17" s="561"/>
      <c r="DV17" s="563"/>
      <c r="DW17" s="564"/>
      <c r="DX17" s="564"/>
      <c r="DY17" s="564"/>
      <c r="DZ17" s="560"/>
      <c r="EA17" s="561"/>
      <c r="EB17" s="562"/>
      <c r="EC17" s="561"/>
      <c r="ED17" s="563"/>
      <c r="EE17" s="564"/>
      <c r="EF17" s="564"/>
      <c r="EG17" s="564"/>
      <c r="EH17" s="560"/>
      <c r="EI17" s="561"/>
      <c r="EJ17" s="562"/>
      <c r="EK17" s="561"/>
      <c r="EL17" s="563"/>
      <c r="EM17" s="564"/>
      <c r="EN17" s="564"/>
      <c r="EO17" s="564"/>
      <c r="EP17" s="560"/>
      <c r="EQ17" s="561"/>
      <c r="ER17" s="562"/>
      <c r="ES17" s="561"/>
      <c r="ET17" s="563"/>
      <c r="EU17" s="564"/>
      <c r="EV17" s="564"/>
      <c r="EW17" s="564"/>
      <c r="EX17" s="560"/>
      <c r="EY17" s="561"/>
      <c r="EZ17" s="562"/>
      <c r="FA17" s="561"/>
      <c r="FB17" s="563"/>
      <c r="FC17" s="564"/>
      <c r="FD17" s="564"/>
      <c r="FE17" s="564"/>
      <c r="FF17" s="560"/>
      <c r="FG17" s="561"/>
      <c r="FH17" s="562"/>
      <c r="FI17" s="561"/>
      <c r="FJ17" s="563"/>
      <c r="FK17" s="564"/>
      <c r="FL17" s="564"/>
      <c r="FM17" s="564"/>
      <c r="FN17" s="560"/>
      <c r="FO17" s="561"/>
      <c r="FP17" s="562"/>
      <c r="FQ17" s="561"/>
      <c r="FR17" s="563"/>
      <c r="FS17" s="564"/>
      <c r="FT17" s="564"/>
      <c r="FU17" s="564"/>
      <c r="FV17" s="560"/>
      <c r="FW17" s="566"/>
      <c r="FX17" s="566"/>
      <c r="FY17" s="566"/>
      <c r="FZ17" s="563"/>
      <c r="GA17" s="564"/>
      <c r="GB17" s="564"/>
      <c r="GC17" s="564"/>
      <c r="GD17" s="560"/>
      <c r="GE17" s="566"/>
      <c r="GF17" s="566"/>
      <c r="GG17" s="566"/>
      <c r="GH17" s="563"/>
      <c r="GI17" s="564"/>
      <c r="GJ17" s="564"/>
      <c r="GK17" s="564"/>
      <c r="GL17" s="560"/>
      <c r="GM17" s="566"/>
      <c r="GN17" s="566"/>
      <c r="GO17" s="566"/>
      <c r="GP17" s="563"/>
      <c r="GQ17" s="564"/>
      <c r="GR17" s="564"/>
      <c r="GS17" s="564"/>
      <c r="GT17" s="560"/>
      <c r="GU17" s="566"/>
      <c r="GV17" s="566"/>
      <c r="GW17" s="566"/>
      <c r="GX17" s="563"/>
      <c r="GY17" s="564"/>
      <c r="GZ17" s="564"/>
      <c r="HA17" s="590"/>
      <c r="HB17" s="560"/>
      <c r="HC17" s="566"/>
      <c r="HD17" s="566"/>
      <c r="HE17" s="566"/>
      <c r="HF17" s="563"/>
      <c r="HG17" s="564"/>
      <c r="HH17" s="564"/>
      <c r="HI17" s="590"/>
      <c r="HJ17" s="560"/>
      <c r="HK17" s="566"/>
      <c r="HL17" s="566"/>
      <c r="HM17" s="566"/>
      <c r="HN17" s="563"/>
      <c r="HO17" s="564"/>
      <c r="HP17" s="564"/>
      <c r="HQ17" s="590"/>
      <c r="HR17" s="560"/>
      <c r="HS17" s="566"/>
      <c r="HT17" s="566"/>
      <c r="HU17" s="566"/>
    </row>
    <row r="18" spans="1:229" s="506" customFormat="1" ht="72.650000000000006" customHeight="1" x14ac:dyDescent="0.35">
      <c r="B18" s="544">
        <v>15</v>
      </c>
      <c r="C18" s="544" t="s">
        <v>46</v>
      </c>
      <c r="D18" s="545" t="s">
        <v>44</v>
      </c>
      <c r="E18" s="545" t="s">
        <v>90</v>
      </c>
      <c r="F18" s="546" t="s">
        <v>46</v>
      </c>
      <c r="G18" s="545" t="s">
        <v>46</v>
      </c>
      <c r="H18" s="547" t="s">
        <v>91</v>
      </c>
      <c r="I18" s="549" t="s">
        <v>46</v>
      </c>
      <c r="J18" s="549"/>
      <c r="K18" s="549" t="s">
        <v>46</v>
      </c>
      <c r="L18" s="549"/>
      <c r="M18" s="569" t="s">
        <v>87</v>
      </c>
      <c r="N18" s="551">
        <v>0</v>
      </c>
      <c r="O18" s="552">
        <v>1</v>
      </c>
      <c r="P18" s="553">
        <v>45887</v>
      </c>
      <c r="Q18" s="553"/>
      <c r="R18" s="554" t="s">
        <v>73</v>
      </c>
      <c r="S18" s="555">
        <f ca="1">IF(R18="Aprobado con comentarios / Emitir en Rev_0", NETWORKDAYS(Q18,TODAY(),Hoja1!$C$3:$C$25),0)</f>
        <v>0</v>
      </c>
      <c r="T18" s="555">
        <f ca="1">IF(R18="Revisión INN",NETWORKDAYS(P18,TODAY(),Hoja1!$C$3:$C$25),0)</f>
        <v>0</v>
      </c>
      <c r="U18" s="556">
        <f t="shared" si="1"/>
        <v>1</v>
      </c>
      <c r="V18" s="557">
        <v>0</v>
      </c>
      <c r="W18" s="558">
        <v>1</v>
      </c>
      <c r="X18" s="558"/>
      <c r="Y18" s="559">
        <v>45887</v>
      </c>
      <c r="Z18" s="560"/>
      <c r="AA18" s="561"/>
      <c r="AB18" s="562"/>
      <c r="AC18" s="561"/>
      <c r="AD18" s="563"/>
      <c r="AE18" s="564"/>
      <c r="AF18" s="564"/>
      <c r="AG18" s="565"/>
      <c r="AH18" s="560"/>
      <c r="AI18" s="561"/>
      <c r="AJ18" s="562"/>
      <c r="AK18" s="561"/>
      <c r="AL18" s="563"/>
      <c r="AM18" s="564"/>
      <c r="AN18" s="564"/>
      <c r="AO18" s="565"/>
      <c r="AP18" s="560"/>
      <c r="AQ18" s="561"/>
      <c r="AR18" s="562"/>
      <c r="AS18" s="561"/>
      <c r="AT18" s="563"/>
      <c r="AU18" s="564"/>
      <c r="AV18" s="564"/>
      <c r="AW18" s="565"/>
      <c r="AX18" s="560"/>
      <c r="AY18" s="561"/>
      <c r="AZ18" s="562"/>
      <c r="BA18" s="561"/>
      <c r="BB18" s="563"/>
      <c r="BC18" s="564"/>
      <c r="BD18" s="564"/>
      <c r="BE18" s="565"/>
      <c r="BF18" s="560"/>
      <c r="BG18" s="561"/>
      <c r="BH18" s="562"/>
      <c r="BI18" s="561"/>
      <c r="BJ18" s="563"/>
      <c r="BK18" s="564"/>
      <c r="BL18" s="564"/>
      <c r="BM18" s="565"/>
      <c r="BN18" s="560"/>
      <c r="BO18" s="561"/>
      <c r="BP18" s="562"/>
      <c r="BQ18" s="561"/>
      <c r="BR18" s="563"/>
      <c r="BS18" s="564"/>
      <c r="BT18" s="564"/>
      <c r="BU18" s="565"/>
      <c r="BV18" s="560"/>
      <c r="BW18" s="561"/>
      <c r="BX18" s="562"/>
      <c r="BY18" s="561"/>
      <c r="BZ18" s="563"/>
      <c r="CA18" s="564"/>
      <c r="CB18" s="564"/>
      <c r="CC18" s="565"/>
      <c r="CD18" s="560"/>
      <c r="CE18" s="561"/>
      <c r="CF18" s="562"/>
      <c r="CG18" s="561"/>
      <c r="CH18" s="563"/>
      <c r="CI18" s="564"/>
      <c r="CJ18" s="564"/>
      <c r="CK18" s="564"/>
      <c r="CL18" s="560"/>
      <c r="CM18" s="561"/>
      <c r="CN18" s="562"/>
      <c r="CO18" s="561"/>
      <c r="CP18" s="563"/>
      <c r="CQ18" s="564"/>
      <c r="CR18" s="564"/>
      <c r="CS18" s="564"/>
      <c r="CT18" s="560"/>
      <c r="CU18" s="561"/>
      <c r="CV18" s="562"/>
      <c r="CW18" s="561"/>
      <c r="CX18" s="563"/>
      <c r="CY18" s="564"/>
      <c r="CZ18" s="564"/>
      <c r="DA18" s="564"/>
      <c r="DB18" s="560"/>
      <c r="DC18" s="561"/>
      <c r="DD18" s="562"/>
      <c r="DE18" s="561"/>
      <c r="DF18" s="563"/>
      <c r="DG18" s="564"/>
      <c r="DH18" s="564"/>
      <c r="DI18" s="564"/>
      <c r="DJ18" s="560"/>
      <c r="DK18" s="561"/>
      <c r="DL18" s="562"/>
      <c r="DM18" s="561"/>
      <c r="DN18" s="563"/>
      <c r="DO18" s="564"/>
      <c r="DP18" s="564"/>
      <c r="DQ18" s="564"/>
      <c r="DR18" s="560"/>
      <c r="DS18" s="561"/>
      <c r="DT18" s="562"/>
      <c r="DU18" s="561"/>
      <c r="DV18" s="563"/>
      <c r="DW18" s="564"/>
      <c r="DX18" s="564"/>
      <c r="DY18" s="564"/>
      <c r="DZ18" s="560"/>
      <c r="EA18" s="561"/>
      <c r="EB18" s="562"/>
      <c r="EC18" s="561"/>
      <c r="ED18" s="563"/>
      <c r="EE18" s="564"/>
      <c r="EF18" s="564"/>
      <c r="EG18" s="564"/>
      <c r="EH18" s="560"/>
      <c r="EI18" s="561"/>
      <c r="EJ18" s="562"/>
      <c r="EK18" s="561"/>
      <c r="EL18" s="563"/>
      <c r="EM18" s="564"/>
      <c r="EN18" s="564"/>
      <c r="EO18" s="564"/>
      <c r="EP18" s="560"/>
      <c r="EQ18" s="561"/>
      <c r="ER18" s="562"/>
      <c r="ES18" s="561"/>
      <c r="ET18" s="563"/>
      <c r="EU18" s="564"/>
      <c r="EV18" s="564"/>
      <c r="EW18" s="564"/>
      <c r="EX18" s="560"/>
      <c r="EY18" s="561"/>
      <c r="EZ18" s="562"/>
      <c r="FA18" s="561"/>
      <c r="FB18" s="563"/>
      <c r="FC18" s="564"/>
      <c r="FD18" s="564"/>
      <c r="FE18" s="564"/>
      <c r="FF18" s="560"/>
      <c r="FG18" s="561"/>
      <c r="FH18" s="562"/>
      <c r="FI18" s="561"/>
      <c r="FJ18" s="563"/>
      <c r="FK18" s="564"/>
      <c r="FL18" s="564"/>
      <c r="FM18" s="564"/>
      <c r="FN18" s="560"/>
      <c r="FO18" s="561"/>
      <c r="FP18" s="562"/>
      <c r="FQ18" s="561"/>
      <c r="FR18" s="563"/>
      <c r="FS18" s="564"/>
      <c r="FT18" s="564"/>
      <c r="FU18" s="564"/>
      <c r="FV18" s="560"/>
      <c r="FW18" s="566"/>
      <c r="FX18" s="566"/>
      <c r="FY18" s="566"/>
      <c r="FZ18" s="563"/>
      <c r="GA18" s="564"/>
      <c r="GB18" s="564"/>
      <c r="GC18" s="564"/>
      <c r="GD18" s="560"/>
      <c r="GE18" s="566"/>
      <c r="GF18" s="566"/>
      <c r="GG18" s="566"/>
      <c r="GH18" s="563"/>
      <c r="GI18" s="564"/>
      <c r="GJ18" s="564"/>
      <c r="GK18" s="564"/>
      <c r="GL18" s="560"/>
      <c r="GM18" s="566"/>
      <c r="GN18" s="566"/>
      <c r="GO18" s="566"/>
      <c r="GP18" s="563"/>
      <c r="GQ18" s="564"/>
      <c r="GR18" s="564"/>
      <c r="GS18" s="564"/>
      <c r="GT18" s="560"/>
      <c r="GU18" s="566"/>
      <c r="GV18" s="566"/>
      <c r="GW18" s="566"/>
      <c r="GX18" s="541"/>
      <c r="GY18" s="535"/>
      <c r="GZ18" s="542"/>
      <c r="HA18" s="543"/>
      <c r="HB18" s="541"/>
      <c r="HC18" s="535"/>
      <c r="HD18" s="542"/>
      <c r="HE18" s="543"/>
      <c r="HF18" s="541"/>
      <c r="HG18" s="535"/>
      <c r="HH18" s="542"/>
      <c r="HI18" s="543"/>
      <c r="HJ18" s="541"/>
      <c r="HK18" s="535"/>
      <c r="HL18" s="542"/>
      <c r="HM18" s="543"/>
      <c r="HN18" s="541"/>
      <c r="HO18" s="535"/>
      <c r="HP18" s="542"/>
      <c r="HQ18" s="543"/>
      <c r="HR18" s="541"/>
      <c r="HS18" s="535"/>
      <c r="HT18" s="542"/>
      <c r="HU18" s="543"/>
    </row>
    <row r="19" spans="1:229" s="506" customFormat="1" ht="72.650000000000006" customHeight="1" x14ac:dyDescent="0.35">
      <c r="B19" s="544">
        <v>16</v>
      </c>
      <c r="C19" s="544" t="s">
        <v>46</v>
      </c>
      <c r="D19" s="545" t="s">
        <v>44</v>
      </c>
      <c r="E19" s="545" t="s">
        <v>92</v>
      </c>
      <c r="F19" s="546" t="s">
        <v>46</v>
      </c>
      <c r="G19" s="545" t="s">
        <v>46</v>
      </c>
      <c r="H19" s="547" t="s">
        <v>93</v>
      </c>
      <c r="I19" s="549"/>
      <c r="J19" s="549"/>
      <c r="K19" s="549"/>
      <c r="L19" s="706"/>
      <c r="M19" s="550" t="s">
        <v>48</v>
      </c>
      <c r="N19" s="551">
        <v>0</v>
      </c>
      <c r="O19" s="552">
        <v>44</v>
      </c>
      <c r="P19" s="553">
        <v>45944</v>
      </c>
      <c r="Q19" s="553" t="s">
        <v>62</v>
      </c>
      <c r="R19" s="554" t="s">
        <v>73</v>
      </c>
      <c r="S19" s="555">
        <f ca="1">IF(R19="Aprobado con comentarios / Emitir en Rev_0", NETWORKDAYS(Q19,TODAY(),Hoja1!$C$3:$C$25),0)</f>
        <v>0</v>
      </c>
      <c r="T19" s="555">
        <f ca="1">IF(R19="Revisión INN",NETWORKDAYS(P19,TODAY(),Hoja1!$C$3:$C$25),0)</f>
        <v>0</v>
      </c>
      <c r="U19" s="556">
        <f t="shared" si="1"/>
        <v>1</v>
      </c>
      <c r="V19" s="557">
        <v>0</v>
      </c>
      <c r="W19" s="558">
        <v>44</v>
      </c>
      <c r="X19" s="570"/>
      <c r="Y19" s="559">
        <v>45944</v>
      </c>
      <c r="Z19" s="560"/>
      <c r="AA19" s="561"/>
      <c r="AB19" s="562"/>
      <c r="AC19" s="561"/>
      <c r="AD19" s="563"/>
      <c r="AE19" s="567"/>
      <c r="AF19" s="564"/>
      <c r="AG19" s="565"/>
      <c r="AH19" s="560"/>
      <c r="AI19" s="561"/>
      <c r="AJ19" s="562"/>
      <c r="AK19" s="561"/>
      <c r="AL19" s="563"/>
      <c r="AM19" s="567"/>
      <c r="AN19" s="564"/>
      <c r="AO19" s="565"/>
      <c r="AP19" s="560"/>
      <c r="AQ19" s="561"/>
      <c r="AR19" s="562"/>
      <c r="AS19" s="561"/>
      <c r="AT19" s="563"/>
      <c r="AU19" s="567"/>
      <c r="AV19" s="564"/>
      <c r="AW19" s="565"/>
      <c r="AX19" s="560"/>
      <c r="AY19" s="561"/>
      <c r="AZ19" s="562"/>
      <c r="BA19" s="561"/>
      <c r="BB19" s="563"/>
      <c r="BC19" s="567"/>
      <c r="BD19" s="564"/>
      <c r="BE19" s="565"/>
      <c r="BF19" s="560"/>
      <c r="BG19" s="561"/>
      <c r="BH19" s="562"/>
      <c r="BI19" s="561"/>
      <c r="BJ19" s="563"/>
      <c r="BK19" s="567"/>
      <c r="BL19" s="564"/>
      <c r="BM19" s="565"/>
      <c r="BN19" s="560"/>
      <c r="BO19" s="561"/>
      <c r="BP19" s="562"/>
      <c r="BQ19" s="561"/>
      <c r="BR19" s="563"/>
      <c r="BS19" s="567"/>
      <c r="BT19" s="564"/>
      <c r="BU19" s="565"/>
      <c r="BV19" s="560"/>
      <c r="BW19" s="561"/>
      <c r="BX19" s="562"/>
      <c r="BY19" s="561"/>
      <c r="BZ19" s="563"/>
      <c r="CA19" s="567"/>
      <c r="CB19" s="564"/>
      <c r="CC19" s="565"/>
      <c r="CD19" s="560"/>
      <c r="CE19" s="561"/>
      <c r="CF19" s="562"/>
      <c r="CG19" s="561"/>
      <c r="CH19" s="563"/>
      <c r="CI19" s="564"/>
      <c r="CJ19" s="564"/>
      <c r="CK19" s="564"/>
      <c r="CL19" s="560"/>
      <c r="CM19" s="561"/>
      <c r="CN19" s="562"/>
      <c r="CO19" s="561"/>
      <c r="CP19" s="563"/>
      <c r="CQ19" s="564"/>
      <c r="CR19" s="564"/>
      <c r="CS19" s="564"/>
      <c r="CT19" s="560"/>
      <c r="CU19" s="561"/>
      <c r="CV19" s="562"/>
      <c r="CW19" s="561"/>
      <c r="CX19" s="563"/>
      <c r="CY19" s="564"/>
      <c r="CZ19" s="564"/>
      <c r="DA19" s="564"/>
      <c r="DB19" s="560"/>
      <c r="DC19" s="561"/>
      <c r="DD19" s="562"/>
      <c r="DE19" s="561"/>
      <c r="DF19" s="563"/>
      <c r="DG19" s="564"/>
      <c r="DH19" s="564"/>
      <c r="DI19" s="564"/>
      <c r="DJ19" s="560"/>
      <c r="DK19" s="561"/>
      <c r="DL19" s="562"/>
      <c r="DM19" s="561"/>
      <c r="DN19" s="563"/>
      <c r="DO19" s="564"/>
      <c r="DP19" s="564"/>
      <c r="DQ19" s="564"/>
      <c r="DR19" s="560"/>
      <c r="DS19" s="561"/>
      <c r="DT19" s="562"/>
      <c r="DU19" s="561"/>
      <c r="DV19" s="563"/>
      <c r="DW19" s="564"/>
      <c r="DX19" s="564"/>
      <c r="DY19" s="564"/>
      <c r="DZ19" s="560"/>
      <c r="EA19" s="561"/>
      <c r="EB19" s="562"/>
      <c r="EC19" s="561"/>
      <c r="ED19" s="563"/>
      <c r="EE19" s="564"/>
      <c r="EF19" s="564"/>
      <c r="EG19" s="564"/>
      <c r="EH19" s="560"/>
      <c r="EI19" s="561"/>
      <c r="EJ19" s="562"/>
      <c r="EK19" s="561"/>
      <c r="EL19" s="563"/>
      <c r="EM19" s="564"/>
      <c r="EN19" s="564"/>
      <c r="EO19" s="564"/>
      <c r="EP19" s="560"/>
      <c r="EQ19" s="561"/>
      <c r="ER19" s="562"/>
      <c r="ES19" s="561"/>
      <c r="ET19" s="563"/>
      <c r="EU19" s="564"/>
      <c r="EV19" s="564"/>
      <c r="EW19" s="564"/>
      <c r="EX19" s="560"/>
      <c r="EY19" s="561"/>
      <c r="EZ19" s="562"/>
      <c r="FA19" s="561"/>
      <c r="FB19" s="563"/>
      <c r="FC19" s="564"/>
      <c r="FD19" s="564"/>
      <c r="FE19" s="564"/>
      <c r="FF19" s="560"/>
      <c r="FG19" s="561"/>
      <c r="FH19" s="562"/>
      <c r="FI19" s="561"/>
      <c r="FJ19" s="563"/>
      <c r="FK19" s="564"/>
      <c r="FL19" s="564"/>
      <c r="FM19" s="564"/>
      <c r="FN19" s="560"/>
      <c r="FO19" s="561"/>
      <c r="FP19" s="562"/>
      <c r="FQ19" s="561"/>
      <c r="FR19" s="563"/>
      <c r="FS19" s="564"/>
      <c r="FT19" s="564"/>
      <c r="FU19" s="564"/>
      <c r="FV19" s="560"/>
      <c r="FW19" s="566"/>
      <c r="FX19" s="566"/>
      <c r="FY19" s="566"/>
      <c r="FZ19" s="563"/>
      <c r="GA19" s="564"/>
      <c r="GB19" s="564"/>
      <c r="GC19" s="564"/>
      <c r="GD19" s="560"/>
      <c r="GE19" s="566"/>
      <c r="GF19" s="566"/>
      <c r="GG19" s="566"/>
      <c r="GH19" s="563"/>
      <c r="GI19" s="564"/>
      <c r="GJ19" s="564"/>
      <c r="GK19" s="564"/>
      <c r="GL19" s="560"/>
      <c r="GM19" s="566"/>
      <c r="GN19" s="566"/>
      <c r="GO19" s="566"/>
      <c r="GP19" s="563"/>
      <c r="GQ19" s="564"/>
      <c r="GR19" s="564"/>
      <c r="GS19" s="564"/>
      <c r="GT19" s="560"/>
      <c r="GU19" s="566"/>
      <c r="GV19" s="566"/>
      <c r="GW19" s="566"/>
      <c r="GX19" s="563"/>
      <c r="GY19" s="564"/>
      <c r="GZ19" s="564"/>
      <c r="HA19" s="590"/>
      <c r="HB19" s="560"/>
      <c r="HC19" s="566"/>
      <c r="HD19" s="566"/>
      <c r="HE19" s="566"/>
      <c r="HF19" s="563"/>
      <c r="HG19" s="564"/>
      <c r="HH19" s="564"/>
      <c r="HI19" s="590"/>
      <c r="HJ19" s="560"/>
      <c r="HK19" s="566"/>
      <c r="HL19" s="566"/>
      <c r="HM19" s="566"/>
      <c r="HN19" s="563"/>
      <c r="HO19" s="564"/>
      <c r="HP19" s="564"/>
      <c r="HQ19" s="590"/>
      <c r="HR19" s="560"/>
      <c r="HS19" s="566"/>
      <c r="HT19" s="566"/>
      <c r="HU19" s="566"/>
    </row>
    <row r="20" spans="1:229" s="506" customFormat="1" ht="72.650000000000006" customHeight="1" x14ac:dyDescent="0.35">
      <c r="B20" s="544">
        <v>17</v>
      </c>
      <c r="C20" s="544" t="s">
        <v>46</v>
      </c>
      <c r="D20" s="545" t="s">
        <v>44</v>
      </c>
      <c r="E20" s="545" t="s">
        <v>94</v>
      </c>
      <c r="F20" s="546" t="s">
        <v>46</v>
      </c>
      <c r="G20" s="545" t="s">
        <v>46</v>
      </c>
      <c r="H20" s="547" t="s">
        <v>95</v>
      </c>
      <c r="I20" s="549"/>
      <c r="J20" s="549"/>
      <c r="K20" s="549"/>
      <c r="L20" s="706"/>
      <c r="M20" s="550" t="s">
        <v>48</v>
      </c>
      <c r="N20" s="551">
        <v>0</v>
      </c>
      <c r="O20" s="552">
        <v>50</v>
      </c>
      <c r="P20" s="553">
        <v>45951</v>
      </c>
      <c r="Q20" s="553"/>
      <c r="R20" s="554" t="s">
        <v>73</v>
      </c>
      <c r="S20" s="555">
        <f ca="1">IF(R20="Aprobado con comentarios / Emitir en Rev_0", NETWORKDAYS(Q20,TODAY(),Hoja1!$C$3:$C$25),0)</f>
        <v>0</v>
      </c>
      <c r="T20" s="555">
        <f ca="1">IF(R20="Revisión INN",NETWORKDAYS(P20,TODAY(),Hoja1!$C$3:$C$25),0)</f>
        <v>0</v>
      </c>
      <c r="U20" s="556">
        <f t="shared" si="1"/>
        <v>1</v>
      </c>
      <c r="V20" s="557">
        <v>0</v>
      </c>
      <c r="W20" s="558">
        <v>50</v>
      </c>
      <c r="X20" s="558"/>
      <c r="Y20" s="559">
        <v>45951</v>
      </c>
      <c r="Z20" s="560"/>
      <c r="AA20" s="561"/>
      <c r="AB20" s="562"/>
      <c r="AC20" s="561"/>
      <c r="AD20" s="563"/>
      <c r="AE20" s="567"/>
      <c r="AF20" s="564"/>
      <c r="AG20" s="565"/>
      <c r="AH20" s="560"/>
      <c r="AI20" s="561"/>
      <c r="AJ20" s="562"/>
      <c r="AK20" s="561"/>
      <c r="AL20" s="563"/>
      <c r="AM20" s="567"/>
      <c r="AN20" s="564"/>
      <c r="AO20" s="565"/>
      <c r="AP20" s="560"/>
      <c r="AQ20" s="561"/>
      <c r="AR20" s="562"/>
      <c r="AS20" s="561"/>
      <c r="AT20" s="563"/>
      <c r="AU20" s="567"/>
      <c r="AV20" s="564"/>
      <c r="AW20" s="565"/>
      <c r="AX20" s="560"/>
      <c r="AY20" s="561"/>
      <c r="AZ20" s="562"/>
      <c r="BA20" s="561"/>
      <c r="BB20" s="563"/>
      <c r="BC20" s="567"/>
      <c r="BD20" s="564"/>
      <c r="BE20" s="565"/>
      <c r="BF20" s="560"/>
      <c r="BG20" s="561"/>
      <c r="BH20" s="562"/>
      <c r="BI20" s="561"/>
      <c r="BJ20" s="563"/>
      <c r="BK20" s="567"/>
      <c r="BL20" s="564"/>
      <c r="BM20" s="565"/>
      <c r="BN20" s="560"/>
      <c r="BO20" s="561"/>
      <c r="BP20" s="562"/>
      <c r="BQ20" s="561"/>
      <c r="BR20" s="563"/>
      <c r="BS20" s="567"/>
      <c r="BT20" s="564"/>
      <c r="BU20" s="565"/>
      <c r="BV20" s="560"/>
      <c r="BW20" s="561"/>
      <c r="BX20" s="562"/>
      <c r="BY20" s="561"/>
      <c r="BZ20" s="563"/>
      <c r="CA20" s="567"/>
      <c r="CB20" s="564"/>
      <c r="CC20" s="565"/>
      <c r="CD20" s="560"/>
      <c r="CE20" s="561"/>
      <c r="CF20" s="562"/>
      <c r="CG20" s="561"/>
      <c r="CH20" s="563"/>
      <c r="CI20" s="564"/>
      <c r="CJ20" s="564"/>
      <c r="CK20" s="564"/>
      <c r="CL20" s="560"/>
      <c r="CM20" s="561"/>
      <c r="CN20" s="562"/>
      <c r="CO20" s="561"/>
      <c r="CP20" s="563"/>
      <c r="CQ20" s="564"/>
      <c r="CR20" s="564"/>
      <c r="CS20" s="564"/>
      <c r="CT20" s="560"/>
      <c r="CU20" s="561"/>
      <c r="CV20" s="562"/>
      <c r="CW20" s="561"/>
      <c r="CX20" s="563"/>
      <c r="CY20" s="564"/>
      <c r="CZ20" s="564"/>
      <c r="DA20" s="564"/>
      <c r="DB20" s="560"/>
      <c r="DC20" s="561"/>
      <c r="DD20" s="562"/>
      <c r="DE20" s="561"/>
      <c r="DF20" s="563"/>
      <c r="DG20" s="564"/>
      <c r="DH20" s="564"/>
      <c r="DI20" s="564"/>
      <c r="DJ20" s="560"/>
      <c r="DK20" s="561"/>
      <c r="DL20" s="562"/>
      <c r="DM20" s="561"/>
      <c r="DN20" s="563"/>
      <c r="DO20" s="564"/>
      <c r="DP20" s="564"/>
      <c r="DQ20" s="564"/>
      <c r="DR20" s="560"/>
      <c r="DS20" s="561"/>
      <c r="DT20" s="562"/>
      <c r="DU20" s="561"/>
      <c r="DV20" s="563"/>
      <c r="DW20" s="564"/>
      <c r="DX20" s="564"/>
      <c r="DY20" s="564"/>
      <c r="DZ20" s="560"/>
      <c r="EA20" s="561"/>
      <c r="EB20" s="562"/>
      <c r="EC20" s="561"/>
      <c r="ED20" s="563"/>
      <c r="EE20" s="564"/>
      <c r="EF20" s="564"/>
      <c r="EG20" s="564"/>
      <c r="EH20" s="560"/>
      <c r="EI20" s="561"/>
      <c r="EJ20" s="562"/>
      <c r="EK20" s="561"/>
      <c r="EL20" s="563"/>
      <c r="EM20" s="564"/>
      <c r="EN20" s="564"/>
      <c r="EO20" s="564"/>
      <c r="EP20" s="560"/>
      <c r="EQ20" s="561"/>
      <c r="ER20" s="562"/>
      <c r="ES20" s="561"/>
      <c r="ET20" s="563"/>
      <c r="EU20" s="564"/>
      <c r="EV20" s="564"/>
      <c r="EW20" s="564"/>
      <c r="EX20" s="560"/>
      <c r="EY20" s="561"/>
      <c r="EZ20" s="562"/>
      <c r="FA20" s="561"/>
      <c r="FB20" s="563"/>
      <c r="FC20" s="564"/>
      <c r="FD20" s="564"/>
      <c r="FE20" s="564"/>
      <c r="FF20" s="560"/>
      <c r="FG20" s="561"/>
      <c r="FH20" s="562"/>
      <c r="FI20" s="561"/>
      <c r="FJ20" s="563"/>
      <c r="FK20" s="564"/>
      <c r="FL20" s="564"/>
      <c r="FM20" s="564"/>
      <c r="FN20" s="560"/>
      <c r="FO20" s="561"/>
      <c r="FP20" s="562"/>
      <c r="FQ20" s="561"/>
      <c r="FR20" s="563"/>
      <c r="FS20" s="564"/>
      <c r="FT20" s="564"/>
      <c r="FU20" s="564"/>
      <c r="FV20" s="560"/>
      <c r="FW20" s="566"/>
      <c r="FX20" s="566"/>
      <c r="FY20" s="566"/>
      <c r="FZ20" s="563"/>
      <c r="GA20" s="564"/>
      <c r="GB20" s="564"/>
      <c r="GC20" s="564"/>
      <c r="GD20" s="560"/>
      <c r="GE20" s="566"/>
      <c r="GF20" s="566"/>
      <c r="GG20" s="566"/>
      <c r="GH20" s="563"/>
      <c r="GI20" s="564"/>
      <c r="GJ20" s="564"/>
      <c r="GK20" s="564"/>
      <c r="GL20" s="560"/>
      <c r="GM20" s="566"/>
      <c r="GN20" s="566"/>
      <c r="GO20" s="566"/>
      <c r="GP20" s="563"/>
      <c r="GQ20" s="564"/>
      <c r="GR20" s="564"/>
      <c r="GS20" s="564"/>
      <c r="GT20" s="560"/>
      <c r="GU20" s="566"/>
      <c r="GV20" s="566"/>
      <c r="GW20" s="566"/>
      <c r="GX20" s="563"/>
      <c r="GY20" s="564"/>
      <c r="GZ20" s="564"/>
      <c r="HA20" s="590"/>
      <c r="HB20" s="560"/>
      <c r="HC20" s="566"/>
      <c r="HD20" s="566"/>
      <c r="HE20" s="566"/>
      <c r="HF20" s="563"/>
      <c r="HG20" s="564"/>
      <c r="HH20" s="564"/>
      <c r="HI20" s="590"/>
      <c r="HJ20" s="560"/>
      <c r="HK20" s="566"/>
      <c r="HL20" s="566"/>
      <c r="HM20" s="566"/>
      <c r="HN20" s="563"/>
      <c r="HO20" s="564"/>
      <c r="HP20" s="564"/>
      <c r="HQ20" s="590"/>
      <c r="HR20" s="560"/>
      <c r="HS20" s="566"/>
      <c r="HT20" s="566"/>
      <c r="HU20" s="566"/>
    </row>
    <row r="21" spans="1:229" s="506" customFormat="1" ht="72.650000000000006" customHeight="1" thickBot="1" x14ac:dyDescent="0.4">
      <c r="B21" s="544">
        <v>18</v>
      </c>
      <c r="C21" s="544"/>
      <c r="D21" s="545" t="s">
        <v>44</v>
      </c>
      <c r="E21" s="545" t="s">
        <v>96</v>
      </c>
      <c r="F21" s="546" t="s">
        <v>46</v>
      </c>
      <c r="G21" s="546" t="s">
        <v>46</v>
      </c>
      <c r="H21" s="547" t="s">
        <v>97</v>
      </c>
      <c r="I21" s="548"/>
      <c r="J21" s="548"/>
      <c r="K21" s="568"/>
      <c r="L21" s="572"/>
      <c r="M21" s="569" t="s">
        <v>48</v>
      </c>
      <c r="N21" s="551">
        <v>0</v>
      </c>
      <c r="O21" s="552">
        <v>80</v>
      </c>
      <c r="P21" s="553">
        <v>45981</v>
      </c>
      <c r="Q21" s="554"/>
      <c r="R21" s="554" t="s">
        <v>49</v>
      </c>
      <c r="S21" s="555">
        <f ca="1">IF(R21="Aprobado con comentarios / Emitir en Rev_0", NETWORKDAYS(Q21,TODAY(),Hoja1!$C$3:$C$25),0)</f>
        <v>0</v>
      </c>
      <c r="T21" s="555">
        <f ca="1">IF(R21="Revisión INN",NETWORKDAYS(P21,TODAY(),Hoja1!$C$3:$C$25),0)</f>
        <v>0</v>
      </c>
      <c r="U21" s="556">
        <f t="shared" si="1"/>
        <v>1</v>
      </c>
      <c r="V21" s="557">
        <v>0</v>
      </c>
      <c r="W21" s="558">
        <v>80</v>
      </c>
      <c r="X21" s="558"/>
      <c r="Y21" s="559">
        <v>45981</v>
      </c>
      <c r="Z21" s="560"/>
      <c r="AA21" s="561"/>
      <c r="AB21" s="562"/>
      <c r="AC21" s="561"/>
      <c r="AD21" s="563"/>
      <c r="AE21" s="567"/>
      <c r="AF21" s="564"/>
      <c r="AG21" s="565"/>
      <c r="AH21" s="560"/>
      <c r="AI21" s="561"/>
      <c r="AJ21" s="562"/>
      <c r="AK21" s="561"/>
      <c r="AL21" s="563"/>
      <c r="AM21" s="567"/>
      <c r="AN21" s="564"/>
      <c r="AO21" s="565"/>
      <c r="AP21" s="560"/>
      <c r="AQ21" s="561"/>
      <c r="AR21" s="562"/>
      <c r="AS21" s="561"/>
      <c r="AT21" s="563"/>
      <c r="AU21" s="567"/>
      <c r="AV21" s="564"/>
      <c r="AW21" s="565"/>
      <c r="AX21" s="560"/>
      <c r="AY21" s="561"/>
      <c r="AZ21" s="562"/>
      <c r="BA21" s="561"/>
      <c r="BB21" s="563"/>
      <c r="BC21" s="567"/>
      <c r="BD21" s="564"/>
      <c r="BE21" s="565"/>
      <c r="BF21" s="560"/>
      <c r="BG21" s="561"/>
      <c r="BH21" s="562"/>
      <c r="BI21" s="561"/>
      <c r="BJ21" s="563"/>
      <c r="BK21" s="567"/>
      <c r="BL21" s="564"/>
      <c r="BM21" s="565"/>
      <c r="BN21" s="560"/>
      <c r="BO21" s="561"/>
      <c r="BP21" s="562"/>
      <c r="BQ21" s="561"/>
      <c r="BR21" s="563"/>
      <c r="BS21" s="567"/>
      <c r="BT21" s="564"/>
      <c r="BU21" s="565"/>
      <c r="BV21" s="560"/>
      <c r="BW21" s="561"/>
      <c r="BX21" s="562"/>
      <c r="BY21" s="561"/>
      <c r="BZ21" s="563"/>
      <c r="CA21" s="567"/>
      <c r="CB21" s="564"/>
      <c r="CC21" s="565"/>
      <c r="CD21" s="560"/>
      <c r="CE21" s="561"/>
      <c r="CF21" s="562"/>
      <c r="CG21" s="561"/>
      <c r="CH21" s="563"/>
      <c r="CI21" s="567"/>
      <c r="CJ21" s="564"/>
      <c r="CK21" s="565"/>
      <c r="CL21" s="560"/>
      <c r="CM21" s="561"/>
      <c r="CN21" s="562"/>
      <c r="CO21" s="561"/>
      <c r="CP21" s="563"/>
      <c r="CQ21" s="567"/>
      <c r="CR21" s="564"/>
      <c r="CS21" s="565"/>
      <c r="CT21" s="560"/>
      <c r="CU21" s="561"/>
      <c r="CV21" s="562"/>
      <c r="CW21" s="561"/>
      <c r="CX21" s="563"/>
      <c r="CY21" s="567"/>
      <c r="CZ21" s="564"/>
      <c r="DA21" s="565"/>
      <c r="DB21" s="560"/>
      <c r="DC21" s="561"/>
      <c r="DD21" s="562"/>
      <c r="DE21" s="561"/>
      <c r="DF21" s="563"/>
      <c r="DG21" s="567"/>
      <c r="DH21" s="564"/>
      <c r="DI21" s="565"/>
      <c r="DJ21" s="560"/>
      <c r="DK21" s="561"/>
      <c r="DL21" s="562"/>
      <c r="DM21" s="561"/>
      <c r="DN21" s="563"/>
      <c r="DO21" s="564"/>
      <c r="DP21" s="564"/>
      <c r="DQ21" s="564"/>
      <c r="DR21" s="560"/>
      <c r="DS21" s="561"/>
      <c r="DT21" s="562"/>
      <c r="DU21" s="561"/>
      <c r="DV21" s="563"/>
      <c r="DW21" s="564"/>
      <c r="DX21" s="564"/>
      <c r="DY21" s="564"/>
      <c r="DZ21" s="560"/>
      <c r="EA21" s="561"/>
      <c r="EB21" s="562"/>
      <c r="EC21" s="561"/>
      <c r="ED21" s="563"/>
      <c r="EE21" s="564"/>
      <c r="EF21" s="564"/>
      <c r="EG21" s="564"/>
      <c r="EH21" s="560"/>
      <c r="EI21" s="561"/>
      <c r="EJ21" s="562"/>
      <c r="EK21" s="561"/>
      <c r="EL21" s="563"/>
      <c r="EM21" s="564"/>
      <c r="EN21" s="564"/>
      <c r="EO21" s="564"/>
      <c r="EP21" s="560"/>
      <c r="EQ21" s="561"/>
      <c r="ER21" s="562"/>
      <c r="ES21" s="561"/>
      <c r="ET21" s="563"/>
      <c r="EU21" s="564"/>
      <c r="EV21" s="564"/>
      <c r="EW21" s="564"/>
      <c r="EX21" s="560"/>
      <c r="EY21" s="561"/>
      <c r="EZ21" s="562"/>
      <c r="FA21" s="561"/>
      <c r="FB21" s="563"/>
      <c r="FC21" s="564"/>
      <c r="FD21" s="564"/>
      <c r="FE21" s="564"/>
      <c r="FF21" s="560"/>
      <c r="FG21" s="561"/>
      <c r="FH21" s="562"/>
      <c r="FI21" s="561"/>
      <c r="FJ21" s="563"/>
      <c r="FK21" s="564"/>
      <c r="FL21" s="564"/>
      <c r="FM21" s="564"/>
      <c r="FN21" s="560"/>
      <c r="FO21" s="561"/>
      <c r="FP21" s="562"/>
      <c r="FQ21" s="561"/>
      <c r="FR21" s="563"/>
      <c r="FS21" s="564"/>
      <c r="FT21" s="564"/>
      <c r="FU21" s="564"/>
      <c r="FV21" s="560"/>
      <c r="FW21" s="566"/>
      <c r="FX21" s="566"/>
      <c r="FY21" s="566"/>
      <c r="FZ21" s="563"/>
      <c r="GA21" s="564"/>
      <c r="GB21" s="564"/>
      <c r="GC21" s="564"/>
      <c r="GD21" s="560"/>
      <c r="GE21" s="566"/>
      <c r="GF21" s="566"/>
      <c r="GG21" s="566"/>
      <c r="GH21" s="563"/>
      <c r="GI21" s="564"/>
      <c r="GJ21" s="564"/>
      <c r="GK21" s="564"/>
      <c r="GL21" s="560"/>
      <c r="GM21" s="566"/>
      <c r="GN21" s="566"/>
      <c r="GO21" s="566"/>
      <c r="GP21" s="563"/>
      <c r="GQ21" s="564"/>
      <c r="GR21" s="564"/>
      <c r="GS21" s="564"/>
      <c r="GT21" s="560"/>
      <c r="GU21" s="566"/>
      <c r="GV21" s="566"/>
      <c r="GW21" s="566"/>
      <c r="GX21" s="563"/>
      <c r="GY21" s="564"/>
      <c r="GZ21" s="564"/>
      <c r="HA21" s="590"/>
      <c r="HB21" s="560"/>
      <c r="HC21" s="566"/>
      <c r="HD21" s="566"/>
      <c r="HE21" s="566"/>
      <c r="HF21" s="563"/>
      <c r="HG21" s="564"/>
      <c r="HH21" s="564"/>
      <c r="HI21" s="590"/>
      <c r="HJ21" s="560"/>
      <c r="HK21" s="566"/>
      <c r="HL21" s="566"/>
      <c r="HM21" s="566"/>
      <c r="HN21" s="563"/>
      <c r="HO21" s="564"/>
      <c r="HP21" s="564"/>
      <c r="HQ21" s="590"/>
      <c r="HR21" s="560"/>
      <c r="HS21" s="566"/>
      <c r="HT21" s="566"/>
      <c r="HU21" s="566"/>
    </row>
    <row r="22" spans="1:229" s="506" customFormat="1" ht="72.650000000000006" customHeight="1" x14ac:dyDescent="0.35">
      <c r="B22" s="544">
        <v>19</v>
      </c>
      <c r="C22" s="544" t="s">
        <v>46</v>
      </c>
      <c r="D22" s="545" t="s">
        <v>44</v>
      </c>
      <c r="E22" s="545" t="s">
        <v>98</v>
      </c>
      <c r="F22" s="546" t="s">
        <v>46</v>
      </c>
      <c r="G22" s="545" t="s">
        <v>46</v>
      </c>
      <c r="H22" s="547" t="s">
        <v>99</v>
      </c>
      <c r="I22" s="549" t="s">
        <v>46</v>
      </c>
      <c r="J22" s="548"/>
      <c r="K22" s="549"/>
      <c r="L22" s="549"/>
      <c r="M22" s="550" t="s">
        <v>48</v>
      </c>
      <c r="N22" s="551">
        <v>0</v>
      </c>
      <c r="O22" s="552">
        <v>57</v>
      </c>
      <c r="P22" s="553">
        <v>45958</v>
      </c>
      <c r="Q22" s="553" t="s">
        <v>62</v>
      </c>
      <c r="R22" s="554" t="s">
        <v>73</v>
      </c>
      <c r="S22" s="555">
        <f ca="1">IF(R22="Aprobado con comentarios / Emitir en Rev_0", NETWORKDAYS(Q22,TODAY(),Hoja1!$C$3:$C$25),0)</f>
        <v>0</v>
      </c>
      <c r="T22" s="555">
        <f ca="1">IF(R22="Revisión INN",NETWORKDAYS(P22,TODAY(),Hoja1!$C$3:$C$25),0)</f>
        <v>0</v>
      </c>
      <c r="U22" s="556">
        <f t="shared" si="1"/>
        <v>1</v>
      </c>
      <c r="V22" s="557">
        <v>0</v>
      </c>
      <c r="W22" s="558">
        <v>57</v>
      </c>
      <c r="X22" s="558"/>
      <c r="Y22" s="559">
        <v>45958</v>
      </c>
      <c r="Z22" s="560"/>
      <c r="AA22" s="561"/>
      <c r="AB22" s="562"/>
      <c r="AC22" s="561"/>
      <c r="AD22" s="563"/>
      <c r="AE22" s="567"/>
      <c r="AF22" s="564"/>
      <c r="AG22" s="565"/>
      <c r="AH22" s="560"/>
      <c r="AI22" s="561"/>
      <c r="AJ22" s="562"/>
      <c r="AK22" s="561"/>
      <c r="AL22" s="563"/>
      <c r="AM22" s="567"/>
      <c r="AN22" s="564"/>
      <c r="AO22" s="565"/>
      <c r="AP22" s="560"/>
      <c r="AQ22" s="561"/>
      <c r="AR22" s="562"/>
      <c r="AS22" s="561"/>
      <c r="AT22" s="563"/>
      <c r="AU22" s="567"/>
      <c r="AV22" s="564"/>
      <c r="AW22" s="565"/>
      <c r="AX22" s="560"/>
      <c r="AY22" s="561"/>
      <c r="AZ22" s="562"/>
      <c r="BA22" s="561"/>
      <c r="BB22" s="563"/>
      <c r="BC22" s="567"/>
      <c r="BD22" s="564"/>
      <c r="BE22" s="565"/>
      <c r="BF22" s="560"/>
      <c r="BG22" s="561"/>
      <c r="BH22" s="562"/>
      <c r="BI22" s="561"/>
      <c r="BJ22" s="563"/>
      <c r="BK22" s="567"/>
      <c r="BL22" s="564"/>
      <c r="BM22" s="565"/>
      <c r="BN22" s="560"/>
      <c r="BO22" s="561"/>
      <c r="BP22" s="562"/>
      <c r="BQ22" s="561"/>
      <c r="BR22" s="563"/>
      <c r="BS22" s="567"/>
      <c r="BT22" s="564"/>
      <c r="BU22" s="565"/>
      <c r="BV22" s="560"/>
      <c r="BW22" s="561"/>
      <c r="BX22" s="562"/>
      <c r="BY22" s="561"/>
      <c r="BZ22" s="563"/>
      <c r="CA22" s="567"/>
      <c r="CB22" s="564"/>
      <c r="CC22" s="565"/>
      <c r="CD22" s="560"/>
      <c r="CE22" s="561"/>
      <c r="CF22" s="562"/>
      <c r="CG22" s="561"/>
      <c r="CH22" s="563"/>
      <c r="CI22" s="564"/>
      <c r="CJ22" s="564"/>
      <c r="CK22" s="564"/>
      <c r="CL22" s="560"/>
      <c r="CM22" s="561"/>
      <c r="CN22" s="562"/>
      <c r="CO22" s="561"/>
      <c r="CP22" s="563"/>
      <c r="CQ22" s="564"/>
      <c r="CR22" s="564"/>
      <c r="CS22" s="564"/>
      <c r="CT22" s="560"/>
      <c r="CU22" s="561"/>
      <c r="CV22" s="562"/>
      <c r="CW22" s="561"/>
      <c r="CX22" s="563"/>
      <c r="CY22" s="564"/>
      <c r="CZ22" s="564"/>
      <c r="DA22" s="564"/>
      <c r="DB22" s="560"/>
      <c r="DC22" s="561"/>
      <c r="DD22" s="562"/>
      <c r="DE22" s="561"/>
      <c r="DF22" s="563"/>
      <c r="DG22" s="564"/>
      <c r="DH22" s="564"/>
      <c r="DI22" s="564"/>
      <c r="DJ22" s="560"/>
      <c r="DK22" s="561"/>
      <c r="DL22" s="562"/>
      <c r="DM22" s="561"/>
      <c r="DN22" s="563"/>
      <c r="DO22" s="564"/>
      <c r="DP22" s="564"/>
      <c r="DQ22" s="564"/>
      <c r="DR22" s="560"/>
      <c r="DS22" s="561"/>
      <c r="DT22" s="562"/>
      <c r="DU22" s="561"/>
      <c r="DV22" s="563"/>
      <c r="DW22" s="564"/>
      <c r="DX22" s="564"/>
      <c r="DY22" s="564"/>
      <c r="DZ22" s="560"/>
      <c r="EA22" s="561"/>
      <c r="EB22" s="562"/>
      <c r="EC22" s="561"/>
      <c r="ED22" s="563"/>
      <c r="EE22" s="564"/>
      <c r="EF22" s="564"/>
      <c r="EG22" s="564"/>
      <c r="EH22" s="560"/>
      <c r="EI22" s="561"/>
      <c r="EJ22" s="562"/>
      <c r="EK22" s="561"/>
      <c r="EL22" s="563"/>
      <c r="EM22" s="564"/>
      <c r="EN22" s="564"/>
      <c r="EO22" s="564"/>
      <c r="EP22" s="560"/>
      <c r="EQ22" s="561"/>
      <c r="ER22" s="562"/>
      <c r="ES22" s="561"/>
      <c r="ET22" s="563"/>
      <c r="EU22" s="564"/>
      <c r="EV22" s="564"/>
      <c r="EW22" s="564"/>
      <c r="EX22" s="560"/>
      <c r="EY22" s="561"/>
      <c r="EZ22" s="562"/>
      <c r="FA22" s="561"/>
      <c r="FB22" s="563"/>
      <c r="FC22" s="564"/>
      <c r="FD22" s="564"/>
      <c r="FE22" s="564"/>
      <c r="FF22" s="560"/>
      <c r="FG22" s="561"/>
      <c r="FH22" s="562"/>
      <c r="FI22" s="561"/>
      <c r="FJ22" s="563"/>
      <c r="FK22" s="564"/>
      <c r="FL22" s="564"/>
      <c r="FM22" s="564"/>
      <c r="FN22" s="560"/>
      <c r="FO22" s="561"/>
      <c r="FP22" s="562"/>
      <c r="FQ22" s="561"/>
      <c r="FR22" s="563"/>
      <c r="FS22" s="564"/>
      <c r="FT22" s="564"/>
      <c r="FU22" s="564"/>
      <c r="FV22" s="560"/>
      <c r="FW22" s="566"/>
      <c r="FX22" s="566"/>
      <c r="FY22" s="566"/>
      <c r="FZ22" s="563"/>
      <c r="GA22" s="564"/>
      <c r="GB22" s="564"/>
      <c r="GC22" s="564"/>
      <c r="GD22" s="560"/>
      <c r="GE22" s="566"/>
      <c r="GF22" s="566"/>
      <c r="GG22" s="566"/>
      <c r="GH22" s="563"/>
      <c r="GI22" s="564"/>
      <c r="GJ22" s="564"/>
      <c r="GK22" s="564"/>
      <c r="GL22" s="560"/>
      <c r="GM22" s="566"/>
      <c r="GN22" s="566"/>
      <c r="GO22" s="566"/>
      <c r="GP22" s="563"/>
      <c r="GQ22" s="564"/>
      <c r="GR22" s="564"/>
      <c r="GS22" s="564"/>
      <c r="GT22" s="560"/>
      <c r="GU22" s="566"/>
      <c r="GV22" s="566"/>
      <c r="GW22" s="566"/>
      <c r="GX22" s="541"/>
      <c r="GY22" s="535"/>
      <c r="GZ22" s="542"/>
      <c r="HA22" s="543"/>
      <c r="HB22" s="541"/>
      <c r="HC22" s="535"/>
      <c r="HD22" s="542"/>
      <c r="HE22" s="543"/>
      <c r="HF22" s="541"/>
      <c r="HG22" s="535"/>
      <c r="HH22" s="542"/>
      <c r="HI22" s="543"/>
      <c r="HJ22" s="541"/>
      <c r="HK22" s="535"/>
      <c r="HL22" s="542"/>
      <c r="HM22" s="543"/>
      <c r="HN22" s="541"/>
      <c r="HO22" s="535"/>
      <c r="HP22" s="542"/>
      <c r="HQ22" s="543"/>
      <c r="HR22" s="541"/>
      <c r="HS22" s="535"/>
      <c r="HT22" s="542"/>
      <c r="HU22" s="543"/>
    </row>
    <row r="23" spans="1:229" s="506" customFormat="1" ht="72.650000000000006" customHeight="1" x14ac:dyDescent="0.35">
      <c r="A23" s="571"/>
      <c r="B23" s="544">
        <v>20</v>
      </c>
      <c r="C23" s="544" t="s">
        <v>46</v>
      </c>
      <c r="D23" s="545" t="s">
        <v>44</v>
      </c>
      <c r="E23" s="546" t="s">
        <v>100</v>
      </c>
      <c r="F23" s="546" t="s">
        <v>46</v>
      </c>
      <c r="G23" s="545" t="s">
        <v>46</v>
      </c>
      <c r="H23" s="547" t="s">
        <v>101</v>
      </c>
      <c r="I23" s="548"/>
      <c r="J23" s="548"/>
      <c r="K23" s="549"/>
      <c r="L23" s="549"/>
      <c r="M23" s="569" t="s">
        <v>102</v>
      </c>
      <c r="N23" s="551">
        <v>0</v>
      </c>
      <c r="O23" s="552">
        <v>6</v>
      </c>
      <c r="P23" s="553">
        <v>45895</v>
      </c>
      <c r="Q23" s="553"/>
      <c r="R23" s="554" t="s">
        <v>73</v>
      </c>
      <c r="S23" s="555">
        <f ca="1">IF(R23="Aprobado con comentarios / Emitir en Rev_0", NETWORKDAYS(Q23,TODAY(),Hoja1!$C$3:$C$25),0)</f>
        <v>0</v>
      </c>
      <c r="T23" s="555">
        <f ca="1">IF(R23="Revisión INN",NETWORKDAYS(P23,TODAY(),Hoja1!$C$3:$C$25),0)</f>
        <v>0</v>
      </c>
      <c r="U23" s="556">
        <f t="shared" si="1"/>
        <v>1</v>
      </c>
      <c r="V23" s="557">
        <v>0</v>
      </c>
      <c r="W23" s="558">
        <v>6</v>
      </c>
      <c r="X23" s="558"/>
      <c r="Y23" s="559">
        <v>45895</v>
      </c>
      <c r="Z23" s="560"/>
      <c r="AA23" s="561"/>
      <c r="AB23" s="562"/>
      <c r="AC23" s="561"/>
      <c r="AD23" s="563"/>
      <c r="AE23" s="567"/>
      <c r="AF23" s="564"/>
      <c r="AG23" s="565"/>
      <c r="AH23" s="560"/>
      <c r="AI23" s="561"/>
      <c r="AJ23" s="562"/>
      <c r="AK23" s="561" t="s">
        <v>66</v>
      </c>
      <c r="AL23" s="563"/>
      <c r="AM23" s="567"/>
      <c r="AN23" s="564"/>
      <c r="AO23" s="565"/>
      <c r="AP23" s="560"/>
      <c r="AQ23" s="561"/>
      <c r="AR23" s="562"/>
      <c r="AS23" s="561"/>
      <c r="AT23" s="563"/>
      <c r="AU23" s="567"/>
      <c r="AV23" s="564"/>
      <c r="AW23" s="565"/>
      <c r="AX23" s="560"/>
      <c r="AY23" s="561"/>
      <c r="AZ23" s="562"/>
      <c r="BA23" s="561"/>
      <c r="BB23" s="563"/>
      <c r="BC23" s="567"/>
      <c r="BD23" s="564"/>
      <c r="BE23" s="565"/>
      <c r="BF23" s="560"/>
      <c r="BG23" s="561"/>
      <c r="BH23" s="562"/>
      <c r="BI23" s="561"/>
      <c r="BJ23" s="563"/>
      <c r="BK23" s="567"/>
      <c r="BL23" s="564"/>
      <c r="BM23" s="565"/>
      <c r="BN23" s="560"/>
      <c r="BO23" s="561"/>
      <c r="BP23" s="562"/>
      <c r="BQ23" s="561"/>
      <c r="BR23" s="563"/>
      <c r="BS23" s="567"/>
      <c r="BT23" s="564"/>
      <c r="BU23" s="565"/>
      <c r="BV23" s="560"/>
      <c r="BW23" s="561"/>
      <c r="BX23" s="562"/>
      <c r="BY23" s="561"/>
      <c r="BZ23" s="563"/>
      <c r="CA23" s="567"/>
      <c r="CB23" s="564"/>
      <c r="CC23" s="565"/>
      <c r="CD23" s="560"/>
      <c r="CE23" s="561"/>
      <c r="CF23" s="562"/>
      <c r="CG23" s="561"/>
      <c r="CH23" s="563"/>
      <c r="CI23" s="564"/>
      <c r="CJ23" s="564"/>
      <c r="CK23" s="564"/>
      <c r="CL23" s="560"/>
      <c r="CM23" s="561"/>
      <c r="CN23" s="562"/>
      <c r="CO23" s="561"/>
      <c r="CP23" s="563"/>
      <c r="CQ23" s="564"/>
      <c r="CR23" s="564"/>
      <c r="CS23" s="564"/>
      <c r="CT23" s="560"/>
      <c r="CU23" s="561"/>
      <c r="CV23" s="562"/>
      <c r="CW23" s="561"/>
      <c r="CX23" s="563"/>
      <c r="CY23" s="564"/>
      <c r="CZ23" s="564"/>
      <c r="DA23" s="564"/>
      <c r="DB23" s="560"/>
      <c r="DC23" s="561"/>
      <c r="DD23" s="562"/>
      <c r="DE23" s="561"/>
      <c r="DF23" s="563"/>
      <c r="DG23" s="564"/>
      <c r="DH23" s="564"/>
      <c r="DI23" s="564"/>
      <c r="DJ23" s="560"/>
      <c r="DK23" s="561"/>
      <c r="DL23" s="562"/>
      <c r="DM23" s="561"/>
      <c r="DN23" s="563"/>
      <c r="DO23" s="564"/>
      <c r="DP23" s="564"/>
      <c r="DQ23" s="564"/>
      <c r="DR23" s="560"/>
      <c r="DS23" s="561"/>
      <c r="DT23" s="562"/>
      <c r="DU23" s="561"/>
      <c r="DV23" s="563"/>
      <c r="DW23" s="564"/>
      <c r="DX23" s="564"/>
      <c r="DY23" s="564"/>
      <c r="DZ23" s="560"/>
      <c r="EA23" s="561"/>
      <c r="EB23" s="562"/>
      <c r="EC23" s="561"/>
      <c r="ED23" s="563"/>
      <c r="EE23" s="564"/>
      <c r="EF23" s="564"/>
      <c r="EG23" s="564"/>
      <c r="EH23" s="560"/>
      <c r="EI23" s="561"/>
      <c r="EJ23" s="562"/>
      <c r="EK23" s="561"/>
      <c r="EL23" s="563"/>
      <c r="EM23" s="564"/>
      <c r="EN23" s="564"/>
      <c r="EO23" s="564"/>
      <c r="EP23" s="560"/>
      <c r="EQ23" s="561"/>
      <c r="ER23" s="562"/>
      <c r="ES23" s="561"/>
      <c r="ET23" s="563"/>
      <c r="EU23" s="564"/>
      <c r="EV23" s="564"/>
      <c r="EW23" s="564"/>
      <c r="EX23" s="560"/>
      <c r="EY23" s="561"/>
      <c r="EZ23" s="562"/>
      <c r="FA23" s="561"/>
      <c r="FB23" s="563"/>
      <c r="FC23" s="564"/>
      <c r="FD23" s="564"/>
      <c r="FE23" s="564"/>
      <c r="FF23" s="560"/>
      <c r="FG23" s="561"/>
      <c r="FH23" s="562"/>
      <c r="FI23" s="561"/>
      <c r="FJ23" s="563"/>
      <c r="FK23" s="564"/>
      <c r="FL23" s="564"/>
      <c r="FM23" s="564"/>
      <c r="FN23" s="560"/>
      <c r="FO23" s="561"/>
      <c r="FP23" s="562"/>
      <c r="FQ23" s="561"/>
      <c r="FR23" s="563"/>
      <c r="FS23" s="564"/>
      <c r="FT23" s="564"/>
      <c r="FU23" s="564"/>
      <c r="FV23" s="560"/>
      <c r="FW23" s="566"/>
      <c r="FX23" s="566"/>
      <c r="FY23" s="566"/>
      <c r="FZ23" s="563"/>
      <c r="GA23" s="564"/>
      <c r="GB23" s="564"/>
      <c r="GC23" s="564"/>
      <c r="GD23" s="560"/>
      <c r="GE23" s="566"/>
      <c r="GF23" s="566"/>
      <c r="GG23" s="566"/>
      <c r="GH23" s="563"/>
      <c r="GI23" s="564"/>
      <c r="GJ23" s="564"/>
      <c r="GK23" s="564"/>
      <c r="GL23" s="560"/>
      <c r="GM23" s="566"/>
      <c r="GN23" s="566"/>
      <c r="GO23" s="566"/>
      <c r="GP23" s="563"/>
      <c r="GQ23" s="564"/>
      <c r="GR23" s="564"/>
      <c r="GS23" s="564"/>
      <c r="GT23" s="560"/>
      <c r="GU23" s="566"/>
      <c r="GV23" s="566"/>
      <c r="GW23" s="566"/>
      <c r="GX23" s="828"/>
      <c r="GY23" s="829"/>
      <c r="GZ23" s="830"/>
      <c r="HA23" s="830"/>
      <c r="HB23" s="828"/>
      <c r="HC23" s="829"/>
      <c r="HD23" s="830"/>
      <c r="HE23" s="830"/>
      <c r="HF23" s="828"/>
      <c r="HG23" s="829"/>
      <c r="HH23" s="830"/>
      <c r="HI23" s="830"/>
      <c r="HJ23" s="828"/>
      <c r="HK23" s="829"/>
      <c r="HL23" s="830"/>
      <c r="HM23" s="830"/>
      <c r="HN23" s="828"/>
      <c r="HO23" s="829"/>
      <c r="HP23" s="830"/>
      <c r="HQ23" s="830"/>
      <c r="HR23" s="828"/>
      <c r="HS23" s="829"/>
      <c r="HT23" s="830"/>
      <c r="HU23" s="830"/>
    </row>
    <row r="24" spans="1:229" s="506" customFormat="1" ht="72.650000000000006" customHeight="1" x14ac:dyDescent="0.35">
      <c r="B24" s="544">
        <v>21</v>
      </c>
      <c r="C24" s="544" t="s">
        <v>46</v>
      </c>
      <c r="D24" s="545" t="s">
        <v>44</v>
      </c>
      <c r="E24" s="546" t="s">
        <v>103</v>
      </c>
      <c r="F24" s="546" t="s">
        <v>46</v>
      </c>
      <c r="G24" s="545" t="s">
        <v>46</v>
      </c>
      <c r="H24" s="547" t="s">
        <v>104</v>
      </c>
      <c r="I24" s="548"/>
      <c r="J24" s="548"/>
      <c r="K24" s="549"/>
      <c r="L24" s="549"/>
      <c r="M24" s="569" t="s">
        <v>102</v>
      </c>
      <c r="N24" s="551">
        <v>0</v>
      </c>
      <c r="O24" s="552">
        <v>9</v>
      </c>
      <c r="P24" s="553">
        <v>45903</v>
      </c>
      <c r="Q24" s="553"/>
      <c r="R24" s="554" t="s">
        <v>73</v>
      </c>
      <c r="S24" s="555">
        <f ca="1">IF(R24="Aprobado con comentarios / Emitir Rev_B", NETWORKDAYS(Q24,TODAY(),Hoja1!$C$3:$C$25),0)</f>
        <v>0</v>
      </c>
      <c r="T24" s="555">
        <f ca="1">IF(R24="Revisión INN",NETWORKDAYS(P24,TODAY(),Hoja1!$C$3:$C$25),0)</f>
        <v>0</v>
      </c>
      <c r="U24" s="556">
        <f t="shared" si="1"/>
        <v>1</v>
      </c>
      <c r="V24" s="557">
        <v>0</v>
      </c>
      <c r="W24" s="558">
        <v>9</v>
      </c>
      <c r="X24" s="558"/>
      <c r="Y24" s="559">
        <v>45903</v>
      </c>
      <c r="Z24" s="560"/>
      <c r="AA24" s="561"/>
      <c r="AB24" s="562"/>
      <c r="AC24" s="561"/>
      <c r="AD24" s="563"/>
      <c r="AE24" s="567"/>
      <c r="AF24" s="564"/>
      <c r="AG24" s="565"/>
      <c r="AH24" s="560"/>
      <c r="AI24" s="561"/>
      <c r="AJ24" s="562"/>
      <c r="AK24" s="561"/>
      <c r="AL24" s="563"/>
      <c r="AM24" s="567"/>
      <c r="AN24" s="564"/>
      <c r="AO24" s="565"/>
      <c r="AP24" s="560"/>
      <c r="AQ24" s="561"/>
      <c r="AR24" s="562"/>
      <c r="AS24" s="561"/>
      <c r="AT24" s="563"/>
      <c r="AU24" s="567"/>
      <c r="AV24" s="564"/>
      <c r="AW24" s="565"/>
      <c r="AX24" s="560"/>
      <c r="AY24" s="561"/>
      <c r="AZ24" s="562"/>
      <c r="BA24" s="561"/>
      <c r="BB24" s="563"/>
      <c r="BC24" s="567"/>
      <c r="BD24" s="564"/>
      <c r="BE24" s="565"/>
      <c r="BF24" s="560"/>
      <c r="BG24" s="561"/>
      <c r="BH24" s="562"/>
      <c r="BI24" s="561"/>
      <c r="BJ24" s="563"/>
      <c r="BK24" s="567"/>
      <c r="BL24" s="564"/>
      <c r="BM24" s="565"/>
      <c r="BN24" s="560"/>
      <c r="BO24" s="561"/>
      <c r="BP24" s="562"/>
      <c r="BQ24" s="561"/>
      <c r="BR24" s="563"/>
      <c r="BS24" s="567"/>
      <c r="BT24" s="564"/>
      <c r="BU24" s="565"/>
      <c r="BV24" s="560"/>
      <c r="BW24" s="561"/>
      <c r="BX24" s="562"/>
      <c r="BY24" s="561"/>
      <c r="BZ24" s="563"/>
      <c r="CA24" s="567"/>
      <c r="CB24" s="564"/>
      <c r="CC24" s="565"/>
      <c r="CD24" s="560"/>
      <c r="CE24" s="561"/>
      <c r="CF24" s="562"/>
      <c r="CG24" s="561"/>
      <c r="CH24" s="563"/>
      <c r="CI24" s="564"/>
      <c r="CJ24" s="564"/>
      <c r="CK24" s="564"/>
      <c r="CL24" s="560"/>
      <c r="CM24" s="561"/>
      <c r="CN24" s="562"/>
      <c r="CO24" s="561"/>
      <c r="CP24" s="563"/>
      <c r="CQ24" s="564"/>
      <c r="CR24" s="564"/>
      <c r="CS24" s="564"/>
      <c r="CT24" s="560"/>
      <c r="CU24" s="561"/>
      <c r="CV24" s="562"/>
      <c r="CW24" s="561"/>
      <c r="CX24" s="563"/>
      <c r="CY24" s="564"/>
      <c r="CZ24" s="564"/>
      <c r="DA24" s="564"/>
      <c r="DB24" s="560"/>
      <c r="DC24" s="561"/>
      <c r="DD24" s="562"/>
      <c r="DE24" s="561"/>
      <c r="DF24" s="563"/>
      <c r="DG24" s="564"/>
      <c r="DH24" s="564"/>
      <c r="DI24" s="564"/>
      <c r="DJ24" s="560"/>
      <c r="DK24" s="561"/>
      <c r="DL24" s="562"/>
      <c r="DM24" s="561"/>
      <c r="DN24" s="563"/>
      <c r="DO24" s="564"/>
      <c r="DP24" s="564"/>
      <c r="DQ24" s="564"/>
      <c r="DR24" s="560"/>
      <c r="DS24" s="561"/>
      <c r="DT24" s="562"/>
      <c r="DU24" s="561"/>
      <c r="DV24" s="563"/>
      <c r="DW24" s="564"/>
      <c r="DX24" s="564"/>
      <c r="DY24" s="564"/>
      <c r="DZ24" s="560"/>
      <c r="EA24" s="561"/>
      <c r="EB24" s="562"/>
      <c r="EC24" s="561"/>
      <c r="ED24" s="563"/>
      <c r="EE24" s="564"/>
      <c r="EF24" s="564"/>
      <c r="EG24" s="564"/>
      <c r="EH24" s="560"/>
      <c r="EI24" s="561"/>
      <c r="EJ24" s="562"/>
      <c r="EK24" s="561"/>
      <c r="EL24" s="563"/>
      <c r="EM24" s="564"/>
      <c r="EN24" s="564"/>
      <c r="EO24" s="564"/>
      <c r="EP24" s="560"/>
      <c r="EQ24" s="561"/>
      <c r="ER24" s="562"/>
      <c r="ES24" s="561"/>
      <c r="ET24" s="563"/>
      <c r="EU24" s="564"/>
      <c r="EV24" s="564"/>
      <c r="EW24" s="564"/>
      <c r="EX24" s="560"/>
      <c r="EY24" s="561"/>
      <c r="EZ24" s="562"/>
      <c r="FA24" s="561"/>
      <c r="FB24" s="563"/>
      <c r="FC24" s="564"/>
      <c r="FD24" s="564"/>
      <c r="FE24" s="564"/>
      <c r="FF24" s="560"/>
      <c r="FG24" s="561"/>
      <c r="FH24" s="562"/>
      <c r="FI24" s="561"/>
      <c r="FJ24" s="563"/>
      <c r="FK24" s="564"/>
      <c r="FL24" s="564"/>
      <c r="FM24" s="564"/>
      <c r="FN24" s="560"/>
      <c r="FO24" s="561"/>
      <c r="FP24" s="562"/>
      <c r="FQ24" s="561"/>
      <c r="FR24" s="563"/>
      <c r="FS24" s="564"/>
      <c r="FT24" s="564"/>
      <c r="FU24" s="564"/>
      <c r="FV24" s="560"/>
      <c r="FW24" s="566"/>
      <c r="FX24" s="566"/>
      <c r="FY24" s="566"/>
      <c r="FZ24" s="563"/>
      <c r="GA24" s="564"/>
      <c r="GB24" s="564"/>
      <c r="GC24" s="564"/>
      <c r="GD24" s="560"/>
      <c r="GE24" s="566"/>
      <c r="GF24" s="566"/>
      <c r="GG24" s="566"/>
      <c r="GH24" s="563"/>
      <c r="GI24" s="564"/>
      <c r="GJ24" s="564"/>
      <c r="GK24" s="564"/>
      <c r="GL24" s="560"/>
      <c r="GM24" s="566"/>
      <c r="GN24" s="566"/>
      <c r="GO24" s="566"/>
      <c r="GP24" s="563"/>
      <c r="GQ24" s="564"/>
      <c r="GR24" s="564"/>
      <c r="GS24" s="564"/>
      <c r="GT24" s="560"/>
      <c r="GU24" s="566"/>
      <c r="GV24" s="566"/>
      <c r="GW24" s="566"/>
      <c r="GX24" s="828"/>
      <c r="GY24" s="829"/>
      <c r="GZ24" s="830"/>
      <c r="HA24" s="830"/>
      <c r="HB24" s="828"/>
      <c r="HC24" s="829"/>
      <c r="HD24" s="830"/>
      <c r="HE24" s="830"/>
      <c r="HF24" s="828"/>
      <c r="HG24" s="829"/>
      <c r="HH24" s="830"/>
      <c r="HI24" s="830"/>
      <c r="HJ24" s="828"/>
      <c r="HK24" s="829"/>
      <c r="HL24" s="830"/>
      <c r="HM24" s="830"/>
      <c r="HN24" s="828"/>
      <c r="HO24" s="829"/>
      <c r="HP24" s="830"/>
      <c r="HQ24" s="830"/>
      <c r="HR24" s="828"/>
      <c r="HS24" s="829"/>
      <c r="HT24" s="830"/>
      <c r="HU24" s="830"/>
    </row>
    <row r="25" spans="1:229" s="506" customFormat="1" ht="72.650000000000006" customHeight="1" x14ac:dyDescent="0.35">
      <c r="B25" s="544">
        <v>22</v>
      </c>
      <c r="C25" s="544" t="s">
        <v>46</v>
      </c>
      <c r="D25" s="545" t="s">
        <v>44</v>
      </c>
      <c r="E25" s="546" t="s">
        <v>105</v>
      </c>
      <c r="F25" s="546" t="s">
        <v>46</v>
      </c>
      <c r="G25" s="545" t="s">
        <v>46</v>
      </c>
      <c r="H25" s="547" t="s">
        <v>106</v>
      </c>
      <c r="I25" s="548"/>
      <c r="J25" s="548"/>
      <c r="K25" s="549"/>
      <c r="L25" s="549"/>
      <c r="M25" s="569" t="s">
        <v>102</v>
      </c>
      <c r="N25" s="551">
        <v>0</v>
      </c>
      <c r="O25" s="552">
        <v>21</v>
      </c>
      <c r="P25" s="553">
        <v>45922</v>
      </c>
      <c r="Q25" s="553"/>
      <c r="R25" s="554" t="s">
        <v>73</v>
      </c>
      <c r="S25" s="555">
        <f ca="1">IF(R25="Aprobado con comentarios / Emitir Rev_B", NETWORKDAYS(Q25,TODAY(),Hoja1!$C$3:$C$25),0)</f>
        <v>0</v>
      </c>
      <c r="T25" s="555">
        <f ca="1">IF(R25="Revisión INN",NETWORKDAYS(P25,TODAY(),Hoja1!$C$3:$C$25),0)</f>
        <v>0</v>
      </c>
      <c r="U25" s="556">
        <f t="shared" si="1"/>
        <v>1</v>
      </c>
      <c r="V25" s="557">
        <v>0</v>
      </c>
      <c r="W25" s="558">
        <v>21</v>
      </c>
      <c r="X25" s="558"/>
      <c r="Y25" s="559">
        <v>45922</v>
      </c>
      <c r="Z25" s="560"/>
      <c r="AA25" s="561"/>
      <c r="AB25" s="562"/>
      <c r="AC25" s="561"/>
      <c r="AD25" s="563"/>
      <c r="AE25" s="567"/>
      <c r="AF25" s="564"/>
      <c r="AG25" s="565"/>
      <c r="AH25" s="560"/>
      <c r="AI25" s="561"/>
      <c r="AJ25" s="562"/>
      <c r="AK25" s="561"/>
      <c r="AL25" s="563"/>
      <c r="AM25" s="567"/>
      <c r="AN25" s="564"/>
      <c r="AO25" s="565"/>
      <c r="AP25" s="560"/>
      <c r="AQ25" s="561"/>
      <c r="AR25" s="562"/>
      <c r="AS25" s="561"/>
      <c r="AT25" s="563"/>
      <c r="AU25" s="567"/>
      <c r="AV25" s="564"/>
      <c r="AW25" s="565"/>
      <c r="AX25" s="560"/>
      <c r="AY25" s="561"/>
      <c r="AZ25" s="562"/>
      <c r="BA25" s="561"/>
      <c r="BB25" s="563"/>
      <c r="BC25" s="567"/>
      <c r="BD25" s="564"/>
      <c r="BE25" s="565"/>
      <c r="BF25" s="560"/>
      <c r="BG25" s="561"/>
      <c r="BH25" s="562"/>
      <c r="BI25" s="561"/>
      <c r="BJ25" s="563"/>
      <c r="BK25" s="567"/>
      <c r="BL25" s="564"/>
      <c r="BM25" s="565"/>
      <c r="BN25" s="560"/>
      <c r="BO25" s="561"/>
      <c r="BP25" s="562"/>
      <c r="BQ25" s="561"/>
      <c r="BR25" s="563"/>
      <c r="BS25" s="567"/>
      <c r="BT25" s="564"/>
      <c r="BU25" s="565"/>
      <c r="BV25" s="560"/>
      <c r="BW25" s="561"/>
      <c r="BX25" s="562"/>
      <c r="BY25" s="561"/>
      <c r="BZ25" s="563"/>
      <c r="CA25" s="567"/>
      <c r="CB25" s="564"/>
      <c r="CC25" s="565"/>
      <c r="CD25" s="560"/>
      <c r="CE25" s="561"/>
      <c r="CF25" s="562"/>
      <c r="CG25" s="561"/>
      <c r="CH25" s="563"/>
      <c r="CI25" s="564"/>
      <c r="CJ25" s="564"/>
      <c r="CK25" s="564"/>
      <c r="CL25" s="560"/>
      <c r="CM25" s="561"/>
      <c r="CN25" s="562"/>
      <c r="CO25" s="561"/>
      <c r="CP25" s="563"/>
      <c r="CQ25" s="564"/>
      <c r="CR25" s="564"/>
      <c r="CS25" s="564"/>
      <c r="CT25" s="560"/>
      <c r="CU25" s="561"/>
      <c r="CV25" s="562"/>
      <c r="CW25" s="561"/>
      <c r="CX25" s="563"/>
      <c r="CY25" s="564"/>
      <c r="CZ25" s="564"/>
      <c r="DA25" s="564"/>
      <c r="DB25" s="560"/>
      <c r="DC25" s="561"/>
      <c r="DD25" s="562"/>
      <c r="DE25" s="561"/>
      <c r="DF25" s="563"/>
      <c r="DG25" s="564"/>
      <c r="DH25" s="564"/>
      <c r="DI25" s="564"/>
      <c r="DJ25" s="560"/>
      <c r="DK25" s="561"/>
      <c r="DL25" s="562"/>
      <c r="DM25" s="561"/>
      <c r="DN25" s="563"/>
      <c r="DO25" s="564"/>
      <c r="DP25" s="564"/>
      <c r="DQ25" s="564"/>
      <c r="DR25" s="560"/>
      <c r="DS25" s="561"/>
      <c r="DT25" s="562"/>
      <c r="DU25" s="561"/>
      <c r="DV25" s="563"/>
      <c r="DW25" s="564"/>
      <c r="DX25" s="564"/>
      <c r="DY25" s="564"/>
      <c r="DZ25" s="560"/>
      <c r="EA25" s="561"/>
      <c r="EB25" s="562"/>
      <c r="EC25" s="561"/>
      <c r="ED25" s="563"/>
      <c r="EE25" s="564"/>
      <c r="EF25" s="564"/>
      <c r="EG25" s="564"/>
      <c r="EH25" s="560"/>
      <c r="EI25" s="561"/>
      <c r="EJ25" s="562"/>
      <c r="EK25" s="561"/>
      <c r="EL25" s="563"/>
      <c r="EM25" s="564"/>
      <c r="EN25" s="564"/>
      <c r="EO25" s="564"/>
      <c r="EP25" s="560"/>
      <c r="EQ25" s="561"/>
      <c r="ER25" s="562"/>
      <c r="ES25" s="561"/>
      <c r="ET25" s="563"/>
      <c r="EU25" s="564"/>
      <c r="EV25" s="564"/>
      <c r="EW25" s="564"/>
      <c r="EX25" s="560"/>
      <c r="EY25" s="561"/>
      <c r="EZ25" s="562"/>
      <c r="FA25" s="561"/>
      <c r="FB25" s="563"/>
      <c r="FC25" s="564"/>
      <c r="FD25" s="564"/>
      <c r="FE25" s="564"/>
      <c r="FF25" s="560"/>
      <c r="FG25" s="561"/>
      <c r="FH25" s="562"/>
      <c r="FI25" s="561"/>
      <c r="FJ25" s="563"/>
      <c r="FK25" s="564"/>
      <c r="FL25" s="564"/>
      <c r="FM25" s="564"/>
      <c r="FN25" s="560"/>
      <c r="FO25" s="561"/>
      <c r="FP25" s="562"/>
      <c r="FQ25" s="561"/>
      <c r="FR25" s="563"/>
      <c r="FS25" s="564"/>
      <c r="FT25" s="564"/>
      <c r="FU25" s="564"/>
      <c r="FV25" s="560"/>
      <c r="FW25" s="566"/>
      <c r="FX25" s="566"/>
      <c r="FY25" s="566"/>
      <c r="FZ25" s="563"/>
      <c r="GA25" s="564"/>
      <c r="GB25" s="564"/>
      <c r="GC25" s="564"/>
      <c r="GD25" s="560"/>
      <c r="GE25" s="566"/>
      <c r="GF25" s="566"/>
      <c r="GG25" s="566"/>
      <c r="GH25" s="563"/>
      <c r="GI25" s="564"/>
      <c r="GJ25" s="564"/>
      <c r="GK25" s="564"/>
      <c r="GL25" s="560"/>
      <c r="GM25" s="566"/>
      <c r="GN25" s="566"/>
      <c r="GO25" s="566"/>
      <c r="GP25" s="563"/>
      <c r="GQ25" s="564"/>
      <c r="GR25" s="564"/>
      <c r="GS25" s="564"/>
      <c r="GT25" s="560"/>
      <c r="GU25" s="566"/>
      <c r="GV25" s="566"/>
      <c r="GW25" s="566"/>
      <c r="GX25" s="563"/>
      <c r="GY25" s="564"/>
      <c r="GZ25" s="564"/>
      <c r="HA25" s="590"/>
      <c r="HB25" s="560"/>
      <c r="HC25" s="566"/>
      <c r="HD25" s="566"/>
      <c r="HE25" s="566"/>
      <c r="HF25" s="563"/>
      <c r="HG25" s="564"/>
      <c r="HH25" s="564"/>
      <c r="HI25" s="590"/>
      <c r="HJ25" s="560"/>
      <c r="HK25" s="566"/>
      <c r="HL25" s="566"/>
      <c r="HM25" s="566"/>
      <c r="HN25" s="563"/>
      <c r="HO25" s="564"/>
      <c r="HP25" s="564"/>
      <c r="HQ25" s="590"/>
      <c r="HR25" s="560"/>
      <c r="HS25" s="566"/>
      <c r="HT25" s="566"/>
      <c r="HU25" s="566"/>
    </row>
    <row r="26" spans="1:229" s="506" customFormat="1" ht="72.650000000000006" customHeight="1" x14ac:dyDescent="0.35">
      <c r="B26" s="544">
        <v>23</v>
      </c>
      <c r="C26" s="544" t="s">
        <v>46</v>
      </c>
      <c r="D26" s="545" t="s">
        <v>44</v>
      </c>
      <c r="E26" s="546" t="s">
        <v>107</v>
      </c>
      <c r="F26" s="546" t="s">
        <v>46</v>
      </c>
      <c r="G26" s="545" t="s">
        <v>46</v>
      </c>
      <c r="H26" s="547" t="s">
        <v>108</v>
      </c>
      <c r="I26" s="548" t="s">
        <v>46</v>
      </c>
      <c r="J26" s="548"/>
      <c r="K26" s="549" t="s">
        <v>46</v>
      </c>
      <c r="L26" s="549" t="s">
        <v>46</v>
      </c>
      <c r="M26" s="569" t="s">
        <v>102</v>
      </c>
      <c r="N26" s="551">
        <v>0</v>
      </c>
      <c r="O26" s="552">
        <v>21</v>
      </c>
      <c r="P26" s="553">
        <v>45922</v>
      </c>
      <c r="Q26" s="553"/>
      <c r="R26" s="554" t="s">
        <v>73</v>
      </c>
      <c r="S26" s="555">
        <f ca="1">IF(R26="Aprobado con comentarios / Emitir Rev_B", NETWORKDAYS(Q26,TODAY(),Hoja1!$C$3:$C$25),0)</f>
        <v>0</v>
      </c>
      <c r="T26" s="555">
        <f ca="1">IF(R26="Revisión INN",NETWORKDAYS(P26,TODAY(),Hoja1!$C$3:$C$25),0)</f>
        <v>0</v>
      </c>
      <c r="U26" s="556">
        <f t="shared" si="1"/>
        <v>1</v>
      </c>
      <c r="V26" s="557">
        <v>0</v>
      </c>
      <c r="W26" s="558">
        <v>21</v>
      </c>
      <c r="X26" s="558"/>
      <c r="Y26" s="559">
        <v>45922</v>
      </c>
      <c r="Z26" s="560"/>
      <c r="AA26" s="561"/>
      <c r="AB26" s="562"/>
      <c r="AC26" s="561"/>
      <c r="AD26" s="563"/>
      <c r="AE26" s="567"/>
      <c r="AF26" s="564"/>
      <c r="AG26" s="565"/>
      <c r="AH26" s="560"/>
      <c r="AI26" s="561"/>
      <c r="AJ26" s="562"/>
      <c r="AK26" s="561"/>
      <c r="AL26" s="563"/>
      <c r="AM26" s="567"/>
      <c r="AN26" s="564"/>
      <c r="AO26" s="565"/>
      <c r="AP26" s="560"/>
      <c r="AQ26" s="561"/>
      <c r="AR26" s="562"/>
      <c r="AS26" s="561"/>
      <c r="AT26" s="563"/>
      <c r="AU26" s="567"/>
      <c r="AV26" s="564"/>
      <c r="AW26" s="565"/>
      <c r="AX26" s="560"/>
      <c r="AY26" s="561"/>
      <c r="AZ26" s="562"/>
      <c r="BA26" s="561"/>
      <c r="BB26" s="563"/>
      <c r="BC26" s="567"/>
      <c r="BD26" s="564"/>
      <c r="BE26" s="565"/>
      <c r="BF26" s="560"/>
      <c r="BG26" s="561"/>
      <c r="BH26" s="562"/>
      <c r="BI26" s="561"/>
      <c r="BJ26" s="563"/>
      <c r="BK26" s="567"/>
      <c r="BL26" s="564"/>
      <c r="BM26" s="565"/>
      <c r="BN26" s="560"/>
      <c r="BO26" s="561"/>
      <c r="BP26" s="562"/>
      <c r="BQ26" s="561"/>
      <c r="BR26" s="563"/>
      <c r="BS26" s="567"/>
      <c r="BT26" s="564"/>
      <c r="BU26" s="565"/>
      <c r="BV26" s="560"/>
      <c r="BW26" s="561"/>
      <c r="BX26" s="562"/>
      <c r="BY26" s="561"/>
      <c r="BZ26" s="563"/>
      <c r="CA26" s="567"/>
      <c r="CB26" s="564"/>
      <c r="CC26" s="565"/>
      <c r="CD26" s="560"/>
      <c r="CE26" s="561"/>
      <c r="CF26" s="562"/>
      <c r="CG26" s="561"/>
      <c r="CH26" s="563"/>
      <c r="CI26" s="564"/>
      <c r="CJ26" s="564"/>
      <c r="CK26" s="564"/>
      <c r="CL26" s="560"/>
      <c r="CM26" s="561"/>
      <c r="CN26" s="562"/>
      <c r="CO26" s="561"/>
      <c r="CP26" s="563"/>
      <c r="CQ26" s="564"/>
      <c r="CR26" s="564"/>
      <c r="CS26" s="564"/>
      <c r="CT26" s="560"/>
      <c r="CU26" s="561"/>
      <c r="CV26" s="562"/>
      <c r="CW26" s="561"/>
      <c r="CX26" s="563"/>
      <c r="CY26" s="564"/>
      <c r="CZ26" s="564"/>
      <c r="DA26" s="564"/>
      <c r="DB26" s="560"/>
      <c r="DC26" s="561"/>
      <c r="DD26" s="562"/>
      <c r="DE26" s="561"/>
      <c r="DF26" s="563"/>
      <c r="DG26" s="564"/>
      <c r="DH26" s="564"/>
      <c r="DI26" s="564"/>
      <c r="DJ26" s="560"/>
      <c r="DK26" s="561"/>
      <c r="DL26" s="562"/>
      <c r="DM26" s="561"/>
      <c r="DN26" s="563"/>
      <c r="DO26" s="564"/>
      <c r="DP26" s="564"/>
      <c r="DQ26" s="564"/>
      <c r="DR26" s="560"/>
      <c r="DS26" s="561"/>
      <c r="DT26" s="562"/>
      <c r="DU26" s="561"/>
      <c r="DV26" s="563"/>
      <c r="DW26" s="564"/>
      <c r="DX26" s="564"/>
      <c r="DY26" s="564"/>
      <c r="DZ26" s="560"/>
      <c r="EA26" s="561"/>
      <c r="EB26" s="562"/>
      <c r="EC26" s="561"/>
      <c r="ED26" s="563"/>
      <c r="EE26" s="564"/>
      <c r="EF26" s="564"/>
      <c r="EG26" s="564"/>
      <c r="EH26" s="560"/>
      <c r="EI26" s="561"/>
      <c r="EJ26" s="562"/>
      <c r="EK26" s="561"/>
      <c r="EL26" s="563"/>
      <c r="EM26" s="564"/>
      <c r="EN26" s="564"/>
      <c r="EO26" s="564"/>
      <c r="EP26" s="560"/>
      <c r="EQ26" s="561"/>
      <c r="ER26" s="562"/>
      <c r="ES26" s="561"/>
      <c r="ET26" s="563"/>
      <c r="EU26" s="564"/>
      <c r="EV26" s="564"/>
      <c r="EW26" s="564"/>
      <c r="EX26" s="560"/>
      <c r="EY26" s="561"/>
      <c r="EZ26" s="562"/>
      <c r="FA26" s="561"/>
      <c r="FB26" s="563"/>
      <c r="FC26" s="564"/>
      <c r="FD26" s="564"/>
      <c r="FE26" s="564"/>
      <c r="FF26" s="560"/>
      <c r="FG26" s="561"/>
      <c r="FH26" s="562"/>
      <c r="FI26" s="561"/>
      <c r="FJ26" s="563"/>
      <c r="FK26" s="564"/>
      <c r="FL26" s="564"/>
      <c r="FM26" s="564"/>
      <c r="FN26" s="560"/>
      <c r="FO26" s="561"/>
      <c r="FP26" s="562"/>
      <c r="FQ26" s="561"/>
      <c r="FR26" s="563"/>
      <c r="FS26" s="564"/>
      <c r="FT26" s="564"/>
      <c r="FU26" s="564"/>
      <c r="FV26" s="560"/>
      <c r="FW26" s="566"/>
      <c r="FX26" s="566"/>
      <c r="FY26" s="566"/>
      <c r="FZ26" s="563"/>
      <c r="GA26" s="564"/>
      <c r="GB26" s="564"/>
      <c r="GC26" s="564"/>
      <c r="GD26" s="560"/>
      <c r="GE26" s="566"/>
      <c r="GF26" s="566"/>
      <c r="GG26" s="566"/>
      <c r="GH26" s="563"/>
      <c r="GI26" s="564"/>
      <c r="GJ26" s="564"/>
      <c r="GK26" s="564"/>
      <c r="GL26" s="560"/>
      <c r="GM26" s="566"/>
      <c r="GN26" s="566"/>
      <c r="GO26" s="566"/>
      <c r="GP26" s="563"/>
      <c r="GQ26" s="564"/>
      <c r="GR26" s="564"/>
      <c r="GS26" s="564"/>
      <c r="GT26" s="560"/>
      <c r="GU26" s="566"/>
      <c r="GV26" s="566"/>
      <c r="GW26" s="566"/>
      <c r="GX26" s="563"/>
      <c r="GY26" s="564"/>
      <c r="GZ26" s="564"/>
      <c r="HA26" s="590"/>
      <c r="HB26" s="560"/>
      <c r="HC26" s="566"/>
      <c r="HD26" s="566"/>
      <c r="HE26" s="566"/>
      <c r="HF26" s="563"/>
      <c r="HG26" s="564"/>
      <c r="HH26" s="564"/>
      <c r="HI26" s="590"/>
      <c r="HJ26" s="560"/>
      <c r="HK26" s="566"/>
      <c r="HL26" s="566"/>
      <c r="HM26" s="566"/>
      <c r="HN26" s="563"/>
      <c r="HO26" s="564"/>
      <c r="HP26" s="564"/>
      <c r="HQ26" s="590"/>
      <c r="HR26" s="560"/>
      <c r="HS26" s="566"/>
      <c r="HT26" s="566"/>
      <c r="HU26" s="566"/>
    </row>
    <row r="27" spans="1:229" s="506" customFormat="1" ht="76.5" customHeight="1" thickBot="1" x14ac:dyDescent="0.4">
      <c r="B27" s="544">
        <v>24</v>
      </c>
      <c r="C27" s="544" t="s">
        <v>46</v>
      </c>
      <c r="D27" s="545" t="s">
        <v>44</v>
      </c>
      <c r="E27" s="546" t="s">
        <v>109</v>
      </c>
      <c r="F27" s="546" t="s">
        <v>46</v>
      </c>
      <c r="G27" s="545" t="s">
        <v>46</v>
      </c>
      <c r="H27" s="547" t="s">
        <v>110</v>
      </c>
      <c r="I27" s="548" t="s">
        <v>46</v>
      </c>
      <c r="J27" s="548"/>
      <c r="K27" s="549" t="s">
        <v>46</v>
      </c>
      <c r="L27" s="549" t="s">
        <v>46</v>
      </c>
      <c r="M27" s="569" t="s">
        <v>102</v>
      </c>
      <c r="N27" s="551">
        <v>0</v>
      </c>
      <c r="O27" s="552">
        <v>24</v>
      </c>
      <c r="P27" s="553">
        <v>45924</v>
      </c>
      <c r="Q27" s="553"/>
      <c r="R27" s="554" t="s">
        <v>73</v>
      </c>
      <c r="S27" s="555">
        <f ca="1">IF(R27="Aprobado con comentarios / Emitir Rev_B", NETWORKDAYS(Q27,TODAY(),Hoja1!$C$3:$C$25),0)</f>
        <v>0</v>
      </c>
      <c r="T27" s="555">
        <f ca="1">IF(R27="Revisión INN",NETWORKDAYS(P27,TODAY(),Hoja1!$C$3:$C$25),0)</f>
        <v>0</v>
      </c>
      <c r="U27" s="556">
        <f t="shared" si="1"/>
        <v>1</v>
      </c>
      <c r="V27" s="557">
        <v>0</v>
      </c>
      <c r="W27" s="558">
        <v>23</v>
      </c>
      <c r="X27" s="558"/>
      <c r="Y27" s="559">
        <v>45923</v>
      </c>
      <c r="Z27" s="560"/>
      <c r="AA27" s="561"/>
      <c r="AB27" s="562"/>
      <c r="AC27" s="561"/>
      <c r="AD27" s="563"/>
      <c r="AE27" s="567"/>
      <c r="AF27" s="564"/>
      <c r="AG27" s="565"/>
      <c r="AH27" s="560"/>
      <c r="AI27" s="561"/>
      <c r="AJ27" s="562"/>
      <c r="AK27" s="561"/>
      <c r="AL27" s="563"/>
      <c r="AM27" s="567"/>
      <c r="AN27" s="564"/>
      <c r="AO27" s="565"/>
      <c r="AP27" s="560"/>
      <c r="AQ27" s="561"/>
      <c r="AR27" s="562"/>
      <c r="AS27" s="561"/>
      <c r="AT27" s="563"/>
      <c r="AU27" s="567"/>
      <c r="AV27" s="564"/>
      <c r="AW27" s="565"/>
      <c r="AX27" s="560"/>
      <c r="AY27" s="561"/>
      <c r="AZ27" s="562"/>
      <c r="BA27" s="561"/>
      <c r="BB27" s="563"/>
      <c r="BC27" s="567"/>
      <c r="BD27" s="564"/>
      <c r="BE27" s="565"/>
      <c r="BF27" s="560"/>
      <c r="BG27" s="561"/>
      <c r="BH27" s="562"/>
      <c r="BI27" s="561"/>
      <c r="BJ27" s="563"/>
      <c r="BK27" s="567"/>
      <c r="BL27" s="564"/>
      <c r="BM27" s="565"/>
      <c r="BN27" s="560"/>
      <c r="BO27" s="561"/>
      <c r="BP27" s="562"/>
      <c r="BQ27" s="561"/>
      <c r="BR27" s="563"/>
      <c r="BS27" s="567"/>
      <c r="BT27" s="564"/>
      <c r="BU27" s="565"/>
      <c r="BV27" s="560"/>
      <c r="BW27" s="561"/>
      <c r="BX27" s="562"/>
      <c r="BY27" s="561"/>
      <c r="BZ27" s="563"/>
      <c r="CA27" s="567"/>
      <c r="CB27" s="564"/>
      <c r="CC27" s="565"/>
      <c r="CD27" s="560"/>
      <c r="CE27" s="561"/>
      <c r="CF27" s="562"/>
      <c r="CG27" s="561"/>
      <c r="CH27" s="563"/>
      <c r="CI27" s="564"/>
      <c r="CJ27" s="564"/>
      <c r="CK27" s="564"/>
      <c r="CL27" s="560"/>
      <c r="CM27" s="561"/>
      <c r="CN27" s="562"/>
      <c r="CO27" s="561"/>
      <c r="CP27" s="563"/>
      <c r="CQ27" s="564"/>
      <c r="CR27" s="564"/>
      <c r="CS27" s="564"/>
      <c r="CT27" s="560"/>
      <c r="CU27" s="561"/>
      <c r="CV27" s="562"/>
      <c r="CW27" s="561"/>
      <c r="CX27" s="563"/>
      <c r="CY27" s="564"/>
      <c r="CZ27" s="564"/>
      <c r="DA27" s="564"/>
      <c r="DB27" s="560"/>
      <c r="DC27" s="561"/>
      <c r="DD27" s="562"/>
      <c r="DE27" s="561"/>
      <c r="DF27" s="563"/>
      <c r="DG27" s="564"/>
      <c r="DH27" s="564"/>
      <c r="DI27" s="564"/>
      <c r="DJ27" s="560"/>
      <c r="DK27" s="561"/>
      <c r="DL27" s="562"/>
      <c r="DM27" s="561"/>
      <c r="DN27" s="563"/>
      <c r="DO27" s="564"/>
      <c r="DP27" s="564"/>
      <c r="DQ27" s="564"/>
      <c r="DR27" s="560"/>
      <c r="DS27" s="561"/>
      <c r="DT27" s="562"/>
      <c r="DU27" s="561"/>
      <c r="DV27" s="563"/>
      <c r="DW27" s="564"/>
      <c r="DX27" s="564"/>
      <c r="DY27" s="564"/>
      <c r="DZ27" s="560"/>
      <c r="EA27" s="561"/>
      <c r="EB27" s="562"/>
      <c r="EC27" s="561"/>
      <c r="ED27" s="563"/>
      <c r="EE27" s="564"/>
      <c r="EF27" s="564"/>
      <c r="EG27" s="564"/>
      <c r="EH27" s="560"/>
      <c r="EI27" s="561"/>
      <c r="EJ27" s="562"/>
      <c r="EK27" s="561"/>
      <c r="EL27" s="563"/>
      <c r="EM27" s="564"/>
      <c r="EN27" s="564"/>
      <c r="EO27" s="564"/>
      <c r="EP27" s="560"/>
      <c r="EQ27" s="561"/>
      <c r="ER27" s="562"/>
      <c r="ES27" s="561"/>
      <c r="ET27" s="563"/>
      <c r="EU27" s="564"/>
      <c r="EV27" s="564"/>
      <c r="EW27" s="564"/>
      <c r="EX27" s="560"/>
      <c r="EY27" s="561"/>
      <c r="EZ27" s="562"/>
      <c r="FA27" s="561"/>
      <c r="FB27" s="563"/>
      <c r="FC27" s="564"/>
      <c r="FD27" s="564"/>
      <c r="FE27" s="564"/>
      <c r="FF27" s="560"/>
      <c r="FG27" s="561"/>
      <c r="FH27" s="562"/>
      <c r="FI27" s="561"/>
      <c r="FJ27" s="563"/>
      <c r="FK27" s="564"/>
      <c r="FL27" s="564"/>
      <c r="FM27" s="564"/>
      <c r="FN27" s="560"/>
      <c r="FO27" s="561"/>
      <c r="FP27" s="562"/>
      <c r="FQ27" s="561"/>
      <c r="FR27" s="563"/>
      <c r="FS27" s="564"/>
      <c r="FT27" s="564"/>
      <c r="FU27" s="564"/>
      <c r="FV27" s="560"/>
      <c r="FW27" s="566"/>
      <c r="FX27" s="566"/>
      <c r="FY27" s="566"/>
      <c r="FZ27" s="563"/>
      <c r="GA27" s="564"/>
      <c r="GB27" s="564"/>
      <c r="GC27" s="564"/>
      <c r="GD27" s="560"/>
      <c r="GE27" s="566"/>
      <c r="GF27" s="566"/>
      <c r="GG27" s="566"/>
      <c r="GH27" s="563"/>
      <c r="GI27" s="564"/>
      <c r="GJ27" s="564"/>
      <c r="GK27" s="564"/>
      <c r="GL27" s="560"/>
      <c r="GM27" s="566"/>
      <c r="GN27" s="566"/>
      <c r="GO27" s="566"/>
      <c r="GP27" s="563"/>
      <c r="GQ27" s="564"/>
      <c r="GR27" s="564"/>
      <c r="GS27" s="564"/>
      <c r="GT27" s="560"/>
      <c r="GU27" s="566"/>
      <c r="GV27" s="566"/>
      <c r="GW27" s="566"/>
      <c r="GX27" s="563"/>
      <c r="GY27" s="564"/>
      <c r="GZ27" s="564"/>
      <c r="HA27" s="590"/>
      <c r="HB27" s="560"/>
      <c r="HC27" s="566"/>
      <c r="HD27" s="566"/>
      <c r="HE27" s="566"/>
      <c r="HF27" s="563"/>
      <c r="HG27" s="564"/>
      <c r="HH27" s="564"/>
      <c r="HI27" s="590"/>
      <c r="HJ27" s="560"/>
      <c r="HK27" s="566"/>
      <c r="HL27" s="566"/>
      <c r="HM27" s="566"/>
      <c r="HN27" s="563"/>
      <c r="HO27" s="564"/>
      <c r="HP27" s="564"/>
      <c r="HQ27" s="590"/>
      <c r="HR27" s="560"/>
      <c r="HS27" s="566"/>
      <c r="HT27" s="566"/>
      <c r="HU27" s="566"/>
    </row>
    <row r="28" spans="1:229" s="506" customFormat="1" ht="72.650000000000006" customHeight="1" x14ac:dyDescent="0.35">
      <c r="B28" s="544">
        <v>25</v>
      </c>
      <c r="C28" s="544" t="s">
        <v>46</v>
      </c>
      <c r="D28" s="545" t="s">
        <v>44</v>
      </c>
      <c r="E28" s="546" t="s">
        <v>111</v>
      </c>
      <c r="F28" s="546" t="s">
        <v>46</v>
      </c>
      <c r="G28" s="545" t="s">
        <v>46</v>
      </c>
      <c r="H28" s="547" t="s">
        <v>112</v>
      </c>
      <c r="I28" s="548" t="s">
        <v>46</v>
      </c>
      <c r="J28" s="548"/>
      <c r="K28" s="549" t="s">
        <v>46</v>
      </c>
      <c r="L28" s="549" t="s">
        <v>46</v>
      </c>
      <c r="M28" s="569" t="s">
        <v>102</v>
      </c>
      <c r="N28" s="551">
        <v>0</v>
      </c>
      <c r="O28" s="552">
        <v>29</v>
      </c>
      <c r="P28" s="553">
        <v>45930</v>
      </c>
      <c r="Q28" s="553"/>
      <c r="R28" s="554" t="s">
        <v>73</v>
      </c>
      <c r="S28" s="555">
        <f ca="1">IF(R28="Aprobado con comentarios / Emitir Rev_B", NETWORKDAYS(Q28,TODAY(),Hoja1!$C$3:$C$25),0)</f>
        <v>0</v>
      </c>
      <c r="T28" s="555">
        <f ca="1">IF(R28="Revisión INN",NETWORKDAYS(P28,TODAY(),Hoja1!$C$3:$C$25),0)</f>
        <v>0</v>
      </c>
      <c r="U28" s="556">
        <f t="shared" si="1"/>
        <v>1</v>
      </c>
      <c r="V28" s="557">
        <v>0</v>
      </c>
      <c r="W28" s="558">
        <v>29</v>
      </c>
      <c r="X28" s="558"/>
      <c r="Y28" s="559">
        <v>45930</v>
      </c>
      <c r="Z28" s="560"/>
      <c r="AA28" s="561"/>
      <c r="AB28" s="562"/>
      <c r="AC28" s="561"/>
      <c r="AD28" s="563"/>
      <c r="AE28" s="567"/>
      <c r="AF28" s="564"/>
      <c r="AG28" s="565"/>
      <c r="AH28" s="560"/>
      <c r="AI28" s="561"/>
      <c r="AJ28" s="562"/>
      <c r="AK28" s="561"/>
      <c r="AL28" s="563"/>
      <c r="AM28" s="567"/>
      <c r="AN28" s="564"/>
      <c r="AO28" s="565"/>
      <c r="AP28" s="560"/>
      <c r="AQ28" s="561"/>
      <c r="AR28" s="562"/>
      <c r="AS28" s="561"/>
      <c r="AT28" s="563"/>
      <c r="AU28" s="567"/>
      <c r="AV28" s="564"/>
      <c r="AW28" s="565"/>
      <c r="AX28" s="560"/>
      <c r="AY28" s="561"/>
      <c r="AZ28" s="562"/>
      <c r="BA28" s="561"/>
      <c r="BB28" s="563"/>
      <c r="BC28" s="567"/>
      <c r="BD28" s="564"/>
      <c r="BE28" s="565"/>
      <c r="BF28" s="560"/>
      <c r="BG28" s="561"/>
      <c r="BH28" s="562"/>
      <c r="BI28" s="561"/>
      <c r="BJ28" s="563"/>
      <c r="BK28" s="567"/>
      <c r="BL28" s="564"/>
      <c r="BM28" s="565"/>
      <c r="BN28" s="560"/>
      <c r="BO28" s="561"/>
      <c r="BP28" s="562"/>
      <c r="BQ28" s="561"/>
      <c r="BR28" s="563"/>
      <c r="BS28" s="567"/>
      <c r="BT28" s="564"/>
      <c r="BU28" s="565"/>
      <c r="BV28" s="560"/>
      <c r="BW28" s="561"/>
      <c r="BX28" s="562"/>
      <c r="BY28" s="561"/>
      <c r="BZ28" s="563"/>
      <c r="CA28" s="567"/>
      <c r="CB28" s="564"/>
      <c r="CC28" s="565"/>
      <c r="CD28" s="560"/>
      <c r="CE28" s="561"/>
      <c r="CF28" s="562"/>
      <c r="CG28" s="561"/>
      <c r="CH28" s="563"/>
      <c r="CI28" s="564"/>
      <c r="CJ28" s="564"/>
      <c r="CK28" s="564"/>
      <c r="CL28" s="560"/>
      <c r="CM28" s="561"/>
      <c r="CN28" s="562"/>
      <c r="CO28" s="561"/>
      <c r="CP28" s="563"/>
      <c r="CQ28" s="564"/>
      <c r="CR28" s="564"/>
      <c r="CS28" s="564"/>
      <c r="CT28" s="560"/>
      <c r="CU28" s="561"/>
      <c r="CV28" s="562"/>
      <c r="CW28" s="561"/>
      <c r="CX28" s="563"/>
      <c r="CY28" s="564"/>
      <c r="CZ28" s="564"/>
      <c r="DA28" s="564"/>
      <c r="DB28" s="560"/>
      <c r="DC28" s="561"/>
      <c r="DD28" s="562"/>
      <c r="DE28" s="561"/>
      <c r="DF28" s="563"/>
      <c r="DG28" s="564"/>
      <c r="DH28" s="564"/>
      <c r="DI28" s="564"/>
      <c r="DJ28" s="560"/>
      <c r="DK28" s="561"/>
      <c r="DL28" s="562"/>
      <c r="DM28" s="561"/>
      <c r="DN28" s="563"/>
      <c r="DO28" s="564"/>
      <c r="DP28" s="564"/>
      <c r="DQ28" s="564"/>
      <c r="DR28" s="560"/>
      <c r="DS28" s="561"/>
      <c r="DT28" s="562"/>
      <c r="DU28" s="561"/>
      <c r="DV28" s="563"/>
      <c r="DW28" s="564"/>
      <c r="DX28" s="564"/>
      <c r="DY28" s="564"/>
      <c r="DZ28" s="560"/>
      <c r="EA28" s="561"/>
      <c r="EB28" s="562"/>
      <c r="EC28" s="561"/>
      <c r="ED28" s="563"/>
      <c r="EE28" s="564"/>
      <c r="EF28" s="564"/>
      <c r="EG28" s="564"/>
      <c r="EH28" s="560"/>
      <c r="EI28" s="561"/>
      <c r="EJ28" s="562"/>
      <c r="EK28" s="561"/>
      <c r="EL28" s="563"/>
      <c r="EM28" s="564"/>
      <c r="EN28" s="564"/>
      <c r="EO28" s="564"/>
      <c r="EP28" s="560"/>
      <c r="EQ28" s="561"/>
      <c r="ER28" s="562"/>
      <c r="ES28" s="561"/>
      <c r="ET28" s="563"/>
      <c r="EU28" s="564"/>
      <c r="EV28" s="564"/>
      <c r="EW28" s="564"/>
      <c r="EX28" s="560"/>
      <c r="EY28" s="561"/>
      <c r="EZ28" s="562"/>
      <c r="FA28" s="561"/>
      <c r="FB28" s="563"/>
      <c r="FC28" s="564"/>
      <c r="FD28" s="564"/>
      <c r="FE28" s="564"/>
      <c r="FF28" s="560"/>
      <c r="FG28" s="561"/>
      <c r="FH28" s="562"/>
      <c r="FI28" s="561"/>
      <c r="FJ28" s="563"/>
      <c r="FK28" s="564"/>
      <c r="FL28" s="564"/>
      <c r="FM28" s="564"/>
      <c r="FN28" s="560"/>
      <c r="FO28" s="561"/>
      <c r="FP28" s="562"/>
      <c r="FQ28" s="561"/>
      <c r="FR28" s="563"/>
      <c r="FS28" s="564"/>
      <c r="FT28" s="564"/>
      <c r="FU28" s="564"/>
      <c r="FV28" s="560"/>
      <c r="FW28" s="566"/>
      <c r="FX28" s="566"/>
      <c r="FY28" s="566"/>
      <c r="FZ28" s="563"/>
      <c r="GA28" s="564"/>
      <c r="GB28" s="564"/>
      <c r="GC28" s="564"/>
      <c r="GD28" s="560"/>
      <c r="GE28" s="566"/>
      <c r="GF28" s="566"/>
      <c r="GG28" s="566"/>
      <c r="GH28" s="563"/>
      <c r="GI28" s="564"/>
      <c r="GJ28" s="564"/>
      <c r="GK28" s="564"/>
      <c r="GL28" s="560"/>
      <c r="GM28" s="566"/>
      <c r="GN28" s="566"/>
      <c r="GO28" s="566"/>
      <c r="GP28" s="563"/>
      <c r="GQ28" s="564"/>
      <c r="GR28" s="564"/>
      <c r="GS28" s="564"/>
      <c r="GT28" s="560"/>
      <c r="GU28" s="566"/>
      <c r="GV28" s="566"/>
      <c r="GW28" s="566"/>
      <c r="GX28" s="541"/>
      <c r="GY28" s="535"/>
      <c r="GZ28" s="542"/>
      <c r="HA28" s="543"/>
      <c r="HB28" s="541"/>
      <c r="HC28" s="535"/>
      <c r="HD28" s="542"/>
      <c r="HE28" s="543"/>
      <c r="HF28" s="541"/>
      <c r="HG28" s="535"/>
      <c r="HH28" s="542"/>
      <c r="HI28" s="543"/>
      <c r="HJ28" s="541"/>
      <c r="HK28" s="535"/>
      <c r="HL28" s="542"/>
      <c r="HM28" s="543"/>
      <c r="HN28" s="541"/>
      <c r="HO28" s="535"/>
      <c r="HP28" s="542"/>
      <c r="HQ28" s="543"/>
      <c r="HR28" s="541"/>
      <c r="HS28" s="535"/>
      <c r="HT28" s="542"/>
      <c r="HU28" s="543"/>
    </row>
    <row r="29" spans="1:229" s="506" customFormat="1" ht="72.650000000000006" customHeight="1" x14ac:dyDescent="0.35">
      <c r="B29" s="544">
        <v>26</v>
      </c>
      <c r="C29" s="544" t="s">
        <v>46</v>
      </c>
      <c r="D29" s="545" t="s">
        <v>44</v>
      </c>
      <c r="E29" s="546" t="s">
        <v>113</v>
      </c>
      <c r="F29" s="546" t="s">
        <v>46</v>
      </c>
      <c r="G29" s="545" t="s">
        <v>46</v>
      </c>
      <c r="H29" s="547" t="s">
        <v>114</v>
      </c>
      <c r="I29" s="548" t="s">
        <v>46</v>
      </c>
      <c r="J29" s="548"/>
      <c r="K29" s="549" t="s">
        <v>46</v>
      </c>
      <c r="L29" s="549" t="s">
        <v>46</v>
      </c>
      <c r="M29" s="569" t="s">
        <v>102</v>
      </c>
      <c r="N29" s="551">
        <v>0</v>
      </c>
      <c r="O29" s="552">
        <v>36</v>
      </c>
      <c r="P29" s="553">
        <v>45938</v>
      </c>
      <c r="Q29" s="553"/>
      <c r="R29" s="554" t="s">
        <v>73</v>
      </c>
      <c r="S29" s="555">
        <f ca="1">IF(R29="Aprobado con comentarios / Emitir Rev_B", NETWORKDAYS(Q29,TODAY(),Hoja1!$C$3:$C$25),0)</f>
        <v>0</v>
      </c>
      <c r="T29" s="555">
        <f ca="1">IF(R29="Revisión INN",NETWORKDAYS(P29,TODAY(),Hoja1!$C$3:$C$25),0)</f>
        <v>0</v>
      </c>
      <c r="U29" s="556">
        <f t="shared" si="1"/>
        <v>1</v>
      </c>
      <c r="V29" s="557">
        <v>0</v>
      </c>
      <c r="W29" s="558">
        <v>36</v>
      </c>
      <c r="X29" s="558"/>
      <c r="Y29" s="559">
        <v>45938</v>
      </c>
      <c r="Z29" s="560"/>
      <c r="AA29" s="561"/>
      <c r="AB29" s="562"/>
      <c r="AC29" s="561"/>
      <c r="AD29" s="563"/>
      <c r="AE29" s="567"/>
      <c r="AF29" s="564"/>
      <c r="AG29" s="565"/>
      <c r="AH29" s="560"/>
      <c r="AI29" s="561"/>
      <c r="AJ29" s="562"/>
      <c r="AK29" s="561"/>
      <c r="AL29" s="563"/>
      <c r="AM29" s="567"/>
      <c r="AN29" s="564"/>
      <c r="AO29" s="565"/>
      <c r="AP29" s="560"/>
      <c r="AQ29" s="561"/>
      <c r="AR29" s="562"/>
      <c r="AS29" s="561"/>
      <c r="AT29" s="563"/>
      <c r="AU29" s="567"/>
      <c r="AV29" s="564"/>
      <c r="AW29" s="565"/>
      <c r="AX29" s="560"/>
      <c r="AY29" s="561"/>
      <c r="AZ29" s="562"/>
      <c r="BA29" s="561"/>
      <c r="BB29" s="563"/>
      <c r="BC29" s="567"/>
      <c r="BD29" s="564"/>
      <c r="BE29" s="565"/>
      <c r="BF29" s="560"/>
      <c r="BG29" s="561"/>
      <c r="BH29" s="562"/>
      <c r="BI29" s="561"/>
      <c r="BJ29" s="563"/>
      <c r="BK29" s="567"/>
      <c r="BL29" s="564"/>
      <c r="BM29" s="565"/>
      <c r="BN29" s="560"/>
      <c r="BO29" s="561"/>
      <c r="BP29" s="562"/>
      <c r="BQ29" s="561"/>
      <c r="BR29" s="563"/>
      <c r="BS29" s="567"/>
      <c r="BT29" s="564"/>
      <c r="BU29" s="565"/>
      <c r="BV29" s="560"/>
      <c r="BW29" s="561"/>
      <c r="BX29" s="562"/>
      <c r="BY29" s="561"/>
      <c r="BZ29" s="563"/>
      <c r="CA29" s="567"/>
      <c r="CB29" s="564"/>
      <c r="CC29" s="565"/>
      <c r="CD29" s="560"/>
      <c r="CE29" s="561"/>
      <c r="CF29" s="562"/>
      <c r="CG29" s="561"/>
      <c r="CH29" s="563"/>
      <c r="CI29" s="564"/>
      <c r="CJ29" s="564"/>
      <c r="CK29" s="564"/>
      <c r="CL29" s="560"/>
      <c r="CM29" s="561"/>
      <c r="CN29" s="562"/>
      <c r="CO29" s="561"/>
      <c r="CP29" s="563"/>
      <c r="CQ29" s="564"/>
      <c r="CR29" s="564"/>
      <c r="CS29" s="564"/>
      <c r="CT29" s="560"/>
      <c r="CU29" s="561"/>
      <c r="CV29" s="562"/>
      <c r="CW29" s="561"/>
      <c r="CX29" s="563"/>
      <c r="CY29" s="564"/>
      <c r="CZ29" s="564"/>
      <c r="DA29" s="564"/>
      <c r="DB29" s="560"/>
      <c r="DC29" s="561"/>
      <c r="DD29" s="562"/>
      <c r="DE29" s="561"/>
      <c r="DF29" s="563"/>
      <c r="DG29" s="564"/>
      <c r="DH29" s="564"/>
      <c r="DI29" s="564"/>
      <c r="DJ29" s="560"/>
      <c r="DK29" s="561"/>
      <c r="DL29" s="562"/>
      <c r="DM29" s="561"/>
      <c r="DN29" s="563"/>
      <c r="DO29" s="564"/>
      <c r="DP29" s="564"/>
      <c r="DQ29" s="564"/>
      <c r="DR29" s="560"/>
      <c r="DS29" s="561"/>
      <c r="DT29" s="562"/>
      <c r="DU29" s="561"/>
      <c r="DV29" s="563"/>
      <c r="DW29" s="564"/>
      <c r="DX29" s="564"/>
      <c r="DY29" s="564"/>
      <c r="DZ29" s="560"/>
      <c r="EA29" s="561"/>
      <c r="EB29" s="562"/>
      <c r="EC29" s="561"/>
      <c r="ED29" s="563"/>
      <c r="EE29" s="564"/>
      <c r="EF29" s="564"/>
      <c r="EG29" s="564"/>
      <c r="EH29" s="560"/>
      <c r="EI29" s="561"/>
      <c r="EJ29" s="562"/>
      <c r="EK29" s="561"/>
      <c r="EL29" s="563"/>
      <c r="EM29" s="564"/>
      <c r="EN29" s="564"/>
      <c r="EO29" s="564"/>
      <c r="EP29" s="560"/>
      <c r="EQ29" s="561"/>
      <c r="ER29" s="562"/>
      <c r="ES29" s="561"/>
      <c r="ET29" s="563"/>
      <c r="EU29" s="564"/>
      <c r="EV29" s="564"/>
      <c r="EW29" s="564"/>
      <c r="EX29" s="560"/>
      <c r="EY29" s="561"/>
      <c r="EZ29" s="562"/>
      <c r="FA29" s="561"/>
      <c r="FB29" s="563"/>
      <c r="FC29" s="564"/>
      <c r="FD29" s="564"/>
      <c r="FE29" s="564"/>
      <c r="FF29" s="560"/>
      <c r="FG29" s="561"/>
      <c r="FH29" s="562"/>
      <c r="FI29" s="561"/>
      <c r="FJ29" s="563"/>
      <c r="FK29" s="564"/>
      <c r="FL29" s="564"/>
      <c r="FM29" s="564"/>
      <c r="FN29" s="560"/>
      <c r="FO29" s="561"/>
      <c r="FP29" s="562"/>
      <c r="FQ29" s="561"/>
      <c r="FR29" s="563"/>
      <c r="FS29" s="564"/>
      <c r="FT29" s="564"/>
      <c r="FU29" s="564"/>
      <c r="FV29" s="560"/>
      <c r="FW29" s="566"/>
      <c r="FX29" s="566"/>
      <c r="FY29" s="566"/>
      <c r="FZ29" s="563"/>
      <c r="GA29" s="564"/>
      <c r="GB29" s="564"/>
      <c r="GC29" s="564"/>
      <c r="GD29" s="560"/>
      <c r="GE29" s="566"/>
      <c r="GF29" s="566"/>
      <c r="GG29" s="566"/>
      <c r="GH29" s="563"/>
      <c r="GI29" s="564"/>
      <c r="GJ29" s="564"/>
      <c r="GK29" s="564"/>
      <c r="GL29" s="560"/>
      <c r="GM29" s="566"/>
      <c r="GN29" s="566"/>
      <c r="GO29" s="566"/>
      <c r="GP29" s="563"/>
      <c r="GQ29" s="564"/>
      <c r="GR29" s="564"/>
      <c r="GS29" s="564"/>
      <c r="GT29" s="560"/>
      <c r="GU29" s="566"/>
      <c r="GV29" s="566"/>
      <c r="GW29" s="566"/>
      <c r="GX29" s="563"/>
      <c r="GY29" s="564"/>
      <c r="GZ29" s="564"/>
      <c r="HA29" s="590"/>
      <c r="HB29" s="560"/>
      <c r="HC29" s="566"/>
      <c r="HD29" s="566"/>
      <c r="HE29" s="566"/>
      <c r="HF29" s="563"/>
      <c r="HG29" s="564"/>
      <c r="HH29" s="564"/>
      <c r="HI29" s="590"/>
      <c r="HJ29" s="560"/>
      <c r="HK29" s="566"/>
      <c r="HL29" s="566"/>
      <c r="HM29" s="566"/>
      <c r="HN29" s="563"/>
      <c r="HO29" s="564"/>
      <c r="HP29" s="564"/>
      <c r="HQ29" s="590"/>
      <c r="HR29" s="560"/>
      <c r="HS29" s="566"/>
      <c r="HT29" s="566"/>
      <c r="HU29" s="566"/>
    </row>
    <row r="30" spans="1:229" s="506" customFormat="1" ht="24.65" customHeight="1" x14ac:dyDescent="0.35">
      <c r="B30" s="544">
        <v>27</v>
      </c>
      <c r="C30" s="544" t="s">
        <v>46</v>
      </c>
      <c r="D30" s="545" t="s">
        <v>44</v>
      </c>
      <c r="E30" s="545" t="s">
        <v>115</v>
      </c>
      <c r="F30" s="546" t="s">
        <v>46</v>
      </c>
      <c r="G30" s="545" t="s">
        <v>46</v>
      </c>
      <c r="H30" s="547" t="s">
        <v>116</v>
      </c>
      <c r="I30" s="548" t="s">
        <v>46</v>
      </c>
      <c r="J30" s="548"/>
      <c r="K30" s="549" t="s">
        <v>46</v>
      </c>
      <c r="L30" s="549"/>
      <c r="M30" s="569" t="s">
        <v>117</v>
      </c>
      <c r="N30" s="551">
        <v>0</v>
      </c>
      <c r="O30" s="552">
        <v>16</v>
      </c>
      <c r="P30" s="553">
        <v>45890</v>
      </c>
      <c r="Q30" s="553">
        <v>45912</v>
      </c>
      <c r="R30" s="554" t="s">
        <v>118</v>
      </c>
      <c r="S30" s="555">
        <f ca="1">IF(R30="Aprobado con comentarios / Emitir en Rev_0", NETWORKDAYS(Q30,TODAY(),Hoja1!$C$3:$C$25),0)</f>
        <v>0</v>
      </c>
      <c r="T30" s="555">
        <f ca="1">IF(R30="Revisión INN",NETWORKDAYS(P30,TODAY(),Hoja1!$C$3:$C$25),0)</f>
        <v>0</v>
      </c>
      <c r="U30" s="556">
        <f t="shared" si="1"/>
        <v>1</v>
      </c>
      <c r="V30" s="557">
        <v>0</v>
      </c>
      <c r="W30" s="558">
        <v>3</v>
      </c>
      <c r="X30" s="558"/>
      <c r="Y30" s="559">
        <v>45890</v>
      </c>
      <c r="Z30" s="560">
        <v>16</v>
      </c>
      <c r="AA30" s="561">
        <v>45912</v>
      </c>
      <c r="AB30" s="562">
        <f>AA30-Y30</f>
        <v>22</v>
      </c>
      <c r="AC30" s="561" t="s">
        <v>118</v>
      </c>
      <c r="AD30" s="563"/>
      <c r="AE30" s="567"/>
      <c r="AF30" s="564"/>
      <c r="AG30" s="565"/>
      <c r="AH30" s="560"/>
      <c r="AI30" s="561"/>
      <c r="AJ30" s="562"/>
      <c r="AK30" s="561"/>
      <c r="AL30" s="563"/>
      <c r="AM30" s="567"/>
      <c r="AN30" s="564"/>
      <c r="AO30" s="565"/>
      <c r="AP30" s="560"/>
      <c r="AQ30" s="561"/>
      <c r="AR30" s="562"/>
      <c r="AS30" s="561"/>
      <c r="AT30" s="563"/>
      <c r="AU30" s="567"/>
      <c r="AV30" s="564"/>
      <c r="AW30" s="565"/>
      <c r="AX30" s="560"/>
      <c r="AY30" s="561"/>
      <c r="AZ30" s="562"/>
      <c r="BA30" s="561"/>
      <c r="BB30" s="563"/>
      <c r="BC30" s="567"/>
      <c r="BD30" s="564"/>
      <c r="BE30" s="565"/>
      <c r="BF30" s="560"/>
      <c r="BG30" s="561"/>
      <c r="BH30" s="562"/>
      <c r="BI30" s="561"/>
      <c r="BJ30" s="563"/>
      <c r="BK30" s="567"/>
      <c r="BL30" s="564"/>
      <c r="BM30" s="565"/>
      <c r="BN30" s="560"/>
      <c r="BO30" s="561"/>
      <c r="BP30" s="562"/>
      <c r="BQ30" s="561"/>
      <c r="BR30" s="563"/>
      <c r="BS30" s="567"/>
      <c r="BT30" s="564"/>
      <c r="BU30" s="565"/>
      <c r="BV30" s="560"/>
      <c r="BW30" s="561"/>
      <c r="BX30" s="562"/>
      <c r="BY30" s="561"/>
      <c r="BZ30" s="563"/>
      <c r="CA30" s="567"/>
      <c r="CB30" s="564"/>
      <c r="CC30" s="565"/>
      <c r="CD30" s="560"/>
      <c r="CE30" s="561"/>
      <c r="CF30" s="562"/>
      <c r="CG30" s="561"/>
      <c r="CH30" s="563"/>
      <c r="CI30" s="564"/>
      <c r="CJ30" s="564"/>
      <c r="CK30" s="564"/>
      <c r="CL30" s="560"/>
      <c r="CM30" s="561"/>
      <c r="CN30" s="562"/>
      <c r="CO30" s="561"/>
      <c r="CP30" s="563"/>
      <c r="CQ30" s="564"/>
      <c r="CR30" s="564"/>
      <c r="CS30" s="564"/>
      <c r="CT30" s="560"/>
      <c r="CU30" s="561"/>
      <c r="CV30" s="562"/>
      <c r="CW30" s="561"/>
      <c r="CX30" s="563"/>
      <c r="CY30" s="564"/>
      <c r="CZ30" s="564"/>
      <c r="DA30" s="564"/>
      <c r="DB30" s="560"/>
      <c r="DC30" s="561"/>
      <c r="DD30" s="562"/>
      <c r="DE30" s="561"/>
      <c r="DF30" s="563"/>
      <c r="DG30" s="564"/>
      <c r="DH30" s="564"/>
      <c r="DI30" s="564"/>
      <c r="DJ30" s="560"/>
      <c r="DK30" s="561"/>
      <c r="DL30" s="562"/>
      <c r="DM30" s="561"/>
      <c r="DN30" s="563"/>
      <c r="DO30" s="564"/>
      <c r="DP30" s="564"/>
      <c r="DQ30" s="564"/>
      <c r="DR30" s="560"/>
      <c r="DS30" s="561"/>
      <c r="DT30" s="562"/>
      <c r="DU30" s="561"/>
      <c r="DV30" s="563"/>
      <c r="DW30" s="564"/>
      <c r="DX30" s="564"/>
      <c r="DY30" s="564"/>
      <c r="DZ30" s="560"/>
      <c r="EA30" s="561"/>
      <c r="EB30" s="562"/>
      <c r="EC30" s="561"/>
      <c r="ED30" s="563"/>
      <c r="EE30" s="564"/>
      <c r="EF30" s="564"/>
      <c r="EG30" s="564"/>
      <c r="EH30" s="560"/>
      <c r="EI30" s="561"/>
      <c r="EJ30" s="562"/>
      <c r="EK30" s="561"/>
      <c r="EL30" s="563"/>
      <c r="EM30" s="564"/>
      <c r="EN30" s="564"/>
      <c r="EO30" s="564"/>
      <c r="EP30" s="560"/>
      <c r="EQ30" s="561"/>
      <c r="ER30" s="562"/>
      <c r="ES30" s="561"/>
      <c r="ET30" s="563"/>
      <c r="EU30" s="564"/>
      <c r="EV30" s="564"/>
      <c r="EW30" s="564"/>
      <c r="EX30" s="560"/>
      <c r="EY30" s="561"/>
      <c r="EZ30" s="562"/>
      <c r="FA30" s="561"/>
      <c r="FB30" s="563"/>
      <c r="FC30" s="564"/>
      <c r="FD30" s="564"/>
      <c r="FE30" s="564"/>
      <c r="FF30" s="560"/>
      <c r="FG30" s="561"/>
      <c r="FH30" s="562"/>
      <c r="FI30" s="561"/>
      <c r="FJ30" s="563"/>
      <c r="FK30" s="564"/>
      <c r="FL30" s="564"/>
      <c r="FM30" s="564"/>
      <c r="FN30" s="560"/>
      <c r="FO30" s="561"/>
      <c r="FP30" s="562"/>
      <c r="FQ30" s="561"/>
      <c r="FR30" s="563"/>
      <c r="FS30" s="564"/>
      <c r="FT30" s="564"/>
      <c r="FU30" s="564"/>
      <c r="FV30" s="560"/>
      <c r="FW30" s="566"/>
      <c r="FX30" s="566"/>
      <c r="FY30" s="566"/>
      <c r="FZ30" s="563"/>
      <c r="GA30" s="564"/>
      <c r="GB30" s="564"/>
      <c r="GC30" s="564"/>
      <c r="GD30" s="560"/>
      <c r="GE30" s="566"/>
      <c r="GF30" s="566"/>
      <c r="GG30" s="566"/>
      <c r="GH30" s="563"/>
      <c r="GI30" s="564"/>
      <c r="GJ30" s="564"/>
      <c r="GK30" s="564"/>
      <c r="GL30" s="560"/>
      <c r="GM30" s="566"/>
      <c r="GN30" s="566"/>
      <c r="GO30" s="566"/>
      <c r="GP30" s="563"/>
      <c r="GQ30" s="564"/>
      <c r="GR30" s="564"/>
      <c r="GS30" s="564"/>
      <c r="GT30" s="560"/>
      <c r="GU30" s="566"/>
      <c r="GV30" s="566"/>
      <c r="GW30" s="566"/>
      <c r="GX30" s="563"/>
      <c r="GY30" s="564"/>
      <c r="GZ30" s="564"/>
      <c r="HA30" s="590"/>
      <c r="HB30" s="560"/>
      <c r="HC30" s="566"/>
      <c r="HD30" s="566"/>
      <c r="HE30" s="566"/>
      <c r="HF30" s="563"/>
      <c r="HG30" s="564"/>
      <c r="HH30" s="564"/>
      <c r="HI30" s="590"/>
      <c r="HJ30" s="560"/>
      <c r="HK30" s="566"/>
      <c r="HL30" s="566"/>
      <c r="HM30" s="566"/>
      <c r="HN30" s="563"/>
      <c r="HO30" s="564"/>
      <c r="HP30" s="564"/>
      <c r="HQ30" s="590"/>
      <c r="HR30" s="560"/>
      <c r="HS30" s="566"/>
      <c r="HT30" s="566"/>
      <c r="HU30" s="566"/>
    </row>
    <row r="31" spans="1:229" s="571" customFormat="1" ht="90.65" customHeight="1" thickBot="1" x14ac:dyDescent="0.4">
      <c r="A31" s="506"/>
      <c r="B31" s="544">
        <v>111</v>
      </c>
      <c r="C31" s="544" t="s">
        <v>46</v>
      </c>
      <c r="D31" s="545" t="s">
        <v>59</v>
      </c>
      <c r="E31" s="545" t="s">
        <v>119</v>
      </c>
      <c r="F31" s="546" t="s">
        <v>120</v>
      </c>
      <c r="G31" s="546" t="s">
        <v>121</v>
      </c>
      <c r="H31" s="547" t="s">
        <v>122</v>
      </c>
      <c r="I31" s="568"/>
      <c r="J31" s="568"/>
      <c r="K31" s="568"/>
      <c r="L31" s="549"/>
      <c r="M31" s="569" t="s">
        <v>123</v>
      </c>
      <c r="N31" s="551">
        <v>0</v>
      </c>
      <c r="O31" s="552">
        <v>124</v>
      </c>
      <c r="P31" s="553">
        <v>46029</v>
      </c>
      <c r="Q31" s="554">
        <v>46050</v>
      </c>
      <c r="R31" s="554" t="s">
        <v>124</v>
      </c>
      <c r="S31" s="555">
        <f ca="1">IF(R31="Aprobado / Emitir Rev_1", NETWORKDAYS(Q31,TODAY(),Hoja1!$C$3:$C$25),0)</f>
        <v>57</v>
      </c>
      <c r="T31" s="555">
        <f ca="1">IF(R31="Revisión INN",NETWORKDAYS(P31,TODAY(),Hoja1!$C$3:$C$25),0)</f>
        <v>0</v>
      </c>
      <c r="U31" s="556">
        <f t="shared" si="1"/>
        <v>4</v>
      </c>
      <c r="V31" s="557" t="s">
        <v>125</v>
      </c>
      <c r="W31" s="558">
        <v>52</v>
      </c>
      <c r="X31" s="558"/>
      <c r="Y31" s="559">
        <v>45953</v>
      </c>
      <c r="Z31" s="560">
        <v>66</v>
      </c>
      <c r="AA31" s="561">
        <v>45987</v>
      </c>
      <c r="AB31" s="562"/>
      <c r="AC31" s="561" t="s">
        <v>126</v>
      </c>
      <c r="AD31" s="563">
        <v>0</v>
      </c>
      <c r="AE31" s="567">
        <v>94</v>
      </c>
      <c r="AF31" s="564"/>
      <c r="AG31" s="565">
        <v>45994</v>
      </c>
      <c r="AH31" s="560">
        <v>94</v>
      </c>
      <c r="AI31" s="561">
        <v>45995</v>
      </c>
      <c r="AJ31" s="562"/>
      <c r="AK31" s="561" t="s">
        <v>127</v>
      </c>
      <c r="AL31" s="563" t="s">
        <v>63</v>
      </c>
      <c r="AM31" s="567">
        <v>96</v>
      </c>
      <c r="AN31" s="564" t="s">
        <v>62</v>
      </c>
      <c r="AO31" s="565">
        <v>45995</v>
      </c>
      <c r="AP31" s="560">
        <v>89</v>
      </c>
      <c r="AQ31" s="561">
        <v>46014</v>
      </c>
      <c r="AR31" s="562"/>
      <c r="AS31" s="561" t="s">
        <v>128</v>
      </c>
      <c r="AT31" s="563">
        <v>0</v>
      </c>
      <c r="AU31" s="567">
        <v>130</v>
      </c>
      <c r="AV31" s="564"/>
      <c r="AW31" s="565">
        <v>46029</v>
      </c>
      <c r="AX31" s="589">
        <v>124</v>
      </c>
      <c r="AY31" s="593">
        <v>46050</v>
      </c>
      <c r="AZ31" s="562"/>
      <c r="BA31" s="593" t="s">
        <v>129</v>
      </c>
      <c r="BB31" s="563"/>
      <c r="BC31" s="567"/>
      <c r="BD31" s="564"/>
      <c r="BE31" s="565"/>
      <c r="BF31" s="560"/>
      <c r="BG31" s="561"/>
      <c r="BH31" s="562"/>
      <c r="BI31" s="561"/>
      <c r="BJ31" s="563"/>
      <c r="BK31" s="567"/>
      <c r="BL31" s="564"/>
      <c r="BM31" s="565"/>
      <c r="BN31" s="560"/>
      <c r="BO31" s="561"/>
      <c r="BP31" s="562"/>
      <c r="BQ31" s="561"/>
      <c r="BR31" s="563"/>
      <c r="BS31" s="567"/>
      <c r="BT31" s="564"/>
      <c r="BU31" s="565"/>
      <c r="BV31" s="560"/>
      <c r="BW31" s="561"/>
      <c r="BX31" s="562"/>
      <c r="BY31" s="561"/>
      <c r="BZ31" s="563"/>
      <c r="CA31" s="567"/>
      <c r="CB31" s="564"/>
      <c r="CC31" s="565"/>
      <c r="CD31" s="560"/>
      <c r="CE31" s="561"/>
      <c r="CF31" s="562"/>
      <c r="CG31" s="561"/>
      <c r="CH31" s="563"/>
      <c r="CI31" s="564"/>
      <c r="CJ31" s="564"/>
      <c r="CK31" s="564"/>
      <c r="CL31" s="560"/>
      <c r="CM31" s="561"/>
      <c r="CN31" s="562"/>
      <c r="CO31" s="561"/>
      <c r="CP31" s="563"/>
      <c r="CQ31" s="564"/>
      <c r="CR31" s="564"/>
      <c r="CS31" s="564"/>
      <c r="CT31" s="560"/>
      <c r="CU31" s="561"/>
      <c r="CV31" s="562"/>
      <c r="CW31" s="561"/>
      <c r="CX31" s="563"/>
      <c r="CY31" s="564"/>
      <c r="CZ31" s="564"/>
      <c r="DA31" s="564"/>
      <c r="DB31" s="560"/>
      <c r="DC31" s="561"/>
      <c r="DD31" s="562"/>
      <c r="DE31" s="561"/>
      <c r="DF31" s="563"/>
      <c r="DG31" s="564"/>
      <c r="DH31" s="564"/>
      <c r="DI31" s="564"/>
      <c r="DJ31" s="560"/>
      <c r="DK31" s="561"/>
      <c r="DL31" s="562"/>
      <c r="DM31" s="561"/>
      <c r="DN31" s="563"/>
      <c r="DO31" s="564"/>
      <c r="DP31" s="564"/>
      <c r="DQ31" s="564"/>
      <c r="DR31" s="560"/>
      <c r="DS31" s="561"/>
      <c r="DT31" s="562"/>
      <c r="DU31" s="561"/>
      <c r="DV31" s="563"/>
      <c r="DW31" s="564"/>
      <c r="DX31" s="564"/>
      <c r="DY31" s="564"/>
      <c r="DZ31" s="560"/>
      <c r="EA31" s="561"/>
      <c r="EB31" s="562"/>
      <c r="EC31" s="561"/>
      <c r="ED31" s="563"/>
      <c r="EE31" s="564"/>
      <c r="EF31" s="564"/>
      <c r="EG31" s="564"/>
      <c r="EH31" s="560"/>
      <c r="EI31" s="561"/>
      <c r="EJ31" s="562"/>
      <c r="EK31" s="561"/>
      <c r="EL31" s="563"/>
      <c r="EM31" s="564"/>
      <c r="EN31" s="564"/>
      <c r="EO31" s="564"/>
      <c r="EP31" s="560"/>
      <c r="EQ31" s="561"/>
      <c r="ER31" s="562"/>
      <c r="ES31" s="561"/>
      <c r="ET31" s="563"/>
      <c r="EU31" s="564"/>
      <c r="EV31" s="564"/>
      <c r="EW31" s="564"/>
      <c r="EX31" s="560"/>
      <c r="EY31" s="561"/>
      <c r="EZ31" s="562"/>
      <c r="FA31" s="561"/>
      <c r="FB31" s="563"/>
      <c r="FC31" s="564"/>
      <c r="FD31" s="564"/>
      <c r="FE31" s="564"/>
      <c r="FF31" s="560"/>
      <c r="FG31" s="561"/>
      <c r="FH31" s="562"/>
      <c r="FI31" s="561"/>
      <c r="FJ31" s="563"/>
      <c r="FK31" s="564"/>
      <c r="FL31" s="564"/>
      <c r="FM31" s="564"/>
      <c r="FN31" s="560"/>
      <c r="FO31" s="561"/>
      <c r="FP31" s="562"/>
      <c r="FQ31" s="561"/>
      <c r="FR31" s="563"/>
      <c r="FS31" s="564"/>
      <c r="FT31" s="564"/>
      <c r="FU31" s="564"/>
      <c r="FV31" s="560"/>
      <c r="FW31" s="566"/>
      <c r="FX31" s="566"/>
      <c r="FY31" s="566"/>
      <c r="FZ31" s="563"/>
      <c r="GA31" s="564"/>
      <c r="GB31" s="564"/>
      <c r="GC31" s="564"/>
      <c r="GD31" s="560"/>
      <c r="GE31" s="566"/>
      <c r="GF31" s="566"/>
      <c r="GG31" s="566"/>
      <c r="GH31" s="563"/>
      <c r="GI31" s="564"/>
      <c r="GJ31" s="564"/>
      <c r="GK31" s="564"/>
      <c r="GL31" s="560"/>
      <c r="GM31" s="566"/>
      <c r="GN31" s="566"/>
      <c r="GO31" s="566"/>
      <c r="GP31" s="563"/>
      <c r="GQ31" s="564"/>
      <c r="GR31" s="564"/>
      <c r="GS31" s="564"/>
      <c r="GT31" s="560"/>
      <c r="GU31" s="566"/>
      <c r="GV31" s="566"/>
      <c r="GW31" s="566"/>
      <c r="GX31" s="563"/>
      <c r="GY31" s="564"/>
      <c r="GZ31" s="564"/>
      <c r="HA31" s="590"/>
      <c r="HB31" s="560"/>
      <c r="HC31" s="566"/>
      <c r="HD31" s="566"/>
      <c r="HE31" s="566"/>
      <c r="HF31" s="563"/>
      <c r="HG31" s="564"/>
      <c r="HH31" s="564"/>
      <c r="HI31" s="590"/>
      <c r="HJ31" s="560"/>
      <c r="HK31" s="566"/>
      <c r="HL31" s="566"/>
      <c r="HM31" s="566"/>
      <c r="HN31" s="563"/>
      <c r="HO31" s="564"/>
      <c r="HP31" s="564"/>
      <c r="HQ31" s="590"/>
      <c r="HR31" s="560"/>
      <c r="HS31" s="566"/>
      <c r="HT31" s="566"/>
      <c r="HU31" s="566"/>
    </row>
    <row r="32" spans="1:229" s="571" customFormat="1" ht="28.5" customHeight="1" x14ac:dyDescent="0.35">
      <c r="A32" s="506"/>
      <c r="B32" s="544">
        <v>29</v>
      </c>
      <c r="C32" s="544" t="s">
        <v>46</v>
      </c>
      <c r="D32" s="545" t="s">
        <v>44</v>
      </c>
      <c r="E32" s="545" t="s">
        <v>130</v>
      </c>
      <c r="F32" s="546" t="s">
        <v>46</v>
      </c>
      <c r="G32" s="546" t="s">
        <v>46</v>
      </c>
      <c r="H32" s="547" t="s">
        <v>131</v>
      </c>
      <c r="I32" s="548" t="s">
        <v>86</v>
      </c>
      <c r="J32" s="548"/>
      <c r="K32" s="568" t="s">
        <v>86</v>
      </c>
      <c r="L32" s="708"/>
      <c r="M32" s="569" t="s">
        <v>132</v>
      </c>
      <c r="N32" s="551">
        <v>1</v>
      </c>
      <c r="O32" s="552">
        <v>79</v>
      </c>
      <c r="P32" s="553">
        <v>45929</v>
      </c>
      <c r="Q32" s="553">
        <v>46007</v>
      </c>
      <c r="R32" s="554" t="s">
        <v>67</v>
      </c>
      <c r="S32" s="555">
        <f ca="1">IF(R32="Aprobado con comentarios / Emitir en Rev_0", NETWORKDAYS(Q32,TODAY(),Hoja1!$C$3:$C$25),0)</f>
        <v>0</v>
      </c>
      <c r="T32" s="555">
        <f ca="1">IF(R32="Revisión INN",NETWORKDAYS(P32,TODAY(),Hoja1!$C$3:$C$25),0)</f>
        <v>0</v>
      </c>
      <c r="U32" s="556">
        <f t="shared" si="1"/>
        <v>2</v>
      </c>
      <c r="V32" s="557">
        <v>0</v>
      </c>
      <c r="W32" s="558">
        <v>11</v>
      </c>
      <c r="X32" s="558"/>
      <c r="Y32" s="559">
        <v>45904</v>
      </c>
      <c r="Z32" s="560">
        <v>14</v>
      </c>
      <c r="AA32" s="561">
        <v>45911</v>
      </c>
      <c r="AB32" s="562">
        <f>AA32-Y32</f>
        <v>7</v>
      </c>
      <c r="AC32" s="561" t="s">
        <v>67</v>
      </c>
      <c r="AD32" s="563">
        <v>1</v>
      </c>
      <c r="AE32" s="567">
        <v>27</v>
      </c>
      <c r="AF32" s="564">
        <f>AG32-AA32</f>
        <v>18</v>
      </c>
      <c r="AG32" s="565">
        <v>45929</v>
      </c>
      <c r="AH32" s="560">
        <v>79</v>
      </c>
      <c r="AI32" s="561">
        <v>46007</v>
      </c>
      <c r="AJ32" s="562"/>
      <c r="AK32" s="561" t="s">
        <v>133</v>
      </c>
      <c r="AL32" s="563"/>
      <c r="AM32" s="567"/>
      <c r="AN32" s="564"/>
      <c r="AO32" s="565"/>
      <c r="AP32" s="560"/>
      <c r="AQ32" s="561"/>
      <c r="AR32" s="562"/>
      <c r="AS32" s="561"/>
      <c r="AT32" s="563"/>
      <c r="AU32" s="567"/>
      <c r="AV32" s="564"/>
      <c r="AW32" s="565"/>
      <c r="AX32" s="560"/>
      <c r="AY32" s="561"/>
      <c r="AZ32" s="562"/>
      <c r="BA32" s="561"/>
      <c r="BB32" s="563"/>
      <c r="BC32" s="567"/>
      <c r="BD32" s="564"/>
      <c r="BE32" s="565"/>
      <c r="BF32" s="560"/>
      <c r="BG32" s="561"/>
      <c r="BH32" s="562"/>
      <c r="BI32" s="561"/>
      <c r="BJ32" s="563"/>
      <c r="BK32" s="567"/>
      <c r="BL32" s="564"/>
      <c r="BM32" s="565"/>
      <c r="BN32" s="560"/>
      <c r="BO32" s="561"/>
      <c r="BP32" s="562"/>
      <c r="BQ32" s="561"/>
      <c r="BR32" s="563"/>
      <c r="BS32" s="567"/>
      <c r="BT32" s="564"/>
      <c r="BU32" s="565"/>
      <c r="BV32" s="560"/>
      <c r="BW32" s="561"/>
      <c r="BX32" s="562"/>
      <c r="BY32" s="561"/>
      <c r="BZ32" s="563"/>
      <c r="CA32" s="567"/>
      <c r="CB32" s="564"/>
      <c r="CC32" s="565"/>
      <c r="CD32" s="560"/>
      <c r="CE32" s="561"/>
      <c r="CF32" s="562"/>
      <c r="CG32" s="561"/>
      <c r="CH32" s="563"/>
      <c r="CI32" s="564"/>
      <c r="CJ32" s="564"/>
      <c r="CK32" s="564"/>
      <c r="CL32" s="560"/>
      <c r="CM32" s="561"/>
      <c r="CN32" s="562"/>
      <c r="CO32" s="561"/>
      <c r="CP32" s="563"/>
      <c r="CQ32" s="564"/>
      <c r="CR32" s="564"/>
      <c r="CS32" s="564"/>
      <c r="CT32" s="560"/>
      <c r="CU32" s="561"/>
      <c r="CV32" s="562"/>
      <c r="CW32" s="561"/>
      <c r="CX32" s="563"/>
      <c r="CY32" s="564"/>
      <c r="CZ32" s="564"/>
      <c r="DA32" s="564"/>
      <c r="DB32" s="560"/>
      <c r="DC32" s="561"/>
      <c r="DD32" s="562"/>
      <c r="DE32" s="561"/>
      <c r="DF32" s="563"/>
      <c r="DG32" s="564"/>
      <c r="DH32" s="564"/>
      <c r="DI32" s="564"/>
      <c r="DJ32" s="560"/>
      <c r="DK32" s="561"/>
      <c r="DL32" s="562"/>
      <c r="DM32" s="561"/>
      <c r="DN32" s="563"/>
      <c r="DO32" s="564"/>
      <c r="DP32" s="564"/>
      <c r="DQ32" s="564"/>
      <c r="DR32" s="560"/>
      <c r="DS32" s="561"/>
      <c r="DT32" s="562"/>
      <c r="DU32" s="561"/>
      <c r="DV32" s="563"/>
      <c r="DW32" s="564"/>
      <c r="DX32" s="564"/>
      <c r="DY32" s="564"/>
      <c r="DZ32" s="560"/>
      <c r="EA32" s="561"/>
      <c r="EB32" s="562"/>
      <c r="EC32" s="561"/>
      <c r="ED32" s="563"/>
      <c r="EE32" s="564"/>
      <c r="EF32" s="564"/>
      <c r="EG32" s="564"/>
      <c r="EH32" s="560"/>
      <c r="EI32" s="561"/>
      <c r="EJ32" s="562"/>
      <c r="EK32" s="561"/>
      <c r="EL32" s="563"/>
      <c r="EM32" s="564"/>
      <c r="EN32" s="564"/>
      <c r="EO32" s="564"/>
      <c r="EP32" s="560"/>
      <c r="EQ32" s="561"/>
      <c r="ER32" s="562"/>
      <c r="ES32" s="561"/>
      <c r="ET32" s="563"/>
      <c r="EU32" s="564"/>
      <c r="EV32" s="564"/>
      <c r="EW32" s="564"/>
      <c r="EX32" s="560"/>
      <c r="EY32" s="561"/>
      <c r="EZ32" s="562"/>
      <c r="FA32" s="561"/>
      <c r="FB32" s="563"/>
      <c r="FC32" s="564"/>
      <c r="FD32" s="564"/>
      <c r="FE32" s="564"/>
      <c r="FF32" s="560"/>
      <c r="FG32" s="561"/>
      <c r="FH32" s="562"/>
      <c r="FI32" s="561"/>
      <c r="FJ32" s="563"/>
      <c r="FK32" s="564"/>
      <c r="FL32" s="564"/>
      <c r="FM32" s="564"/>
      <c r="FN32" s="560"/>
      <c r="FO32" s="561"/>
      <c r="FP32" s="562"/>
      <c r="FQ32" s="561"/>
      <c r="FR32" s="563"/>
      <c r="FS32" s="564"/>
      <c r="FT32" s="564"/>
      <c r="FU32" s="564"/>
      <c r="FV32" s="560"/>
      <c r="FW32" s="566"/>
      <c r="FX32" s="566"/>
      <c r="FY32" s="566"/>
      <c r="FZ32" s="563"/>
      <c r="GA32" s="564"/>
      <c r="GB32" s="564"/>
      <c r="GC32" s="564"/>
      <c r="GD32" s="560"/>
      <c r="GE32" s="566"/>
      <c r="GF32" s="566"/>
      <c r="GG32" s="566"/>
      <c r="GH32" s="563"/>
      <c r="GI32" s="564"/>
      <c r="GJ32" s="564"/>
      <c r="GK32" s="564"/>
      <c r="GL32" s="560"/>
      <c r="GM32" s="566"/>
      <c r="GN32" s="566"/>
      <c r="GO32" s="566"/>
      <c r="GP32" s="563"/>
      <c r="GQ32" s="564"/>
      <c r="GR32" s="564"/>
      <c r="GS32" s="564"/>
      <c r="GT32" s="560"/>
      <c r="GU32" s="566"/>
      <c r="GV32" s="566"/>
      <c r="GW32" s="566"/>
      <c r="GX32" s="541"/>
      <c r="GY32" s="535"/>
      <c r="GZ32" s="542"/>
      <c r="HA32" s="543"/>
      <c r="HB32" s="541"/>
      <c r="HC32" s="535"/>
      <c r="HD32" s="542"/>
      <c r="HE32" s="543"/>
      <c r="HF32" s="541"/>
      <c r="HG32" s="535"/>
      <c r="HH32" s="542"/>
      <c r="HI32" s="543"/>
      <c r="HJ32" s="541"/>
      <c r="HK32" s="535"/>
      <c r="HL32" s="542"/>
      <c r="HM32" s="543"/>
      <c r="HN32" s="541"/>
      <c r="HO32" s="535"/>
      <c r="HP32" s="542"/>
      <c r="HQ32" s="543"/>
      <c r="HR32" s="541"/>
      <c r="HS32" s="535"/>
      <c r="HT32" s="542"/>
      <c r="HU32" s="543"/>
    </row>
    <row r="33" spans="1:229" s="571" customFormat="1" ht="28.5" customHeight="1" x14ac:dyDescent="0.35">
      <c r="A33" s="506"/>
      <c r="B33" s="544">
        <v>118</v>
      </c>
      <c r="C33" s="544" t="s">
        <v>46</v>
      </c>
      <c r="D33" s="545" t="s">
        <v>68</v>
      </c>
      <c r="E33" s="545" t="s">
        <v>134</v>
      </c>
      <c r="F33" s="546" t="s">
        <v>135</v>
      </c>
      <c r="G33" s="546" t="s">
        <v>136</v>
      </c>
      <c r="H33" s="547" t="s">
        <v>137</v>
      </c>
      <c r="I33" s="568"/>
      <c r="J33" s="568"/>
      <c r="K33" s="568"/>
      <c r="L33" s="549"/>
      <c r="M33" s="569" t="s">
        <v>123</v>
      </c>
      <c r="N33" s="551">
        <v>0</v>
      </c>
      <c r="O33" s="552">
        <v>124</v>
      </c>
      <c r="P33" s="553">
        <v>46029</v>
      </c>
      <c r="Q33" s="554">
        <v>46050</v>
      </c>
      <c r="R33" s="554" t="s">
        <v>138</v>
      </c>
      <c r="S33" s="555">
        <f ca="1">IF(R33="Aprobado / Emitir Rev_1", NETWORKDAYS(Q33,TODAY(),Hoja1!$C$3:$C$25),0)</f>
        <v>57</v>
      </c>
      <c r="T33" s="555">
        <f ca="1">IF(R33="Revisión INN",NETWORKDAYS(P33,TODAY(),Hoja1!$C$3:$C$25),0)</f>
        <v>0</v>
      </c>
      <c r="U33" s="556">
        <f t="shared" si="1"/>
        <v>4</v>
      </c>
      <c r="V33" s="557" t="s">
        <v>125</v>
      </c>
      <c r="W33" s="558">
        <v>52</v>
      </c>
      <c r="X33" s="558"/>
      <c r="Y33" s="559">
        <v>45953</v>
      </c>
      <c r="Z33" s="560">
        <v>66</v>
      </c>
      <c r="AA33" s="561">
        <v>45987</v>
      </c>
      <c r="AB33" s="562"/>
      <c r="AC33" s="561" t="s">
        <v>126</v>
      </c>
      <c r="AD33" s="563">
        <v>0</v>
      </c>
      <c r="AE33" s="567">
        <v>94</v>
      </c>
      <c r="AF33" s="564"/>
      <c r="AG33" s="565">
        <v>45994</v>
      </c>
      <c r="AH33" s="560">
        <v>94</v>
      </c>
      <c r="AI33" s="561">
        <v>45995</v>
      </c>
      <c r="AJ33" s="562"/>
      <c r="AK33" s="561" t="s">
        <v>127</v>
      </c>
      <c r="AL33" s="563" t="s">
        <v>63</v>
      </c>
      <c r="AM33" s="567">
        <v>96</v>
      </c>
      <c r="AN33" s="564" t="s">
        <v>62</v>
      </c>
      <c r="AO33" s="565">
        <v>45995</v>
      </c>
      <c r="AP33" s="560">
        <v>89</v>
      </c>
      <c r="AQ33" s="561">
        <v>46014</v>
      </c>
      <c r="AR33" s="562"/>
      <c r="AS33" s="561" t="s">
        <v>128</v>
      </c>
      <c r="AT33" s="563">
        <v>0</v>
      </c>
      <c r="AU33" s="567">
        <v>130</v>
      </c>
      <c r="AV33" s="564"/>
      <c r="AW33" s="565">
        <v>46029</v>
      </c>
      <c r="AX33" s="589">
        <v>124</v>
      </c>
      <c r="AY33" s="593">
        <v>46050</v>
      </c>
      <c r="AZ33" s="562"/>
      <c r="BA33" s="593" t="s">
        <v>129</v>
      </c>
      <c r="BB33" s="563"/>
      <c r="BC33" s="567"/>
      <c r="BD33" s="564"/>
      <c r="BE33" s="565"/>
      <c r="BF33" s="560"/>
      <c r="BG33" s="561"/>
      <c r="BH33" s="562"/>
      <c r="BI33" s="561"/>
      <c r="BJ33" s="563"/>
      <c r="BK33" s="567"/>
      <c r="BL33" s="564"/>
      <c r="BM33" s="565"/>
      <c r="BN33" s="560"/>
      <c r="BO33" s="561"/>
      <c r="BP33" s="562"/>
      <c r="BQ33" s="561"/>
      <c r="BR33" s="563"/>
      <c r="BS33" s="567"/>
      <c r="BT33" s="564"/>
      <c r="BU33" s="565"/>
      <c r="BV33" s="560"/>
      <c r="BW33" s="561"/>
      <c r="BX33" s="562"/>
      <c r="BY33" s="561"/>
      <c r="BZ33" s="563"/>
      <c r="CA33" s="567"/>
      <c r="CB33" s="564"/>
      <c r="CC33" s="565"/>
      <c r="CD33" s="560"/>
      <c r="CE33" s="561"/>
      <c r="CF33" s="562"/>
      <c r="CG33" s="561"/>
      <c r="CH33" s="563"/>
      <c r="CI33" s="564"/>
      <c r="CJ33" s="564"/>
      <c r="CK33" s="564"/>
      <c r="CL33" s="560"/>
      <c r="CM33" s="561"/>
      <c r="CN33" s="562"/>
      <c r="CO33" s="561"/>
      <c r="CP33" s="563"/>
      <c r="CQ33" s="564"/>
      <c r="CR33" s="564"/>
      <c r="CS33" s="564"/>
      <c r="CT33" s="560"/>
      <c r="CU33" s="561"/>
      <c r="CV33" s="562"/>
      <c r="CW33" s="561"/>
      <c r="CX33" s="563"/>
      <c r="CY33" s="564"/>
      <c r="CZ33" s="564"/>
      <c r="DA33" s="564"/>
      <c r="DB33" s="560"/>
      <c r="DC33" s="561"/>
      <c r="DD33" s="562"/>
      <c r="DE33" s="561"/>
      <c r="DF33" s="563"/>
      <c r="DG33" s="564"/>
      <c r="DH33" s="564"/>
      <c r="DI33" s="564"/>
      <c r="DJ33" s="560"/>
      <c r="DK33" s="561"/>
      <c r="DL33" s="562"/>
      <c r="DM33" s="561"/>
      <c r="DN33" s="563"/>
      <c r="DO33" s="564"/>
      <c r="DP33" s="564"/>
      <c r="DQ33" s="564"/>
      <c r="DR33" s="560"/>
      <c r="DS33" s="561"/>
      <c r="DT33" s="562"/>
      <c r="DU33" s="561"/>
      <c r="DV33" s="563"/>
      <c r="DW33" s="564"/>
      <c r="DX33" s="564"/>
      <c r="DY33" s="564"/>
      <c r="DZ33" s="560"/>
      <c r="EA33" s="561"/>
      <c r="EB33" s="562"/>
      <c r="EC33" s="561"/>
      <c r="ED33" s="563"/>
      <c r="EE33" s="564"/>
      <c r="EF33" s="564"/>
      <c r="EG33" s="564"/>
      <c r="EH33" s="560"/>
      <c r="EI33" s="561"/>
      <c r="EJ33" s="562"/>
      <c r="EK33" s="561"/>
      <c r="EL33" s="563"/>
      <c r="EM33" s="564"/>
      <c r="EN33" s="564"/>
      <c r="EO33" s="564"/>
      <c r="EP33" s="560"/>
      <c r="EQ33" s="561"/>
      <c r="ER33" s="562"/>
      <c r="ES33" s="561"/>
      <c r="ET33" s="563"/>
      <c r="EU33" s="564"/>
      <c r="EV33" s="564"/>
      <c r="EW33" s="564"/>
      <c r="EX33" s="560"/>
      <c r="EY33" s="561"/>
      <c r="EZ33" s="562"/>
      <c r="FA33" s="561"/>
      <c r="FB33" s="563"/>
      <c r="FC33" s="564"/>
      <c r="FD33" s="564"/>
      <c r="FE33" s="564"/>
      <c r="FF33" s="560"/>
      <c r="FG33" s="561"/>
      <c r="FH33" s="562"/>
      <c r="FI33" s="561"/>
      <c r="FJ33" s="563"/>
      <c r="FK33" s="564"/>
      <c r="FL33" s="564"/>
      <c r="FM33" s="564"/>
      <c r="FN33" s="560"/>
      <c r="FO33" s="561"/>
      <c r="FP33" s="562"/>
      <c r="FQ33" s="561"/>
      <c r="FR33" s="563"/>
      <c r="FS33" s="564"/>
      <c r="FT33" s="564"/>
      <c r="FU33" s="564"/>
      <c r="FV33" s="560"/>
      <c r="FW33" s="566"/>
      <c r="FX33" s="566"/>
      <c r="FY33" s="566"/>
      <c r="FZ33" s="563"/>
      <c r="GA33" s="564"/>
      <c r="GB33" s="564"/>
      <c r="GC33" s="564"/>
      <c r="GD33" s="560"/>
      <c r="GE33" s="566"/>
      <c r="GF33" s="566"/>
      <c r="GG33" s="566"/>
      <c r="GH33" s="563"/>
      <c r="GI33" s="564"/>
      <c r="GJ33" s="564"/>
      <c r="GK33" s="564"/>
      <c r="GL33" s="560"/>
      <c r="GM33" s="566"/>
      <c r="GN33" s="566"/>
      <c r="GO33" s="566"/>
      <c r="GP33" s="563"/>
      <c r="GQ33" s="564"/>
      <c r="GR33" s="564"/>
      <c r="GS33" s="564"/>
      <c r="GT33" s="560"/>
      <c r="GU33" s="566"/>
      <c r="GV33" s="566"/>
      <c r="GW33" s="566"/>
      <c r="GX33" s="563"/>
      <c r="GY33" s="564"/>
      <c r="GZ33" s="564"/>
      <c r="HA33" s="590"/>
      <c r="HB33" s="560"/>
      <c r="HC33" s="566"/>
      <c r="HD33" s="566"/>
      <c r="HE33" s="566"/>
      <c r="HF33" s="563"/>
      <c r="HG33" s="564"/>
      <c r="HH33" s="564"/>
      <c r="HI33" s="590"/>
      <c r="HJ33" s="560"/>
      <c r="HK33" s="566"/>
      <c r="HL33" s="566"/>
      <c r="HM33" s="566"/>
      <c r="HN33" s="563"/>
      <c r="HO33" s="564"/>
      <c r="HP33" s="564"/>
      <c r="HQ33" s="590"/>
      <c r="HR33" s="560"/>
      <c r="HS33" s="566"/>
      <c r="HT33" s="566"/>
      <c r="HU33" s="566"/>
    </row>
    <row r="34" spans="1:229" s="571" customFormat="1" ht="90.65" customHeight="1" x14ac:dyDescent="0.35">
      <c r="A34" s="506"/>
      <c r="B34" s="544">
        <v>119</v>
      </c>
      <c r="C34" s="544" t="s">
        <v>46</v>
      </c>
      <c r="D34" s="545" t="s">
        <v>139</v>
      </c>
      <c r="E34" s="545" t="s">
        <v>140</v>
      </c>
      <c r="F34" s="546" t="s">
        <v>141</v>
      </c>
      <c r="G34" s="546" t="s">
        <v>142</v>
      </c>
      <c r="H34" s="547" t="s">
        <v>143</v>
      </c>
      <c r="I34" s="568"/>
      <c r="J34" s="568"/>
      <c r="K34" s="568"/>
      <c r="L34" s="549"/>
      <c r="M34" s="569" t="s">
        <v>123</v>
      </c>
      <c r="N34" s="551">
        <v>0</v>
      </c>
      <c r="O34" s="552">
        <v>124</v>
      </c>
      <c r="P34" s="553">
        <v>46029</v>
      </c>
      <c r="Q34" s="554">
        <v>46050</v>
      </c>
      <c r="R34" s="554" t="s">
        <v>138</v>
      </c>
      <c r="S34" s="555">
        <f ca="1">IF(R34="Aprobado / Emitir Rev_1", NETWORKDAYS(Q34,TODAY(),Hoja1!$C$3:$C$25),0)</f>
        <v>57</v>
      </c>
      <c r="T34" s="555">
        <f ca="1">IF(R34="Revisión INN",NETWORKDAYS(P34,TODAY(),Hoja1!$C$3:$C$25),0)</f>
        <v>0</v>
      </c>
      <c r="U34" s="556">
        <f t="shared" si="1"/>
        <v>4</v>
      </c>
      <c r="V34" s="557" t="s">
        <v>125</v>
      </c>
      <c r="W34" s="558">
        <v>52</v>
      </c>
      <c r="X34" s="558"/>
      <c r="Y34" s="559">
        <v>45953</v>
      </c>
      <c r="Z34" s="560">
        <v>66</v>
      </c>
      <c r="AA34" s="561">
        <v>45987</v>
      </c>
      <c r="AB34" s="562"/>
      <c r="AC34" s="561" t="s">
        <v>126</v>
      </c>
      <c r="AD34" s="563">
        <v>0</v>
      </c>
      <c r="AE34" s="567">
        <v>94</v>
      </c>
      <c r="AF34" s="564"/>
      <c r="AG34" s="565">
        <v>45994</v>
      </c>
      <c r="AH34" s="560" t="s">
        <v>144</v>
      </c>
      <c r="AI34" s="561">
        <v>45995</v>
      </c>
      <c r="AJ34" s="562"/>
      <c r="AK34" s="561" t="s">
        <v>127</v>
      </c>
      <c r="AL34" s="563" t="s">
        <v>63</v>
      </c>
      <c r="AM34" s="567">
        <v>96</v>
      </c>
      <c r="AN34" s="564" t="s">
        <v>62</v>
      </c>
      <c r="AO34" s="565">
        <v>45995</v>
      </c>
      <c r="AP34" s="560">
        <v>89</v>
      </c>
      <c r="AQ34" s="561">
        <v>46014</v>
      </c>
      <c r="AR34" s="562"/>
      <c r="AS34" s="561" t="s">
        <v>128</v>
      </c>
      <c r="AT34" s="563">
        <v>0</v>
      </c>
      <c r="AU34" s="567">
        <v>130</v>
      </c>
      <c r="AV34" s="564"/>
      <c r="AW34" s="565">
        <v>46029</v>
      </c>
      <c r="AX34" s="589">
        <v>124</v>
      </c>
      <c r="AY34" s="593">
        <v>46050</v>
      </c>
      <c r="AZ34" s="562"/>
      <c r="BA34" s="593" t="s">
        <v>129</v>
      </c>
      <c r="BB34" s="563"/>
      <c r="BC34" s="567"/>
      <c r="BD34" s="564"/>
      <c r="BE34" s="565"/>
      <c r="BF34" s="560"/>
      <c r="BG34" s="561"/>
      <c r="BH34" s="562"/>
      <c r="BI34" s="561"/>
      <c r="BJ34" s="563"/>
      <c r="BK34" s="567"/>
      <c r="BL34" s="564"/>
      <c r="BM34" s="565"/>
      <c r="BN34" s="560"/>
      <c r="BO34" s="561"/>
      <c r="BP34" s="562"/>
      <c r="BQ34" s="561"/>
      <c r="BR34" s="563"/>
      <c r="BS34" s="567"/>
      <c r="BT34" s="564"/>
      <c r="BU34" s="565"/>
      <c r="BV34" s="560"/>
      <c r="BW34" s="561"/>
      <c r="BX34" s="562"/>
      <c r="BY34" s="561"/>
      <c r="BZ34" s="563"/>
      <c r="CA34" s="567"/>
      <c r="CB34" s="564"/>
      <c r="CC34" s="565"/>
      <c r="CD34" s="560"/>
      <c r="CE34" s="561"/>
      <c r="CF34" s="562"/>
      <c r="CG34" s="561"/>
      <c r="CH34" s="563"/>
      <c r="CI34" s="564"/>
      <c r="CJ34" s="564"/>
      <c r="CK34" s="564"/>
      <c r="CL34" s="560"/>
      <c r="CM34" s="561"/>
      <c r="CN34" s="562"/>
      <c r="CO34" s="561"/>
      <c r="CP34" s="563"/>
      <c r="CQ34" s="564"/>
      <c r="CR34" s="564"/>
      <c r="CS34" s="564"/>
      <c r="CT34" s="560"/>
      <c r="CU34" s="561"/>
      <c r="CV34" s="562"/>
      <c r="CW34" s="561"/>
      <c r="CX34" s="563"/>
      <c r="CY34" s="564"/>
      <c r="CZ34" s="564"/>
      <c r="DA34" s="564"/>
      <c r="DB34" s="560"/>
      <c r="DC34" s="561"/>
      <c r="DD34" s="562"/>
      <c r="DE34" s="561"/>
      <c r="DF34" s="563"/>
      <c r="DG34" s="564"/>
      <c r="DH34" s="564"/>
      <c r="DI34" s="564"/>
      <c r="DJ34" s="560"/>
      <c r="DK34" s="561"/>
      <c r="DL34" s="562"/>
      <c r="DM34" s="561"/>
      <c r="DN34" s="563"/>
      <c r="DO34" s="564"/>
      <c r="DP34" s="564"/>
      <c r="DQ34" s="564"/>
      <c r="DR34" s="560"/>
      <c r="DS34" s="561"/>
      <c r="DT34" s="562"/>
      <c r="DU34" s="561"/>
      <c r="DV34" s="563"/>
      <c r="DW34" s="564"/>
      <c r="DX34" s="564"/>
      <c r="DY34" s="564"/>
      <c r="DZ34" s="560"/>
      <c r="EA34" s="561"/>
      <c r="EB34" s="562"/>
      <c r="EC34" s="561"/>
      <c r="ED34" s="563"/>
      <c r="EE34" s="564"/>
      <c r="EF34" s="564"/>
      <c r="EG34" s="564"/>
      <c r="EH34" s="560"/>
      <c r="EI34" s="561"/>
      <c r="EJ34" s="562"/>
      <c r="EK34" s="561"/>
      <c r="EL34" s="563"/>
      <c r="EM34" s="564"/>
      <c r="EN34" s="564"/>
      <c r="EO34" s="564"/>
      <c r="EP34" s="560"/>
      <c r="EQ34" s="561"/>
      <c r="ER34" s="562"/>
      <c r="ES34" s="561"/>
      <c r="ET34" s="563"/>
      <c r="EU34" s="564"/>
      <c r="EV34" s="564"/>
      <c r="EW34" s="564"/>
      <c r="EX34" s="560"/>
      <c r="EY34" s="561"/>
      <c r="EZ34" s="562"/>
      <c r="FA34" s="561"/>
      <c r="FB34" s="563"/>
      <c r="FC34" s="564"/>
      <c r="FD34" s="564"/>
      <c r="FE34" s="564"/>
      <c r="FF34" s="560"/>
      <c r="FG34" s="561"/>
      <c r="FH34" s="562"/>
      <c r="FI34" s="561"/>
      <c r="FJ34" s="563"/>
      <c r="FK34" s="564"/>
      <c r="FL34" s="564"/>
      <c r="FM34" s="564"/>
      <c r="FN34" s="560"/>
      <c r="FO34" s="561"/>
      <c r="FP34" s="562"/>
      <c r="FQ34" s="561"/>
      <c r="FR34" s="563"/>
      <c r="FS34" s="564"/>
      <c r="FT34" s="564"/>
      <c r="FU34" s="564"/>
      <c r="FV34" s="560"/>
      <c r="FW34" s="566"/>
      <c r="FX34" s="566"/>
      <c r="FY34" s="566"/>
      <c r="FZ34" s="563"/>
      <c r="GA34" s="564"/>
      <c r="GB34" s="564"/>
      <c r="GC34" s="564"/>
      <c r="GD34" s="560"/>
      <c r="GE34" s="566"/>
      <c r="GF34" s="566"/>
      <c r="GG34" s="566"/>
      <c r="GH34" s="563"/>
      <c r="GI34" s="564"/>
      <c r="GJ34" s="564"/>
      <c r="GK34" s="564"/>
      <c r="GL34" s="560"/>
      <c r="GM34" s="566"/>
      <c r="GN34" s="566"/>
      <c r="GO34" s="566"/>
      <c r="GP34" s="563"/>
      <c r="GQ34" s="564"/>
      <c r="GR34" s="564"/>
      <c r="GS34" s="564"/>
      <c r="GT34" s="560"/>
      <c r="GU34" s="566"/>
      <c r="GV34" s="566"/>
      <c r="GW34" s="566"/>
      <c r="GX34" s="563"/>
      <c r="GY34" s="564"/>
      <c r="GZ34" s="564"/>
      <c r="HA34" s="590"/>
      <c r="HB34" s="560"/>
      <c r="HC34" s="566"/>
      <c r="HD34" s="566"/>
      <c r="HE34" s="566"/>
      <c r="HF34" s="563"/>
      <c r="HG34" s="564"/>
      <c r="HH34" s="564"/>
      <c r="HI34" s="590"/>
      <c r="HJ34" s="560"/>
      <c r="HK34" s="566"/>
      <c r="HL34" s="566"/>
      <c r="HM34" s="566"/>
      <c r="HN34" s="563"/>
      <c r="HO34" s="564"/>
      <c r="HP34" s="564"/>
      <c r="HQ34" s="590"/>
      <c r="HR34" s="560"/>
      <c r="HS34" s="566"/>
      <c r="HT34" s="566"/>
      <c r="HU34" s="566"/>
    </row>
    <row r="35" spans="1:229" s="571" customFormat="1" ht="74.5" customHeight="1" x14ac:dyDescent="0.35">
      <c r="A35" s="506"/>
      <c r="B35" s="544">
        <v>59</v>
      </c>
      <c r="C35" s="544" t="s">
        <v>145</v>
      </c>
      <c r="D35" s="545" t="s">
        <v>44</v>
      </c>
      <c r="E35" s="545" t="s">
        <v>146</v>
      </c>
      <c r="F35" s="546" t="s">
        <v>147</v>
      </c>
      <c r="G35" s="546" t="s">
        <v>148</v>
      </c>
      <c r="H35" s="547" t="s">
        <v>149</v>
      </c>
      <c r="I35" s="568"/>
      <c r="J35" s="568"/>
      <c r="K35" s="568"/>
      <c r="L35" s="710" t="s">
        <v>150</v>
      </c>
      <c r="M35" s="569" t="s">
        <v>123</v>
      </c>
      <c r="N35" s="551">
        <v>1</v>
      </c>
      <c r="O35" s="552">
        <v>152</v>
      </c>
      <c r="P35" s="553">
        <v>46049</v>
      </c>
      <c r="Q35" s="554">
        <v>46014</v>
      </c>
      <c r="R35" s="554" t="s">
        <v>151</v>
      </c>
      <c r="S35" s="555">
        <f ca="1">IF(R35="Aprobado con comentarios / Emitir Rev_1", NETWORKDAYS(Q35,TODAY(),Hoja1!$C$3:$C$25),0)</f>
        <v>0</v>
      </c>
      <c r="T35" s="555">
        <f ca="1">IF(R35="Revisión INN",NETWORKDAYS(P35,TODAY(),Hoja1!$C$3:$C$25),0)</f>
        <v>58</v>
      </c>
      <c r="U35" s="556">
        <f t="shared" si="1"/>
        <v>3</v>
      </c>
      <c r="V35" s="557" t="s">
        <v>63</v>
      </c>
      <c r="W35" s="558">
        <v>39</v>
      </c>
      <c r="X35" s="558"/>
      <c r="Y35" s="559">
        <v>45943</v>
      </c>
      <c r="Z35" s="560" t="s">
        <v>62</v>
      </c>
      <c r="AA35" s="561" t="s">
        <v>62</v>
      </c>
      <c r="AB35" s="562" t="s">
        <v>62</v>
      </c>
      <c r="AC35" s="561" t="s">
        <v>62</v>
      </c>
      <c r="AD35" s="563" t="s">
        <v>63</v>
      </c>
      <c r="AE35" s="567">
        <v>54</v>
      </c>
      <c r="AF35" s="564"/>
      <c r="AG35" s="565">
        <v>45954</v>
      </c>
      <c r="AH35" s="560">
        <v>57</v>
      </c>
      <c r="AI35" s="561">
        <v>45965</v>
      </c>
      <c r="AJ35" s="562"/>
      <c r="AK35" s="561" t="s">
        <v>152</v>
      </c>
      <c r="AL35" s="563">
        <v>0</v>
      </c>
      <c r="AM35" s="567">
        <v>76</v>
      </c>
      <c r="AN35" s="564"/>
      <c r="AO35" s="565">
        <v>45979</v>
      </c>
      <c r="AP35" s="560" t="s">
        <v>153</v>
      </c>
      <c r="AQ35" s="561" t="s">
        <v>154</v>
      </c>
      <c r="AR35" s="562"/>
      <c r="AS35" s="561" t="s">
        <v>155</v>
      </c>
      <c r="AT35" s="563">
        <v>1</v>
      </c>
      <c r="AU35" s="567">
        <v>152</v>
      </c>
      <c r="AV35" s="564"/>
      <c r="AW35" s="565">
        <v>46049</v>
      </c>
      <c r="AX35" s="560"/>
      <c r="AY35" s="561"/>
      <c r="AZ35" s="562"/>
      <c r="BA35" s="561"/>
      <c r="BB35" s="563"/>
      <c r="BC35" s="567"/>
      <c r="BD35" s="564"/>
      <c r="BE35" s="565"/>
      <c r="BF35" s="560"/>
      <c r="BG35" s="561"/>
      <c r="BH35" s="562"/>
      <c r="BI35" s="561"/>
      <c r="BJ35" s="563"/>
      <c r="BK35" s="567"/>
      <c r="BL35" s="564"/>
      <c r="BM35" s="565"/>
      <c r="BN35" s="560"/>
      <c r="BO35" s="561"/>
      <c r="BP35" s="562"/>
      <c r="BQ35" s="561"/>
      <c r="BR35" s="563"/>
      <c r="BS35" s="567"/>
      <c r="BT35" s="564"/>
      <c r="BU35" s="565"/>
      <c r="BV35" s="560"/>
      <c r="BW35" s="561"/>
      <c r="BX35" s="562"/>
      <c r="BY35" s="561"/>
      <c r="BZ35" s="563"/>
      <c r="CA35" s="567"/>
      <c r="CB35" s="564"/>
      <c r="CC35" s="565"/>
      <c r="CD35" s="560"/>
      <c r="CE35" s="561"/>
      <c r="CF35" s="562"/>
      <c r="CG35" s="561"/>
      <c r="CH35" s="563"/>
      <c r="CI35" s="564"/>
      <c r="CJ35" s="564"/>
      <c r="CK35" s="564"/>
      <c r="CL35" s="560"/>
      <c r="CM35" s="561"/>
      <c r="CN35" s="562"/>
      <c r="CO35" s="561"/>
      <c r="CP35" s="563"/>
      <c r="CQ35" s="564"/>
      <c r="CR35" s="564"/>
      <c r="CS35" s="564"/>
      <c r="CT35" s="560"/>
      <c r="CU35" s="561"/>
      <c r="CV35" s="562"/>
      <c r="CW35" s="561"/>
      <c r="CX35" s="563"/>
      <c r="CY35" s="564"/>
      <c r="CZ35" s="564"/>
      <c r="DA35" s="564"/>
      <c r="DB35" s="560"/>
      <c r="DC35" s="561"/>
      <c r="DD35" s="562"/>
      <c r="DE35" s="561"/>
      <c r="DF35" s="563"/>
      <c r="DG35" s="564"/>
      <c r="DH35" s="564"/>
      <c r="DI35" s="564"/>
      <c r="DJ35" s="560"/>
      <c r="DK35" s="561"/>
      <c r="DL35" s="562"/>
      <c r="DM35" s="561"/>
      <c r="DN35" s="563"/>
      <c r="DO35" s="564"/>
      <c r="DP35" s="564"/>
      <c r="DQ35" s="564"/>
      <c r="DR35" s="560"/>
      <c r="DS35" s="561"/>
      <c r="DT35" s="562"/>
      <c r="DU35" s="561"/>
      <c r="DV35" s="563"/>
      <c r="DW35" s="564"/>
      <c r="DX35" s="564"/>
      <c r="DY35" s="564"/>
      <c r="DZ35" s="560"/>
      <c r="EA35" s="561"/>
      <c r="EB35" s="562"/>
      <c r="EC35" s="561"/>
      <c r="ED35" s="563"/>
      <c r="EE35" s="564"/>
      <c r="EF35" s="564"/>
      <c r="EG35" s="564"/>
      <c r="EH35" s="560"/>
      <c r="EI35" s="561"/>
      <c r="EJ35" s="562"/>
      <c r="EK35" s="561"/>
      <c r="EL35" s="563"/>
      <c r="EM35" s="564"/>
      <c r="EN35" s="564"/>
      <c r="EO35" s="564"/>
      <c r="EP35" s="560"/>
      <c r="EQ35" s="561"/>
      <c r="ER35" s="562"/>
      <c r="ES35" s="561"/>
      <c r="ET35" s="563"/>
      <c r="EU35" s="564"/>
      <c r="EV35" s="564"/>
      <c r="EW35" s="564"/>
      <c r="EX35" s="560"/>
      <c r="EY35" s="561"/>
      <c r="EZ35" s="562"/>
      <c r="FA35" s="561"/>
      <c r="FB35" s="563"/>
      <c r="FC35" s="564"/>
      <c r="FD35" s="564"/>
      <c r="FE35" s="564"/>
      <c r="FF35" s="560"/>
      <c r="FG35" s="561"/>
      <c r="FH35" s="562"/>
      <c r="FI35" s="561"/>
      <c r="FJ35" s="563"/>
      <c r="FK35" s="564"/>
      <c r="FL35" s="564"/>
      <c r="FM35" s="564"/>
      <c r="FN35" s="560"/>
      <c r="FO35" s="561"/>
      <c r="FP35" s="562"/>
      <c r="FQ35" s="561"/>
      <c r="FR35" s="563"/>
      <c r="FS35" s="564"/>
      <c r="FT35" s="564"/>
      <c r="FU35" s="564"/>
      <c r="FV35" s="560"/>
      <c r="FW35" s="566"/>
      <c r="FX35" s="566"/>
      <c r="FY35" s="566"/>
      <c r="FZ35" s="563"/>
      <c r="GA35" s="564"/>
      <c r="GB35" s="564"/>
      <c r="GC35" s="564"/>
      <c r="GD35" s="560"/>
      <c r="GE35" s="566"/>
      <c r="GF35" s="566"/>
      <c r="GG35" s="566"/>
      <c r="GH35" s="563"/>
      <c r="GI35" s="564"/>
      <c r="GJ35" s="564"/>
      <c r="GK35" s="564"/>
      <c r="GL35" s="560"/>
      <c r="GM35" s="566"/>
      <c r="GN35" s="566"/>
      <c r="GO35" s="566"/>
      <c r="GP35" s="563"/>
      <c r="GQ35" s="564"/>
      <c r="GR35" s="564"/>
      <c r="GS35" s="564"/>
      <c r="GT35" s="560"/>
      <c r="GU35" s="566"/>
      <c r="GV35" s="566"/>
      <c r="GW35" s="566"/>
      <c r="GX35" s="563"/>
      <c r="GY35" s="564"/>
      <c r="GZ35" s="564"/>
      <c r="HA35" s="590"/>
      <c r="HB35" s="560"/>
      <c r="HC35" s="566"/>
      <c r="HD35" s="566"/>
      <c r="HE35" s="566"/>
      <c r="HF35" s="563"/>
      <c r="HG35" s="564"/>
      <c r="HH35" s="564"/>
      <c r="HI35" s="590"/>
      <c r="HJ35" s="560"/>
      <c r="HK35" s="566"/>
      <c r="HL35" s="566"/>
      <c r="HM35" s="566"/>
      <c r="HN35" s="563"/>
      <c r="HO35" s="564"/>
      <c r="HP35" s="564"/>
      <c r="HQ35" s="590"/>
      <c r="HR35" s="560"/>
      <c r="HS35" s="566"/>
      <c r="HT35" s="566"/>
      <c r="HU35" s="566"/>
    </row>
    <row r="36" spans="1:229" s="571" customFormat="1" ht="90.65" customHeight="1" thickBot="1" x14ac:dyDescent="0.4">
      <c r="A36" s="506"/>
      <c r="B36" s="544">
        <v>39</v>
      </c>
      <c r="C36" s="544" t="s">
        <v>156</v>
      </c>
      <c r="D36" s="545" t="s">
        <v>157</v>
      </c>
      <c r="E36" s="558" t="s">
        <v>158</v>
      </c>
      <c r="F36" s="546" t="s">
        <v>159</v>
      </c>
      <c r="G36" s="546" t="s">
        <v>46</v>
      </c>
      <c r="H36" s="547" t="s">
        <v>160</v>
      </c>
      <c r="I36" s="548">
        <f>Q36+5</f>
        <v>46102</v>
      </c>
      <c r="J36" s="705">
        <v>2</v>
      </c>
      <c r="K36" s="568" t="s">
        <v>62</v>
      </c>
      <c r="L36" s="548"/>
      <c r="M36" s="569" t="s">
        <v>117</v>
      </c>
      <c r="N36" s="551" t="s">
        <v>63</v>
      </c>
      <c r="O36" s="552">
        <v>152</v>
      </c>
      <c r="P36" s="553">
        <v>46086</v>
      </c>
      <c r="Q36" s="553">
        <v>46097</v>
      </c>
      <c r="R36" s="554" t="s">
        <v>161</v>
      </c>
      <c r="S36" s="555">
        <f ca="1">IF(R36="Aprobado / Emitir Rev_0", NETWORKDAYS(Q36,TODAY(),Hoja1!$C$3:$C$25),0)</f>
        <v>24</v>
      </c>
      <c r="T36" s="555">
        <f ca="1">IF(R36="Revisión INN",NETWORKDAYS(P36,TODAY(),Hoja1!$C$3:$C$25),0)</f>
        <v>0</v>
      </c>
      <c r="U36" s="556">
        <f t="shared" si="1"/>
        <v>2</v>
      </c>
      <c r="V36" s="557" t="s">
        <v>125</v>
      </c>
      <c r="W36" s="558">
        <v>72</v>
      </c>
      <c r="X36" s="558"/>
      <c r="Y36" s="559">
        <v>45974</v>
      </c>
      <c r="Z36" s="560">
        <v>67</v>
      </c>
      <c r="AA36" s="561">
        <v>45988</v>
      </c>
      <c r="AB36" s="562"/>
      <c r="AC36" s="561" t="s">
        <v>162</v>
      </c>
      <c r="AD36" s="563" t="s">
        <v>63</v>
      </c>
      <c r="AE36" s="567">
        <v>212</v>
      </c>
      <c r="AF36" s="564"/>
      <c r="AG36" s="565">
        <v>46086</v>
      </c>
      <c r="AH36" s="589">
        <v>152</v>
      </c>
      <c r="AI36" s="593">
        <v>46097</v>
      </c>
      <c r="AJ36" s="562"/>
      <c r="AK36" s="593" t="s">
        <v>128</v>
      </c>
      <c r="AL36" s="563"/>
      <c r="AM36" s="567"/>
      <c r="AN36" s="564"/>
      <c r="AO36" s="565"/>
      <c r="AP36" s="560"/>
      <c r="AQ36" s="561"/>
      <c r="AR36" s="562"/>
      <c r="AS36" s="561"/>
      <c r="AT36" s="563"/>
      <c r="AU36" s="567"/>
      <c r="AV36" s="564"/>
      <c r="AW36" s="565"/>
      <c r="AX36" s="560"/>
      <c r="AY36" s="561"/>
      <c r="AZ36" s="562"/>
      <c r="BA36" s="561"/>
      <c r="BB36" s="563"/>
      <c r="BC36" s="567"/>
      <c r="BD36" s="564"/>
      <c r="BE36" s="565"/>
      <c r="BF36" s="560"/>
      <c r="BG36" s="561"/>
      <c r="BH36" s="562"/>
      <c r="BI36" s="561"/>
      <c r="BJ36" s="563"/>
      <c r="BK36" s="567"/>
      <c r="BL36" s="564"/>
      <c r="BM36" s="565"/>
      <c r="BN36" s="560"/>
      <c r="BO36" s="561"/>
      <c r="BP36" s="562"/>
      <c r="BQ36" s="561"/>
      <c r="BR36" s="563"/>
      <c r="BS36" s="567"/>
      <c r="BT36" s="564"/>
      <c r="BU36" s="565"/>
      <c r="BV36" s="560"/>
      <c r="BW36" s="561"/>
      <c r="BX36" s="562"/>
      <c r="BY36" s="561"/>
      <c r="BZ36" s="563"/>
      <c r="CA36" s="567"/>
      <c r="CB36" s="564"/>
      <c r="CC36" s="565"/>
      <c r="CD36" s="560"/>
      <c r="CE36" s="561"/>
      <c r="CF36" s="562"/>
      <c r="CG36" s="561"/>
      <c r="CH36" s="563"/>
      <c r="CI36" s="564"/>
      <c r="CJ36" s="564"/>
      <c r="CK36" s="564"/>
      <c r="CL36" s="560"/>
      <c r="CM36" s="561"/>
      <c r="CN36" s="562"/>
      <c r="CO36" s="561"/>
      <c r="CP36" s="563"/>
      <c r="CQ36" s="564"/>
      <c r="CR36" s="564"/>
      <c r="CS36" s="564"/>
      <c r="CT36" s="560"/>
      <c r="CU36" s="561"/>
      <c r="CV36" s="562"/>
      <c r="CW36" s="561"/>
      <c r="CX36" s="563"/>
      <c r="CY36" s="564"/>
      <c r="CZ36" s="564"/>
      <c r="DA36" s="564"/>
      <c r="DB36" s="560"/>
      <c r="DC36" s="561"/>
      <c r="DD36" s="562"/>
      <c r="DE36" s="561"/>
      <c r="DF36" s="563"/>
      <c r="DG36" s="564"/>
      <c r="DH36" s="564"/>
      <c r="DI36" s="564"/>
      <c r="DJ36" s="560"/>
      <c r="DK36" s="561"/>
      <c r="DL36" s="562"/>
      <c r="DM36" s="561"/>
      <c r="DN36" s="563"/>
      <c r="DO36" s="564"/>
      <c r="DP36" s="564"/>
      <c r="DQ36" s="564"/>
      <c r="DR36" s="560"/>
      <c r="DS36" s="561"/>
      <c r="DT36" s="562"/>
      <c r="DU36" s="561"/>
      <c r="DV36" s="563"/>
      <c r="DW36" s="564"/>
      <c r="DX36" s="564"/>
      <c r="DY36" s="564"/>
      <c r="DZ36" s="560"/>
      <c r="EA36" s="561"/>
      <c r="EB36" s="562"/>
      <c r="EC36" s="561"/>
      <c r="ED36" s="563"/>
      <c r="EE36" s="564"/>
      <c r="EF36" s="564"/>
      <c r="EG36" s="564"/>
      <c r="EH36" s="560"/>
      <c r="EI36" s="561"/>
      <c r="EJ36" s="562"/>
      <c r="EK36" s="561"/>
      <c r="EL36" s="563"/>
      <c r="EM36" s="564"/>
      <c r="EN36" s="564"/>
      <c r="EO36" s="564"/>
      <c r="EP36" s="560"/>
      <c r="EQ36" s="561"/>
      <c r="ER36" s="562"/>
      <c r="ES36" s="561"/>
      <c r="ET36" s="563"/>
      <c r="EU36" s="564"/>
      <c r="EV36" s="564"/>
      <c r="EW36" s="564"/>
      <c r="EX36" s="560"/>
      <c r="EY36" s="561"/>
      <c r="EZ36" s="562"/>
      <c r="FA36" s="561"/>
      <c r="FB36" s="563"/>
      <c r="FC36" s="564"/>
      <c r="FD36" s="564"/>
      <c r="FE36" s="564"/>
      <c r="FF36" s="560"/>
      <c r="FG36" s="561"/>
      <c r="FH36" s="562"/>
      <c r="FI36" s="561"/>
      <c r="FJ36" s="563"/>
      <c r="FK36" s="564"/>
      <c r="FL36" s="564"/>
      <c r="FM36" s="564"/>
      <c r="FN36" s="560"/>
      <c r="FO36" s="561"/>
      <c r="FP36" s="562"/>
      <c r="FQ36" s="561"/>
      <c r="FR36" s="563"/>
      <c r="FS36" s="564"/>
      <c r="FT36" s="564"/>
      <c r="FU36" s="564"/>
      <c r="FV36" s="560"/>
      <c r="FW36" s="566"/>
      <c r="FX36" s="566"/>
      <c r="FY36" s="566"/>
      <c r="FZ36" s="563"/>
      <c r="GA36" s="564"/>
      <c r="GB36" s="564"/>
      <c r="GC36" s="564"/>
      <c r="GD36" s="560"/>
      <c r="GE36" s="566"/>
      <c r="GF36" s="566"/>
      <c r="GG36" s="566"/>
      <c r="GH36" s="563"/>
      <c r="GI36" s="564"/>
      <c r="GJ36" s="564"/>
      <c r="GK36" s="564"/>
      <c r="GL36" s="560"/>
      <c r="GM36" s="566"/>
      <c r="GN36" s="566"/>
      <c r="GO36" s="566"/>
      <c r="GP36" s="563"/>
      <c r="GQ36" s="564"/>
      <c r="GR36" s="564"/>
      <c r="GS36" s="564"/>
      <c r="GT36" s="560"/>
      <c r="GU36" s="566"/>
      <c r="GV36" s="566"/>
      <c r="GW36" s="566"/>
      <c r="GX36" s="563"/>
      <c r="GY36" s="564"/>
      <c r="GZ36" s="564"/>
      <c r="HA36" s="590"/>
      <c r="HB36" s="560"/>
      <c r="HC36" s="566"/>
      <c r="HD36" s="566"/>
      <c r="HE36" s="566"/>
      <c r="HF36" s="563"/>
      <c r="HG36" s="564"/>
      <c r="HH36" s="564"/>
      <c r="HI36" s="590"/>
      <c r="HJ36" s="560"/>
      <c r="HK36" s="566"/>
      <c r="HL36" s="566"/>
      <c r="HM36" s="566"/>
      <c r="HN36" s="563"/>
      <c r="HO36" s="564"/>
      <c r="HP36" s="564"/>
      <c r="HQ36" s="590"/>
      <c r="HR36" s="560"/>
      <c r="HS36" s="566"/>
      <c r="HT36" s="566"/>
      <c r="HU36" s="566"/>
    </row>
    <row r="37" spans="1:229" s="571" customFormat="1" ht="74.5" customHeight="1" x14ac:dyDescent="0.35">
      <c r="A37" s="506"/>
      <c r="B37" s="544">
        <v>34</v>
      </c>
      <c r="C37" s="544" t="s">
        <v>156</v>
      </c>
      <c r="D37" s="545" t="s">
        <v>59</v>
      </c>
      <c r="E37" s="558" t="s">
        <v>163</v>
      </c>
      <c r="F37" s="546" t="s">
        <v>164</v>
      </c>
      <c r="G37" s="546" t="s">
        <v>165</v>
      </c>
      <c r="H37" s="547" t="s">
        <v>166</v>
      </c>
      <c r="I37" s="707"/>
      <c r="J37" s="568"/>
      <c r="K37" s="568">
        <f>P37+5</f>
        <v>46069</v>
      </c>
      <c r="L37" s="548"/>
      <c r="M37" s="569" t="s">
        <v>117</v>
      </c>
      <c r="N37" s="551">
        <v>0</v>
      </c>
      <c r="O37" s="552">
        <v>153</v>
      </c>
      <c r="P37" s="553">
        <v>46064</v>
      </c>
      <c r="Q37" s="553">
        <v>45988</v>
      </c>
      <c r="R37" s="554" t="s">
        <v>67</v>
      </c>
      <c r="S37" s="555">
        <f ca="1">IF(R37="Aprobado con comentarios / Emitir Rev_0", NETWORKDAYS(Q37,TODAY(),Hoja1!$C$3:$C$25),0)</f>
        <v>0</v>
      </c>
      <c r="T37" s="555">
        <f ca="1">IF(R37="Revisión INN",NETWORKDAYS(P37,TODAY(),Hoja1!$C$3:$C$25),0)</f>
        <v>0</v>
      </c>
      <c r="U37" s="556">
        <f t="shared" si="1"/>
        <v>3</v>
      </c>
      <c r="V37" s="557" t="s">
        <v>125</v>
      </c>
      <c r="W37" s="558">
        <v>47</v>
      </c>
      <c r="X37" s="558"/>
      <c r="Y37" s="559">
        <v>45950</v>
      </c>
      <c r="Z37" s="560">
        <v>51</v>
      </c>
      <c r="AA37" s="561">
        <v>45959</v>
      </c>
      <c r="AB37" s="562">
        <f>AA37-Y37</f>
        <v>9</v>
      </c>
      <c r="AC37" s="561" t="s">
        <v>167</v>
      </c>
      <c r="AD37" s="563" t="s">
        <v>63</v>
      </c>
      <c r="AE37" s="567">
        <v>61</v>
      </c>
      <c r="AF37" s="564">
        <f>AG37-AA37</f>
        <v>0</v>
      </c>
      <c r="AG37" s="565">
        <v>45959</v>
      </c>
      <c r="AH37" s="560">
        <v>67</v>
      </c>
      <c r="AI37" s="561">
        <v>45988</v>
      </c>
      <c r="AJ37" s="562"/>
      <c r="AK37" s="561" t="s">
        <v>168</v>
      </c>
      <c r="AL37" s="563">
        <v>0</v>
      </c>
      <c r="AM37" s="567">
        <v>170</v>
      </c>
      <c r="AN37" s="564"/>
      <c r="AO37" s="565">
        <v>46064</v>
      </c>
      <c r="AP37" s="589">
        <v>153</v>
      </c>
      <c r="AQ37" s="593">
        <v>46097</v>
      </c>
      <c r="AR37" s="562"/>
      <c r="AS37" s="593" t="s">
        <v>67</v>
      </c>
      <c r="AT37" s="563"/>
      <c r="AU37" s="567"/>
      <c r="AV37" s="564"/>
      <c r="AW37" s="565"/>
      <c r="AX37" s="560"/>
      <c r="AY37" s="561"/>
      <c r="AZ37" s="562"/>
      <c r="BA37" s="561"/>
      <c r="BB37" s="563"/>
      <c r="BC37" s="567"/>
      <c r="BD37" s="564"/>
      <c r="BE37" s="565"/>
      <c r="BF37" s="560"/>
      <c r="BG37" s="561"/>
      <c r="BH37" s="562"/>
      <c r="BI37" s="561"/>
      <c r="BJ37" s="563"/>
      <c r="BK37" s="567"/>
      <c r="BL37" s="564"/>
      <c r="BM37" s="565"/>
      <c r="BN37" s="560"/>
      <c r="BO37" s="561"/>
      <c r="BP37" s="562"/>
      <c r="BQ37" s="561"/>
      <c r="BR37" s="563"/>
      <c r="BS37" s="567"/>
      <c r="BT37" s="564"/>
      <c r="BU37" s="565"/>
      <c r="BV37" s="560"/>
      <c r="BW37" s="561"/>
      <c r="BX37" s="562"/>
      <c r="BY37" s="561"/>
      <c r="BZ37" s="563"/>
      <c r="CA37" s="567"/>
      <c r="CB37" s="564"/>
      <c r="CC37" s="565"/>
      <c r="CD37" s="560"/>
      <c r="CE37" s="561"/>
      <c r="CF37" s="562"/>
      <c r="CG37" s="561"/>
      <c r="CH37" s="563"/>
      <c r="CI37" s="564"/>
      <c r="CJ37" s="564"/>
      <c r="CK37" s="564"/>
      <c r="CL37" s="560"/>
      <c r="CM37" s="561"/>
      <c r="CN37" s="562"/>
      <c r="CO37" s="561"/>
      <c r="CP37" s="563"/>
      <c r="CQ37" s="564"/>
      <c r="CR37" s="564"/>
      <c r="CS37" s="564"/>
      <c r="CT37" s="560"/>
      <c r="CU37" s="561"/>
      <c r="CV37" s="562"/>
      <c r="CW37" s="561"/>
      <c r="CX37" s="563"/>
      <c r="CY37" s="564"/>
      <c r="CZ37" s="564"/>
      <c r="DA37" s="564"/>
      <c r="DB37" s="560"/>
      <c r="DC37" s="561"/>
      <c r="DD37" s="562"/>
      <c r="DE37" s="561"/>
      <c r="DF37" s="563"/>
      <c r="DG37" s="564"/>
      <c r="DH37" s="564"/>
      <c r="DI37" s="564"/>
      <c r="DJ37" s="560"/>
      <c r="DK37" s="561"/>
      <c r="DL37" s="562"/>
      <c r="DM37" s="561"/>
      <c r="DN37" s="563"/>
      <c r="DO37" s="564"/>
      <c r="DP37" s="564"/>
      <c r="DQ37" s="564"/>
      <c r="DR37" s="560"/>
      <c r="DS37" s="561"/>
      <c r="DT37" s="562"/>
      <c r="DU37" s="561"/>
      <c r="DV37" s="563"/>
      <c r="DW37" s="564"/>
      <c r="DX37" s="564"/>
      <c r="DY37" s="564"/>
      <c r="DZ37" s="560"/>
      <c r="EA37" s="561"/>
      <c r="EB37" s="562"/>
      <c r="EC37" s="561"/>
      <c r="ED37" s="563"/>
      <c r="EE37" s="564"/>
      <c r="EF37" s="564"/>
      <c r="EG37" s="564"/>
      <c r="EH37" s="560"/>
      <c r="EI37" s="561"/>
      <c r="EJ37" s="562"/>
      <c r="EK37" s="561"/>
      <c r="EL37" s="563"/>
      <c r="EM37" s="564"/>
      <c r="EN37" s="564"/>
      <c r="EO37" s="564"/>
      <c r="EP37" s="560"/>
      <c r="EQ37" s="561"/>
      <c r="ER37" s="562"/>
      <c r="ES37" s="561"/>
      <c r="ET37" s="563"/>
      <c r="EU37" s="564"/>
      <c r="EV37" s="564"/>
      <c r="EW37" s="564"/>
      <c r="EX37" s="560"/>
      <c r="EY37" s="561"/>
      <c r="EZ37" s="562"/>
      <c r="FA37" s="561"/>
      <c r="FB37" s="563"/>
      <c r="FC37" s="564"/>
      <c r="FD37" s="564"/>
      <c r="FE37" s="564"/>
      <c r="FF37" s="560"/>
      <c r="FG37" s="561"/>
      <c r="FH37" s="562"/>
      <c r="FI37" s="561"/>
      <c r="FJ37" s="563"/>
      <c r="FK37" s="564"/>
      <c r="FL37" s="564"/>
      <c r="FM37" s="564"/>
      <c r="FN37" s="560"/>
      <c r="FO37" s="561"/>
      <c r="FP37" s="562"/>
      <c r="FQ37" s="561"/>
      <c r="FR37" s="563"/>
      <c r="FS37" s="564"/>
      <c r="FT37" s="564"/>
      <c r="FU37" s="564"/>
      <c r="FV37" s="560"/>
      <c r="FW37" s="566"/>
      <c r="FX37" s="566"/>
      <c r="FY37" s="566"/>
      <c r="FZ37" s="563"/>
      <c r="GA37" s="564"/>
      <c r="GB37" s="564"/>
      <c r="GC37" s="564"/>
      <c r="GD37" s="560"/>
      <c r="GE37" s="566"/>
      <c r="GF37" s="566"/>
      <c r="GG37" s="566"/>
      <c r="GH37" s="563"/>
      <c r="GI37" s="564"/>
      <c r="GJ37" s="564"/>
      <c r="GK37" s="564"/>
      <c r="GL37" s="560"/>
      <c r="GM37" s="566"/>
      <c r="GN37" s="566"/>
      <c r="GO37" s="566"/>
      <c r="GP37" s="563"/>
      <c r="GQ37" s="564"/>
      <c r="GR37" s="564"/>
      <c r="GS37" s="564"/>
      <c r="GT37" s="560"/>
      <c r="GU37" s="566"/>
      <c r="GV37" s="566"/>
      <c r="GW37" s="566"/>
      <c r="GX37" s="541"/>
      <c r="GY37" s="535"/>
      <c r="GZ37" s="542"/>
      <c r="HA37" s="543"/>
      <c r="HB37" s="541"/>
      <c r="HC37" s="535"/>
      <c r="HD37" s="542"/>
      <c r="HE37" s="543"/>
      <c r="HF37" s="541"/>
      <c r="HG37" s="535"/>
      <c r="HH37" s="542"/>
      <c r="HI37" s="543"/>
      <c r="HJ37" s="541"/>
      <c r="HK37" s="535"/>
      <c r="HL37" s="542"/>
      <c r="HM37" s="543"/>
      <c r="HN37" s="541"/>
      <c r="HO37" s="535"/>
      <c r="HP37" s="542"/>
      <c r="HQ37" s="543"/>
      <c r="HR37" s="541"/>
      <c r="HS37" s="535"/>
      <c r="HT37" s="542"/>
      <c r="HU37" s="543"/>
    </row>
    <row r="38" spans="1:229" s="506" customFormat="1" ht="76.5" customHeight="1" x14ac:dyDescent="0.35">
      <c r="B38" s="544">
        <v>35</v>
      </c>
      <c r="C38" s="544" t="s">
        <v>156</v>
      </c>
      <c r="D38" s="545" t="s">
        <v>59</v>
      </c>
      <c r="E38" s="558" t="s">
        <v>169</v>
      </c>
      <c r="F38" s="546" t="s">
        <v>170</v>
      </c>
      <c r="G38" s="546" t="s">
        <v>46</v>
      </c>
      <c r="H38" s="547" t="s">
        <v>171</v>
      </c>
      <c r="I38" s="548">
        <f>Q38+5</f>
        <v>46123</v>
      </c>
      <c r="J38" s="705">
        <v>2</v>
      </c>
      <c r="K38" s="568" t="s">
        <v>62</v>
      </c>
      <c r="L38" s="548"/>
      <c r="M38" s="569" t="s">
        <v>117</v>
      </c>
      <c r="N38" s="551">
        <v>0</v>
      </c>
      <c r="O38" s="576">
        <v>175</v>
      </c>
      <c r="P38" s="553">
        <v>46100</v>
      </c>
      <c r="Q38" s="553">
        <v>46118</v>
      </c>
      <c r="R38" s="554" t="s">
        <v>67</v>
      </c>
      <c r="S38" s="555">
        <f ca="1">IF(R38="Aprobado / emitir Rev_0", NETWORKDAYS(Q38,TODAY(),Hoja1!$C$3:$C$25),0)</f>
        <v>0</v>
      </c>
      <c r="T38" s="555">
        <f ca="1">IF(R38="Revisión INN",NETWORKDAYS(P38,TODAY(),Hoja1!$C$3:$C$25),0)</f>
        <v>0</v>
      </c>
      <c r="U38" s="556">
        <f t="shared" si="1"/>
        <v>3</v>
      </c>
      <c r="V38" s="557" t="s">
        <v>125</v>
      </c>
      <c r="W38" s="558">
        <v>72</v>
      </c>
      <c r="X38" s="558"/>
      <c r="Y38" s="559">
        <v>45974</v>
      </c>
      <c r="Z38" s="560">
        <v>67</v>
      </c>
      <c r="AA38" s="561">
        <v>45988</v>
      </c>
      <c r="AB38" s="562">
        <f>AA38-Y38</f>
        <v>14</v>
      </c>
      <c r="AC38" s="561" t="s">
        <v>162</v>
      </c>
      <c r="AD38" s="563" t="s">
        <v>63</v>
      </c>
      <c r="AE38" s="567">
        <v>190</v>
      </c>
      <c r="AF38" s="564"/>
      <c r="AG38" s="565">
        <v>46076</v>
      </c>
      <c r="AH38" s="560">
        <v>146</v>
      </c>
      <c r="AI38" s="561">
        <v>46091</v>
      </c>
      <c r="AJ38" s="562"/>
      <c r="AK38" s="561" t="s">
        <v>172</v>
      </c>
      <c r="AL38" s="563">
        <v>0</v>
      </c>
      <c r="AM38" s="567">
        <v>231</v>
      </c>
      <c r="AN38" s="564"/>
      <c r="AO38" s="565">
        <v>46100</v>
      </c>
      <c r="AP38" s="589">
        <v>175</v>
      </c>
      <c r="AQ38" s="593">
        <v>46118</v>
      </c>
      <c r="AR38" s="562"/>
      <c r="AS38" s="593" t="s">
        <v>67</v>
      </c>
      <c r="AT38" s="563"/>
      <c r="AU38" s="567"/>
      <c r="AV38" s="564"/>
      <c r="AW38" s="565"/>
      <c r="AX38" s="560"/>
      <c r="AY38" s="561"/>
      <c r="AZ38" s="562"/>
      <c r="BA38" s="561"/>
      <c r="BB38" s="563"/>
      <c r="BC38" s="567"/>
      <c r="BD38" s="564"/>
      <c r="BE38" s="565"/>
      <c r="BF38" s="560"/>
      <c r="BG38" s="561"/>
      <c r="BH38" s="562"/>
      <c r="BI38" s="561"/>
      <c r="BJ38" s="563"/>
      <c r="BK38" s="567"/>
      <c r="BL38" s="564"/>
      <c r="BM38" s="565"/>
      <c r="BN38" s="560"/>
      <c r="BO38" s="561"/>
      <c r="BP38" s="562"/>
      <c r="BQ38" s="561"/>
      <c r="BR38" s="563"/>
      <c r="BS38" s="567"/>
      <c r="BT38" s="564"/>
      <c r="BU38" s="565"/>
      <c r="BV38" s="560"/>
      <c r="BW38" s="561"/>
      <c r="BX38" s="562"/>
      <c r="BY38" s="561"/>
      <c r="BZ38" s="563"/>
      <c r="CA38" s="567"/>
      <c r="CB38" s="564"/>
      <c r="CC38" s="565"/>
      <c r="CD38" s="560"/>
      <c r="CE38" s="561"/>
      <c r="CF38" s="562"/>
      <c r="CG38" s="561"/>
      <c r="CH38" s="563"/>
      <c r="CI38" s="564"/>
      <c r="CJ38" s="564"/>
      <c r="CK38" s="564"/>
      <c r="CL38" s="560"/>
      <c r="CM38" s="561"/>
      <c r="CN38" s="562"/>
      <c r="CO38" s="561"/>
      <c r="CP38" s="563"/>
      <c r="CQ38" s="564"/>
      <c r="CR38" s="564"/>
      <c r="CS38" s="564"/>
      <c r="CT38" s="560"/>
      <c r="CU38" s="561"/>
      <c r="CV38" s="562"/>
      <c r="CW38" s="561"/>
      <c r="CX38" s="563"/>
      <c r="CY38" s="564"/>
      <c r="CZ38" s="564"/>
      <c r="DA38" s="564"/>
      <c r="DB38" s="560"/>
      <c r="DC38" s="561"/>
      <c r="DD38" s="562"/>
      <c r="DE38" s="561"/>
      <c r="DF38" s="563"/>
      <c r="DG38" s="564"/>
      <c r="DH38" s="564"/>
      <c r="DI38" s="564"/>
      <c r="DJ38" s="560"/>
      <c r="DK38" s="561"/>
      <c r="DL38" s="562"/>
      <c r="DM38" s="561"/>
      <c r="DN38" s="563"/>
      <c r="DO38" s="564"/>
      <c r="DP38" s="564"/>
      <c r="DQ38" s="564"/>
      <c r="DR38" s="560"/>
      <c r="DS38" s="561"/>
      <c r="DT38" s="562"/>
      <c r="DU38" s="561"/>
      <c r="DV38" s="563"/>
      <c r="DW38" s="564"/>
      <c r="DX38" s="564"/>
      <c r="DY38" s="564"/>
      <c r="DZ38" s="560"/>
      <c r="EA38" s="561"/>
      <c r="EB38" s="562"/>
      <c r="EC38" s="561"/>
      <c r="ED38" s="563"/>
      <c r="EE38" s="564"/>
      <c r="EF38" s="564"/>
      <c r="EG38" s="564"/>
      <c r="EH38" s="560"/>
      <c r="EI38" s="561"/>
      <c r="EJ38" s="562"/>
      <c r="EK38" s="561"/>
      <c r="EL38" s="563"/>
      <c r="EM38" s="564"/>
      <c r="EN38" s="564"/>
      <c r="EO38" s="564"/>
      <c r="EP38" s="560"/>
      <c r="EQ38" s="561"/>
      <c r="ER38" s="562"/>
      <c r="ES38" s="561"/>
      <c r="ET38" s="563"/>
      <c r="EU38" s="564"/>
      <c r="EV38" s="564"/>
      <c r="EW38" s="564"/>
      <c r="EX38" s="560"/>
      <c r="EY38" s="561"/>
      <c r="EZ38" s="562"/>
      <c r="FA38" s="561"/>
      <c r="FB38" s="563"/>
      <c r="FC38" s="564"/>
      <c r="FD38" s="564"/>
      <c r="FE38" s="564"/>
      <c r="FF38" s="560"/>
      <c r="FG38" s="561"/>
      <c r="FH38" s="562"/>
      <c r="FI38" s="561"/>
      <c r="FJ38" s="563"/>
      <c r="FK38" s="564"/>
      <c r="FL38" s="564"/>
      <c r="FM38" s="564"/>
      <c r="FN38" s="560"/>
      <c r="FO38" s="561"/>
      <c r="FP38" s="562"/>
      <c r="FQ38" s="561"/>
      <c r="FR38" s="563"/>
      <c r="FS38" s="564"/>
      <c r="FT38" s="564"/>
      <c r="FU38" s="564"/>
      <c r="FV38" s="560"/>
      <c r="FW38" s="566"/>
      <c r="FX38" s="566"/>
      <c r="FY38" s="566"/>
      <c r="FZ38" s="563"/>
      <c r="GA38" s="564"/>
      <c r="GB38" s="564"/>
      <c r="GC38" s="564"/>
      <c r="GD38" s="560"/>
      <c r="GE38" s="566"/>
      <c r="GF38" s="566"/>
      <c r="GG38" s="566"/>
      <c r="GH38" s="563"/>
      <c r="GI38" s="564"/>
      <c r="GJ38" s="564"/>
      <c r="GK38" s="564"/>
      <c r="GL38" s="560"/>
      <c r="GM38" s="566"/>
      <c r="GN38" s="566"/>
      <c r="GO38" s="566"/>
      <c r="GP38" s="563"/>
      <c r="GQ38" s="564"/>
      <c r="GR38" s="564"/>
      <c r="GS38" s="564"/>
      <c r="GT38" s="560"/>
      <c r="GU38" s="566"/>
      <c r="GV38" s="566"/>
      <c r="GW38" s="566"/>
      <c r="GX38" s="563"/>
      <c r="GY38" s="564"/>
      <c r="GZ38" s="564"/>
      <c r="HA38" s="590"/>
      <c r="HB38" s="560"/>
      <c r="HC38" s="566"/>
      <c r="HD38" s="566"/>
      <c r="HE38" s="566"/>
      <c r="HF38" s="563"/>
      <c r="HG38" s="564"/>
      <c r="HH38" s="564"/>
      <c r="HI38" s="590"/>
      <c r="HJ38" s="560"/>
      <c r="HK38" s="566"/>
      <c r="HL38" s="566"/>
      <c r="HM38" s="566"/>
      <c r="HN38" s="563"/>
      <c r="HO38" s="564"/>
      <c r="HP38" s="564"/>
      <c r="HQ38" s="590"/>
      <c r="HR38" s="560"/>
      <c r="HS38" s="566"/>
      <c r="HT38" s="566"/>
      <c r="HU38" s="566"/>
    </row>
    <row r="39" spans="1:229" s="506" customFormat="1" ht="28.5" customHeight="1" x14ac:dyDescent="0.35">
      <c r="B39" s="544">
        <v>46</v>
      </c>
      <c r="C39" s="544" t="s">
        <v>46</v>
      </c>
      <c r="D39" s="545" t="s">
        <v>44</v>
      </c>
      <c r="E39" s="558" t="s">
        <v>173</v>
      </c>
      <c r="F39" s="546" t="s">
        <v>174</v>
      </c>
      <c r="G39" s="546" t="s">
        <v>175</v>
      </c>
      <c r="H39" s="547" t="s">
        <v>176</v>
      </c>
      <c r="I39" s="548">
        <f>Q39+5</f>
        <v>46046</v>
      </c>
      <c r="J39" s="705">
        <v>3</v>
      </c>
      <c r="K39" s="568" t="s">
        <v>62</v>
      </c>
      <c r="L39" s="548"/>
      <c r="M39" s="569" t="s">
        <v>117</v>
      </c>
      <c r="N39" s="551" t="s">
        <v>63</v>
      </c>
      <c r="O39" s="552">
        <v>173</v>
      </c>
      <c r="P39" s="553">
        <v>46065</v>
      </c>
      <c r="Q39" s="553">
        <v>46041</v>
      </c>
      <c r="R39" s="554" t="s">
        <v>151</v>
      </c>
      <c r="S39" s="555">
        <f ca="1">IF(R39="Aprobado con comentarios / Emitir Rev_B", NETWORKDAYS(Q39,TODAY(),Hoja1!$C$3:$C$25),0)</f>
        <v>0</v>
      </c>
      <c r="T39" s="555">
        <f ca="1">IF(R39="Revisión INN",NETWORKDAYS(P39,TODAY(),Hoja1!$C$3:$C$25),0)</f>
        <v>46</v>
      </c>
      <c r="U39" s="556">
        <f t="shared" si="1"/>
        <v>2</v>
      </c>
      <c r="V39" s="557" t="s">
        <v>125</v>
      </c>
      <c r="W39" s="558">
        <v>107</v>
      </c>
      <c r="X39" s="558"/>
      <c r="Y39" s="559">
        <v>46006</v>
      </c>
      <c r="Z39" s="560">
        <v>111</v>
      </c>
      <c r="AA39" s="561">
        <v>46041</v>
      </c>
      <c r="AB39" s="562"/>
      <c r="AC39" s="561" t="s">
        <v>162</v>
      </c>
      <c r="AD39" s="591" t="s">
        <v>63</v>
      </c>
      <c r="AE39" s="592">
        <v>174</v>
      </c>
      <c r="AF39" s="564"/>
      <c r="AG39" s="593">
        <v>46065</v>
      </c>
      <c r="AH39" s="560"/>
      <c r="AI39" s="561"/>
      <c r="AJ39" s="562"/>
      <c r="AK39" s="561"/>
      <c r="AL39" s="563"/>
      <c r="AM39" s="567"/>
      <c r="AN39" s="564"/>
      <c r="AO39" s="565"/>
      <c r="AP39" s="560"/>
      <c r="AQ39" s="561"/>
      <c r="AR39" s="562"/>
      <c r="AS39" s="561"/>
      <c r="AT39" s="563"/>
      <c r="AU39" s="567"/>
      <c r="AV39" s="564"/>
      <c r="AW39" s="565"/>
      <c r="AX39" s="560"/>
      <c r="AY39" s="561"/>
      <c r="AZ39" s="562"/>
      <c r="BA39" s="561"/>
      <c r="BB39" s="563"/>
      <c r="BC39" s="567"/>
      <c r="BD39" s="564"/>
      <c r="BE39" s="565"/>
      <c r="BF39" s="560"/>
      <c r="BG39" s="561"/>
      <c r="BH39" s="562"/>
      <c r="BI39" s="561"/>
      <c r="BJ39" s="563"/>
      <c r="BK39" s="567"/>
      <c r="BL39" s="564"/>
      <c r="BM39" s="565"/>
      <c r="BN39" s="560"/>
      <c r="BO39" s="561"/>
      <c r="BP39" s="562"/>
      <c r="BQ39" s="561"/>
      <c r="BR39" s="563"/>
      <c r="BS39" s="567"/>
      <c r="BT39" s="564"/>
      <c r="BU39" s="565"/>
      <c r="BV39" s="560"/>
      <c r="BW39" s="561"/>
      <c r="BX39" s="562"/>
      <c r="BY39" s="561"/>
      <c r="BZ39" s="563"/>
      <c r="CA39" s="567"/>
      <c r="CB39" s="564"/>
      <c r="CC39" s="565"/>
      <c r="CD39" s="560"/>
      <c r="CE39" s="561"/>
      <c r="CF39" s="562"/>
      <c r="CG39" s="561"/>
      <c r="CH39" s="563"/>
      <c r="CI39" s="564"/>
      <c r="CJ39" s="564"/>
      <c r="CK39" s="564"/>
      <c r="CL39" s="560"/>
      <c r="CM39" s="561"/>
      <c r="CN39" s="562"/>
      <c r="CO39" s="561"/>
      <c r="CP39" s="563"/>
      <c r="CQ39" s="564"/>
      <c r="CR39" s="564"/>
      <c r="CS39" s="564"/>
      <c r="CT39" s="560"/>
      <c r="CU39" s="561"/>
      <c r="CV39" s="562"/>
      <c r="CW39" s="561"/>
      <c r="CX39" s="563"/>
      <c r="CY39" s="564"/>
      <c r="CZ39" s="564"/>
      <c r="DA39" s="564"/>
      <c r="DB39" s="560"/>
      <c r="DC39" s="561"/>
      <c r="DD39" s="562"/>
      <c r="DE39" s="561"/>
      <c r="DF39" s="563"/>
      <c r="DG39" s="564"/>
      <c r="DH39" s="564"/>
      <c r="DI39" s="564"/>
      <c r="DJ39" s="560"/>
      <c r="DK39" s="561"/>
      <c r="DL39" s="562"/>
      <c r="DM39" s="561"/>
      <c r="DN39" s="563"/>
      <c r="DO39" s="564"/>
      <c r="DP39" s="564"/>
      <c r="DQ39" s="564"/>
      <c r="DR39" s="560"/>
      <c r="DS39" s="561"/>
      <c r="DT39" s="562"/>
      <c r="DU39" s="561"/>
      <c r="DV39" s="563"/>
      <c r="DW39" s="564"/>
      <c r="DX39" s="564"/>
      <c r="DY39" s="564"/>
      <c r="DZ39" s="560"/>
      <c r="EA39" s="561"/>
      <c r="EB39" s="562"/>
      <c r="EC39" s="561"/>
      <c r="ED39" s="563"/>
      <c r="EE39" s="564"/>
      <c r="EF39" s="564"/>
      <c r="EG39" s="564"/>
      <c r="EH39" s="560"/>
      <c r="EI39" s="561"/>
      <c r="EJ39" s="562"/>
      <c r="EK39" s="561"/>
      <c r="EL39" s="563"/>
      <c r="EM39" s="564"/>
      <c r="EN39" s="564"/>
      <c r="EO39" s="564"/>
      <c r="EP39" s="560"/>
      <c r="EQ39" s="561"/>
      <c r="ER39" s="562"/>
      <c r="ES39" s="561"/>
      <c r="ET39" s="563"/>
      <c r="EU39" s="564"/>
      <c r="EV39" s="564"/>
      <c r="EW39" s="564"/>
      <c r="EX39" s="560"/>
      <c r="EY39" s="561"/>
      <c r="EZ39" s="562"/>
      <c r="FA39" s="561"/>
      <c r="FB39" s="563"/>
      <c r="FC39" s="564"/>
      <c r="FD39" s="564"/>
      <c r="FE39" s="564"/>
      <c r="FF39" s="560"/>
      <c r="FG39" s="561"/>
      <c r="FH39" s="562"/>
      <c r="FI39" s="561"/>
      <c r="FJ39" s="563"/>
      <c r="FK39" s="564"/>
      <c r="FL39" s="564"/>
      <c r="FM39" s="564"/>
      <c r="FN39" s="560"/>
      <c r="FO39" s="561"/>
      <c r="FP39" s="562"/>
      <c r="FQ39" s="561"/>
      <c r="FR39" s="563"/>
      <c r="FS39" s="564"/>
      <c r="FT39" s="564"/>
      <c r="FU39" s="564"/>
      <c r="FV39" s="560"/>
      <c r="FW39" s="566"/>
      <c r="FX39" s="566"/>
      <c r="FY39" s="566"/>
      <c r="FZ39" s="563"/>
      <c r="GA39" s="564"/>
      <c r="GB39" s="564"/>
      <c r="GC39" s="564"/>
      <c r="GD39" s="560"/>
      <c r="GE39" s="566"/>
      <c r="GF39" s="566"/>
      <c r="GG39" s="566"/>
      <c r="GH39" s="563"/>
      <c r="GI39" s="564"/>
      <c r="GJ39" s="564"/>
      <c r="GK39" s="564"/>
      <c r="GL39" s="560"/>
      <c r="GM39" s="566"/>
      <c r="GN39" s="566"/>
      <c r="GO39" s="566"/>
      <c r="GP39" s="563"/>
      <c r="GQ39" s="564"/>
      <c r="GR39" s="564"/>
      <c r="GS39" s="564"/>
      <c r="GT39" s="560"/>
      <c r="GU39" s="566"/>
      <c r="GV39" s="566"/>
      <c r="GW39" s="566"/>
      <c r="GX39" s="563"/>
      <c r="GY39" s="564"/>
      <c r="GZ39" s="564"/>
      <c r="HA39" s="590"/>
      <c r="HB39" s="560"/>
      <c r="HC39" s="566"/>
      <c r="HD39" s="566"/>
      <c r="HE39" s="566"/>
      <c r="HF39" s="563"/>
      <c r="HG39" s="564"/>
      <c r="HH39" s="564"/>
      <c r="HI39" s="590"/>
      <c r="HJ39" s="560"/>
      <c r="HK39" s="566"/>
      <c r="HL39" s="566"/>
      <c r="HM39" s="566"/>
      <c r="HN39" s="563"/>
      <c r="HO39" s="564"/>
      <c r="HP39" s="564"/>
      <c r="HQ39" s="590"/>
      <c r="HR39" s="560"/>
      <c r="HS39" s="566"/>
      <c r="HT39" s="566"/>
      <c r="HU39" s="566"/>
    </row>
    <row r="40" spans="1:229" s="573" customFormat="1" ht="73.5" customHeight="1" thickBot="1" x14ac:dyDescent="0.4">
      <c r="A40" s="506"/>
      <c r="B40" s="544">
        <v>38</v>
      </c>
      <c r="C40" s="544" t="s">
        <v>46</v>
      </c>
      <c r="D40" s="545" t="s">
        <v>44</v>
      </c>
      <c r="E40" s="558" t="s">
        <v>177</v>
      </c>
      <c r="F40" s="546" t="s">
        <v>178</v>
      </c>
      <c r="G40" s="546" t="s">
        <v>46</v>
      </c>
      <c r="H40" s="547" t="s">
        <v>179</v>
      </c>
      <c r="I40" s="548">
        <f>Q40+5</f>
        <v>46130</v>
      </c>
      <c r="J40" s="705">
        <v>3</v>
      </c>
      <c r="K40" s="568" t="s">
        <v>62</v>
      </c>
      <c r="L40" s="549"/>
      <c r="M40" s="569" t="s">
        <v>117</v>
      </c>
      <c r="N40" s="551">
        <v>0</v>
      </c>
      <c r="O40" s="552">
        <v>185</v>
      </c>
      <c r="P40" s="553">
        <v>46065</v>
      </c>
      <c r="Q40" s="553">
        <v>46125</v>
      </c>
      <c r="R40" s="554" t="s">
        <v>67</v>
      </c>
      <c r="S40" s="555">
        <f ca="1">IF(R40="Aprobado / Emitir Rev_0", NETWORKDAYS(Q40,TODAY(),Hoja1!$C$3:$C$25),0)</f>
        <v>0</v>
      </c>
      <c r="T40" s="555">
        <f ca="1">IF(R40="Revisión INN",NETWORKDAYS(P40,TODAY(),Hoja1!$C$3:$C$25),0)</f>
        <v>0</v>
      </c>
      <c r="U40" s="556">
        <f t="shared" si="1"/>
        <v>2</v>
      </c>
      <c r="V40" s="557" t="s">
        <v>63</v>
      </c>
      <c r="W40" s="558">
        <v>103</v>
      </c>
      <c r="X40" s="558"/>
      <c r="Y40" s="559">
        <v>46002</v>
      </c>
      <c r="Z40" s="560">
        <v>111</v>
      </c>
      <c r="AA40" s="561">
        <v>46041</v>
      </c>
      <c r="AB40" s="562"/>
      <c r="AC40" s="561" t="s">
        <v>128</v>
      </c>
      <c r="AD40" s="563">
        <v>0</v>
      </c>
      <c r="AE40" s="567">
        <v>173</v>
      </c>
      <c r="AF40" s="564"/>
      <c r="AG40" s="565">
        <v>46065</v>
      </c>
      <c r="AH40" s="589">
        <v>185</v>
      </c>
      <c r="AI40" s="593">
        <v>46125</v>
      </c>
      <c r="AJ40" s="562"/>
      <c r="AK40" s="593" t="s">
        <v>67</v>
      </c>
      <c r="AL40" s="563"/>
      <c r="AM40" s="567"/>
      <c r="AN40" s="564"/>
      <c r="AO40" s="565"/>
      <c r="AP40" s="560"/>
      <c r="AQ40" s="561"/>
      <c r="AR40" s="562"/>
      <c r="AS40" s="561"/>
      <c r="AT40" s="563"/>
      <c r="AU40" s="567"/>
      <c r="AV40" s="564"/>
      <c r="AW40" s="565"/>
      <c r="AX40" s="560"/>
      <c r="AY40" s="561"/>
      <c r="AZ40" s="562"/>
      <c r="BA40" s="561"/>
      <c r="BB40" s="563"/>
      <c r="BC40" s="567"/>
      <c r="BD40" s="564"/>
      <c r="BE40" s="565"/>
      <c r="BF40" s="560"/>
      <c r="BG40" s="561"/>
      <c r="BH40" s="562"/>
      <c r="BI40" s="561"/>
      <c r="BJ40" s="563"/>
      <c r="BK40" s="567"/>
      <c r="BL40" s="564"/>
      <c r="BM40" s="565"/>
      <c r="BN40" s="560"/>
      <c r="BO40" s="561"/>
      <c r="BP40" s="562"/>
      <c r="BQ40" s="561"/>
      <c r="BR40" s="563"/>
      <c r="BS40" s="567"/>
      <c r="BT40" s="564"/>
      <c r="BU40" s="565"/>
      <c r="BV40" s="560"/>
      <c r="BW40" s="561"/>
      <c r="BX40" s="562"/>
      <c r="BY40" s="561"/>
      <c r="BZ40" s="563"/>
      <c r="CA40" s="567"/>
      <c r="CB40" s="564"/>
      <c r="CC40" s="565"/>
      <c r="CD40" s="560"/>
      <c r="CE40" s="561"/>
      <c r="CF40" s="562"/>
      <c r="CG40" s="561"/>
      <c r="CH40" s="563"/>
      <c r="CI40" s="564"/>
      <c r="CJ40" s="564"/>
      <c r="CK40" s="564"/>
      <c r="CL40" s="560"/>
      <c r="CM40" s="561"/>
      <c r="CN40" s="562"/>
      <c r="CO40" s="561"/>
      <c r="CP40" s="563"/>
      <c r="CQ40" s="564"/>
      <c r="CR40" s="564"/>
      <c r="CS40" s="564"/>
      <c r="CT40" s="560"/>
      <c r="CU40" s="561"/>
      <c r="CV40" s="562"/>
      <c r="CW40" s="561"/>
      <c r="CX40" s="563"/>
      <c r="CY40" s="564"/>
      <c r="CZ40" s="564"/>
      <c r="DA40" s="564"/>
      <c r="DB40" s="560"/>
      <c r="DC40" s="561"/>
      <c r="DD40" s="562"/>
      <c r="DE40" s="561"/>
      <c r="DF40" s="563"/>
      <c r="DG40" s="564"/>
      <c r="DH40" s="564"/>
      <c r="DI40" s="564"/>
      <c r="DJ40" s="560"/>
      <c r="DK40" s="561"/>
      <c r="DL40" s="562"/>
      <c r="DM40" s="561"/>
      <c r="DN40" s="563"/>
      <c r="DO40" s="564"/>
      <c r="DP40" s="564"/>
      <c r="DQ40" s="564"/>
      <c r="DR40" s="560"/>
      <c r="DS40" s="561"/>
      <c r="DT40" s="562"/>
      <c r="DU40" s="561"/>
      <c r="DV40" s="563"/>
      <c r="DW40" s="564"/>
      <c r="DX40" s="564"/>
      <c r="DY40" s="564"/>
      <c r="DZ40" s="560"/>
      <c r="EA40" s="561"/>
      <c r="EB40" s="562"/>
      <c r="EC40" s="561"/>
      <c r="ED40" s="563"/>
      <c r="EE40" s="564"/>
      <c r="EF40" s="564"/>
      <c r="EG40" s="564"/>
      <c r="EH40" s="560"/>
      <c r="EI40" s="561"/>
      <c r="EJ40" s="562"/>
      <c r="EK40" s="561"/>
      <c r="EL40" s="563"/>
      <c r="EM40" s="564"/>
      <c r="EN40" s="564"/>
      <c r="EO40" s="564"/>
      <c r="EP40" s="560"/>
      <c r="EQ40" s="561"/>
      <c r="ER40" s="562"/>
      <c r="ES40" s="561"/>
      <c r="ET40" s="563"/>
      <c r="EU40" s="564"/>
      <c r="EV40" s="564"/>
      <c r="EW40" s="564"/>
      <c r="EX40" s="560"/>
      <c r="EY40" s="561"/>
      <c r="EZ40" s="562"/>
      <c r="FA40" s="561"/>
      <c r="FB40" s="563"/>
      <c r="FC40" s="564"/>
      <c r="FD40" s="564"/>
      <c r="FE40" s="564"/>
      <c r="FF40" s="560"/>
      <c r="FG40" s="561"/>
      <c r="FH40" s="562"/>
      <c r="FI40" s="561"/>
      <c r="FJ40" s="563"/>
      <c r="FK40" s="564"/>
      <c r="FL40" s="564"/>
      <c r="FM40" s="564"/>
      <c r="FN40" s="560"/>
      <c r="FO40" s="561"/>
      <c r="FP40" s="562"/>
      <c r="FQ40" s="561"/>
      <c r="FR40" s="563"/>
      <c r="FS40" s="564"/>
      <c r="FT40" s="564"/>
      <c r="FU40" s="564"/>
      <c r="FV40" s="560"/>
      <c r="FW40" s="566"/>
      <c r="FX40" s="566"/>
      <c r="FY40" s="566"/>
      <c r="FZ40" s="563"/>
      <c r="GA40" s="564"/>
      <c r="GB40" s="564"/>
      <c r="GC40" s="564"/>
      <c r="GD40" s="560"/>
      <c r="GE40" s="566"/>
      <c r="GF40" s="566"/>
      <c r="GG40" s="566"/>
      <c r="GH40" s="563"/>
      <c r="GI40" s="564"/>
      <c r="GJ40" s="564"/>
      <c r="GK40" s="564"/>
      <c r="GL40" s="560"/>
      <c r="GM40" s="566"/>
      <c r="GN40" s="566"/>
      <c r="GO40" s="566"/>
      <c r="GP40" s="563"/>
      <c r="GQ40" s="564"/>
      <c r="GR40" s="564"/>
      <c r="GS40" s="564"/>
      <c r="GT40" s="560"/>
      <c r="GU40" s="566"/>
      <c r="GV40" s="566"/>
      <c r="GW40" s="566"/>
      <c r="GX40" s="563"/>
      <c r="GY40" s="564"/>
      <c r="GZ40" s="564"/>
      <c r="HA40" s="590"/>
      <c r="HB40" s="560"/>
      <c r="HC40" s="566"/>
      <c r="HD40" s="566"/>
      <c r="HE40" s="566"/>
      <c r="HF40" s="563"/>
      <c r="HG40" s="564"/>
      <c r="HH40" s="564"/>
      <c r="HI40" s="590"/>
      <c r="HJ40" s="560"/>
      <c r="HK40" s="566"/>
      <c r="HL40" s="566"/>
      <c r="HM40" s="566"/>
      <c r="HN40" s="563"/>
      <c r="HO40" s="564"/>
      <c r="HP40" s="564"/>
      <c r="HQ40" s="590"/>
      <c r="HR40" s="560"/>
      <c r="HS40" s="566"/>
      <c r="HT40" s="566"/>
      <c r="HU40" s="566"/>
    </row>
    <row r="41" spans="1:229" s="506" customFormat="1" ht="47.15" customHeight="1" x14ac:dyDescent="0.35">
      <c r="B41" s="544">
        <v>45</v>
      </c>
      <c r="C41" s="544" t="s">
        <v>156</v>
      </c>
      <c r="D41" s="545" t="s">
        <v>180</v>
      </c>
      <c r="E41" s="558" t="s">
        <v>181</v>
      </c>
      <c r="F41" s="546" t="s">
        <v>182</v>
      </c>
      <c r="G41" s="546" t="s">
        <v>46</v>
      </c>
      <c r="H41" s="547" t="s">
        <v>183</v>
      </c>
      <c r="I41" s="548">
        <f>Q41+5</f>
        <v>46116</v>
      </c>
      <c r="J41" s="705">
        <v>2</v>
      </c>
      <c r="K41" s="568" t="s">
        <v>62</v>
      </c>
      <c r="L41" s="548"/>
      <c r="M41" s="569" t="s">
        <v>117</v>
      </c>
      <c r="N41" s="658" t="s">
        <v>184</v>
      </c>
      <c r="O41" s="552">
        <v>168</v>
      </c>
      <c r="P41" s="553">
        <v>46086</v>
      </c>
      <c r="Q41" s="553">
        <v>46111</v>
      </c>
      <c r="R41" s="554" t="s">
        <v>185</v>
      </c>
      <c r="S41" s="555">
        <f ca="1">IF(R41="Aprobado con comentarios / Emitir Rev_2", NETWORKDAYS(Q41,TODAY(),Hoja1!$C$3:$C$25),0)</f>
        <v>14</v>
      </c>
      <c r="T41" s="555">
        <f ca="1">IF(R41="Revisión INN",NETWORKDAYS(P41,TODAY(),Hoja1!$C$3:$C$25),0)</f>
        <v>0</v>
      </c>
      <c r="U41" s="556">
        <f t="shared" si="1"/>
        <v>4</v>
      </c>
      <c r="V41" s="557" t="s">
        <v>125</v>
      </c>
      <c r="W41" s="558">
        <v>72</v>
      </c>
      <c r="X41" s="558"/>
      <c r="Y41" s="559">
        <v>45974</v>
      </c>
      <c r="Z41" s="560">
        <v>67</v>
      </c>
      <c r="AA41" s="561">
        <v>45988</v>
      </c>
      <c r="AB41" s="562"/>
      <c r="AC41" s="561" t="s">
        <v>162</v>
      </c>
      <c r="AD41" s="563" t="s">
        <v>63</v>
      </c>
      <c r="AE41" s="567">
        <v>150</v>
      </c>
      <c r="AF41" s="564"/>
      <c r="AG41" s="565">
        <v>46048</v>
      </c>
      <c r="AH41" s="560">
        <v>129</v>
      </c>
      <c r="AI41" s="561">
        <v>46055</v>
      </c>
      <c r="AJ41" s="562"/>
      <c r="AK41" s="561" t="s">
        <v>186</v>
      </c>
      <c r="AL41" s="563">
        <v>0</v>
      </c>
      <c r="AM41" s="567">
        <v>163</v>
      </c>
      <c r="AN41" s="564"/>
      <c r="AO41" s="565">
        <v>46056</v>
      </c>
      <c r="AP41" s="560">
        <v>131</v>
      </c>
      <c r="AQ41" s="561">
        <v>46057</v>
      </c>
      <c r="AR41" s="562"/>
      <c r="AS41" s="561" t="s">
        <v>155</v>
      </c>
      <c r="AT41" s="563">
        <v>1</v>
      </c>
      <c r="AU41" s="567">
        <v>192</v>
      </c>
      <c r="AV41" s="564"/>
      <c r="AW41" s="565">
        <v>46077</v>
      </c>
      <c r="AX41" s="560" t="s">
        <v>62</v>
      </c>
      <c r="AY41" s="561" t="s">
        <v>62</v>
      </c>
      <c r="AZ41" s="562"/>
      <c r="BA41" s="561" t="s">
        <v>62</v>
      </c>
      <c r="BB41" s="563" t="s">
        <v>184</v>
      </c>
      <c r="BC41" s="567">
        <v>210</v>
      </c>
      <c r="BD41" s="564"/>
      <c r="BE41" s="565">
        <v>46086</v>
      </c>
      <c r="BF41" s="589">
        <v>168</v>
      </c>
      <c r="BG41" s="593">
        <v>46111</v>
      </c>
      <c r="BH41" s="562"/>
      <c r="BI41" s="593" t="s">
        <v>187</v>
      </c>
      <c r="BJ41" s="563"/>
      <c r="BK41" s="567"/>
      <c r="BL41" s="564"/>
      <c r="BM41" s="565"/>
      <c r="BN41" s="560"/>
      <c r="BO41" s="561"/>
      <c r="BP41" s="562"/>
      <c r="BQ41" s="561"/>
      <c r="BR41" s="563"/>
      <c r="BS41" s="567"/>
      <c r="BT41" s="564"/>
      <c r="BU41" s="565"/>
      <c r="BV41" s="560"/>
      <c r="BW41" s="561"/>
      <c r="BX41" s="562"/>
      <c r="BY41" s="561"/>
      <c r="BZ41" s="563"/>
      <c r="CA41" s="567"/>
      <c r="CB41" s="564"/>
      <c r="CC41" s="565"/>
      <c r="CD41" s="560"/>
      <c r="CE41" s="561"/>
      <c r="CF41" s="562"/>
      <c r="CG41" s="561"/>
      <c r="CH41" s="563"/>
      <c r="CI41" s="564"/>
      <c r="CJ41" s="564"/>
      <c r="CK41" s="564"/>
      <c r="CL41" s="560"/>
      <c r="CM41" s="561"/>
      <c r="CN41" s="562"/>
      <c r="CO41" s="561"/>
      <c r="CP41" s="563"/>
      <c r="CQ41" s="564"/>
      <c r="CR41" s="564"/>
      <c r="CS41" s="564"/>
      <c r="CT41" s="560"/>
      <c r="CU41" s="561"/>
      <c r="CV41" s="562"/>
      <c r="CW41" s="561"/>
      <c r="CX41" s="563"/>
      <c r="CY41" s="564"/>
      <c r="CZ41" s="564"/>
      <c r="DA41" s="564"/>
      <c r="DB41" s="560"/>
      <c r="DC41" s="561"/>
      <c r="DD41" s="562"/>
      <c r="DE41" s="561"/>
      <c r="DF41" s="563"/>
      <c r="DG41" s="564"/>
      <c r="DH41" s="564"/>
      <c r="DI41" s="564"/>
      <c r="DJ41" s="560"/>
      <c r="DK41" s="561"/>
      <c r="DL41" s="562"/>
      <c r="DM41" s="561"/>
      <c r="DN41" s="563"/>
      <c r="DO41" s="564"/>
      <c r="DP41" s="564"/>
      <c r="DQ41" s="564"/>
      <c r="DR41" s="560"/>
      <c r="DS41" s="561"/>
      <c r="DT41" s="562"/>
      <c r="DU41" s="561"/>
      <c r="DV41" s="563"/>
      <c r="DW41" s="564"/>
      <c r="DX41" s="564"/>
      <c r="DY41" s="564"/>
      <c r="DZ41" s="560"/>
      <c r="EA41" s="561"/>
      <c r="EB41" s="562"/>
      <c r="EC41" s="561"/>
      <c r="ED41" s="563"/>
      <c r="EE41" s="564"/>
      <c r="EF41" s="564"/>
      <c r="EG41" s="564"/>
      <c r="EH41" s="560"/>
      <c r="EI41" s="561"/>
      <c r="EJ41" s="562"/>
      <c r="EK41" s="561"/>
      <c r="EL41" s="563"/>
      <c r="EM41" s="564"/>
      <c r="EN41" s="564"/>
      <c r="EO41" s="564"/>
      <c r="EP41" s="560"/>
      <c r="EQ41" s="561"/>
      <c r="ER41" s="562"/>
      <c r="ES41" s="561"/>
      <c r="ET41" s="563"/>
      <c r="EU41" s="564"/>
      <c r="EV41" s="564"/>
      <c r="EW41" s="564"/>
      <c r="EX41" s="560"/>
      <c r="EY41" s="561"/>
      <c r="EZ41" s="562"/>
      <c r="FA41" s="561"/>
      <c r="FB41" s="563"/>
      <c r="FC41" s="564"/>
      <c r="FD41" s="564"/>
      <c r="FE41" s="564"/>
      <c r="FF41" s="560"/>
      <c r="FG41" s="561"/>
      <c r="FH41" s="562"/>
      <c r="FI41" s="561"/>
      <c r="FJ41" s="563"/>
      <c r="FK41" s="564"/>
      <c r="FL41" s="564"/>
      <c r="FM41" s="564"/>
      <c r="FN41" s="560"/>
      <c r="FO41" s="561"/>
      <c r="FP41" s="562"/>
      <c r="FQ41" s="561"/>
      <c r="FR41" s="563"/>
      <c r="FS41" s="564"/>
      <c r="FT41" s="564"/>
      <c r="FU41" s="564"/>
      <c r="FV41" s="560"/>
      <c r="FW41" s="566"/>
      <c r="FX41" s="566"/>
      <c r="FY41" s="566"/>
      <c r="FZ41" s="563"/>
      <c r="GA41" s="564"/>
      <c r="GB41" s="564"/>
      <c r="GC41" s="564"/>
      <c r="GD41" s="560"/>
      <c r="GE41" s="566"/>
      <c r="GF41" s="566"/>
      <c r="GG41" s="566"/>
      <c r="GH41" s="563"/>
      <c r="GI41" s="564"/>
      <c r="GJ41" s="564"/>
      <c r="GK41" s="564"/>
      <c r="GL41" s="560"/>
      <c r="GM41" s="566"/>
      <c r="GN41" s="566"/>
      <c r="GO41" s="566"/>
      <c r="GP41" s="563"/>
      <c r="GQ41" s="564"/>
      <c r="GR41" s="564"/>
      <c r="GS41" s="564"/>
      <c r="GT41" s="560"/>
      <c r="GU41" s="566"/>
      <c r="GV41" s="566"/>
      <c r="GW41" s="566"/>
      <c r="GX41" s="541"/>
      <c r="GY41" s="535"/>
      <c r="GZ41" s="542"/>
      <c r="HA41" s="543"/>
      <c r="HB41" s="541"/>
      <c r="HC41" s="535"/>
      <c r="HD41" s="542"/>
      <c r="HE41" s="543"/>
      <c r="HF41" s="541"/>
      <c r="HG41" s="535"/>
      <c r="HH41" s="542"/>
      <c r="HI41" s="543"/>
      <c r="HJ41" s="541"/>
      <c r="HK41" s="535"/>
      <c r="HL41" s="542"/>
      <c r="HM41" s="543"/>
      <c r="HN41" s="541"/>
      <c r="HO41" s="535"/>
      <c r="HP41" s="542"/>
      <c r="HQ41" s="543"/>
      <c r="HR41" s="541"/>
      <c r="HS41" s="535"/>
      <c r="HT41" s="542"/>
      <c r="HU41" s="543"/>
    </row>
    <row r="42" spans="1:229" s="506" customFormat="1" ht="76.5" customHeight="1" x14ac:dyDescent="0.35">
      <c r="B42" s="544">
        <v>60</v>
      </c>
      <c r="C42" s="544" t="s">
        <v>156</v>
      </c>
      <c r="D42" s="545" t="s">
        <v>68</v>
      </c>
      <c r="E42" s="558" t="s">
        <v>188</v>
      </c>
      <c r="F42" s="546" t="s">
        <v>189</v>
      </c>
      <c r="G42" s="546" t="s">
        <v>46</v>
      </c>
      <c r="H42" s="547" t="s">
        <v>190</v>
      </c>
      <c r="I42" s="549"/>
      <c r="J42" s="705">
        <v>2</v>
      </c>
      <c r="K42" s="568">
        <f>P42+5</f>
        <v>46057</v>
      </c>
      <c r="L42" s="548"/>
      <c r="M42" s="569" t="s">
        <v>117</v>
      </c>
      <c r="N42" s="551" t="s">
        <v>63</v>
      </c>
      <c r="O42" s="576">
        <v>168</v>
      </c>
      <c r="P42" s="553">
        <v>46052</v>
      </c>
      <c r="Q42" s="553">
        <v>46111</v>
      </c>
      <c r="R42" s="554" t="s">
        <v>191</v>
      </c>
      <c r="S42" s="555">
        <f ca="1">IF(R42="Aprobado con comentarios / Emitir Rev_0", NETWORKDAYS(Q42,TODAY(),Hoja1!$C$3:$C$25),0)</f>
        <v>14</v>
      </c>
      <c r="T42" s="555">
        <f ca="1">IF(R42="Revisión INN",NETWORKDAYS(P42,TODAY(),Hoja1!$C$3:$C$25),0)</f>
        <v>0</v>
      </c>
      <c r="U42" s="556">
        <f t="shared" si="1"/>
        <v>2</v>
      </c>
      <c r="V42" s="557" t="s">
        <v>125</v>
      </c>
      <c r="W42" s="558">
        <v>93</v>
      </c>
      <c r="X42" s="558"/>
      <c r="Y42" s="559">
        <v>45994</v>
      </c>
      <c r="Z42" s="560">
        <v>96</v>
      </c>
      <c r="AA42" s="561">
        <v>46027</v>
      </c>
      <c r="AB42" s="562"/>
      <c r="AC42" s="561" t="s">
        <v>192</v>
      </c>
      <c r="AD42" s="563" t="s">
        <v>63</v>
      </c>
      <c r="AE42" s="567">
        <v>160</v>
      </c>
      <c r="AF42" s="564"/>
      <c r="AG42" s="565">
        <v>46052</v>
      </c>
      <c r="AH42" s="589">
        <v>168</v>
      </c>
      <c r="AI42" s="593">
        <v>46111</v>
      </c>
      <c r="AJ42" s="562"/>
      <c r="AK42" s="593" t="s">
        <v>186</v>
      </c>
      <c r="AL42" s="563"/>
      <c r="AM42" s="567"/>
      <c r="AN42" s="564"/>
      <c r="AO42" s="565"/>
      <c r="AP42" s="560"/>
      <c r="AQ42" s="561"/>
      <c r="AR42" s="562"/>
      <c r="AS42" s="561"/>
      <c r="AT42" s="563"/>
      <c r="AU42" s="567"/>
      <c r="AV42" s="564"/>
      <c r="AW42" s="565"/>
      <c r="AX42" s="560"/>
      <c r="AY42" s="561"/>
      <c r="AZ42" s="562"/>
      <c r="BA42" s="561"/>
      <c r="BB42" s="563"/>
      <c r="BC42" s="567"/>
      <c r="BD42" s="564"/>
      <c r="BE42" s="565"/>
      <c r="BF42" s="560"/>
      <c r="BG42" s="561"/>
      <c r="BH42" s="562"/>
      <c r="BI42" s="561"/>
      <c r="BJ42" s="563"/>
      <c r="BK42" s="567"/>
      <c r="BL42" s="564"/>
      <c r="BM42" s="565"/>
      <c r="BN42" s="560"/>
      <c r="BO42" s="561"/>
      <c r="BP42" s="562"/>
      <c r="BQ42" s="561"/>
      <c r="BR42" s="563"/>
      <c r="BS42" s="567"/>
      <c r="BT42" s="564"/>
      <c r="BU42" s="565"/>
      <c r="BV42" s="560"/>
      <c r="BW42" s="561"/>
      <c r="BX42" s="562"/>
      <c r="BY42" s="561"/>
      <c r="BZ42" s="563"/>
      <c r="CA42" s="567"/>
      <c r="CB42" s="564"/>
      <c r="CC42" s="565"/>
      <c r="CD42" s="560"/>
      <c r="CE42" s="561"/>
      <c r="CF42" s="562"/>
      <c r="CG42" s="561"/>
      <c r="CH42" s="563"/>
      <c r="CI42" s="564"/>
      <c r="CJ42" s="564"/>
      <c r="CK42" s="564"/>
      <c r="CL42" s="560"/>
      <c r="CM42" s="561"/>
      <c r="CN42" s="562"/>
      <c r="CO42" s="561"/>
      <c r="CP42" s="563"/>
      <c r="CQ42" s="564"/>
      <c r="CR42" s="564"/>
      <c r="CS42" s="564"/>
      <c r="CT42" s="560"/>
      <c r="CU42" s="561"/>
      <c r="CV42" s="562"/>
      <c r="CW42" s="561"/>
      <c r="CX42" s="563"/>
      <c r="CY42" s="564"/>
      <c r="CZ42" s="564"/>
      <c r="DA42" s="564"/>
      <c r="DB42" s="560"/>
      <c r="DC42" s="561"/>
      <c r="DD42" s="562"/>
      <c r="DE42" s="561"/>
      <c r="DF42" s="563"/>
      <c r="DG42" s="564"/>
      <c r="DH42" s="564"/>
      <c r="DI42" s="564"/>
      <c r="DJ42" s="560"/>
      <c r="DK42" s="561"/>
      <c r="DL42" s="562"/>
      <c r="DM42" s="561"/>
      <c r="DN42" s="563"/>
      <c r="DO42" s="564"/>
      <c r="DP42" s="564"/>
      <c r="DQ42" s="564"/>
      <c r="DR42" s="560"/>
      <c r="DS42" s="561"/>
      <c r="DT42" s="562"/>
      <c r="DU42" s="561"/>
      <c r="DV42" s="563"/>
      <c r="DW42" s="564"/>
      <c r="DX42" s="564"/>
      <c r="DY42" s="564"/>
      <c r="DZ42" s="560"/>
      <c r="EA42" s="561"/>
      <c r="EB42" s="562"/>
      <c r="EC42" s="561"/>
      <c r="ED42" s="563"/>
      <c r="EE42" s="564"/>
      <c r="EF42" s="564"/>
      <c r="EG42" s="564"/>
      <c r="EH42" s="560"/>
      <c r="EI42" s="561"/>
      <c r="EJ42" s="562"/>
      <c r="EK42" s="561"/>
      <c r="EL42" s="563"/>
      <c r="EM42" s="564"/>
      <c r="EN42" s="564"/>
      <c r="EO42" s="564"/>
      <c r="EP42" s="560"/>
      <c r="EQ42" s="561"/>
      <c r="ER42" s="562"/>
      <c r="ES42" s="561"/>
      <c r="ET42" s="563"/>
      <c r="EU42" s="564"/>
      <c r="EV42" s="564"/>
      <c r="EW42" s="564"/>
      <c r="EX42" s="560"/>
      <c r="EY42" s="561"/>
      <c r="EZ42" s="562"/>
      <c r="FA42" s="561"/>
      <c r="FB42" s="563"/>
      <c r="FC42" s="564"/>
      <c r="FD42" s="564"/>
      <c r="FE42" s="564"/>
      <c r="FF42" s="560"/>
      <c r="FG42" s="561"/>
      <c r="FH42" s="562"/>
      <c r="FI42" s="561"/>
      <c r="FJ42" s="563"/>
      <c r="FK42" s="564"/>
      <c r="FL42" s="564"/>
      <c r="FM42" s="564"/>
      <c r="FN42" s="560"/>
      <c r="FO42" s="561"/>
      <c r="FP42" s="562"/>
      <c r="FQ42" s="561"/>
      <c r="FR42" s="563"/>
      <c r="FS42" s="564"/>
      <c r="FT42" s="564"/>
      <c r="FU42" s="564"/>
      <c r="FV42" s="560"/>
      <c r="FW42" s="566"/>
      <c r="FX42" s="566"/>
      <c r="FY42" s="566"/>
      <c r="FZ42" s="563"/>
      <c r="GA42" s="564"/>
      <c r="GB42" s="564"/>
      <c r="GC42" s="564"/>
      <c r="GD42" s="560"/>
      <c r="GE42" s="566"/>
      <c r="GF42" s="566"/>
      <c r="GG42" s="566"/>
      <c r="GH42" s="563"/>
      <c r="GI42" s="564"/>
      <c r="GJ42" s="564"/>
      <c r="GK42" s="564"/>
      <c r="GL42" s="560"/>
      <c r="GM42" s="566"/>
      <c r="GN42" s="566"/>
      <c r="GO42" s="566"/>
      <c r="GP42" s="563"/>
      <c r="GQ42" s="564"/>
      <c r="GR42" s="564"/>
      <c r="GS42" s="564"/>
      <c r="GT42" s="560"/>
      <c r="GU42" s="566"/>
      <c r="GV42" s="566"/>
      <c r="GW42" s="566"/>
      <c r="GX42" s="563"/>
      <c r="GY42" s="564"/>
      <c r="GZ42" s="564"/>
      <c r="HA42" s="590"/>
      <c r="HB42" s="560"/>
      <c r="HC42" s="566"/>
      <c r="HD42" s="566"/>
      <c r="HE42" s="566"/>
      <c r="HF42" s="563"/>
      <c r="HG42" s="564"/>
      <c r="HH42" s="564"/>
      <c r="HI42" s="590"/>
      <c r="HJ42" s="560"/>
      <c r="HK42" s="566"/>
      <c r="HL42" s="566"/>
      <c r="HM42" s="566"/>
      <c r="HN42" s="563"/>
      <c r="HO42" s="564"/>
      <c r="HP42" s="564"/>
      <c r="HQ42" s="590"/>
      <c r="HR42" s="560"/>
      <c r="HS42" s="566"/>
      <c r="HT42" s="566"/>
      <c r="HU42" s="566"/>
    </row>
    <row r="43" spans="1:229" s="506" customFormat="1" ht="53.15" customHeight="1" x14ac:dyDescent="0.35">
      <c r="B43" s="544">
        <v>65</v>
      </c>
      <c r="C43" s="544" t="s">
        <v>156</v>
      </c>
      <c r="D43" s="545" t="s">
        <v>139</v>
      </c>
      <c r="E43" s="558" t="s">
        <v>193</v>
      </c>
      <c r="F43" s="546" t="s">
        <v>194</v>
      </c>
      <c r="G43" s="546" t="s">
        <v>46</v>
      </c>
      <c r="H43" s="547" t="s">
        <v>195</v>
      </c>
      <c r="I43" s="548">
        <f>Q43+5</f>
        <v>46116</v>
      </c>
      <c r="J43" s="705">
        <v>2</v>
      </c>
      <c r="K43" s="568" t="s">
        <v>62</v>
      </c>
      <c r="L43" s="548"/>
      <c r="M43" s="569" t="s">
        <v>117</v>
      </c>
      <c r="N43" s="551" t="s">
        <v>63</v>
      </c>
      <c r="O43" s="576">
        <v>168</v>
      </c>
      <c r="P43" s="553">
        <v>46080</v>
      </c>
      <c r="Q43" s="553">
        <v>46111</v>
      </c>
      <c r="R43" s="554" t="s">
        <v>191</v>
      </c>
      <c r="S43" s="555">
        <f ca="1">IF(R43="Aprobado con comentarios / Emitir Rev_0", NETWORKDAYS(Q43,TODAY(),Hoja1!$C$3:$C$25),0)</f>
        <v>14</v>
      </c>
      <c r="T43" s="555">
        <f ca="1">IF(R43="Revisión INN",NETWORKDAYS(P43,TODAY(),Hoja1!$C$3:$C$25),0)</f>
        <v>0</v>
      </c>
      <c r="U43" s="556">
        <f t="shared" si="1"/>
        <v>2</v>
      </c>
      <c r="V43" s="557" t="s">
        <v>125</v>
      </c>
      <c r="W43" s="558">
        <v>101</v>
      </c>
      <c r="X43" s="558"/>
      <c r="Y43" s="559">
        <v>46000</v>
      </c>
      <c r="Z43" s="560">
        <v>96</v>
      </c>
      <c r="AA43" s="561">
        <v>46027</v>
      </c>
      <c r="AB43" s="562"/>
      <c r="AC43" s="561" t="s">
        <v>192</v>
      </c>
      <c r="AD43" s="563" t="s">
        <v>63</v>
      </c>
      <c r="AE43" s="567">
        <v>201</v>
      </c>
      <c r="AF43" s="564"/>
      <c r="AG43" s="565">
        <v>46080</v>
      </c>
      <c r="AH43" s="589">
        <v>168</v>
      </c>
      <c r="AI43" s="593">
        <v>46111</v>
      </c>
      <c r="AJ43" s="562"/>
      <c r="AK43" s="593" t="s">
        <v>186</v>
      </c>
      <c r="AL43" s="563"/>
      <c r="AM43" s="567"/>
      <c r="AN43" s="564"/>
      <c r="AO43" s="565"/>
      <c r="AP43" s="560"/>
      <c r="AQ43" s="561"/>
      <c r="AR43" s="562"/>
      <c r="AS43" s="561"/>
      <c r="AT43" s="563"/>
      <c r="AU43" s="567"/>
      <c r="AV43" s="564"/>
      <c r="AW43" s="565"/>
      <c r="AX43" s="560"/>
      <c r="AY43" s="561"/>
      <c r="AZ43" s="562"/>
      <c r="BA43" s="561"/>
      <c r="BB43" s="563"/>
      <c r="BC43" s="567"/>
      <c r="BD43" s="564"/>
      <c r="BE43" s="565"/>
      <c r="BF43" s="560"/>
      <c r="BG43" s="561"/>
      <c r="BH43" s="562"/>
      <c r="BI43" s="561"/>
      <c r="BJ43" s="563"/>
      <c r="BK43" s="567"/>
      <c r="BL43" s="564"/>
      <c r="BM43" s="565"/>
      <c r="BN43" s="560"/>
      <c r="BO43" s="561"/>
      <c r="BP43" s="562"/>
      <c r="BQ43" s="561"/>
      <c r="BR43" s="563"/>
      <c r="BS43" s="567"/>
      <c r="BT43" s="564"/>
      <c r="BU43" s="565"/>
      <c r="BV43" s="560"/>
      <c r="BW43" s="561"/>
      <c r="BX43" s="562"/>
      <c r="BY43" s="561"/>
      <c r="BZ43" s="563"/>
      <c r="CA43" s="567"/>
      <c r="CB43" s="564"/>
      <c r="CC43" s="565"/>
      <c r="CD43" s="560"/>
      <c r="CE43" s="561"/>
      <c r="CF43" s="562"/>
      <c r="CG43" s="561"/>
      <c r="CH43" s="563"/>
      <c r="CI43" s="564"/>
      <c r="CJ43" s="564"/>
      <c r="CK43" s="564"/>
      <c r="CL43" s="560"/>
      <c r="CM43" s="561"/>
      <c r="CN43" s="562"/>
      <c r="CO43" s="561"/>
      <c r="CP43" s="563"/>
      <c r="CQ43" s="564"/>
      <c r="CR43" s="564"/>
      <c r="CS43" s="564"/>
      <c r="CT43" s="560"/>
      <c r="CU43" s="561"/>
      <c r="CV43" s="562"/>
      <c r="CW43" s="561"/>
      <c r="CX43" s="563"/>
      <c r="CY43" s="564"/>
      <c r="CZ43" s="564"/>
      <c r="DA43" s="564"/>
      <c r="DB43" s="560"/>
      <c r="DC43" s="561"/>
      <c r="DD43" s="562"/>
      <c r="DE43" s="561"/>
      <c r="DF43" s="563"/>
      <c r="DG43" s="564"/>
      <c r="DH43" s="564"/>
      <c r="DI43" s="564"/>
      <c r="DJ43" s="560"/>
      <c r="DK43" s="561"/>
      <c r="DL43" s="562"/>
      <c r="DM43" s="561"/>
      <c r="DN43" s="563"/>
      <c r="DO43" s="564"/>
      <c r="DP43" s="564"/>
      <c r="DQ43" s="564"/>
      <c r="DR43" s="560"/>
      <c r="DS43" s="561"/>
      <c r="DT43" s="562"/>
      <c r="DU43" s="561"/>
      <c r="DV43" s="563"/>
      <c r="DW43" s="564"/>
      <c r="DX43" s="564"/>
      <c r="DY43" s="564"/>
      <c r="DZ43" s="560"/>
      <c r="EA43" s="561"/>
      <c r="EB43" s="562"/>
      <c r="EC43" s="561"/>
      <c r="ED43" s="563"/>
      <c r="EE43" s="564"/>
      <c r="EF43" s="564"/>
      <c r="EG43" s="564"/>
      <c r="EH43" s="560"/>
      <c r="EI43" s="561"/>
      <c r="EJ43" s="562"/>
      <c r="EK43" s="561"/>
      <c r="EL43" s="563"/>
      <c r="EM43" s="564"/>
      <c r="EN43" s="564"/>
      <c r="EO43" s="564"/>
      <c r="EP43" s="560"/>
      <c r="EQ43" s="561"/>
      <c r="ER43" s="562"/>
      <c r="ES43" s="561"/>
      <c r="ET43" s="563"/>
      <c r="EU43" s="564"/>
      <c r="EV43" s="564"/>
      <c r="EW43" s="564"/>
      <c r="EX43" s="560"/>
      <c r="EY43" s="561"/>
      <c r="EZ43" s="562"/>
      <c r="FA43" s="561"/>
      <c r="FB43" s="563"/>
      <c r="FC43" s="564"/>
      <c r="FD43" s="564"/>
      <c r="FE43" s="564"/>
      <c r="FF43" s="560"/>
      <c r="FG43" s="561"/>
      <c r="FH43" s="562"/>
      <c r="FI43" s="561"/>
      <c r="FJ43" s="563"/>
      <c r="FK43" s="564"/>
      <c r="FL43" s="564"/>
      <c r="FM43" s="564"/>
      <c r="FN43" s="560"/>
      <c r="FO43" s="561"/>
      <c r="FP43" s="562"/>
      <c r="FQ43" s="561"/>
      <c r="FR43" s="563"/>
      <c r="FS43" s="564"/>
      <c r="FT43" s="564"/>
      <c r="FU43" s="564"/>
      <c r="FV43" s="560"/>
      <c r="FW43" s="566"/>
      <c r="FX43" s="566"/>
      <c r="FY43" s="566"/>
      <c r="FZ43" s="563"/>
      <c r="GA43" s="564"/>
      <c r="GB43" s="564"/>
      <c r="GC43" s="564"/>
      <c r="GD43" s="560"/>
      <c r="GE43" s="566"/>
      <c r="GF43" s="566"/>
      <c r="GG43" s="566"/>
      <c r="GH43" s="563"/>
      <c r="GI43" s="564"/>
      <c r="GJ43" s="564"/>
      <c r="GK43" s="564"/>
      <c r="GL43" s="560"/>
      <c r="GM43" s="566"/>
      <c r="GN43" s="566"/>
      <c r="GO43" s="566"/>
      <c r="GP43" s="563"/>
      <c r="GQ43" s="564"/>
      <c r="GR43" s="564"/>
      <c r="GS43" s="564"/>
      <c r="GT43" s="560"/>
      <c r="GU43" s="566"/>
      <c r="GV43" s="566"/>
      <c r="GW43" s="566"/>
      <c r="GX43" s="563"/>
      <c r="GY43" s="564"/>
      <c r="GZ43" s="564"/>
      <c r="HA43" s="590"/>
      <c r="HB43" s="560"/>
      <c r="HC43" s="566"/>
      <c r="HD43" s="566"/>
      <c r="HE43" s="566"/>
      <c r="HF43" s="563"/>
      <c r="HG43" s="564"/>
      <c r="HH43" s="564"/>
      <c r="HI43" s="590"/>
      <c r="HJ43" s="560"/>
      <c r="HK43" s="566"/>
      <c r="HL43" s="566"/>
      <c r="HM43" s="566"/>
      <c r="HN43" s="563"/>
      <c r="HO43" s="564"/>
      <c r="HP43" s="564"/>
      <c r="HQ43" s="590"/>
      <c r="HR43" s="560"/>
      <c r="HS43" s="566"/>
      <c r="HT43" s="566"/>
      <c r="HU43" s="566"/>
    </row>
    <row r="44" spans="1:229" s="506" customFormat="1" ht="60.65" customHeight="1" thickBot="1" x14ac:dyDescent="0.4">
      <c r="B44" s="544">
        <v>41</v>
      </c>
      <c r="C44" s="544" t="s">
        <v>156</v>
      </c>
      <c r="D44" s="545" t="s">
        <v>196</v>
      </c>
      <c r="E44" s="558" t="s">
        <v>197</v>
      </c>
      <c r="F44" s="546" t="s">
        <v>198</v>
      </c>
      <c r="G44" s="546" t="s">
        <v>46</v>
      </c>
      <c r="H44" s="547" t="s">
        <v>199</v>
      </c>
      <c r="I44" s="549"/>
      <c r="J44" s="705">
        <v>2</v>
      </c>
      <c r="K44" s="568">
        <f>P44+5</f>
        <v>46104</v>
      </c>
      <c r="L44" s="548"/>
      <c r="M44" s="569" t="s">
        <v>117</v>
      </c>
      <c r="N44" s="658" t="s">
        <v>200</v>
      </c>
      <c r="O44" s="722">
        <v>175</v>
      </c>
      <c r="P44" s="656">
        <v>46099</v>
      </c>
      <c r="Q44" s="656">
        <v>46118</v>
      </c>
      <c r="R44" s="554" t="s">
        <v>67</v>
      </c>
      <c r="S44" s="555">
        <f ca="1">IF(R44="Aprobado con comentarios / Emitir Rev_B", NETWORKDAYS(Q44,TODAY(),Hoja1!$C$3:$C$25),0)</f>
        <v>0</v>
      </c>
      <c r="T44" s="555">
        <f ca="1">IF(R44="Revisión INN",NETWORKDAYS(P44,TODAY(),Hoja1!$C$3:$C$25),0)</f>
        <v>0</v>
      </c>
      <c r="U44" s="556">
        <f t="shared" si="1"/>
        <v>4</v>
      </c>
      <c r="V44" s="557" t="s">
        <v>125</v>
      </c>
      <c r="W44" s="558">
        <v>72</v>
      </c>
      <c r="X44" s="558"/>
      <c r="Y44" s="559">
        <v>45974</v>
      </c>
      <c r="Z44" s="560">
        <v>67</v>
      </c>
      <c r="AA44" s="561">
        <v>45988</v>
      </c>
      <c r="AB44" s="562"/>
      <c r="AC44" s="561" t="s">
        <v>162</v>
      </c>
      <c r="AD44" s="563" t="s">
        <v>63</v>
      </c>
      <c r="AE44" s="567">
        <v>160</v>
      </c>
      <c r="AF44" s="564"/>
      <c r="AG44" s="565">
        <v>46052</v>
      </c>
      <c r="AH44" s="560" t="s">
        <v>62</v>
      </c>
      <c r="AI44" s="561" t="s">
        <v>62</v>
      </c>
      <c r="AJ44" s="562"/>
      <c r="AK44" s="561" t="s">
        <v>62</v>
      </c>
      <c r="AL44" s="563" t="s">
        <v>201</v>
      </c>
      <c r="AM44" s="567">
        <v>206</v>
      </c>
      <c r="AN44" s="564"/>
      <c r="AO44" s="565">
        <v>46085</v>
      </c>
      <c r="AP44" s="560">
        <v>148</v>
      </c>
      <c r="AQ44" s="561">
        <v>46091</v>
      </c>
      <c r="AR44" s="562"/>
      <c r="AS44" s="561" t="s">
        <v>202</v>
      </c>
      <c r="AT44" s="563">
        <v>0</v>
      </c>
      <c r="AU44" s="567">
        <v>220</v>
      </c>
      <c r="AV44" s="564"/>
      <c r="AW44" s="565">
        <v>46093</v>
      </c>
      <c r="AX44" s="560">
        <v>168</v>
      </c>
      <c r="AY44" s="561">
        <v>46111</v>
      </c>
      <c r="AZ44" s="562"/>
      <c r="BA44" s="561" t="s">
        <v>203</v>
      </c>
      <c r="BB44" s="563" t="s">
        <v>200</v>
      </c>
      <c r="BC44" s="567">
        <v>227</v>
      </c>
      <c r="BD44" s="564"/>
      <c r="BE44" s="565">
        <v>46099</v>
      </c>
      <c r="BF44" s="589">
        <v>175</v>
      </c>
      <c r="BG44" s="593">
        <v>46118</v>
      </c>
      <c r="BH44" s="562"/>
      <c r="BI44" s="593" t="s">
        <v>67</v>
      </c>
      <c r="BJ44" s="563"/>
      <c r="BK44" s="567"/>
      <c r="BL44" s="564"/>
      <c r="BM44" s="565"/>
      <c r="BN44" s="560"/>
      <c r="BO44" s="561"/>
      <c r="BP44" s="562"/>
      <c r="BQ44" s="561"/>
      <c r="BR44" s="563"/>
      <c r="BS44" s="567"/>
      <c r="BT44" s="564"/>
      <c r="BU44" s="565"/>
      <c r="BV44" s="560"/>
      <c r="BW44" s="561"/>
      <c r="BX44" s="562"/>
      <c r="BY44" s="561"/>
      <c r="BZ44" s="563"/>
      <c r="CA44" s="567"/>
      <c r="CB44" s="564"/>
      <c r="CC44" s="565"/>
      <c r="CD44" s="560"/>
      <c r="CE44" s="561"/>
      <c r="CF44" s="562"/>
      <c r="CG44" s="561"/>
      <c r="CH44" s="563"/>
      <c r="CI44" s="564"/>
      <c r="CJ44" s="564"/>
      <c r="CK44" s="564"/>
      <c r="CL44" s="560"/>
      <c r="CM44" s="561"/>
      <c r="CN44" s="562"/>
      <c r="CO44" s="561"/>
      <c r="CP44" s="563"/>
      <c r="CQ44" s="564"/>
      <c r="CR44" s="564"/>
      <c r="CS44" s="564"/>
      <c r="CT44" s="560"/>
      <c r="CU44" s="561"/>
      <c r="CV44" s="562"/>
      <c r="CW44" s="561"/>
      <c r="CX44" s="563"/>
      <c r="CY44" s="564"/>
      <c r="CZ44" s="564"/>
      <c r="DA44" s="564"/>
      <c r="DB44" s="560"/>
      <c r="DC44" s="561"/>
      <c r="DD44" s="562"/>
      <c r="DE44" s="561"/>
      <c r="DF44" s="563"/>
      <c r="DG44" s="564"/>
      <c r="DH44" s="564"/>
      <c r="DI44" s="564"/>
      <c r="DJ44" s="560"/>
      <c r="DK44" s="561"/>
      <c r="DL44" s="562"/>
      <c r="DM44" s="561"/>
      <c r="DN44" s="563"/>
      <c r="DO44" s="564"/>
      <c r="DP44" s="564"/>
      <c r="DQ44" s="564"/>
      <c r="DR44" s="560"/>
      <c r="DS44" s="561"/>
      <c r="DT44" s="562"/>
      <c r="DU44" s="561"/>
      <c r="DV44" s="563"/>
      <c r="DW44" s="564"/>
      <c r="DX44" s="564"/>
      <c r="DY44" s="564"/>
      <c r="DZ44" s="560"/>
      <c r="EA44" s="561"/>
      <c r="EB44" s="562"/>
      <c r="EC44" s="561"/>
      <c r="ED44" s="563"/>
      <c r="EE44" s="564"/>
      <c r="EF44" s="564"/>
      <c r="EG44" s="564"/>
      <c r="EH44" s="560"/>
      <c r="EI44" s="561"/>
      <c r="EJ44" s="562"/>
      <c r="EK44" s="561"/>
      <c r="EL44" s="563"/>
      <c r="EM44" s="564"/>
      <c r="EN44" s="564"/>
      <c r="EO44" s="564"/>
      <c r="EP44" s="560"/>
      <c r="EQ44" s="561"/>
      <c r="ER44" s="562"/>
      <c r="ES44" s="561"/>
      <c r="ET44" s="563"/>
      <c r="EU44" s="564"/>
      <c r="EV44" s="564"/>
      <c r="EW44" s="564"/>
      <c r="EX44" s="560"/>
      <c r="EY44" s="561"/>
      <c r="EZ44" s="562"/>
      <c r="FA44" s="561"/>
      <c r="FB44" s="563"/>
      <c r="FC44" s="564"/>
      <c r="FD44" s="564"/>
      <c r="FE44" s="564"/>
      <c r="FF44" s="560"/>
      <c r="FG44" s="561"/>
      <c r="FH44" s="562"/>
      <c r="FI44" s="561"/>
      <c r="FJ44" s="563"/>
      <c r="FK44" s="564"/>
      <c r="FL44" s="564"/>
      <c r="FM44" s="564"/>
      <c r="FN44" s="560"/>
      <c r="FO44" s="561"/>
      <c r="FP44" s="562"/>
      <c r="FQ44" s="561"/>
      <c r="FR44" s="563"/>
      <c r="FS44" s="564"/>
      <c r="FT44" s="564"/>
      <c r="FU44" s="564"/>
      <c r="FV44" s="560"/>
      <c r="FW44" s="566"/>
      <c r="FX44" s="566"/>
      <c r="FY44" s="566"/>
      <c r="FZ44" s="563"/>
      <c r="GA44" s="564"/>
      <c r="GB44" s="564"/>
      <c r="GC44" s="564"/>
      <c r="GD44" s="560"/>
      <c r="GE44" s="566"/>
      <c r="GF44" s="566"/>
      <c r="GG44" s="566"/>
      <c r="GH44" s="563"/>
      <c r="GI44" s="564"/>
      <c r="GJ44" s="564"/>
      <c r="GK44" s="564"/>
      <c r="GL44" s="560"/>
      <c r="GM44" s="566"/>
      <c r="GN44" s="566"/>
      <c r="GO44" s="566"/>
      <c r="GP44" s="563"/>
      <c r="GQ44" s="564"/>
      <c r="GR44" s="564"/>
      <c r="GS44" s="564"/>
      <c r="GT44" s="560"/>
      <c r="GU44" s="566"/>
      <c r="GV44" s="566"/>
      <c r="GW44" s="566"/>
      <c r="GX44" s="563"/>
      <c r="GY44" s="564"/>
      <c r="GZ44" s="564"/>
      <c r="HA44" s="590"/>
      <c r="HB44" s="560"/>
      <c r="HC44" s="566"/>
      <c r="HD44" s="566"/>
      <c r="HE44" s="566"/>
      <c r="HF44" s="563"/>
      <c r="HG44" s="564"/>
      <c r="HH44" s="564"/>
      <c r="HI44" s="590"/>
      <c r="HJ44" s="560"/>
      <c r="HK44" s="566"/>
      <c r="HL44" s="566"/>
      <c r="HM44" s="566"/>
      <c r="HN44" s="563"/>
      <c r="HO44" s="564"/>
      <c r="HP44" s="564"/>
      <c r="HQ44" s="590"/>
      <c r="HR44" s="560"/>
      <c r="HS44" s="566"/>
      <c r="HT44" s="566"/>
      <c r="HU44" s="566"/>
    </row>
    <row r="45" spans="1:229" s="506" customFormat="1" ht="39.65" customHeight="1" x14ac:dyDescent="0.35">
      <c r="B45" s="544">
        <v>42</v>
      </c>
      <c r="C45" s="544" t="s">
        <v>156</v>
      </c>
      <c r="D45" s="545" t="s">
        <v>196</v>
      </c>
      <c r="E45" s="558" t="s">
        <v>204</v>
      </c>
      <c r="F45" s="546" t="s">
        <v>205</v>
      </c>
      <c r="G45" s="546" t="s">
        <v>206</v>
      </c>
      <c r="H45" s="547" t="s">
        <v>207</v>
      </c>
      <c r="I45" s="707"/>
      <c r="J45" s="568"/>
      <c r="K45" s="568">
        <f>P45+5</f>
        <v>46057</v>
      </c>
      <c r="L45" s="548"/>
      <c r="M45" s="569" t="s">
        <v>117</v>
      </c>
      <c r="N45" s="551">
        <v>0</v>
      </c>
      <c r="O45" s="552">
        <v>153</v>
      </c>
      <c r="P45" s="553">
        <v>46052</v>
      </c>
      <c r="Q45" s="553">
        <v>45988</v>
      </c>
      <c r="R45" s="554" t="s">
        <v>67</v>
      </c>
      <c r="S45" s="555">
        <f ca="1">IF(R45="Aprobado con comentarios / Emitir Rev_0", NETWORKDAYS(Q45,TODAY(),Hoja1!$C$3:$C$25),0)</f>
        <v>0</v>
      </c>
      <c r="T45" s="555">
        <f ca="1">IF(R45="Revisión INN",NETWORKDAYS(P45,TODAY(),Hoja1!$C$3:$C$25),0)</f>
        <v>0</v>
      </c>
      <c r="U45" s="556">
        <f t="shared" si="1"/>
        <v>3</v>
      </c>
      <c r="V45" s="557" t="s">
        <v>125</v>
      </c>
      <c r="W45" s="558">
        <v>55</v>
      </c>
      <c r="X45" s="558"/>
      <c r="Y45" s="559">
        <v>45954</v>
      </c>
      <c r="Z45" s="560">
        <v>51</v>
      </c>
      <c r="AA45" s="561">
        <v>45959</v>
      </c>
      <c r="AB45" s="562">
        <f>AA45-Y45</f>
        <v>5</v>
      </c>
      <c r="AC45" s="561" t="s">
        <v>167</v>
      </c>
      <c r="AD45" s="563" t="s">
        <v>63</v>
      </c>
      <c r="AE45" s="567">
        <v>61</v>
      </c>
      <c r="AF45" s="564">
        <f>AG45-AA45</f>
        <v>0</v>
      </c>
      <c r="AG45" s="565">
        <v>45959</v>
      </c>
      <c r="AH45" s="560">
        <v>67</v>
      </c>
      <c r="AI45" s="561">
        <v>45988</v>
      </c>
      <c r="AJ45" s="562"/>
      <c r="AK45" s="561" t="s">
        <v>168</v>
      </c>
      <c r="AL45" s="563">
        <v>0</v>
      </c>
      <c r="AM45" s="567">
        <v>160</v>
      </c>
      <c r="AN45" s="564"/>
      <c r="AO45" s="565">
        <v>46052</v>
      </c>
      <c r="AP45" s="589">
        <v>153</v>
      </c>
      <c r="AQ45" s="593">
        <v>46097</v>
      </c>
      <c r="AR45" s="562"/>
      <c r="AS45" s="593" t="s">
        <v>67</v>
      </c>
      <c r="AT45" s="563"/>
      <c r="AU45" s="567"/>
      <c r="AV45" s="564"/>
      <c r="AW45" s="565"/>
      <c r="AX45" s="560"/>
      <c r="AY45" s="561"/>
      <c r="AZ45" s="562"/>
      <c r="BA45" s="561"/>
      <c r="BB45" s="563"/>
      <c r="BC45" s="567"/>
      <c r="BD45" s="564"/>
      <c r="BE45" s="565"/>
      <c r="BF45" s="560"/>
      <c r="BG45" s="561"/>
      <c r="BH45" s="562"/>
      <c r="BI45" s="561"/>
      <c r="BJ45" s="563"/>
      <c r="BK45" s="567"/>
      <c r="BL45" s="564"/>
      <c r="BM45" s="565"/>
      <c r="BN45" s="560"/>
      <c r="BO45" s="561"/>
      <c r="BP45" s="562"/>
      <c r="BQ45" s="561"/>
      <c r="BR45" s="563"/>
      <c r="BS45" s="567"/>
      <c r="BT45" s="564"/>
      <c r="BU45" s="565"/>
      <c r="BV45" s="560"/>
      <c r="BW45" s="561"/>
      <c r="BX45" s="562"/>
      <c r="BY45" s="561"/>
      <c r="BZ45" s="563"/>
      <c r="CA45" s="567"/>
      <c r="CB45" s="564"/>
      <c r="CC45" s="565"/>
      <c r="CD45" s="560"/>
      <c r="CE45" s="561"/>
      <c r="CF45" s="562"/>
      <c r="CG45" s="561"/>
      <c r="CH45" s="563"/>
      <c r="CI45" s="564"/>
      <c r="CJ45" s="564"/>
      <c r="CK45" s="564"/>
      <c r="CL45" s="560"/>
      <c r="CM45" s="561"/>
      <c r="CN45" s="562"/>
      <c r="CO45" s="561"/>
      <c r="CP45" s="563"/>
      <c r="CQ45" s="564"/>
      <c r="CR45" s="564"/>
      <c r="CS45" s="564"/>
      <c r="CT45" s="560"/>
      <c r="CU45" s="561"/>
      <c r="CV45" s="562"/>
      <c r="CW45" s="561"/>
      <c r="CX45" s="563"/>
      <c r="CY45" s="564"/>
      <c r="CZ45" s="564"/>
      <c r="DA45" s="564"/>
      <c r="DB45" s="560"/>
      <c r="DC45" s="561"/>
      <c r="DD45" s="562"/>
      <c r="DE45" s="561"/>
      <c r="DF45" s="563"/>
      <c r="DG45" s="564"/>
      <c r="DH45" s="564"/>
      <c r="DI45" s="564"/>
      <c r="DJ45" s="560"/>
      <c r="DK45" s="561"/>
      <c r="DL45" s="562"/>
      <c r="DM45" s="561"/>
      <c r="DN45" s="563"/>
      <c r="DO45" s="564"/>
      <c r="DP45" s="564"/>
      <c r="DQ45" s="564"/>
      <c r="DR45" s="560"/>
      <c r="DS45" s="561"/>
      <c r="DT45" s="562"/>
      <c r="DU45" s="561"/>
      <c r="DV45" s="563"/>
      <c r="DW45" s="564"/>
      <c r="DX45" s="564"/>
      <c r="DY45" s="564"/>
      <c r="DZ45" s="560"/>
      <c r="EA45" s="561"/>
      <c r="EB45" s="562"/>
      <c r="EC45" s="561"/>
      <c r="ED45" s="563"/>
      <c r="EE45" s="564"/>
      <c r="EF45" s="564"/>
      <c r="EG45" s="564"/>
      <c r="EH45" s="560"/>
      <c r="EI45" s="561"/>
      <c r="EJ45" s="562"/>
      <c r="EK45" s="561"/>
      <c r="EL45" s="563"/>
      <c r="EM45" s="564"/>
      <c r="EN45" s="564"/>
      <c r="EO45" s="564"/>
      <c r="EP45" s="560"/>
      <c r="EQ45" s="561"/>
      <c r="ER45" s="562"/>
      <c r="ES45" s="561"/>
      <c r="ET45" s="563"/>
      <c r="EU45" s="564"/>
      <c r="EV45" s="564"/>
      <c r="EW45" s="564"/>
      <c r="EX45" s="560"/>
      <c r="EY45" s="561"/>
      <c r="EZ45" s="562"/>
      <c r="FA45" s="561"/>
      <c r="FB45" s="563"/>
      <c r="FC45" s="564"/>
      <c r="FD45" s="564"/>
      <c r="FE45" s="564"/>
      <c r="FF45" s="560"/>
      <c r="FG45" s="561"/>
      <c r="FH45" s="562"/>
      <c r="FI45" s="561"/>
      <c r="FJ45" s="563"/>
      <c r="FK45" s="564"/>
      <c r="FL45" s="564"/>
      <c r="FM45" s="564"/>
      <c r="FN45" s="560"/>
      <c r="FO45" s="561"/>
      <c r="FP45" s="562"/>
      <c r="FQ45" s="561"/>
      <c r="FR45" s="563"/>
      <c r="FS45" s="564"/>
      <c r="FT45" s="564"/>
      <c r="FU45" s="564"/>
      <c r="FV45" s="560"/>
      <c r="FW45" s="566"/>
      <c r="FX45" s="566"/>
      <c r="FY45" s="566"/>
      <c r="FZ45" s="563"/>
      <c r="GA45" s="564"/>
      <c r="GB45" s="564"/>
      <c r="GC45" s="564"/>
      <c r="GD45" s="560"/>
      <c r="GE45" s="566"/>
      <c r="GF45" s="566"/>
      <c r="GG45" s="566"/>
      <c r="GH45" s="563"/>
      <c r="GI45" s="564"/>
      <c r="GJ45" s="564"/>
      <c r="GK45" s="564"/>
      <c r="GL45" s="560"/>
      <c r="GM45" s="566"/>
      <c r="GN45" s="566"/>
      <c r="GO45" s="566"/>
      <c r="GP45" s="563"/>
      <c r="GQ45" s="564"/>
      <c r="GR45" s="564"/>
      <c r="GS45" s="564"/>
      <c r="GT45" s="560"/>
      <c r="GU45" s="566"/>
      <c r="GV45" s="566"/>
      <c r="GW45" s="566"/>
      <c r="GX45" s="541"/>
      <c r="GY45" s="535"/>
      <c r="GZ45" s="542"/>
      <c r="HA45" s="543"/>
      <c r="HB45" s="541"/>
      <c r="HC45" s="535"/>
      <c r="HD45" s="542"/>
      <c r="HE45" s="543"/>
      <c r="HF45" s="541"/>
      <c r="HG45" s="535"/>
      <c r="HH45" s="542"/>
      <c r="HI45" s="543"/>
      <c r="HJ45" s="541"/>
      <c r="HK45" s="535"/>
      <c r="HL45" s="542"/>
      <c r="HM45" s="543"/>
      <c r="HN45" s="541"/>
      <c r="HO45" s="535"/>
      <c r="HP45" s="542"/>
      <c r="HQ45" s="543"/>
      <c r="HR45" s="541"/>
      <c r="HS45" s="535"/>
      <c r="HT45" s="542"/>
      <c r="HU45" s="543"/>
    </row>
    <row r="46" spans="1:229" s="506" customFormat="1" ht="102" customHeight="1" x14ac:dyDescent="0.35">
      <c r="B46" s="544">
        <v>30</v>
      </c>
      <c r="C46" s="544" t="s">
        <v>46</v>
      </c>
      <c r="D46" s="545" t="s">
        <v>44</v>
      </c>
      <c r="E46" s="545" t="s">
        <v>208</v>
      </c>
      <c r="F46" s="546" t="s">
        <v>209</v>
      </c>
      <c r="G46" s="546" t="s">
        <v>210</v>
      </c>
      <c r="H46" s="547" t="s">
        <v>211</v>
      </c>
      <c r="I46" s="548" t="s">
        <v>86</v>
      </c>
      <c r="J46" s="568"/>
      <c r="K46" s="568" t="s">
        <v>86</v>
      </c>
      <c r="L46" s="707" t="s">
        <v>212</v>
      </c>
      <c r="M46" s="569" t="s">
        <v>123</v>
      </c>
      <c r="N46" s="551">
        <v>1</v>
      </c>
      <c r="O46" s="552">
        <v>174</v>
      </c>
      <c r="P46" s="553">
        <v>46085</v>
      </c>
      <c r="Q46" s="553">
        <v>46118</v>
      </c>
      <c r="R46" s="554" t="s">
        <v>213</v>
      </c>
      <c r="S46" s="555">
        <f ca="1">IF(R46="Rechazado / Reemitir Rev_1", NETWORKDAYS(Q46,TODAY(),Hoja1!$C$3:$C$25),0)</f>
        <v>10</v>
      </c>
      <c r="T46" s="555">
        <f ca="1">IF(R46="Revisión INN",NETWORKDAYS(P46,TODAY(),Hoja1!$C$3:$C$25),0)</f>
        <v>0</v>
      </c>
      <c r="U46" s="556">
        <f t="shared" si="1"/>
        <v>3</v>
      </c>
      <c r="V46" s="557" t="s">
        <v>63</v>
      </c>
      <c r="W46" s="558">
        <v>16</v>
      </c>
      <c r="X46" s="575"/>
      <c r="Y46" s="559">
        <v>45911</v>
      </c>
      <c r="Z46" s="560">
        <v>57</v>
      </c>
      <c r="AA46" s="561">
        <v>45965</v>
      </c>
      <c r="AB46" s="562">
        <v>36</v>
      </c>
      <c r="AC46" s="561" t="s">
        <v>152</v>
      </c>
      <c r="AD46" s="563">
        <v>0</v>
      </c>
      <c r="AE46" s="567">
        <v>76</v>
      </c>
      <c r="AF46" s="564"/>
      <c r="AG46" s="559">
        <v>45979</v>
      </c>
      <c r="AH46" s="560">
        <v>119</v>
      </c>
      <c r="AI46" s="561">
        <v>46048</v>
      </c>
      <c r="AJ46" s="562"/>
      <c r="AK46" s="561" t="s">
        <v>133</v>
      </c>
      <c r="AL46" s="563">
        <v>1</v>
      </c>
      <c r="AM46" s="567">
        <v>205</v>
      </c>
      <c r="AN46" s="564"/>
      <c r="AO46" s="559">
        <v>46085</v>
      </c>
      <c r="AP46" s="589">
        <v>174</v>
      </c>
      <c r="AQ46" s="593">
        <v>46118</v>
      </c>
      <c r="AR46" s="562"/>
      <c r="AS46" s="846" t="s">
        <v>214</v>
      </c>
      <c r="AT46" s="563"/>
      <c r="AU46" s="567"/>
      <c r="AV46" s="564"/>
      <c r="AW46" s="559"/>
      <c r="AX46" s="560"/>
      <c r="AY46" s="561"/>
      <c r="AZ46" s="562"/>
      <c r="BA46" s="561"/>
      <c r="BB46" s="563"/>
      <c r="BC46" s="567"/>
      <c r="BD46" s="564"/>
      <c r="BE46" s="559"/>
      <c r="BF46" s="560"/>
      <c r="BG46" s="561"/>
      <c r="BH46" s="562"/>
      <c r="BI46" s="561"/>
      <c r="BJ46" s="563"/>
      <c r="BK46" s="567"/>
      <c r="BL46" s="564"/>
      <c r="BM46" s="559"/>
      <c r="BN46" s="560"/>
      <c r="BO46" s="561"/>
      <c r="BP46" s="562"/>
      <c r="BQ46" s="561"/>
      <c r="BR46" s="563"/>
      <c r="BS46" s="567"/>
      <c r="BT46" s="564"/>
      <c r="BU46" s="559"/>
      <c r="BV46" s="560"/>
      <c r="BW46" s="561"/>
      <c r="BX46" s="562"/>
      <c r="BY46" s="561"/>
      <c r="BZ46" s="563"/>
      <c r="CA46" s="567"/>
      <c r="CB46" s="564"/>
      <c r="CC46" s="559"/>
      <c r="CD46" s="560"/>
      <c r="CE46" s="561"/>
      <c r="CF46" s="562"/>
      <c r="CG46" s="561"/>
      <c r="CH46" s="563"/>
      <c r="CI46" s="564"/>
      <c r="CJ46" s="564"/>
      <c r="CK46" s="564"/>
      <c r="CL46" s="560"/>
      <c r="CM46" s="561"/>
      <c r="CN46" s="562"/>
      <c r="CO46" s="561"/>
      <c r="CP46" s="563"/>
      <c r="CQ46" s="564"/>
      <c r="CR46" s="564"/>
      <c r="CS46" s="564"/>
      <c r="CT46" s="560"/>
      <c r="CU46" s="561"/>
      <c r="CV46" s="562"/>
      <c r="CW46" s="561"/>
      <c r="CX46" s="563"/>
      <c r="CY46" s="564"/>
      <c r="CZ46" s="564"/>
      <c r="DA46" s="564"/>
      <c r="DB46" s="560"/>
      <c r="DC46" s="561"/>
      <c r="DD46" s="562"/>
      <c r="DE46" s="561"/>
      <c r="DF46" s="563"/>
      <c r="DG46" s="564"/>
      <c r="DH46" s="564"/>
      <c r="DI46" s="564"/>
      <c r="DJ46" s="560"/>
      <c r="DK46" s="561"/>
      <c r="DL46" s="562"/>
      <c r="DM46" s="561"/>
      <c r="DN46" s="563"/>
      <c r="DO46" s="564"/>
      <c r="DP46" s="564"/>
      <c r="DQ46" s="564"/>
      <c r="DR46" s="560"/>
      <c r="DS46" s="561"/>
      <c r="DT46" s="562"/>
      <c r="DU46" s="561"/>
      <c r="DV46" s="563"/>
      <c r="DW46" s="564"/>
      <c r="DX46" s="564"/>
      <c r="DY46" s="564"/>
      <c r="DZ46" s="560"/>
      <c r="EA46" s="561"/>
      <c r="EB46" s="562"/>
      <c r="EC46" s="561"/>
      <c r="ED46" s="563"/>
      <c r="EE46" s="564"/>
      <c r="EF46" s="564"/>
      <c r="EG46" s="564"/>
      <c r="EH46" s="560"/>
      <c r="EI46" s="561"/>
      <c r="EJ46" s="562"/>
      <c r="EK46" s="561"/>
      <c r="EL46" s="563"/>
      <c r="EM46" s="564"/>
      <c r="EN46" s="564"/>
      <c r="EO46" s="564"/>
      <c r="EP46" s="560"/>
      <c r="EQ46" s="561"/>
      <c r="ER46" s="562"/>
      <c r="ES46" s="561"/>
      <c r="ET46" s="563"/>
      <c r="EU46" s="564"/>
      <c r="EV46" s="564"/>
      <c r="EW46" s="564"/>
      <c r="EX46" s="560"/>
      <c r="EY46" s="561"/>
      <c r="EZ46" s="562"/>
      <c r="FA46" s="561"/>
      <c r="FB46" s="563"/>
      <c r="FC46" s="564"/>
      <c r="FD46" s="564"/>
      <c r="FE46" s="564"/>
      <c r="FF46" s="560"/>
      <c r="FG46" s="561"/>
      <c r="FH46" s="562"/>
      <c r="FI46" s="561"/>
      <c r="FJ46" s="563"/>
      <c r="FK46" s="564"/>
      <c r="FL46" s="564"/>
      <c r="FM46" s="564"/>
      <c r="FN46" s="560"/>
      <c r="FO46" s="561"/>
      <c r="FP46" s="562"/>
      <c r="FQ46" s="561"/>
      <c r="FR46" s="563"/>
      <c r="FS46" s="564"/>
      <c r="FT46" s="564"/>
      <c r="FU46" s="564"/>
      <c r="FV46" s="560"/>
      <c r="FW46" s="566"/>
      <c r="FX46" s="566"/>
      <c r="FY46" s="566"/>
      <c r="FZ46" s="563"/>
      <c r="GA46" s="564"/>
      <c r="GB46" s="564"/>
      <c r="GC46" s="564"/>
      <c r="GD46" s="560"/>
      <c r="GE46" s="566"/>
      <c r="GF46" s="566"/>
      <c r="GG46" s="566"/>
      <c r="GH46" s="563"/>
      <c r="GI46" s="564"/>
      <c r="GJ46" s="564"/>
      <c r="GK46" s="564"/>
      <c r="GL46" s="560"/>
      <c r="GM46" s="566"/>
      <c r="GN46" s="566"/>
      <c r="GO46" s="566"/>
      <c r="GP46" s="563"/>
      <c r="GQ46" s="564"/>
      <c r="GR46" s="564"/>
      <c r="GS46" s="564"/>
      <c r="GT46" s="560"/>
      <c r="GU46" s="566"/>
      <c r="GV46" s="566"/>
      <c r="GW46" s="566"/>
      <c r="GX46" s="563"/>
      <c r="GY46" s="564"/>
      <c r="GZ46" s="564"/>
      <c r="HA46" s="590"/>
      <c r="HB46" s="560"/>
      <c r="HC46" s="566"/>
      <c r="HD46" s="566"/>
      <c r="HE46" s="566"/>
      <c r="HF46" s="563"/>
      <c r="HG46" s="564"/>
      <c r="HH46" s="564"/>
      <c r="HI46" s="590"/>
      <c r="HJ46" s="560"/>
      <c r="HK46" s="566"/>
      <c r="HL46" s="566"/>
      <c r="HM46" s="566"/>
      <c r="HN46" s="563"/>
      <c r="HO46" s="564"/>
      <c r="HP46" s="564"/>
      <c r="HQ46" s="590"/>
      <c r="HR46" s="560"/>
      <c r="HS46" s="566"/>
      <c r="HT46" s="566"/>
      <c r="HU46" s="566"/>
    </row>
    <row r="47" spans="1:229" s="506" customFormat="1" ht="53.15" customHeight="1" x14ac:dyDescent="0.35">
      <c r="B47" s="544">
        <v>97</v>
      </c>
      <c r="C47" s="577" t="s">
        <v>145</v>
      </c>
      <c r="D47" s="545" t="s">
        <v>59</v>
      </c>
      <c r="E47" s="545" t="s">
        <v>215</v>
      </c>
      <c r="F47" s="546" t="s">
        <v>216</v>
      </c>
      <c r="G47" s="546" t="s">
        <v>217</v>
      </c>
      <c r="H47" s="547" t="s">
        <v>218</v>
      </c>
      <c r="I47" s="568"/>
      <c r="J47" s="568"/>
      <c r="K47" s="568">
        <f>P47+5</f>
        <v>46123</v>
      </c>
      <c r="L47" s="549"/>
      <c r="M47" s="569" t="s">
        <v>117</v>
      </c>
      <c r="N47" s="658" t="s">
        <v>219</v>
      </c>
      <c r="O47" s="552">
        <v>177</v>
      </c>
      <c r="P47" s="553">
        <v>46118</v>
      </c>
      <c r="Q47" s="553">
        <v>46119</v>
      </c>
      <c r="R47" s="554" t="s">
        <v>220</v>
      </c>
      <c r="S47" s="555">
        <f ca="1">IF(R47="Aprobado / Emitir Rev_2", NETWORKDAYS(Q47,TODAY(),Hoja1!$C$3:$C$25),0)</f>
        <v>9</v>
      </c>
      <c r="T47" s="555">
        <f ca="1">IF(R47="Revisión INN",NETWORKDAYS(P47,TODAY(),Hoja1!$C$3:$C$25),0)</f>
        <v>0</v>
      </c>
      <c r="U47" s="556">
        <f t="shared" si="1"/>
        <v>8</v>
      </c>
      <c r="V47" s="557" t="s">
        <v>125</v>
      </c>
      <c r="W47" s="558">
        <v>27</v>
      </c>
      <c r="X47" s="575"/>
      <c r="Y47" s="559">
        <v>45929</v>
      </c>
      <c r="Z47" s="560">
        <v>28</v>
      </c>
      <c r="AA47" s="561">
        <v>45931</v>
      </c>
      <c r="AB47" s="562">
        <f>AA47-Y47</f>
        <v>2</v>
      </c>
      <c r="AC47" s="561" t="s">
        <v>167</v>
      </c>
      <c r="AD47" s="563" t="s">
        <v>63</v>
      </c>
      <c r="AE47" s="567">
        <v>32</v>
      </c>
      <c r="AF47" s="564">
        <f>AG47-AA47</f>
        <v>1</v>
      </c>
      <c r="AG47" s="559">
        <v>45932</v>
      </c>
      <c r="AH47" s="560">
        <v>47</v>
      </c>
      <c r="AI47" s="561">
        <v>45952</v>
      </c>
      <c r="AJ47" s="562"/>
      <c r="AK47" s="561" t="s">
        <v>186</v>
      </c>
      <c r="AL47" s="563">
        <v>0</v>
      </c>
      <c r="AM47" s="567">
        <v>63</v>
      </c>
      <c r="AN47" s="564"/>
      <c r="AO47" s="565">
        <v>45960</v>
      </c>
      <c r="AP47" s="560">
        <v>58</v>
      </c>
      <c r="AQ47" s="561">
        <v>45966</v>
      </c>
      <c r="AR47" s="562">
        <f>AQ47-AO47</f>
        <v>6</v>
      </c>
      <c r="AS47" s="561" t="s">
        <v>67</v>
      </c>
      <c r="AT47" s="563" t="s">
        <v>200</v>
      </c>
      <c r="AU47" s="567">
        <v>93</v>
      </c>
      <c r="AV47" s="564"/>
      <c r="AW47" s="559">
        <v>45994</v>
      </c>
      <c r="AX47" s="560">
        <v>78</v>
      </c>
      <c r="AY47" s="561">
        <v>46007</v>
      </c>
      <c r="AZ47" s="562"/>
      <c r="BA47" s="561" t="s">
        <v>67</v>
      </c>
      <c r="BB47" s="563">
        <v>1</v>
      </c>
      <c r="BC47" s="567">
        <v>124</v>
      </c>
      <c r="BD47" s="564"/>
      <c r="BE47" s="559">
        <v>46022</v>
      </c>
      <c r="BF47" s="560"/>
      <c r="BG47" s="561"/>
      <c r="BH47" s="562"/>
      <c r="BI47" s="561"/>
      <c r="BJ47" s="563" t="s">
        <v>184</v>
      </c>
      <c r="BK47" s="567">
        <v>151</v>
      </c>
      <c r="BL47" s="564"/>
      <c r="BM47" s="559">
        <v>46048</v>
      </c>
      <c r="BN47" s="560" t="s">
        <v>221</v>
      </c>
      <c r="BO47" s="561" t="s">
        <v>221</v>
      </c>
      <c r="BP47" s="562" t="s">
        <v>221</v>
      </c>
      <c r="BQ47" s="561" t="s">
        <v>221</v>
      </c>
      <c r="BR47" s="638" t="s">
        <v>222</v>
      </c>
      <c r="BS47" s="639">
        <v>176</v>
      </c>
      <c r="BT47" s="630"/>
      <c r="BU47" s="640">
        <v>46069</v>
      </c>
      <c r="BV47" s="769" t="s">
        <v>62</v>
      </c>
      <c r="BW47" s="770" t="s">
        <v>62</v>
      </c>
      <c r="BX47" s="562"/>
      <c r="BY47" s="770" t="s">
        <v>62</v>
      </c>
      <c r="BZ47" s="563" t="s">
        <v>223</v>
      </c>
      <c r="CA47" s="567">
        <v>223</v>
      </c>
      <c r="CB47" s="564"/>
      <c r="CC47" s="559">
        <v>46098</v>
      </c>
      <c r="CD47" s="769" t="s">
        <v>62</v>
      </c>
      <c r="CE47" s="770" t="s">
        <v>62</v>
      </c>
      <c r="CF47" s="562"/>
      <c r="CG47" s="770" t="s">
        <v>62</v>
      </c>
      <c r="CH47" s="563" t="s">
        <v>224</v>
      </c>
      <c r="CI47" s="564">
        <v>244</v>
      </c>
      <c r="CJ47" s="630"/>
      <c r="CK47" s="590">
        <v>46107</v>
      </c>
      <c r="CL47" s="769" t="s">
        <v>62</v>
      </c>
      <c r="CM47" s="770" t="s">
        <v>62</v>
      </c>
      <c r="CN47" s="600" t="s">
        <v>62</v>
      </c>
      <c r="CO47" s="770" t="s">
        <v>62</v>
      </c>
      <c r="CP47" s="563" t="s">
        <v>219</v>
      </c>
      <c r="CQ47" s="564">
        <v>254</v>
      </c>
      <c r="CR47" s="564"/>
      <c r="CS47" s="590">
        <v>46118</v>
      </c>
      <c r="CT47" s="589">
        <v>177</v>
      </c>
      <c r="CU47" s="593">
        <v>46119</v>
      </c>
      <c r="CV47" s="592"/>
      <c r="CW47" s="593" t="s">
        <v>225</v>
      </c>
      <c r="CX47" s="563"/>
      <c r="CY47" s="564"/>
      <c r="CZ47" s="564"/>
      <c r="DA47" s="564"/>
      <c r="DB47" s="560"/>
      <c r="DC47" s="561"/>
      <c r="DD47" s="562"/>
      <c r="DE47" s="561"/>
      <c r="DF47" s="563"/>
      <c r="DG47" s="564"/>
      <c r="DH47" s="564"/>
      <c r="DI47" s="564"/>
      <c r="DJ47" s="560"/>
      <c r="DK47" s="561"/>
      <c r="DL47" s="562"/>
      <c r="DM47" s="561"/>
      <c r="DN47" s="563"/>
      <c r="DO47" s="564"/>
      <c r="DP47" s="564"/>
      <c r="DQ47" s="564"/>
      <c r="DR47" s="560"/>
      <c r="DS47" s="561"/>
      <c r="DT47" s="562"/>
      <c r="DU47" s="561"/>
      <c r="DV47" s="563"/>
      <c r="DW47" s="564"/>
      <c r="DX47" s="564"/>
      <c r="DY47" s="564"/>
      <c r="DZ47" s="560"/>
      <c r="EA47" s="561"/>
      <c r="EB47" s="562"/>
      <c r="EC47" s="561"/>
      <c r="ED47" s="563"/>
      <c r="EE47" s="564"/>
      <c r="EF47" s="564"/>
      <c r="EG47" s="564"/>
      <c r="EH47" s="560"/>
      <c r="EI47" s="561"/>
      <c r="EJ47" s="562"/>
      <c r="EK47" s="561"/>
      <c r="EL47" s="563"/>
      <c r="EM47" s="564"/>
      <c r="EN47" s="564"/>
      <c r="EO47" s="564"/>
      <c r="EP47" s="560"/>
      <c r="EQ47" s="561"/>
      <c r="ER47" s="562"/>
      <c r="ES47" s="561"/>
      <c r="ET47" s="563"/>
      <c r="EU47" s="564"/>
      <c r="EV47" s="564"/>
      <c r="EW47" s="564"/>
      <c r="EX47" s="560"/>
      <c r="EY47" s="561"/>
      <c r="EZ47" s="562"/>
      <c r="FA47" s="561"/>
      <c r="FB47" s="563"/>
      <c r="FC47" s="564"/>
      <c r="FD47" s="564"/>
      <c r="FE47" s="564"/>
      <c r="FF47" s="560"/>
      <c r="FG47" s="561"/>
      <c r="FH47" s="562"/>
      <c r="FI47" s="561"/>
      <c r="FJ47" s="563"/>
      <c r="FK47" s="564"/>
      <c r="FL47" s="564"/>
      <c r="FM47" s="564"/>
      <c r="FN47" s="560"/>
      <c r="FO47" s="561"/>
      <c r="FP47" s="562"/>
      <c r="FQ47" s="561"/>
      <c r="FR47" s="563"/>
      <c r="FS47" s="564"/>
      <c r="FT47" s="564"/>
      <c r="FU47" s="564"/>
      <c r="FV47" s="560"/>
      <c r="FW47" s="566"/>
      <c r="FX47" s="566"/>
      <c r="FY47" s="566"/>
      <c r="FZ47" s="563"/>
      <c r="GA47" s="564"/>
      <c r="GB47" s="564"/>
      <c r="GC47" s="564"/>
      <c r="GD47" s="560"/>
      <c r="GE47" s="566"/>
      <c r="GF47" s="566"/>
      <c r="GG47" s="566"/>
      <c r="GH47" s="563"/>
      <c r="GI47" s="564"/>
      <c r="GJ47" s="564"/>
      <c r="GK47" s="564"/>
      <c r="GL47" s="560"/>
      <c r="GM47" s="566"/>
      <c r="GN47" s="566"/>
      <c r="GO47" s="566"/>
      <c r="GP47" s="563"/>
      <c r="GQ47" s="564"/>
      <c r="GR47" s="564"/>
      <c r="GS47" s="564"/>
      <c r="GT47" s="560"/>
      <c r="GU47" s="566"/>
      <c r="GV47" s="566"/>
      <c r="GW47" s="566"/>
      <c r="GX47" s="563"/>
      <c r="GY47" s="564"/>
      <c r="GZ47" s="564"/>
      <c r="HA47" s="590"/>
      <c r="HB47" s="560"/>
      <c r="HC47" s="566"/>
      <c r="HD47" s="566"/>
      <c r="HE47" s="566"/>
      <c r="HF47" s="563"/>
      <c r="HG47" s="564"/>
      <c r="HH47" s="564"/>
      <c r="HI47" s="590"/>
      <c r="HJ47" s="560"/>
      <c r="HK47" s="566"/>
      <c r="HL47" s="566"/>
      <c r="HM47" s="566"/>
      <c r="HN47" s="563"/>
      <c r="HO47" s="564"/>
      <c r="HP47" s="564"/>
      <c r="HQ47" s="590"/>
      <c r="HR47" s="560"/>
      <c r="HS47" s="566"/>
      <c r="HT47" s="566"/>
      <c r="HU47" s="566"/>
    </row>
    <row r="48" spans="1:229" s="506" customFormat="1" ht="53.15" customHeight="1" thickBot="1" x14ac:dyDescent="0.4">
      <c r="B48" s="544">
        <v>106</v>
      </c>
      <c r="C48" s="577" t="s">
        <v>145</v>
      </c>
      <c r="D48" s="545" t="s">
        <v>68</v>
      </c>
      <c r="E48" s="545" t="s">
        <v>226</v>
      </c>
      <c r="F48" s="546" t="s">
        <v>227</v>
      </c>
      <c r="G48" s="546" t="s">
        <v>228</v>
      </c>
      <c r="H48" s="547" t="s">
        <v>229</v>
      </c>
      <c r="I48" s="568"/>
      <c r="J48" s="568"/>
      <c r="K48" s="568">
        <f>P48+5</f>
        <v>46112</v>
      </c>
      <c r="L48" s="549"/>
      <c r="M48" s="569" t="s">
        <v>117</v>
      </c>
      <c r="N48" s="658" t="s">
        <v>224</v>
      </c>
      <c r="O48" s="552">
        <v>177</v>
      </c>
      <c r="P48" s="553">
        <v>46107</v>
      </c>
      <c r="Q48" s="553">
        <v>46119</v>
      </c>
      <c r="R48" s="554" t="s">
        <v>220</v>
      </c>
      <c r="S48" s="555">
        <f ca="1">IF(R48="Aprobado / Emitir Rev_2", NETWORKDAYS(Q48,TODAY(),Hoja1!$C$3:$C$25),0)</f>
        <v>9</v>
      </c>
      <c r="T48" s="555">
        <f ca="1">IF(R48="Revisión INN",NETWORKDAYS(P48,TODAY(),Hoja1!$C$3:$C$25),0)</f>
        <v>0</v>
      </c>
      <c r="U48" s="556">
        <f t="shared" si="1"/>
        <v>7</v>
      </c>
      <c r="V48" s="557" t="s">
        <v>125</v>
      </c>
      <c r="W48" s="558">
        <v>27</v>
      </c>
      <c r="X48" s="558"/>
      <c r="Y48" s="559">
        <v>45929</v>
      </c>
      <c r="Z48" s="560">
        <v>28</v>
      </c>
      <c r="AA48" s="561">
        <v>45931</v>
      </c>
      <c r="AB48" s="562">
        <f>AA48-Y48</f>
        <v>2</v>
      </c>
      <c r="AC48" s="561" t="s">
        <v>167</v>
      </c>
      <c r="AD48" s="563" t="s">
        <v>63</v>
      </c>
      <c r="AE48" s="567">
        <v>32</v>
      </c>
      <c r="AF48" s="564">
        <f>AG48-AA48</f>
        <v>1</v>
      </c>
      <c r="AG48" s="559">
        <v>45932</v>
      </c>
      <c r="AH48" s="560">
        <v>47</v>
      </c>
      <c r="AI48" s="561">
        <v>45952</v>
      </c>
      <c r="AJ48" s="562"/>
      <c r="AK48" s="561" t="s">
        <v>186</v>
      </c>
      <c r="AL48" s="563">
        <v>0</v>
      </c>
      <c r="AM48" s="567">
        <v>63</v>
      </c>
      <c r="AN48" s="564"/>
      <c r="AO48" s="565">
        <v>45960</v>
      </c>
      <c r="AP48" s="560">
        <v>58</v>
      </c>
      <c r="AQ48" s="561">
        <v>45966</v>
      </c>
      <c r="AR48" s="562">
        <f>AQ48-AO48</f>
        <v>6</v>
      </c>
      <c r="AS48" s="561" t="s">
        <v>67</v>
      </c>
      <c r="AT48" s="563" t="s">
        <v>200</v>
      </c>
      <c r="AU48" s="567">
        <v>93</v>
      </c>
      <c r="AV48" s="564"/>
      <c r="AW48" s="559">
        <v>45994</v>
      </c>
      <c r="AX48" s="560">
        <v>78</v>
      </c>
      <c r="AY48" s="561">
        <v>46007</v>
      </c>
      <c r="AZ48" s="562"/>
      <c r="BA48" s="561" t="s">
        <v>133</v>
      </c>
      <c r="BB48" s="563">
        <v>1</v>
      </c>
      <c r="BC48" s="567">
        <v>124</v>
      </c>
      <c r="BD48" s="564"/>
      <c r="BE48" s="559">
        <v>46022</v>
      </c>
      <c r="BF48" s="560"/>
      <c r="BG48" s="561"/>
      <c r="BH48" s="562"/>
      <c r="BI48" s="561"/>
      <c r="BJ48" s="563" t="s">
        <v>184</v>
      </c>
      <c r="BK48" s="567">
        <v>151</v>
      </c>
      <c r="BL48" s="564"/>
      <c r="BM48" s="559">
        <v>46048</v>
      </c>
      <c r="BN48" s="560" t="s">
        <v>221</v>
      </c>
      <c r="BO48" s="561" t="s">
        <v>221</v>
      </c>
      <c r="BP48" s="562" t="s">
        <v>221</v>
      </c>
      <c r="BQ48" s="561" t="s">
        <v>221</v>
      </c>
      <c r="BR48" s="638" t="s">
        <v>222</v>
      </c>
      <c r="BS48" s="639">
        <v>176</v>
      </c>
      <c r="BT48" s="630"/>
      <c r="BU48" s="768">
        <v>46069</v>
      </c>
      <c r="BV48" s="769" t="s">
        <v>62</v>
      </c>
      <c r="BW48" s="770" t="s">
        <v>62</v>
      </c>
      <c r="BX48" s="562"/>
      <c r="BY48" s="770" t="s">
        <v>62</v>
      </c>
      <c r="BZ48" s="563" t="s">
        <v>223</v>
      </c>
      <c r="CA48" s="567">
        <v>223</v>
      </c>
      <c r="CB48" s="564"/>
      <c r="CC48" s="559">
        <v>46098</v>
      </c>
      <c r="CD48" s="560" t="s">
        <v>62</v>
      </c>
      <c r="CE48" s="561" t="s">
        <v>62</v>
      </c>
      <c r="CF48" s="562"/>
      <c r="CG48" s="561" t="s">
        <v>62</v>
      </c>
      <c r="CH48" s="563" t="s">
        <v>224</v>
      </c>
      <c r="CI48" s="564">
        <v>245</v>
      </c>
      <c r="CJ48" s="564"/>
      <c r="CK48" s="590">
        <v>46107</v>
      </c>
      <c r="CL48" s="589">
        <v>177</v>
      </c>
      <c r="CM48" s="593">
        <v>46119</v>
      </c>
      <c r="CN48" s="592"/>
      <c r="CO48" s="593" t="s">
        <v>225</v>
      </c>
      <c r="CP48" s="563"/>
      <c r="CQ48" s="564"/>
      <c r="CR48" s="564"/>
      <c r="CS48" s="564"/>
      <c r="CT48" s="560"/>
      <c r="CU48" s="561"/>
      <c r="CV48" s="562"/>
      <c r="CW48" s="561"/>
      <c r="CX48" s="563"/>
      <c r="CY48" s="564"/>
      <c r="CZ48" s="564"/>
      <c r="DA48" s="564"/>
      <c r="DB48" s="560"/>
      <c r="DC48" s="561"/>
      <c r="DD48" s="562"/>
      <c r="DE48" s="561"/>
      <c r="DF48" s="563"/>
      <c r="DG48" s="564"/>
      <c r="DH48" s="564"/>
      <c r="DI48" s="564"/>
      <c r="DJ48" s="560"/>
      <c r="DK48" s="561"/>
      <c r="DL48" s="562"/>
      <c r="DM48" s="561"/>
      <c r="DN48" s="563"/>
      <c r="DO48" s="564"/>
      <c r="DP48" s="564"/>
      <c r="DQ48" s="564"/>
      <c r="DR48" s="560"/>
      <c r="DS48" s="561"/>
      <c r="DT48" s="562"/>
      <c r="DU48" s="561"/>
      <c r="DV48" s="563"/>
      <c r="DW48" s="564"/>
      <c r="DX48" s="564"/>
      <c r="DY48" s="564"/>
      <c r="DZ48" s="560"/>
      <c r="EA48" s="561"/>
      <c r="EB48" s="562"/>
      <c r="EC48" s="561"/>
      <c r="ED48" s="563"/>
      <c r="EE48" s="564"/>
      <c r="EF48" s="564"/>
      <c r="EG48" s="564"/>
      <c r="EH48" s="560"/>
      <c r="EI48" s="561"/>
      <c r="EJ48" s="562"/>
      <c r="EK48" s="561"/>
      <c r="EL48" s="563"/>
      <c r="EM48" s="564"/>
      <c r="EN48" s="564"/>
      <c r="EO48" s="564"/>
      <c r="EP48" s="560"/>
      <c r="EQ48" s="561"/>
      <c r="ER48" s="562"/>
      <c r="ES48" s="561"/>
      <c r="ET48" s="563"/>
      <c r="EU48" s="564"/>
      <c r="EV48" s="564"/>
      <c r="EW48" s="564"/>
      <c r="EX48" s="560"/>
      <c r="EY48" s="561"/>
      <c r="EZ48" s="562"/>
      <c r="FA48" s="561"/>
      <c r="FB48" s="563"/>
      <c r="FC48" s="564"/>
      <c r="FD48" s="564"/>
      <c r="FE48" s="564"/>
      <c r="FF48" s="560"/>
      <c r="FG48" s="561"/>
      <c r="FH48" s="562"/>
      <c r="FI48" s="561"/>
      <c r="FJ48" s="563"/>
      <c r="FK48" s="564"/>
      <c r="FL48" s="564"/>
      <c r="FM48" s="564"/>
      <c r="FN48" s="560"/>
      <c r="FO48" s="561"/>
      <c r="FP48" s="562"/>
      <c r="FQ48" s="561"/>
      <c r="FR48" s="563"/>
      <c r="FS48" s="564"/>
      <c r="FT48" s="564"/>
      <c r="FU48" s="564"/>
      <c r="FV48" s="560"/>
      <c r="FW48" s="566"/>
      <c r="FX48" s="566"/>
      <c r="FY48" s="566"/>
      <c r="FZ48" s="563"/>
      <c r="GA48" s="564"/>
      <c r="GB48" s="564"/>
      <c r="GC48" s="564"/>
      <c r="GD48" s="560"/>
      <c r="GE48" s="566"/>
      <c r="GF48" s="566"/>
      <c r="GG48" s="566"/>
      <c r="GH48" s="563"/>
      <c r="GI48" s="564"/>
      <c r="GJ48" s="564"/>
      <c r="GK48" s="564"/>
      <c r="GL48" s="560"/>
      <c r="GM48" s="566"/>
      <c r="GN48" s="566"/>
      <c r="GO48" s="566"/>
      <c r="GP48" s="563"/>
      <c r="GQ48" s="564"/>
      <c r="GR48" s="564"/>
      <c r="GS48" s="564"/>
      <c r="GT48" s="560"/>
      <c r="GU48" s="566"/>
      <c r="GV48" s="566"/>
      <c r="GW48" s="566"/>
      <c r="GX48" s="563"/>
      <c r="GY48" s="564"/>
      <c r="GZ48" s="564"/>
      <c r="HA48" s="590"/>
      <c r="HB48" s="560"/>
      <c r="HC48" s="566"/>
      <c r="HD48" s="566"/>
      <c r="HE48" s="566"/>
      <c r="HF48" s="563"/>
      <c r="HG48" s="564"/>
      <c r="HH48" s="564"/>
      <c r="HI48" s="590"/>
      <c r="HJ48" s="560"/>
      <c r="HK48" s="566"/>
      <c r="HL48" s="566"/>
      <c r="HM48" s="566"/>
      <c r="HN48" s="563"/>
      <c r="HO48" s="564"/>
      <c r="HP48" s="564"/>
      <c r="HQ48" s="590"/>
      <c r="HR48" s="560"/>
      <c r="HS48" s="566"/>
      <c r="HT48" s="566"/>
      <c r="HU48" s="566"/>
    </row>
    <row r="49" spans="1:229" s="506" customFormat="1" ht="76.5" customHeight="1" x14ac:dyDescent="0.35">
      <c r="B49" s="544">
        <v>117</v>
      </c>
      <c r="C49" s="544" t="s">
        <v>230</v>
      </c>
      <c r="D49" s="545" t="s">
        <v>44</v>
      </c>
      <c r="E49" s="558" t="s">
        <v>231</v>
      </c>
      <c r="F49" s="546" t="s">
        <v>232</v>
      </c>
      <c r="G49" s="546" t="s">
        <v>233</v>
      </c>
      <c r="H49" s="547" t="s">
        <v>234</v>
      </c>
      <c r="I49" s="548">
        <f>Q49+5</f>
        <v>46040</v>
      </c>
      <c r="J49" s="548"/>
      <c r="K49" s="568" t="s">
        <v>62</v>
      </c>
      <c r="L49" s="549"/>
      <c r="M49" s="569" t="s">
        <v>117</v>
      </c>
      <c r="N49" s="551">
        <v>0</v>
      </c>
      <c r="O49" s="576">
        <v>195</v>
      </c>
      <c r="P49" s="553">
        <v>46079</v>
      </c>
      <c r="Q49" s="553">
        <v>46035</v>
      </c>
      <c r="R49" s="554" t="s">
        <v>151</v>
      </c>
      <c r="S49" s="555">
        <f ca="1">IF(R49="Rechazada / Reemitir Rev_0", NETWORKDAYS(Q49,TODAY(),Hoja1!$C$3:$C$25),0)</f>
        <v>0</v>
      </c>
      <c r="T49" s="555">
        <f ca="1">IF(R49="Revisión INN",NETWORKDAYS(P49,TODAY(),Hoja1!$C$3:$C$25),0)</f>
        <v>36</v>
      </c>
      <c r="U49" s="556"/>
      <c r="V49" s="557" t="s">
        <v>63</v>
      </c>
      <c r="W49" s="558">
        <v>66</v>
      </c>
      <c r="X49" s="558"/>
      <c r="Y49" s="559">
        <v>45968</v>
      </c>
      <c r="Z49" s="560">
        <v>60</v>
      </c>
      <c r="AA49" s="561">
        <v>45972</v>
      </c>
      <c r="AB49" s="562"/>
      <c r="AC49" s="561" t="s">
        <v>235</v>
      </c>
      <c r="AD49" s="563" t="s">
        <v>63</v>
      </c>
      <c r="AE49" s="567">
        <v>68</v>
      </c>
      <c r="AF49" s="564"/>
      <c r="AG49" s="565">
        <v>45972</v>
      </c>
      <c r="AH49" s="560">
        <v>71</v>
      </c>
      <c r="AI49" s="561">
        <v>45992</v>
      </c>
      <c r="AJ49" s="562"/>
      <c r="AK49" s="561" t="s">
        <v>168</v>
      </c>
      <c r="AL49" s="563" t="s">
        <v>62</v>
      </c>
      <c r="AM49" s="567" t="s">
        <v>62</v>
      </c>
      <c r="AN49" s="564" t="s">
        <v>62</v>
      </c>
      <c r="AO49" s="565" t="s">
        <v>62</v>
      </c>
      <c r="AP49" s="560">
        <v>77</v>
      </c>
      <c r="AQ49" s="561">
        <v>46006</v>
      </c>
      <c r="AR49" s="562"/>
      <c r="AS49" s="561" t="s">
        <v>168</v>
      </c>
      <c r="AT49" s="563">
        <v>0</v>
      </c>
      <c r="AU49" s="567">
        <v>119</v>
      </c>
      <c r="AV49" s="564"/>
      <c r="AW49" s="565">
        <v>46020</v>
      </c>
      <c r="AX49" s="560">
        <v>105</v>
      </c>
      <c r="AY49" s="561">
        <v>46035</v>
      </c>
      <c r="AZ49" s="562"/>
      <c r="BA49" s="561" t="s">
        <v>236</v>
      </c>
      <c r="BB49" s="591">
        <v>0</v>
      </c>
      <c r="BC49" s="592">
        <v>195</v>
      </c>
      <c r="BD49" s="564"/>
      <c r="BE49" s="593">
        <v>46079</v>
      </c>
      <c r="BF49" s="560"/>
      <c r="BG49" s="561"/>
      <c r="BH49" s="562"/>
      <c r="BI49" s="561"/>
      <c r="BJ49" s="563"/>
      <c r="BK49" s="567"/>
      <c r="BL49" s="564"/>
      <c r="BM49" s="565"/>
      <c r="BN49" s="560"/>
      <c r="BO49" s="561"/>
      <c r="BP49" s="562"/>
      <c r="BQ49" s="561"/>
      <c r="BR49" s="563"/>
      <c r="BS49" s="567"/>
      <c r="BT49" s="564"/>
      <c r="BU49" s="565"/>
      <c r="BV49" s="560"/>
      <c r="BW49" s="561"/>
      <c r="BX49" s="562"/>
      <c r="BY49" s="561"/>
      <c r="BZ49" s="563"/>
      <c r="CA49" s="567"/>
      <c r="CB49" s="564"/>
      <c r="CC49" s="565"/>
      <c r="CD49" s="560"/>
      <c r="CE49" s="561"/>
      <c r="CF49" s="562"/>
      <c r="CG49" s="561"/>
      <c r="CH49" s="563"/>
      <c r="CI49" s="564"/>
      <c r="CJ49" s="564"/>
      <c r="CK49" s="564"/>
      <c r="CL49" s="560"/>
      <c r="CM49" s="561"/>
      <c r="CN49" s="562"/>
      <c r="CO49" s="561"/>
      <c r="CP49" s="563"/>
      <c r="CQ49" s="564"/>
      <c r="CR49" s="564"/>
      <c r="CS49" s="564"/>
      <c r="CT49" s="560"/>
      <c r="CU49" s="561"/>
      <c r="CV49" s="562"/>
      <c r="CW49" s="561"/>
      <c r="CX49" s="563"/>
      <c r="CY49" s="564"/>
      <c r="CZ49" s="564"/>
      <c r="DA49" s="564"/>
      <c r="DB49" s="560"/>
      <c r="DC49" s="561"/>
      <c r="DD49" s="562"/>
      <c r="DE49" s="561"/>
      <c r="DF49" s="563"/>
      <c r="DG49" s="564"/>
      <c r="DH49" s="564"/>
      <c r="DI49" s="564"/>
      <c r="DJ49" s="560"/>
      <c r="DK49" s="561"/>
      <c r="DL49" s="562"/>
      <c r="DM49" s="561"/>
      <c r="DN49" s="563"/>
      <c r="DO49" s="564"/>
      <c r="DP49" s="564"/>
      <c r="DQ49" s="564"/>
      <c r="DR49" s="560"/>
      <c r="DS49" s="561"/>
      <c r="DT49" s="562"/>
      <c r="DU49" s="561"/>
      <c r="DV49" s="563"/>
      <c r="DW49" s="564"/>
      <c r="DX49" s="564"/>
      <c r="DY49" s="564"/>
      <c r="DZ49" s="560"/>
      <c r="EA49" s="561"/>
      <c r="EB49" s="562"/>
      <c r="EC49" s="561"/>
      <c r="ED49" s="563"/>
      <c r="EE49" s="564"/>
      <c r="EF49" s="564"/>
      <c r="EG49" s="564"/>
      <c r="EH49" s="560"/>
      <c r="EI49" s="561"/>
      <c r="EJ49" s="562"/>
      <c r="EK49" s="561"/>
      <c r="EL49" s="563"/>
      <c r="EM49" s="564"/>
      <c r="EN49" s="564"/>
      <c r="EO49" s="564"/>
      <c r="EP49" s="560"/>
      <c r="EQ49" s="561"/>
      <c r="ER49" s="562"/>
      <c r="ES49" s="561"/>
      <c r="ET49" s="563"/>
      <c r="EU49" s="564"/>
      <c r="EV49" s="564"/>
      <c r="EW49" s="564"/>
      <c r="EX49" s="560"/>
      <c r="EY49" s="561"/>
      <c r="EZ49" s="562"/>
      <c r="FA49" s="561"/>
      <c r="FB49" s="563"/>
      <c r="FC49" s="564"/>
      <c r="FD49" s="564"/>
      <c r="FE49" s="564"/>
      <c r="FF49" s="560"/>
      <c r="FG49" s="561"/>
      <c r="FH49" s="562"/>
      <c r="FI49" s="561"/>
      <c r="FJ49" s="563"/>
      <c r="FK49" s="564"/>
      <c r="FL49" s="564"/>
      <c r="FM49" s="564"/>
      <c r="FN49" s="560"/>
      <c r="FO49" s="561"/>
      <c r="FP49" s="562"/>
      <c r="FQ49" s="561"/>
      <c r="FR49" s="563"/>
      <c r="FS49" s="564"/>
      <c r="FT49" s="564"/>
      <c r="FU49" s="564"/>
      <c r="FV49" s="560"/>
      <c r="FW49" s="566"/>
      <c r="FX49" s="566"/>
      <c r="FY49" s="566"/>
      <c r="FZ49" s="563"/>
      <c r="GA49" s="564"/>
      <c r="GB49" s="564"/>
      <c r="GC49" s="564"/>
      <c r="GD49" s="560"/>
      <c r="GE49" s="566"/>
      <c r="GF49" s="566"/>
      <c r="GG49" s="566"/>
      <c r="GH49" s="563"/>
      <c r="GI49" s="564"/>
      <c r="GJ49" s="564"/>
      <c r="GK49" s="564"/>
      <c r="GL49" s="560"/>
      <c r="GM49" s="566"/>
      <c r="GN49" s="566"/>
      <c r="GO49" s="566"/>
      <c r="GP49" s="563"/>
      <c r="GQ49" s="564"/>
      <c r="GR49" s="564"/>
      <c r="GS49" s="564"/>
      <c r="GT49" s="560"/>
      <c r="GU49" s="566"/>
      <c r="GV49" s="566"/>
      <c r="GW49" s="566"/>
      <c r="GX49" s="541"/>
      <c r="GY49" s="535"/>
      <c r="GZ49" s="542"/>
      <c r="HA49" s="543"/>
      <c r="HB49" s="541"/>
      <c r="HC49" s="535"/>
      <c r="HD49" s="542"/>
      <c r="HE49" s="543"/>
      <c r="HF49" s="541"/>
      <c r="HG49" s="535"/>
      <c r="HH49" s="542"/>
      <c r="HI49" s="543"/>
      <c r="HJ49" s="541"/>
      <c r="HK49" s="535"/>
      <c r="HL49" s="542"/>
      <c r="HM49" s="543"/>
      <c r="HN49" s="541"/>
      <c r="HO49" s="535"/>
      <c r="HP49" s="542"/>
      <c r="HQ49" s="543"/>
      <c r="HR49" s="541"/>
      <c r="HS49" s="535"/>
      <c r="HT49" s="542"/>
      <c r="HU49" s="543"/>
    </row>
    <row r="50" spans="1:229" s="506" customFormat="1" ht="102" customHeight="1" x14ac:dyDescent="0.35">
      <c r="B50" s="544">
        <v>47</v>
      </c>
      <c r="C50" s="544" t="s">
        <v>156</v>
      </c>
      <c r="D50" s="545" t="s">
        <v>180</v>
      </c>
      <c r="E50" s="558" t="s">
        <v>237</v>
      </c>
      <c r="F50" s="546" t="s">
        <v>238</v>
      </c>
      <c r="G50" s="546" t="s">
        <v>239</v>
      </c>
      <c r="H50" s="547" t="s">
        <v>240</v>
      </c>
      <c r="I50" s="707"/>
      <c r="J50" s="568"/>
      <c r="K50" s="568">
        <f>P50+5</f>
        <v>46053</v>
      </c>
      <c r="L50" s="548"/>
      <c r="M50" s="569" t="s">
        <v>117</v>
      </c>
      <c r="N50" s="551">
        <v>0</v>
      </c>
      <c r="O50" s="552">
        <v>153</v>
      </c>
      <c r="P50" s="553">
        <v>46048</v>
      </c>
      <c r="Q50" s="553">
        <v>45988</v>
      </c>
      <c r="R50" s="554" t="s">
        <v>67</v>
      </c>
      <c r="S50" s="555">
        <f ca="1">IF(R50="Aprobado con comentarios / Emitir Rev_0", NETWORKDAYS(Q50,TODAY(),Hoja1!$C$3:$C$25),0)</f>
        <v>0</v>
      </c>
      <c r="T50" s="555">
        <f ca="1">IF(R50="Revisión INN",NETWORKDAYS(P50,TODAY(),Hoja1!$C$3:$C$25),0)</f>
        <v>0</v>
      </c>
      <c r="U50" s="556">
        <f t="shared" ref="U50:U81" si="2">ROUNDUP(((COUNTA(V50:GW50)/4)/2),0)</f>
        <v>3</v>
      </c>
      <c r="V50" s="557" t="s">
        <v>125</v>
      </c>
      <c r="W50" s="558">
        <v>55</v>
      </c>
      <c r="X50" s="558"/>
      <c r="Y50" s="559">
        <v>45954</v>
      </c>
      <c r="Z50" s="560">
        <v>51</v>
      </c>
      <c r="AA50" s="561">
        <v>45959</v>
      </c>
      <c r="AB50" s="562">
        <f>AA50-Y50</f>
        <v>5</v>
      </c>
      <c r="AC50" s="561" t="s">
        <v>167</v>
      </c>
      <c r="AD50" s="563" t="s">
        <v>63</v>
      </c>
      <c r="AE50" s="567">
        <v>61</v>
      </c>
      <c r="AF50" s="564">
        <f>AG50-AA50</f>
        <v>0</v>
      </c>
      <c r="AG50" s="565">
        <v>45959</v>
      </c>
      <c r="AH50" s="560">
        <v>67</v>
      </c>
      <c r="AI50" s="561">
        <v>45988</v>
      </c>
      <c r="AJ50" s="562"/>
      <c r="AK50" s="561" t="s">
        <v>168</v>
      </c>
      <c r="AL50" s="563">
        <v>0</v>
      </c>
      <c r="AM50" s="567">
        <v>150</v>
      </c>
      <c r="AN50" s="564"/>
      <c r="AO50" s="565">
        <v>46048</v>
      </c>
      <c r="AP50" s="589">
        <v>153</v>
      </c>
      <c r="AQ50" s="593">
        <v>46097</v>
      </c>
      <c r="AR50" s="562"/>
      <c r="AS50" s="593" t="s">
        <v>67</v>
      </c>
      <c r="AT50" s="563"/>
      <c r="AU50" s="567"/>
      <c r="AV50" s="564"/>
      <c r="AW50" s="565"/>
      <c r="AX50" s="560"/>
      <c r="AY50" s="561"/>
      <c r="AZ50" s="562"/>
      <c r="BA50" s="561"/>
      <c r="BB50" s="563"/>
      <c r="BC50" s="567"/>
      <c r="BD50" s="564"/>
      <c r="BE50" s="565"/>
      <c r="BF50" s="560"/>
      <c r="BG50" s="561"/>
      <c r="BH50" s="562"/>
      <c r="BI50" s="561"/>
      <c r="BJ50" s="563"/>
      <c r="BK50" s="567"/>
      <c r="BL50" s="564"/>
      <c r="BM50" s="565"/>
      <c r="BN50" s="560"/>
      <c r="BO50" s="561"/>
      <c r="BP50" s="562"/>
      <c r="BQ50" s="561"/>
      <c r="BR50" s="563"/>
      <c r="BS50" s="567"/>
      <c r="BT50" s="564"/>
      <c r="BU50" s="565"/>
      <c r="BV50" s="560"/>
      <c r="BW50" s="561"/>
      <c r="BX50" s="562"/>
      <c r="BY50" s="561"/>
      <c r="BZ50" s="563"/>
      <c r="CA50" s="567"/>
      <c r="CB50" s="564"/>
      <c r="CC50" s="565"/>
      <c r="CD50" s="560"/>
      <c r="CE50" s="561"/>
      <c r="CF50" s="562"/>
      <c r="CG50" s="561"/>
      <c r="CH50" s="563"/>
      <c r="CI50" s="564"/>
      <c r="CJ50" s="564"/>
      <c r="CK50" s="564"/>
      <c r="CL50" s="560"/>
      <c r="CM50" s="561"/>
      <c r="CN50" s="562"/>
      <c r="CO50" s="561"/>
      <c r="CP50" s="563"/>
      <c r="CQ50" s="564"/>
      <c r="CR50" s="564"/>
      <c r="CS50" s="564"/>
      <c r="CT50" s="560"/>
      <c r="CU50" s="561"/>
      <c r="CV50" s="562"/>
      <c r="CW50" s="561"/>
      <c r="CX50" s="563"/>
      <c r="CY50" s="564"/>
      <c r="CZ50" s="564"/>
      <c r="DA50" s="564"/>
      <c r="DB50" s="560"/>
      <c r="DC50" s="561"/>
      <c r="DD50" s="562"/>
      <c r="DE50" s="561"/>
      <c r="DF50" s="563"/>
      <c r="DG50" s="564"/>
      <c r="DH50" s="564"/>
      <c r="DI50" s="564"/>
      <c r="DJ50" s="560"/>
      <c r="DK50" s="561"/>
      <c r="DL50" s="562"/>
      <c r="DM50" s="561"/>
      <c r="DN50" s="563"/>
      <c r="DO50" s="564"/>
      <c r="DP50" s="564"/>
      <c r="DQ50" s="564"/>
      <c r="DR50" s="560"/>
      <c r="DS50" s="561"/>
      <c r="DT50" s="562"/>
      <c r="DU50" s="561"/>
      <c r="DV50" s="563"/>
      <c r="DW50" s="564"/>
      <c r="DX50" s="564"/>
      <c r="DY50" s="564"/>
      <c r="DZ50" s="560"/>
      <c r="EA50" s="561"/>
      <c r="EB50" s="562"/>
      <c r="EC50" s="561"/>
      <c r="ED50" s="563"/>
      <c r="EE50" s="564"/>
      <c r="EF50" s="564"/>
      <c r="EG50" s="564"/>
      <c r="EH50" s="560"/>
      <c r="EI50" s="561"/>
      <c r="EJ50" s="562"/>
      <c r="EK50" s="561"/>
      <c r="EL50" s="563"/>
      <c r="EM50" s="564"/>
      <c r="EN50" s="564"/>
      <c r="EO50" s="564"/>
      <c r="EP50" s="560"/>
      <c r="EQ50" s="561"/>
      <c r="ER50" s="562"/>
      <c r="ES50" s="561"/>
      <c r="ET50" s="563"/>
      <c r="EU50" s="564"/>
      <c r="EV50" s="564"/>
      <c r="EW50" s="564"/>
      <c r="EX50" s="560"/>
      <c r="EY50" s="561"/>
      <c r="EZ50" s="562"/>
      <c r="FA50" s="561"/>
      <c r="FB50" s="563"/>
      <c r="FC50" s="564"/>
      <c r="FD50" s="564"/>
      <c r="FE50" s="564"/>
      <c r="FF50" s="560"/>
      <c r="FG50" s="561"/>
      <c r="FH50" s="562"/>
      <c r="FI50" s="561"/>
      <c r="FJ50" s="563"/>
      <c r="FK50" s="564"/>
      <c r="FL50" s="564"/>
      <c r="FM50" s="564"/>
      <c r="FN50" s="560"/>
      <c r="FO50" s="561"/>
      <c r="FP50" s="562"/>
      <c r="FQ50" s="561"/>
      <c r="FR50" s="563"/>
      <c r="FS50" s="564"/>
      <c r="FT50" s="564"/>
      <c r="FU50" s="564"/>
      <c r="FV50" s="560"/>
      <c r="FW50" s="566"/>
      <c r="FX50" s="566"/>
      <c r="FY50" s="566"/>
      <c r="FZ50" s="563"/>
      <c r="GA50" s="564"/>
      <c r="GB50" s="564"/>
      <c r="GC50" s="564"/>
      <c r="GD50" s="560"/>
      <c r="GE50" s="566"/>
      <c r="GF50" s="566"/>
      <c r="GG50" s="566"/>
      <c r="GH50" s="563"/>
      <c r="GI50" s="564"/>
      <c r="GJ50" s="564"/>
      <c r="GK50" s="564"/>
      <c r="GL50" s="560"/>
      <c r="GM50" s="566"/>
      <c r="GN50" s="566"/>
      <c r="GO50" s="566"/>
      <c r="GP50" s="563"/>
      <c r="GQ50" s="564"/>
      <c r="GR50" s="564"/>
      <c r="GS50" s="564"/>
      <c r="GT50" s="560"/>
      <c r="GU50" s="566"/>
      <c r="GV50" s="566"/>
      <c r="GW50" s="566"/>
      <c r="GX50" s="563"/>
      <c r="GY50" s="564"/>
      <c r="GZ50" s="564"/>
      <c r="HA50" s="590"/>
      <c r="HB50" s="560"/>
      <c r="HC50" s="566"/>
      <c r="HD50" s="566"/>
      <c r="HE50" s="566"/>
      <c r="HF50" s="563"/>
      <c r="HG50" s="564"/>
      <c r="HH50" s="564"/>
      <c r="HI50" s="590"/>
      <c r="HJ50" s="560"/>
      <c r="HK50" s="566"/>
      <c r="HL50" s="566"/>
      <c r="HM50" s="566"/>
      <c r="HN50" s="563"/>
      <c r="HO50" s="564"/>
      <c r="HP50" s="564"/>
      <c r="HQ50" s="590"/>
      <c r="HR50" s="560"/>
      <c r="HS50" s="566"/>
      <c r="HT50" s="566"/>
      <c r="HU50" s="566"/>
    </row>
    <row r="51" spans="1:229" s="506" customFormat="1" ht="50.15" customHeight="1" x14ac:dyDescent="0.35">
      <c r="B51" s="544">
        <v>48</v>
      </c>
      <c r="C51" s="544" t="s">
        <v>46</v>
      </c>
      <c r="D51" s="545" t="s">
        <v>59</v>
      </c>
      <c r="E51" s="545" t="s">
        <v>241</v>
      </c>
      <c r="F51" s="546" t="s">
        <v>242</v>
      </c>
      <c r="G51" s="546" t="s">
        <v>46</v>
      </c>
      <c r="H51" s="547" t="s">
        <v>243</v>
      </c>
      <c r="I51" s="548"/>
      <c r="J51" s="705">
        <v>3</v>
      </c>
      <c r="K51" s="568">
        <f>P51+5</f>
        <v>46116</v>
      </c>
      <c r="L51" s="572" t="s">
        <v>62</v>
      </c>
      <c r="M51" s="569" t="s">
        <v>117</v>
      </c>
      <c r="N51" s="551">
        <v>1</v>
      </c>
      <c r="O51" s="552">
        <v>184</v>
      </c>
      <c r="P51" s="553">
        <v>46111</v>
      </c>
      <c r="Q51" s="554">
        <v>46122</v>
      </c>
      <c r="R51" s="554" t="s">
        <v>67</v>
      </c>
      <c r="S51" s="555">
        <f ca="1">IF(R51="Aprobado con comentarios / Emitir Rev_1", NETWORKDAYS(Q51,TODAY(),Hoja1!$C$3:$C$25),0)</f>
        <v>0</v>
      </c>
      <c r="T51" s="555">
        <f ca="1">IF(R51="Revisión INN",NETWORKDAYS(P51,TODAY(),Hoja1!$C$3:$C$25),0)</f>
        <v>0</v>
      </c>
      <c r="U51" s="556">
        <f t="shared" si="2"/>
        <v>3</v>
      </c>
      <c r="V51" s="557" t="s">
        <v>63</v>
      </c>
      <c r="W51" s="558">
        <v>98</v>
      </c>
      <c r="X51" s="558"/>
      <c r="Y51" s="559">
        <v>45995</v>
      </c>
      <c r="Z51" s="560">
        <v>75</v>
      </c>
      <c r="AA51" s="561">
        <v>46002</v>
      </c>
      <c r="AB51" s="562"/>
      <c r="AC51" s="561" t="s">
        <v>168</v>
      </c>
      <c r="AD51" s="563">
        <v>0</v>
      </c>
      <c r="AE51" s="567">
        <v>108</v>
      </c>
      <c r="AF51" s="564"/>
      <c r="AG51" s="565">
        <v>46007</v>
      </c>
      <c r="AH51" s="560">
        <v>156</v>
      </c>
      <c r="AI51" s="561">
        <v>46098</v>
      </c>
      <c r="AJ51" s="562"/>
      <c r="AK51" s="561" t="s">
        <v>155</v>
      </c>
      <c r="AL51" s="563">
        <v>1</v>
      </c>
      <c r="AM51" s="567">
        <v>248</v>
      </c>
      <c r="AN51" s="564"/>
      <c r="AO51" s="565">
        <v>46111</v>
      </c>
      <c r="AP51" s="589">
        <v>184</v>
      </c>
      <c r="AQ51" s="593">
        <v>46122</v>
      </c>
      <c r="AR51" s="562"/>
      <c r="AS51" s="593" t="s">
        <v>67</v>
      </c>
      <c r="AT51" s="563"/>
      <c r="AU51" s="567"/>
      <c r="AV51" s="564"/>
      <c r="AW51" s="565"/>
      <c r="AX51" s="560"/>
      <c r="AY51" s="561"/>
      <c r="AZ51" s="562"/>
      <c r="BA51" s="561"/>
      <c r="BB51" s="563"/>
      <c r="BC51" s="567"/>
      <c r="BD51" s="564"/>
      <c r="BE51" s="565"/>
      <c r="BF51" s="560"/>
      <c r="BG51" s="561"/>
      <c r="BH51" s="562"/>
      <c r="BI51" s="561"/>
      <c r="BJ51" s="563"/>
      <c r="BK51" s="567"/>
      <c r="BL51" s="564"/>
      <c r="BM51" s="565"/>
      <c r="BN51" s="560"/>
      <c r="BO51" s="561"/>
      <c r="BP51" s="562"/>
      <c r="BQ51" s="561"/>
      <c r="BR51" s="563"/>
      <c r="BS51" s="567"/>
      <c r="BT51" s="564"/>
      <c r="BU51" s="565"/>
      <c r="BV51" s="560"/>
      <c r="BW51" s="561"/>
      <c r="BX51" s="562"/>
      <c r="BY51" s="561"/>
      <c r="BZ51" s="563"/>
      <c r="CA51" s="567"/>
      <c r="CB51" s="564"/>
      <c r="CC51" s="565"/>
      <c r="CD51" s="560"/>
      <c r="CE51" s="561"/>
      <c r="CF51" s="562"/>
      <c r="CG51" s="561"/>
      <c r="CH51" s="563"/>
      <c r="CI51" s="564"/>
      <c r="CJ51" s="564"/>
      <c r="CK51" s="564"/>
      <c r="CL51" s="560"/>
      <c r="CM51" s="561"/>
      <c r="CN51" s="562"/>
      <c r="CO51" s="561"/>
      <c r="CP51" s="563"/>
      <c r="CQ51" s="564"/>
      <c r="CR51" s="564"/>
      <c r="CS51" s="564"/>
      <c r="CT51" s="560"/>
      <c r="CU51" s="561"/>
      <c r="CV51" s="562"/>
      <c r="CW51" s="561"/>
      <c r="CX51" s="563"/>
      <c r="CY51" s="564"/>
      <c r="CZ51" s="564"/>
      <c r="DA51" s="564"/>
      <c r="DB51" s="560"/>
      <c r="DC51" s="561"/>
      <c r="DD51" s="562"/>
      <c r="DE51" s="561"/>
      <c r="DF51" s="563"/>
      <c r="DG51" s="564"/>
      <c r="DH51" s="564"/>
      <c r="DI51" s="564"/>
      <c r="DJ51" s="560"/>
      <c r="DK51" s="561"/>
      <c r="DL51" s="562"/>
      <c r="DM51" s="561"/>
      <c r="DN51" s="563"/>
      <c r="DO51" s="564"/>
      <c r="DP51" s="564"/>
      <c r="DQ51" s="564"/>
      <c r="DR51" s="560"/>
      <c r="DS51" s="561"/>
      <c r="DT51" s="562"/>
      <c r="DU51" s="561"/>
      <c r="DV51" s="563"/>
      <c r="DW51" s="564"/>
      <c r="DX51" s="564"/>
      <c r="DY51" s="564"/>
      <c r="DZ51" s="560"/>
      <c r="EA51" s="561"/>
      <c r="EB51" s="562"/>
      <c r="EC51" s="561"/>
      <c r="ED51" s="563"/>
      <c r="EE51" s="564"/>
      <c r="EF51" s="564"/>
      <c r="EG51" s="564"/>
      <c r="EH51" s="560"/>
      <c r="EI51" s="561"/>
      <c r="EJ51" s="562"/>
      <c r="EK51" s="561"/>
      <c r="EL51" s="563"/>
      <c r="EM51" s="564"/>
      <c r="EN51" s="564"/>
      <c r="EO51" s="564"/>
      <c r="EP51" s="560"/>
      <c r="EQ51" s="561"/>
      <c r="ER51" s="562"/>
      <c r="ES51" s="561"/>
      <c r="ET51" s="563"/>
      <c r="EU51" s="564"/>
      <c r="EV51" s="564"/>
      <c r="EW51" s="564"/>
      <c r="EX51" s="560"/>
      <c r="EY51" s="561"/>
      <c r="EZ51" s="562"/>
      <c r="FA51" s="561"/>
      <c r="FB51" s="563"/>
      <c r="FC51" s="564"/>
      <c r="FD51" s="564"/>
      <c r="FE51" s="564"/>
      <c r="FF51" s="560"/>
      <c r="FG51" s="561"/>
      <c r="FH51" s="562"/>
      <c r="FI51" s="561"/>
      <c r="FJ51" s="563"/>
      <c r="FK51" s="564"/>
      <c r="FL51" s="564"/>
      <c r="FM51" s="564"/>
      <c r="FN51" s="560"/>
      <c r="FO51" s="561"/>
      <c r="FP51" s="562"/>
      <c r="FQ51" s="561"/>
      <c r="FR51" s="563"/>
      <c r="FS51" s="564"/>
      <c r="FT51" s="564"/>
      <c r="FU51" s="564"/>
      <c r="FV51" s="560"/>
      <c r="FW51" s="566"/>
      <c r="FX51" s="566"/>
      <c r="FY51" s="566"/>
      <c r="FZ51" s="563"/>
      <c r="GA51" s="564"/>
      <c r="GB51" s="564"/>
      <c r="GC51" s="564"/>
      <c r="GD51" s="560"/>
      <c r="GE51" s="566"/>
      <c r="GF51" s="566"/>
      <c r="GG51" s="566"/>
      <c r="GH51" s="563"/>
      <c r="GI51" s="564"/>
      <c r="GJ51" s="564"/>
      <c r="GK51" s="564"/>
      <c r="GL51" s="560"/>
      <c r="GM51" s="566"/>
      <c r="GN51" s="566"/>
      <c r="GO51" s="566"/>
      <c r="GP51" s="563"/>
      <c r="GQ51" s="564"/>
      <c r="GR51" s="564"/>
      <c r="GS51" s="564"/>
      <c r="GT51" s="560"/>
      <c r="GU51" s="566"/>
      <c r="GV51" s="566"/>
      <c r="GW51" s="566"/>
      <c r="GX51" s="563"/>
      <c r="GY51" s="564"/>
      <c r="GZ51" s="564"/>
      <c r="HA51" s="590"/>
      <c r="HB51" s="560"/>
      <c r="HC51" s="566"/>
      <c r="HD51" s="566"/>
      <c r="HE51" s="566"/>
      <c r="HF51" s="563"/>
      <c r="HG51" s="564"/>
      <c r="HH51" s="564"/>
      <c r="HI51" s="590"/>
      <c r="HJ51" s="560"/>
      <c r="HK51" s="566"/>
      <c r="HL51" s="566"/>
      <c r="HM51" s="566"/>
      <c r="HN51" s="563"/>
      <c r="HO51" s="564"/>
      <c r="HP51" s="564"/>
      <c r="HQ51" s="590"/>
      <c r="HR51" s="560"/>
      <c r="HS51" s="566"/>
      <c r="HT51" s="566"/>
      <c r="HU51" s="566"/>
    </row>
    <row r="52" spans="1:229" s="506" customFormat="1" ht="50.15" customHeight="1" thickBot="1" x14ac:dyDescent="0.4">
      <c r="B52" s="544">
        <v>49</v>
      </c>
      <c r="C52" s="544" t="s">
        <v>244</v>
      </c>
      <c r="D52" s="545" t="s">
        <v>44</v>
      </c>
      <c r="E52" s="546" t="s">
        <v>245</v>
      </c>
      <c r="F52" s="546" t="s">
        <v>246</v>
      </c>
      <c r="G52" s="546" t="s">
        <v>62</v>
      </c>
      <c r="H52" s="547" t="s">
        <v>247</v>
      </c>
      <c r="I52" s="548" t="s">
        <v>86</v>
      </c>
      <c r="J52" s="549"/>
      <c r="K52" s="568" t="s">
        <v>86</v>
      </c>
      <c r="L52" s="545"/>
      <c r="M52" s="569" t="s">
        <v>117</v>
      </c>
      <c r="N52" s="551">
        <v>0</v>
      </c>
      <c r="O52" s="552">
        <v>47</v>
      </c>
      <c r="P52" s="553">
        <v>45940</v>
      </c>
      <c r="Q52" s="553">
        <v>45952</v>
      </c>
      <c r="R52" s="554" t="s">
        <v>67</v>
      </c>
      <c r="S52" s="555">
        <f ca="1">IF(R52="Aprobado.", NETWORKDAYS(Q52,TODAY(),Hoja1!$C$3:$C$25),0)</f>
        <v>0</v>
      </c>
      <c r="T52" s="555">
        <f ca="1">IF(R52="Revisión INN",NETWORKDAYS(P52,TODAY(),Hoja1!$C$3:$C$25),0)</f>
        <v>0</v>
      </c>
      <c r="U52" s="556">
        <f t="shared" si="2"/>
        <v>2</v>
      </c>
      <c r="V52" s="557" t="s">
        <v>63</v>
      </c>
      <c r="W52" s="558">
        <v>32</v>
      </c>
      <c r="X52" s="575"/>
      <c r="Y52" s="559">
        <v>45932</v>
      </c>
      <c r="Z52" s="578">
        <v>34</v>
      </c>
      <c r="AA52" s="565">
        <v>45938</v>
      </c>
      <c r="AB52" s="567"/>
      <c r="AC52" s="565" t="s">
        <v>186</v>
      </c>
      <c r="AD52" s="563">
        <v>0</v>
      </c>
      <c r="AE52" s="567">
        <v>38</v>
      </c>
      <c r="AF52" s="564">
        <f>AG52-AA52</f>
        <v>2</v>
      </c>
      <c r="AG52" s="559">
        <v>45940</v>
      </c>
      <c r="AH52" s="578">
        <v>47</v>
      </c>
      <c r="AI52" s="565">
        <v>45952</v>
      </c>
      <c r="AJ52" s="567">
        <f>AI52-AG52</f>
        <v>12</v>
      </c>
      <c r="AK52" s="561" t="s">
        <v>67</v>
      </c>
      <c r="AL52" s="563"/>
      <c r="AM52" s="567"/>
      <c r="AN52" s="564"/>
      <c r="AO52" s="559"/>
      <c r="AP52" s="578"/>
      <c r="AQ52" s="565"/>
      <c r="AR52" s="567"/>
      <c r="AS52" s="565"/>
      <c r="AT52" s="563"/>
      <c r="AU52" s="567"/>
      <c r="AV52" s="564"/>
      <c r="AW52" s="559"/>
      <c r="AX52" s="578"/>
      <c r="AY52" s="565"/>
      <c r="AZ52" s="567"/>
      <c r="BA52" s="565"/>
      <c r="BB52" s="563"/>
      <c r="BC52" s="567"/>
      <c r="BD52" s="564"/>
      <c r="BE52" s="559"/>
      <c r="BF52" s="578"/>
      <c r="BG52" s="565"/>
      <c r="BH52" s="567"/>
      <c r="BI52" s="565"/>
      <c r="BJ52" s="563"/>
      <c r="BK52" s="567"/>
      <c r="BL52" s="564"/>
      <c r="BM52" s="559"/>
      <c r="BN52" s="578"/>
      <c r="BO52" s="565"/>
      <c r="BP52" s="567"/>
      <c r="BQ52" s="565"/>
      <c r="BR52" s="563"/>
      <c r="BS52" s="567"/>
      <c r="BT52" s="564"/>
      <c r="BU52" s="559"/>
      <c r="BV52" s="578"/>
      <c r="BW52" s="565"/>
      <c r="BX52" s="567"/>
      <c r="BY52" s="565"/>
      <c r="BZ52" s="563"/>
      <c r="CA52" s="567"/>
      <c r="CB52" s="564"/>
      <c r="CC52" s="559"/>
      <c r="CD52" s="578"/>
      <c r="CE52" s="565"/>
      <c r="CF52" s="567"/>
      <c r="CG52" s="565"/>
      <c r="CH52" s="563"/>
      <c r="CI52" s="564"/>
      <c r="CJ52" s="564"/>
      <c r="CK52" s="564"/>
      <c r="CL52" s="578"/>
      <c r="CM52" s="565"/>
      <c r="CN52" s="567"/>
      <c r="CO52" s="565"/>
      <c r="CP52" s="563"/>
      <c r="CQ52" s="564"/>
      <c r="CR52" s="564"/>
      <c r="CS52" s="564"/>
      <c r="CT52" s="578"/>
      <c r="CU52" s="565"/>
      <c r="CV52" s="567"/>
      <c r="CW52" s="565"/>
      <c r="CX52" s="563"/>
      <c r="CY52" s="564"/>
      <c r="CZ52" s="564"/>
      <c r="DA52" s="564"/>
      <c r="DB52" s="578"/>
      <c r="DC52" s="565"/>
      <c r="DD52" s="567"/>
      <c r="DE52" s="565"/>
      <c r="DF52" s="563"/>
      <c r="DG52" s="564"/>
      <c r="DH52" s="564"/>
      <c r="DI52" s="564"/>
      <c r="DJ52" s="578"/>
      <c r="DK52" s="565"/>
      <c r="DL52" s="567"/>
      <c r="DM52" s="565"/>
      <c r="DN52" s="563"/>
      <c r="DO52" s="564"/>
      <c r="DP52" s="564"/>
      <c r="DQ52" s="564"/>
      <c r="DR52" s="578"/>
      <c r="DS52" s="565"/>
      <c r="DT52" s="567"/>
      <c r="DU52" s="565"/>
      <c r="DV52" s="563"/>
      <c r="DW52" s="564"/>
      <c r="DX52" s="564"/>
      <c r="DY52" s="564"/>
      <c r="DZ52" s="578"/>
      <c r="EA52" s="565"/>
      <c r="EB52" s="567"/>
      <c r="EC52" s="565"/>
      <c r="ED52" s="563"/>
      <c r="EE52" s="564"/>
      <c r="EF52" s="564"/>
      <c r="EG52" s="564"/>
      <c r="EH52" s="578"/>
      <c r="EI52" s="565"/>
      <c r="EJ52" s="567"/>
      <c r="EK52" s="565"/>
      <c r="EL52" s="563"/>
      <c r="EM52" s="564"/>
      <c r="EN52" s="564"/>
      <c r="EO52" s="564"/>
      <c r="EP52" s="578"/>
      <c r="EQ52" s="565"/>
      <c r="ER52" s="567"/>
      <c r="ES52" s="565"/>
      <c r="ET52" s="563"/>
      <c r="EU52" s="564"/>
      <c r="EV52" s="564"/>
      <c r="EW52" s="564"/>
      <c r="EX52" s="578"/>
      <c r="EY52" s="565"/>
      <c r="EZ52" s="567"/>
      <c r="FA52" s="565"/>
      <c r="FB52" s="563"/>
      <c r="FC52" s="564"/>
      <c r="FD52" s="564"/>
      <c r="FE52" s="564"/>
      <c r="FF52" s="578"/>
      <c r="FG52" s="565"/>
      <c r="FH52" s="567"/>
      <c r="FI52" s="565"/>
      <c r="FJ52" s="563"/>
      <c r="FK52" s="564"/>
      <c r="FL52" s="564"/>
      <c r="FM52" s="564"/>
      <c r="FN52" s="578"/>
      <c r="FO52" s="565"/>
      <c r="FP52" s="567"/>
      <c r="FQ52" s="565"/>
      <c r="FR52" s="563"/>
      <c r="FS52" s="564"/>
      <c r="FT52" s="564"/>
      <c r="FU52" s="564"/>
      <c r="FV52" s="578"/>
      <c r="FW52" s="564"/>
      <c r="FX52" s="564"/>
      <c r="FY52" s="564"/>
      <c r="FZ52" s="563"/>
      <c r="GA52" s="564"/>
      <c r="GB52" s="564"/>
      <c r="GC52" s="564"/>
      <c r="GD52" s="578"/>
      <c r="GE52" s="564"/>
      <c r="GF52" s="564"/>
      <c r="GG52" s="564"/>
      <c r="GH52" s="563"/>
      <c r="GI52" s="564"/>
      <c r="GJ52" s="564"/>
      <c r="GK52" s="564"/>
      <c r="GL52" s="578"/>
      <c r="GM52" s="564"/>
      <c r="GN52" s="564"/>
      <c r="GO52" s="564"/>
      <c r="GP52" s="563"/>
      <c r="GQ52" s="564"/>
      <c r="GR52" s="564"/>
      <c r="GS52" s="564"/>
      <c r="GT52" s="578"/>
      <c r="GU52" s="564"/>
      <c r="GV52" s="564"/>
      <c r="GW52" s="564"/>
      <c r="GX52" s="563"/>
      <c r="GY52" s="564"/>
      <c r="GZ52" s="564"/>
      <c r="HA52" s="590"/>
      <c r="HB52" s="560"/>
      <c r="HC52" s="566"/>
      <c r="HD52" s="566"/>
      <c r="HE52" s="566"/>
      <c r="HF52" s="563"/>
      <c r="HG52" s="564"/>
      <c r="HH52" s="564"/>
      <c r="HI52" s="590"/>
      <c r="HJ52" s="560"/>
      <c r="HK52" s="566"/>
      <c r="HL52" s="566"/>
      <c r="HM52" s="566"/>
      <c r="HN52" s="563"/>
      <c r="HO52" s="564"/>
      <c r="HP52" s="564"/>
      <c r="HQ52" s="590"/>
      <c r="HR52" s="560"/>
      <c r="HS52" s="566"/>
      <c r="HT52" s="566"/>
      <c r="HU52" s="566"/>
    </row>
    <row r="53" spans="1:229" s="506" customFormat="1" ht="112.5" customHeight="1" x14ac:dyDescent="0.35">
      <c r="B53" s="544">
        <v>50</v>
      </c>
      <c r="C53" s="544" t="s">
        <v>244</v>
      </c>
      <c r="D53" s="545" t="s">
        <v>44</v>
      </c>
      <c r="E53" s="546" t="s">
        <v>248</v>
      </c>
      <c r="F53" s="546" t="s">
        <v>249</v>
      </c>
      <c r="G53" s="546" t="s">
        <v>62</v>
      </c>
      <c r="H53" s="547" t="s">
        <v>250</v>
      </c>
      <c r="I53" s="548" t="s">
        <v>86</v>
      </c>
      <c r="J53" s="549"/>
      <c r="K53" s="568" t="s">
        <v>86</v>
      </c>
      <c r="L53" s="545"/>
      <c r="M53" s="569" t="s">
        <v>117</v>
      </c>
      <c r="N53" s="551">
        <v>0</v>
      </c>
      <c r="O53" s="552">
        <v>47</v>
      </c>
      <c r="P53" s="553">
        <v>45940</v>
      </c>
      <c r="Q53" s="553">
        <v>45952</v>
      </c>
      <c r="R53" s="554" t="s">
        <v>67</v>
      </c>
      <c r="S53" s="555">
        <f ca="1">IF(R53="Aprobado.", NETWORKDAYS(Q53,TODAY(),Hoja1!$C$3:$C$25),0)</f>
        <v>0</v>
      </c>
      <c r="T53" s="555">
        <f ca="1">IF(R53="Revisión INN",NETWORKDAYS(P53,TODAY(),Hoja1!$C$3:$C$25),0)</f>
        <v>0</v>
      </c>
      <c r="U53" s="556">
        <f t="shared" si="2"/>
        <v>2</v>
      </c>
      <c r="V53" s="557" t="s">
        <v>63</v>
      </c>
      <c r="W53" s="558">
        <v>32</v>
      </c>
      <c r="X53" s="575"/>
      <c r="Y53" s="559">
        <v>45932</v>
      </c>
      <c r="Z53" s="578">
        <v>34</v>
      </c>
      <c r="AA53" s="565">
        <v>45938</v>
      </c>
      <c r="AB53" s="567"/>
      <c r="AC53" s="565" t="s">
        <v>186</v>
      </c>
      <c r="AD53" s="563">
        <v>0</v>
      </c>
      <c r="AE53" s="567">
        <v>38</v>
      </c>
      <c r="AF53" s="564">
        <f>AG53-AA53</f>
        <v>2</v>
      </c>
      <c r="AG53" s="559">
        <v>45940</v>
      </c>
      <c r="AH53" s="578">
        <v>47</v>
      </c>
      <c r="AI53" s="565">
        <v>45952</v>
      </c>
      <c r="AJ53" s="567">
        <f>AI53-AG53</f>
        <v>12</v>
      </c>
      <c r="AK53" s="561" t="s">
        <v>67</v>
      </c>
      <c r="AL53" s="563"/>
      <c r="AM53" s="567"/>
      <c r="AN53" s="564"/>
      <c r="AO53" s="559"/>
      <c r="AP53" s="578"/>
      <c r="AQ53" s="565"/>
      <c r="AR53" s="567"/>
      <c r="AS53" s="565"/>
      <c r="AT53" s="563"/>
      <c r="AU53" s="567"/>
      <c r="AV53" s="564"/>
      <c r="AW53" s="559"/>
      <c r="AX53" s="578"/>
      <c r="AY53" s="565"/>
      <c r="AZ53" s="567"/>
      <c r="BA53" s="565"/>
      <c r="BB53" s="563"/>
      <c r="BC53" s="567"/>
      <c r="BD53" s="564"/>
      <c r="BE53" s="559"/>
      <c r="BF53" s="578"/>
      <c r="BG53" s="565"/>
      <c r="BH53" s="567"/>
      <c r="BI53" s="565"/>
      <c r="BJ53" s="563"/>
      <c r="BK53" s="567"/>
      <c r="BL53" s="564"/>
      <c r="BM53" s="559"/>
      <c r="BN53" s="578"/>
      <c r="BO53" s="565"/>
      <c r="BP53" s="567"/>
      <c r="BQ53" s="565"/>
      <c r="BR53" s="563"/>
      <c r="BS53" s="567"/>
      <c r="BT53" s="564"/>
      <c r="BU53" s="559"/>
      <c r="BV53" s="578"/>
      <c r="BW53" s="565"/>
      <c r="BX53" s="567"/>
      <c r="BY53" s="565"/>
      <c r="BZ53" s="563"/>
      <c r="CA53" s="567"/>
      <c r="CB53" s="564"/>
      <c r="CC53" s="559"/>
      <c r="CD53" s="578"/>
      <c r="CE53" s="565"/>
      <c r="CF53" s="567"/>
      <c r="CG53" s="565"/>
      <c r="CH53" s="563"/>
      <c r="CI53" s="564"/>
      <c r="CJ53" s="564"/>
      <c r="CK53" s="564"/>
      <c r="CL53" s="578"/>
      <c r="CM53" s="565"/>
      <c r="CN53" s="567"/>
      <c r="CO53" s="565"/>
      <c r="CP53" s="563"/>
      <c r="CQ53" s="564"/>
      <c r="CR53" s="564"/>
      <c r="CS53" s="564"/>
      <c r="CT53" s="578"/>
      <c r="CU53" s="565"/>
      <c r="CV53" s="567"/>
      <c r="CW53" s="565"/>
      <c r="CX53" s="563"/>
      <c r="CY53" s="564"/>
      <c r="CZ53" s="564"/>
      <c r="DA53" s="564"/>
      <c r="DB53" s="578"/>
      <c r="DC53" s="565"/>
      <c r="DD53" s="567"/>
      <c r="DE53" s="565"/>
      <c r="DF53" s="563"/>
      <c r="DG53" s="564"/>
      <c r="DH53" s="564"/>
      <c r="DI53" s="564"/>
      <c r="DJ53" s="578"/>
      <c r="DK53" s="565"/>
      <c r="DL53" s="567"/>
      <c r="DM53" s="565"/>
      <c r="DN53" s="563"/>
      <c r="DO53" s="564"/>
      <c r="DP53" s="564"/>
      <c r="DQ53" s="564"/>
      <c r="DR53" s="578"/>
      <c r="DS53" s="565"/>
      <c r="DT53" s="567"/>
      <c r="DU53" s="565"/>
      <c r="DV53" s="563"/>
      <c r="DW53" s="564"/>
      <c r="DX53" s="564"/>
      <c r="DY53" s="564"/>
      <c r="DZ53" s="578"/>
      <c r="EA53" s="565"/>
      <c r="EB53" s="567"/>
      <c r="EC53" s="565"/>
      <c r="ED53" s="563"/>
      <c r="EE53" s="564"/>
      <c r="EF53" s="564"/>
      <c r="EG53" s="564"/>
      <c r="EH53" s="578"/>
      <c r="EI53" s="565"/>
      <c r="EJ53" s="567"/>
      <c r="EK53" s="565"/>
      <c r="EL53" s="563"/>
      <c r="EM53" s="564"/>
      <c r="EN53" s="564"/>
      <c r="EO53" s="564"/>
      <c r="EP53" s="578"/>
      <c r="EQ53" s="565"/>
      <c r="ER53" s="567"/>
      <c r="ES53" s="565"/>
      <c r="ET53" s="563"/>
      <c r="EU53" s="564"/>
      <c r="EV53" s="564"/>
      <c r="EW53" s="564"/>
      <c r="EX53" s="578"/>
      <c r="EY53" s="565"/>
      <c r="EZ53" s="567"/>
      <c r="FA53" s="565"/>
      <c r="FB53" s="563"/>
      <c r="FC53" s="564"/>
      <c r="FD53" s="564"/>
      <c r="FE53" s="564"/>
      <c r="FF53" s="578"/>
      <c r="FG53" s="565"/>
      <c r="FH53" s="567"/>
      <c r="FI53" s="565"/>
      <c r="FJ53" s="563"/>
      <c r="FK53" s="564"/>
      <c r="FL53" s="564"/>
      <c r="FM53" s="564"/>
      <c r="FN53" s="578"/>
      <c r="FO53" s="565"/>
      <c r="FP53" s="567"/>
      <c r="FQ53" s="565"/>
      <c r="FR53" s="563"/>
      <c r="FS53" s="564"/>
      <c r="FT53" s="564"/>
      <c r="FU53" s="564"/>
      <c r="FV53" s="578"/>
      <c r="FW53" s="564"/>
      <c r="FX53" s="564"/>
      <c r="FY53" s="564"/>
      <c r="FZ53" s="563"/>
      <c r="GA53" s="564"/>
      <c r="GB53" s="564"/>
      <c r="GC53" s="564"/>
      <c r="GD53" s="578"/>
      <c r="GE53" s="564"/>
      <c r="GF53" s="564"/>
      <c r="GG53" s="564"/>
      <c r="GH53" s="563"/>
      <c r="GI53" s="564"/>
      <c r="GJ53" s="564"/>
      <c r="GK53" s="564"/>
      <c r="GL53" s="578"/>
      <c r="GM53" s="564"/>
      <c r="GN53" s="564"/>
      <c r="GO53" s="564"/>
      <c r="GP53" s="563"/>
      <c r="GQ53" s="564"/>
      <c r="GR53" s="564"/>
      <c r="GS53" s="564"/>
      <c r="GT53" s="578"/>
      <c r="GU53" s="564"/>
      <c r="GV53" s="564"/>
      <c r="GW53" s="564"/>
      <c r="GX53" s="541"/>
      <c r="GY53" s="535"/>
      <c r="GZ53" s="542"/>
      <c r="HA53" s="543"/>
      <c r="HB53" s="541"/>
      <c r="HC53" s="535"/>
      <c r="HD53" s="542"/>
      <c r="HE53" s="543"/>
      <c r="HF53" s="541"/>
      <c r="HG53" s="535"/>
      <c r="HH53" s="542"/>
      <c r="HI53" s="543"/>
      <c r="HJ53" s="541"/>
      <c r="HK53" s="535"/>
      <c r="HL53" s="542"/>
      <c r="HM53" s="543"/>
      <c r="HN53" s="541"/>
      <c r="HO53" s="535"/>
      <c r="HP53" s="542"/>
      <c r="HQ53" s="543"/>
      <c r="HR53" s="541"/>
      <c r="HS53" s="535"/>
      <c r="HT53" s="542"/>
      <c r="HU53" s="543"/>
    </row>
    <row r="54" spans="1:229" s="506" customFormat="1" ht="72" customHeight="1" x14ac:dyDescent="0.35">
      <c r="B54" s="544">
        <v>51</v>
      </c>
      <c r="C54" s="544" t="s">
        <v>244</v>
      </c>
      <c r="D54" s="545" t="s">
        <v>44</v>
      </c>
      <c r="E54" s="546" t="s">
        <v>251</v>
      </c>
      <c r="F54" s="546" t="s">
        <v>252</v>
      </c>
      <c r="G54" s="546" t="s">
        <v>62</v>
      </c>
      <c r="H54" s="547" t="s">
        <v>253</v>
      </c>
      <c r="I54" s="548" t="s">
        <v>86</v>
      </c>
      <c r="J54" s="549"/>
      <c r="K54" s="568" t="s">
        <v>86</v>
      </c>
      <c r="L54" s="545"/>
      <c r="M54" s="569" t="s">
        <v>117</v>
      </c>
      <c r="N54" s="551">
        <v>0</v>
      </c>
      <c r="O54" s="552">
        <v>47</v>
      </c>
      <c r="P54" s="553">
        <v>45940</v>
      </c>
      <c r="Q54" s="553">
        <v>45952</v>
      </c>
      <c r="R54" s="554" t="s">
        <v>67</v>
      </c>
      <c r="S54" s="555">
        <f ca="1">IF(R54="Aprobado.", NETWORKDAYS(Q54,TODAY(),Hoja1!$C$3:$C$25),0)</f>
        <v>0</v>
      </c>
      <c r="T54" s="555">
        <f ca="1">IF(R54="Revisión INN",NETWORKDAYS(P54,TODAY(),Hoja1!$C$3:$C$25),0)</f>
        <v>0</v>
      </c>
      <c r="U54" s="556">
        <f t="shared" si="2"/>
        <v>2</v>
      </c>
      <c r="V54" s="557" t="s">
        <v>63</v>
      </c>
      <c r="W54" s="558">
        <v>32</v>
      </c>
      <c r="X54" s="575"/>
      <c r="Y54" s="559">
        <v>45932</v>
      </c>
      <c r="Z54" s="578">
        <v>34</v>
      </c>
      <c r="AA54" s="565">
        <v>45938</v>
      </c>
      <c r="AB54" s="567"/>
      <c r="AC54" s="565" t="s">
        <v>186</v>
      </c>
      <c r="AD54" s="563">
        <v>0</v>
      </c>
      <c r="AE54" s="567">
        <v>38</v>
      </c>
      <c r="AF54" s="564">
        <f>AG54-AA54</f>
        <v>2</v>
      </c>
      <c r="AG54" s="559">
        <v>45940</v>
      </c>
      <c r="AH54" s="578">
        <v>47</v>
      </c>
      <c r="AI54" s="565">
        <v>45952</v>
      </c>
      <c r="AJ54" s="567">
        <f>AI54-AG54</f>
        <v>12</v>
      </c>
      <c r="AK54" s="561" t="s">
        <v>67</v>
      </c>
      <c r="AL54" s="563"/>
      <c r="AM54" s="567"/>
      <c r="AN54" s="564"/>
      <c r="AO54" s="559"/>
      <c r="AP54" s="578"/>
      <c r="AQ54" s="565"/>
      <c r="AR54" s="567"/>
      <c r="AS54" s="565"/>
      <c r="AT54" s="563"/>
      <c r="AU54" s="567"/>
      <c r="AV54" s="564"/>
      <c r="AW54" s="559"/>
      <c r="AX54" s="578"/>
      <c r="AY54" s="565"/>
      <c r="AZ54" s="567"/>
      <c r="BA54" s="565"/>
      <c r="BB54" s="563"/>
      <c r="BC54" s="567"/>
      <c r="BD54" s="564"/>
      <c r="BE54" s="559"/>
      <c r="BF54" s="578"/>
      <c r="BG54" s="565"/>
      <c r="BH54" s="567"/>
      <c r="BI54" s="565"/>
      <c r="BJ54" s="563"/>
      <c r="BK54" s="567"/>
      <c r="BL54" s="564"/>
      <c r="BM54" s="559"/>
      <c r="BN54" s="578"/>
      <c r="BO54" s="565"/>
      <c r="BP54" s="567"/>
      <c r="BQ54" s="565"/>
      <c r="BR54" s="563"/>
      <c r="BS54" s="567"/>
      <c r="BT54" s="564"/>
      <c r="BU54" s="559"/>
      <c r="BV54" s="578"/>
      <c r="BW54" s="565"/>
      <c r="BX54" s="567"/>
      <c r="BY54" s="565"/>
      <c r="BZ54" s="563"/>
      <c r="CA54" s="567"/>
      <c r="CB54" s="564"/>
      <c r="CC54" s="559"/>
      <c r="CD54" s="578"/>
      <c r="CE54" s="565"/>
      <c r="CF54" s="567"/>
      <c r="CG54" s="565"/>
      <c r="CH54" s="563"/>
      <c r="CI54" s="564"/>
      <c r="CJ54" s="564"/>
      <c r="CK54" s="564"/>
      <c r="CL54" s="578"/>
      <c r="CM54" s="565"/>
      <c r="CN54" s="567"/>
      <c r="CO54" s="565"/>
      <c r="CP54" s="563"/>
      <c r="CQ54" s="564"/>
      <c r="CR54" s="564"/>
      <c r="CS54" s="564"/>
      <c r="CT54" s="578"/>
      <c r="CU54" s="565"/>
      <c r="CV54" s="567"/>
      <c r="CW54" s="565"/>
      <c r="CX54" s="563"/>
      <c r="CY54" s="564"/>
      <c r="CZ54" s="564"/>
      <c r="DA54" s="564"/>
      <c r="DB54" s="578"/>
      <c r="DC54" s="565"/>
      <c r="DD54" s="567"/>
      <c r="DE54" s="565"/>
      <c r="DF54" s="563"/>
      <c r="DG54" s="564"/>
      <c r="DH54" s="564"/>
      <c r="DI54" s="564"/>
      <c r="DJ54" s="578"/>
      <c r="DK54" s="565"/>
      <c r="DL54" s="567"/>
      <c r="DM54" s="565"/>
      <c r="DN54" s="563"/>
      <c r="DO54" s="564"/>
      <c r="DP54" s="564"/>
      <c r="DQ54" s="564"/>
      <c r="DR54" s="578"/>
      <c r="DS54" s="565"/>
      <c r="DT54" s="567"/>
      <c r="DU54" s="565"/>
      <c r="DV54" s="563"/>
      <c r="DW54" s="564"/>
      <c r="DX54" s="564"/>
      <c r="DY54" s="564"/>
      <c r="DZ54" s="578"/>
      <c r="EA54" s="565"/>
      <c r="EB54" s="567"/>
      <c r="EC54" s="565"/>
      <c r="ED54" s="563"/>
      <c r="EE54" s="564"/>
      <c r="EF54" s="564"/>
      <c r="EG54" s="564"/>
      <c r="EH54" s="578"/>
      <c r="EI54" s="565"/>
      <c r="EJ54" s="567"/>
      <c r="EK54" s="565"/>
      <c r="EL54" s="563"/>
      <c r="EM54" s="564"/>
      <c r="EN54" s="564"/>
      <c r="EO54" s="564"/>
      <c r="EP54" s="578"/>
      <c r="EQ54" s="565"/>
      <c r="ER54" s="567"/>
      <c r="ES54" s="565"/>
      <c r="ET54" s="563"/>
      <c r="EU54" s="564"/>
      <c r="EV54" s="564"/>
      <c r="EW54" s="564"/>
      <c r="EX54" s="578"/>
      <c r="EY54" s="565"/>
      <c r="EZ54" s="567"/>
      <c r="FA54" s="565"/>
      <c r="FB54" s="563"/>
      <c r="FC54" s="564"/>
      <c r="FD54" s="564"/>
      <c r="FE54" s="564"/>
      <c r="FF54" s="578"/>
      <c r="FG54" s="565"/>
      <c r="FH54" s="567"/>
      <c r="FI54" s="565"/>
      <c r="FJ54" s="563"/>
      <c r="FK54" s="564"/>
      <c r="FL54" s="564"/>
      <c r="FM54" s="564"/>
      <c r="FN54" s="578"/>
      <c r="FO54" s="565"/>
      <c r="FP54" s="567"/>
      <c r="FQ54" s="565"/>
      <c r="FR54" s="563"/>
      <c r="FS54" s="564"/>
      <c r="FT54" s="564"/>
      <c r="FU54" s="564"/>
      <c r="FV54" s="578"/>
      <c r="FW54" s="564"/>
      <c r="FX54" s="564"/>
      <c r="FY54" s="564"/>
      <c r="FZ54" s="563"/>
      <c r="GA54" s="564"/>
      <c r="GB54" s="564"/>
      <c r="GC54" s="564"/>
      <c r="GD54" s="578"/>
      <c r="GE54" s="564"/>
      <c r="GF54" s="564"/>
      <c r="GG54" s="564"/>
      <c r="GH54" s="563"/>
      <c r="GI54" s="564"/>
      <c r="GJ54" s="564"/>
      <c r="GK54" s="564"/>
      <c r="GL54" s="578"/>
      <c r="GM54" s="564"/>
      <c r="GN54" s="564"/>
      <c r="GO54" s="564"/>
      <c r="GP54" s="563"/>
      <c r="GQ54" s="564"/>
      <c r="GR54" s="564"/>
      <c r="GS54" s="564"/>
      <c r="GT54" s="578"/>
      <c r="GU54" s="564"/>
      <c r="GV54" s="564"/>
      <c r="GW54" s="564"/>
      <c r="GX54" s="563"/>
      <c r="GY54" s="564"/>
      <c r="GZ54" s="564"/>
      <c r="HA54" s="590"/>
      <c r="HB54" s="560"/>
      <c r="HC54" s="566"/>
      <c r="HD54" s="566"/>
      <c r="HE54" s="566"/>
      <c r="HF54" s="563"/>
      <c r="HG54" s="564"/>
      <c r="HH54" s="564"/>
      <c r="HI54" s="590"/>
      <c r="HJ54" s="560"/>
      <c r="HK54" s="566"/>
      <c r="HL54" s="566"/>
      <c r="HM54" s="566"/>
      <c r="HN54" s="563"/>
      <c r="HO54" s="564"/>
      <c r="HP54" s="564"/>
      <c r="HQ54" s="590"/>
      <c r="HR54" s="560"/>
      <c r="HS54" s="566"/>
      <c r="HT54" s="566"/>
      <c r="HU54" s="566"/>
    </row>
    <row r="55" spans="1:229" s="506" customFormat="1" ht="112.5" customHeight="1" x14ac:dyDescent="0.35">
      <c r="B55" s="544">
        <v>52</v>
      </c>
      <c r="C55" s="544" t="s">
        <v>46</v>
      </c>
      <c r="D55" s="545" t="s">
        <v>44</v>
      </c>
      <c r="E55" s="546" t="s">
        <v>254</v>
      </c>
      <c r="F55" s="545" t="s">
        <v>46</v>
      </c>
      <c r="G55" s="546" t="s">
        <v>46</v>
      </c>
      <c r="H55" s="704" t="s">
        <v>255</v>
      </c>
      <c r="I55" s="549" t="s">
        <v>46</v>
      </c>
      <c r="J55" s="544"/>
      <c r="K55" s="544"/>
      <c r="L55" s="545"/>
      <c r="M55" s="550" t="s">
        <v>48</v>
      </c>
      <c r="N55" s="551">
        <v>0</v>
      </c>
      <c r="O55" s="552">
        <v>64</v>
      </c>
      <c r="P55" s="553">
        <v>45966</v>
      </c>
      <c r="Q55" s="553" t="s">
        <v>62</v>
      </c>
      <c r="R55" s="554" t="s">
        <v>73</v>
      </c>
      <c r="S55" s="555">
        <f ca="1">IF(R55="Aprobado con comentarios / Emitir en Rev_0", NETWORKDAYS(Q55,TODAY(),Hoja1!$C$3:$C$25),0)</f>
        <v>0</v>
      </c>
      <c r="T55" s="555">
        <f ca="1">IF(R55="Revisión INN",NETWORKDAYS(P55,TODAY(),Hoja1!$C$3:$C$25),0)</f>
        <v>0</v>
      </c>
      <c r="U55" s="556">
        <f t="shared" si="2"/>
        <v>1</v>
      </c>
      <c r="V55" s="557">
        <v>0</v>
      </c>
      <c r="W55" s="558">
        <v>64</v>
      </c>
      <c r="X55" s="558"/>
      <c r="Y55" s="559">
        <v>45966</v>
      </c>
      <c r="Z55" s="560"/>
      <c r="AA55" s="561"/>
      <c r="AB55" s="562"/>
      <c r="AC55" s="561"/>
      <c r="AD55" s="563"/>
      <c r="AE55" s="567"/>
      <c r="AF55" s="564"/>
      <c r="AG55" s="565"/>
      <c r="AH55" s="560"/>
      <c r="AI55" s="561"/>
      <c r="AJ55" s="562"/>
      <c r="AK55" s="561"/>
      <c r="AL55" s="563"/>
      <c r="AM55" s="567"/>
      <c r="AN55" s="564"/>
      <c r="AO55" s="565"/>
      <c r="AP55" s="560"/>
      <c r="AQ55" s="561"/>
      <c r="AR55" s="562"/>
      <c r="AS55" s="561"/>
      <c r="AT55" s="563"/>
      <c r="AU55" s="567"/>
      <c r="AV55" s="564"/>
      <c r="AW55" s="565"/>
      <c r="AX55" s="560"/>
      <c r="AY55" s="561"/>
      <c r="AZ55" s="562"/>
      <c r="BA55" s="561"/>
      <c r="BB55" s="563"/>
      <c r="BC55" s="567"/>
      <c r="BD55" s="564"/>
      <c r="BE55" s="565"/>
      <c r="BF55" s="560"/>
      <c r="BG55" s="561"/>
      <c r="BH55" s="562"/>
      <c r="BI55" s="561"/>
      <c r="BJ55" s="563"/>
      <c r="BK55" s="567"/>
      <c r="BL55" s="564"/>
      <c r="BM55" s="565"/>
      <c r="BN55" s="560"/>
      <c r="BO55" s="561"/>
      <c r="BP55" s="562"/>
      <c r="BQ55" s="561"/>
      <c r="BR55" s="563"/>
      <c r="BS55" s="567"/>
      <c r="BT55" s="564"/>
      <c r="BU55" s="565"/>
      <c r="BV55" s="560"/>
      <c r="BW55" s="561"/>
      <c r="BX55" s="562"/>
      <c r="BY55" s="561"/>
      <c r="BZ55" s="563"/>
      <c r="CA55" s="567"/>
      <c r="CB55" s="564"/>
      <c r="CC55" s="565"/>
      <c r="CD55" s="560"/>
      <c r="CE55" s="561"/>
      <c r="CF55" s="562"/>
      <c r="CG55" s="561"/>
      <c r="CH55" s="563"/>
      <c r="CI55" s="567"/>
      <c r="CJ55" s="564"/>
      <c r="CK55" s="565"/>
      <c r="CL55" s="560"/>
      <c r="CM55" s="561"/>
      <c r="CN55" s="562"/>
      <c r="CO55" s="561"/>
      <c r="CP55" s="563"/>
      <c r="CQ55" s="567"/>
      <c r="CR55" s="564"/>
      <c r="CS55" s="565"/>
      <c r="CT55" s="560"/>
      <c r="CU55" s="561"/>
      <c r="CV55" s="562"/>
      <c r="CW55" s="561"/>
      <c r="CX55" s="563"/>
      <c r="CY55" s="567"/>
      <c r="CZ55" s="564"/>
      <c r="DA55" s="565"/>
      <c r="DB55" s="560"/>
      <c r="DC55" s="561"/>
      <c r="DD55" s="562"/>
      <c r="DE55" s="561"/>
      <c r="DF55" s="563"/>
      <c r="DG55" s="567"/>
      <c r="DH55" s="564"/>
      <c r="DI55" s="565"/>
      <c r="DJ55" s="560"/>
      <c r="DK55" s="561"/>
      <c r="DL55" s="562"/>
      <c r="DM55" s="561"/>
      <c r="DN55" s="563"/>
      <c r="DO55" s="564"/>
      <c r="DP55" s="564"/>
      <c r="DQ55" s="564"/>
      <c r="DR55" s="560"/>
      <c r="DS55" s="561"/>
      <c r="DT55" s="562"/>
      <c r="DU55" s="561"/>
      <c r="DV55" s="563"/>
      <c r="DW55" s="564"/>
      <c r="DX55" s="564"/>
      <c r="DY55" s="564"/>
      <c r="DZ55" s="560"/>
      <c r="EA55" s="561"/>
      <c r="EB55" s="562"/>
      <c r="EC55" s="561"/>
      <c r="ED55" s="563"/>
      <c r="EE55" s="564"/>
      <c r="EF55" s="564"/>
      <c r="EG55" s="564"/>
      <c r="EH55" s="560"/>
      <c r="EI55" s="561"/>
      <c r="EJ55" s="562"/>
      <c r="EK55" s="561"/>
      <c r="EL55" s="581"/>
      <c r="EM55" s="583"/>
      <c r="EN55" s="583"/>
      <c r="EO55" s="583"/>
      <c r="EP55" s="579"/>
      <c r="EQ55" s="580"/>
      <c r="ER55" s="582"/>
      <c r="ES55" s="580"/>
      <c r="ET55" s="581"/>
      <c r="EU55" s="583"/>
      <c r="EV55" s="583"/>
      <c r="EW55" s="583"/>
      <c r="EX55" s="579"/>
      <c r="EY55" s="580"/>
      <c r="EZ55" s="582"/>
      <c r="FA55" s="580"/>
      <c r="FB55" s="581"/>
      <c r="FC55" s="583"/>
      <c r="FD55" s="583"/>
      <c r="FE55" s="583"/>
      <c r="FF55" s="579"/>
      <c r="FG55" s="580"/>
      <c r="FH55" s="582"/>
      <c r="FI55" s="580"/>
      <c r="FJ55" s="581"/>
      <c r="FK55" s="583"/>
      <c r="FL55" s="583"/>
      <c r="FM55" s="583"/>
      <c r="FN55" s="579"/>
      <c r="FO55" s="580"/>
      <c r="FP55" s="582"/>
      <c r="FQ55" s="580"/>
      <c r="FR55" s="581"/>
      <c r="FS55" s="583"/>
      <c r="FT55" s="583"/>
      <c r="FU55" s="583"/>
      <c r="FV55" s="579"/>
      <c r="FW55" s="583"/>
      <c r="FX55" s="583"/>
      <c r="FY55" s="583"/>
      <c r="FZ55" s="581"/>
      <c r="GA55" s="583"/>
      <c r="GB55" s="583"/>
      <c r="GC55" s="583"/>
      <c r="GD55" s="579"/>
      <c r="GE55" s="583"/>
      <c r="GF55" s="583"/>
      <c r="GG55" s="583"/>
      <c r="GH55" s="581"/>
      <c r="GI55" s="583"/>
      <c r="GJ55" s="583"/>
      <c r="GK55" s="583"/>
      <c r="GL55" s="579"/>
      <c r="GM55" s="583"/>
      <c r="GN55" s="583"/>
      <c r="GO55" s="583"/>
      <c r="GP55" s="581"/>
      <c r="GQ55" s="583"/>
      <c r="GR55" s="583"/>
      <c r="GS55" s="583"/>
      <c r="GT55" s="579"/>
      <c r="GU55" s="583"/>
      <c r="GV55" s="583"/>
      <c r="GW55" s="583"/>
      <c r="GX55" s="563"/>
      <c r="GY55" s="564"/>
      <c r="GZ55" s="564"/>
      <c r="HA55" s="590"/>
      <c r="HB55" s="560"/>
      <c r="HC55" s="566"/>
      <c r="HD55" s="566"/>
      <c r="HE55" s="566"/>
      <c r="HF55" s="563"/>
      <c r="HG55" s="564"/>
      <c r="HH55" s="564"/>
      <c r="HI55" s="590"/>
      <c r="HJ55" s="560"/>
      <c r="HK55" s="566"/>
      <c r="HL55" s="566"/>
      <c r="HM55" s="566"/>
      <c r="HN55" s="563"/>
      <c r="HO55" s="564"/>
      <c r="HP55" s="564"/>
      <c r="HQ55" s="590"/>
      <c r="HR55" s="560"/>
      <c r="HS55" s="566"/>
      <c r="HT55" s="566"/>
      <c r="HU55" s="566"/>
    </row>
    <row r="56" spans="1:229" s="571" customFormat="1" ht="112.5" customHeight="1" thickBot="1" x14ac:dyDescent="0.4">
      <c r="A56" s="506"/>
      <c r="B56" s="544">
        <v>53</v>
      </c>
      <c r="C56" s="544" t="s">
        <v>46</v>
      </c>
      <c r="D56" s="545" t="s">
        <v>68</v>
      </c>
      <c r="E56" s="545" t="s">
        <v>256</v>
      </c>
      <c r="F56" s="546" t="s">
        <v>257</v>
      </c>
      <c r="G56" s="546" t="s">
        <v>46</v>
      </c>
      <c r="H56" s="547" t="s">
        <v>258</v>
      </c>
      <c r="I56" s="548"/>
      <c r="J56" s="705">
        <v>3</v>
      </c>
      <c r="K56" s="568">
        <f>P56+5</f>
        <v>46116</v>
      </c>
      <c r="L56" s="572" t="s">
        <v>62</v>
      </c>
      <c r="M56" s="569" t="s">
        <v>117</v>
      </c>
      <c r="N56" s="551">
        <v>1</v>
      </c>
      <c r="O56" s="552">
        <v>184</v>
      </c>
      <c r="P56" s="553">
        <v>46111</v>
      </c>
      <c r="Q56" s="554">
        <v>46122</v>
      </c>
      <c r="R56" s="554" t="s">
        <v>67</v>
      </c>
      <c r="S56" s="555">
        <f ca="1">IF(R56="Aprobado con comentarios / Emitir Rev_1", NETWORKDAYS(Q56,TODAY(),Hoja1!$C$3:$C$25),0)</f>
        <v>0</v>
      </c>
      <c r="T56" s="555">
        <f ca="1">IF(R56="Revisión INN",NETWORKDAYS(P56,TODAY(),Hoja1!$C$3:$C$25),0)</f>
        <v>0</v>
      </c>
      <c r="U56" s="556">
        <f t="shared" si="2"/>
        <v>3</v>
      </c>
      <c r="V56" s="557" t="s">
        <v>63</v>
      </c>
      <c r="W56" s="558">
        <v>98</v>
      </c>
      <c r="X56" s="558"/>
      <c r="Y56" s="559">
        <v>45995</v>
      </c>
      <c r="Z56" s="560">
        <v>75</v>
      </c>
      <c r="AA56" s="561">
        <v>46002</v>
      </c>
      <c r="AB56" s="562"/>
      <c r="AC56" s="561" t="s">
        <v>168</v>
      </c>
      <c r="AD56" s="563">
        <v>0</v>
      </c>
      <c r="AE56" s="567">
        <v>108</v>
      </c>
      <c r="AF56" s="564"/>
      <c r="AG56" s="565">
        <v>46007</v>
      </c>
      <c r="AH56" s="560">
        <v>156</v>
      </c>
      <c r="AI56" s="561">
        <v>46098</v>
      </c>
      <c r="AJ56" s="562"/>
      <c r="AK56" s="561" t="s">
        <v>155</v>
      </c>
      <c r="AL56" s="563">
        <v>1</v>
      </c>
      <c r="AM56" s="567">
        <v>248</v>
      </c>
      <c r="AN56" s="564"/>
      <c r="AO56" s="565">
        <v>46111</v>
      </c>
      <c r="AP56" s="589">
        <v>184</v>
      </c>
      <c r="AQ56" s="593">
        <v>46122</v>
      </c>
      <c r="AR56" s="562"/>
      <c r="AS56" s="593" t="s">
        <v>67</v>
      </c>
      <c r="AT56" s="563"/>
      <c r="AU56" s="567"/>
      <c r="AV56" s="564"/>
      <c r="AW56" s="565"/>
      <c r="AX56" s="560"/>
      <c r="AY56" s="561"/>
      <c r="AZ56" s="562"/>
      <c r="BA56" s="561"/>
      <c r="BB56" s="563"/>
      <c r="BC56" s="567"/>
      <c r="BD56" s="564"/>
      <c r="BE56" s="565"/>
      <c r="BF56" s="560"/>
      <c r="BG56" s="561"/>
      <c r="BH56" s="562"/>
      <c r="BI56" s="561"/>
      <c r="BJ56" s="563"/>
      <c r="BK56" s="567"/>
      <c r="BL56" s="564"/>
      <c r="BM56" s="565"/>
      <c r="BN56" s="560"/>
      <c r="BO56" s="561"/>
      <c r="BP56" s="562"/>
      <c r="BQ56" s="561"/>
      <c r="BR56" s="563"/>
      <c r="BS56" s="567"/>
      <c r="BT56" s="564"/>
      <c r="BU56" s="565"/>
      <c r="BV56" s="560"/>
      <c r="BW56" s="561"/>
      <c r="BX56" s="562"/>
      <c r="BY56" s="561"/>
      <c r="BZ56" s="563"/>
      <c r="CA56" s="567"/>
      <c r="CB56" s="564"/>
      <c r="CC56" s="565"/>
      <c r="CD56" s="560"/>
      <c r="CE56" s="561"/>
      <c r="CF56" s="562"/>
      <c r="CG56" s="561"/>
      <c r="CH56" s="563"/>
      <c r="CI56" s="564"/>
      <c r="CJ56" s="564"/>
      <c r="CK56" s="564"/>
      <c r="CL56" s="560"/>
      <c r="CM56" s="561"/>
      <c r="CN56" s="562"/>
      <c r="CO56" s="561"/>
      <c r="CP56" s="563"/>
      <c r="CQ56" s="564"/>
      <c r="CR56" s="564"/>
      <c r="CS56" s="564"/>
      <c r="CT56" s="560"/>
      <c r="CU56" s="561"/>
      <c r="CV56" s="562"/>
      <c r="CW56" s="561"/>
      <c r="CX56" s="563"/>
      <c r="CY56" s="564"/>
      <c r="CZ56" s="564"/>
      <c r="DA56" s="564"/>
      <c r="DB56" s="560"/>
      <c r="DC56" s="561"/>
      <c r="DD56" s="562"/>
      <c r="DE56" s="561"/>
      <c r="DF56" s="563"/>
      <c r="DG56" s="564"/>
      <c r="DH56" s="564"/>
      <c r="DI56" s="564"/>
      <c r="DJ56" s="560"/>
      <c r="DK56" s="561"/>
      <c r="DL56" s="562"/>
      <c r="DM56" s="561"/>
      <c r="DN56" s="563"/>
      <c r="DO56" s="564"/>
      <c r="DP56" s="564"/>
      <c r="DQ56" s="564"/>
      <c r="DR56" s="560"/>
      <c r="DS56" s="561"/>
      <c r="DT56" s="562"/>
      <c r="DU56" s="561"/>
      <c r="DV56" s="563"/>
      <c r="DW56" s="564"/>
      <c r="DX56" s="564"/>
      <c r="DY56" s="564"/>
      <c r="DZ56" s="560"/>
      <c r="EA56" s="561"/>
      <c r="EB56" s="562"/>
      <c r="EC56" s="561"/>
      <c r="ED56" s="563"/>
      <c r="EE56" s="564"/>
      <c r="EF56" s="564"/>
      <c r="EG56" s="564"/>
      <c r="EH56" s="560"/>
      <c r="EI56" s="561"/>
      <c r="EJ56" s="562"/>
      <c r="EK56" s="561"/>
      <c r="EL56" s="563"/>
      <c r="EM56" s="564"/>
      <c r="EN56" s="564"/>
      <c r="EO56" s="564"/>
      <c r="EP56" s="560"/>
      <c r="EQ56" s="561"/>
      <c r="ER56" s="562"/>
      <c r="ES56" s="561"/>
      <c r="ET56" s="563"/>
      <c r="EU56" s="564"/>
      <c r="EV56" s="564"/>
      <c r="EW56" s="564"/>
      <c r="EX56" s="560"/>
      <c r="EY56" s="561"/>
      <c r="EZ56" s="562"/>
      <c r="FA56" s="561"/>
      <c r="FB56" s="563"/>
      <c r="FC56" s="564"/>
      <c r="FD56" s="564"/>
      <c r="FE56" s="564"/>
      <c r="FF56" s="560"/>
      <c r="FG56" s="561"/>
      <c r="FH56" s="562"/>
      <c r="FI56" s="561"/>
      <c r="FJ56" s="563"/>
      <c r="FK56" s="564"/>
      <c r="FL56" s="564"/>
      <c r="FM56" s="564"/>
      <c r="FN56" s="560"/>
      <c r="FO56" s="561"/>
      <c r="FP56" s="562"/>
      <c r="FQ56" s="561"/>
      <c r="FR56" s="563"/>
      <c r="FS56" s="564"/>
      <c r="FT56" s="564"/>
      <c r="FU56" s="564"/>
      <c r="FV56" s="560"/>
      <c r="FW56" s="566"/>
      <c r="FX56" s="566"/>
      <c r="FY56" s="566"/>
      <c r="FZ56" s="563"/>
      <c r="GA56" s="564"/>
      <c r="GB56" s="564"/>
      <c r="GC56" s="564"/>
      <c r="GD56" s="560"/>
      <c r="GE56" s="566"/>
      <c r="GF56" s="566"/>
      <c r="GG56" s="566"/>
      <c r="GH56" s="563"/>
      <c r="GI56" s="564"/>
      <c r="GJ56" s="564"/>
      <c r="GK56" s="564"/>
      <c r="GL56" s="560"/>
      <c r="GM56" s="566"/>
      <c r="GN56" s="566"/>
      <c r="GO56" s="566"/>
      <c r="GP56" s="563"/>
      <c r="GQ56" s="564"/>
      <c r="GR56" s="564"/>
      <c r="GS56" s="564"/>
      <c r="GT56" s="560"/>
      <c r="GU56" s="566"/>
      <c r="GV56" s="566"/>
      <c r="GW56" s="566"/>
      <c r="GX56" s="563"/>
      <c r="GY56" s="564"/>
      <c r="GZ56" s="564"/>
      <c r="HA56" s="590"/>
      <c r="HB56" s="560"/>
      <c r="HC56" s="566"/>
      <c r="HD56" s="566"/>
      <c r="HE56" s="566"/>
      <c r="HF56" s="563"/>
      <c r="HG56" s="564"/>
      <c r="HH56" s="564"/>
      <c r="HI56" s="590"/>
      <c r="HJ56" s="560"/>
      <c r="HK56" s="566"/>
      <c r="HL56" s="566"/>
      <c r="HM56" s="566"/>
      <c r="HN56" s="563"/>
      <c r="HO56" s="564"/>
      <c r="HP56" s="564"/>
      <c r="HQ56" s="590"/>
      <c r="HR56" s="560"/>
      <c r="HS56" s="566"/>
      <c r="HT56" s="566"/>
      <c r="HU56" s="566"/>
    </row>
    <row r="57" spans="1:229" s="506" customFormat="1" ht="75.650000000000006" customHeight="1" x14ac:dyDescent="0.35">
      <c r="B57" s="544">
        <v>54</v>
      </c>
      <c r="C57" s="544" t="s">
        <v>46</v>
      </c>
      <c r="D57" s="545" t="s">
        <v>44</v>
      </c>
      <c r="E57" s="546" t="s">
        <v>259</v>
      </c>
      <c r="F57" s="545" t="s">
        <v>46</v>
      </c>
      <c r="G57" s="546" t="s">
        <v>46</v>
      </c>
      <c r="H57" s="704" t="s">
        <v>260</v>
      </c>
      <c r="I57" s="549" t="s">
        <v>46</v>
      </c>
      <c r="J57" s="548"/>
      <c r="K57" s="549"/>
      <c r="L57" s="549"/>
      <c r="M57" s="550" t="s">
        <v>48</v>
      </c>
      <c r="N57" s="551">
        <v>0</v>
      </c>
      <c r="O57" s="552">
        <v>70</v>
      </c>
      <c r="P57" s="553">
        <v>45972</v>
      </c>
      <c r="Q57" s="553" t="s">
        <v>62</v>
      </c>
      <c r="R57" s="554" t="s">
        <v>73</v>
      </c>
      <c r="S57" s="555">
        <f ca="1">IF(R57="Aprobado con comentarios / Emitir en Rev_0", NETWORKDAYS(Q57,TODAY(),Hoja1!$C$3:$C$25),0)</f>
        <v>0</v>
      </c>
      <c r="T57" s="555">
        <f ca="1">IF(R57="Revisión INN",NETWORKDAYS(P57,TODAY(),Hoja1!$C$3:$C$25),0)</f>
        <v>0</v>
      </c>
      <c r="U57" s="556">
        <f t="shared" si="2"/>
        <v>1</v>
      </c>
      <c r="V57" s="557">
        <v>0</v>
      </c>
      <c r="W57" s="558">
        <v>70</v>
      </c>
      <c r="X57" s="558"/>
      <c r="Y57" s="559">
        <v>45972</v>
      </c>
      <c r="Z57" s="560"/>
      <c r="AA57" s="561"/>
      <c r="AB57" s="562"/>
      <c r="AC57" s="561"/>
      <c r="AD57" s="563"/>
      <c r="AE57" s="567"/>
      <c r="AF57" s="564"/>
      <c r="AG57" s="565"/>
      <c r="AH57" s="560"/>
      <c r="AI57" s="561"/>
      <c r="AJ57" s="562"/>
      <c r="AK57" s="561"/>
      <c r="AL57" s="563"/>
      <c r="AM57" s="567"/>
      <c r="AN57" s="564"/>
      <c r="AO57" s="565"/>
      <c r="AP57" s="560"/>
      <c r="AQ57" s="561"/>
      <c r="AR57" s="562"/>
      <c r="AS57" s="561"/>
      <c r="AT57" s="563"/>
      <c r="AU57" s="567"/>
      <c r="AV57" s="564"/>
      <c r="AW57" s="565"/>
      <c r="AX57" s="560"/>
      <c r="AY57" s="561"/>
      <c r="AZ57" s="562"/>
      <c r="BA57" s="561"/>
      <c r="BB57" s="563"/>
      <c r="BC57" s="567"/>
      <c r="BD57" s="564"/>
      <c r="BE57" s="565"/>
      <c r="BF57" s="560"/>
      <c r="BG57" s="561"/>
      <c r="BH57" s="562"/>
      <c r="BI57" s="561"/>
      <c r="BJ57" s="563"/>
      <c r="BK57" s="567"/>
      <c r="BL57" s="564"/>
      <c r="BM57" s="565"/>
      <c r="BN57" s="560"/>
      <c r="BO57" s="561"/>
      <c r="BP57" s="562"/>
      <c r="BQ57" s="561"/>
      <c r="BR57" s="563"/>
      <c r="BS57" s="567"/>
      <c r="BT57" s="564"/>
      <c r="BU57" s="565"/>
      <c r="BV57" s="560"/>
      <c r="BW57" s="561"/>
      <c r="BX57" s="562"/>
      <c r="BY57" s="561"/>
      <c r="BZ57" s="563"/>
      <c r="CA57" s="567"/>
      <c r="CB57" s="564"/>
      <c r="CC57" s="565"/>
      <c r="CD57" s="560"/>
      <c r="CE57" s="561"/>
      <c r="CF57" s="562"/>
      <c r="CG57" s="561"/>
      <c r="CH57" s="563"/>
      <c r="CI57" s="567"/>
      <c r="CJ57" s="564"/>
      <c r="CK57" s="565"/>
      <c r="CL57" s="560"/>
      <c r="CM57" s="561"/>
      <c r="CN57" s="562"/>
      <c r="CO57" s="561"/>
      <c r="CP57" s="563"/>
      <c r="CQ57" s="567"/>
      <c r="CR57" s="564"/>
      <c r="CS57" s="565"/>
      <c r="CT57" s="560"/>
      <c r="CU57" s="561"/>
      <c r="CV57" s="562"/>
      <c r="CW57" s="561"/>
      <c r="CX57" s="563"/>
      <c r="CY57" s="567"/>
      <c r="CZ57" s="564"/>
      <c r="DA57" s="565"/>
      <c r="DB57" s="560"/>
      <c r="DC57" s="561"/>
      <c r="DD57" s="562"/>
      <c r="DE57" s="561"/>
      <c r="DF57" s="563"/>
      <c r="DG57" s="567"/>
      <c r="DH57" s="564"/>
      <c r="DI57" s="565"/>
      <c r="DJ57" s="560"/>
      <c r="DK57" s="561"/>
      <c r="DL57" s="562"/>
      <c r="DM57" s="561"/>
      <c r="DN57" s="563"/>
      <c r="DO57" s="564"/>
      <c r="DP57" s="564"/>
      <c r="DQ57" s="564"/>
      <c r="DR57" s="560"/>
      <c r="DS57" s="561"/>
      <c r="DT57" s="562"/>
      <c r="DU57" s="561"/>
      <c r="DV57" s="563"/>
      <c r="DW57" s="564"/>
      <c r="DX57" s="564"/>
      <c r="DY57" s="564"/>
      <c r="DZ57" s="560"/>
      <c r="EA57" s="561"/>
      <c r="EB57" s="562"/>
      <c r="EC57" s="561"/>
      <c r="ED57" s="563"/>
      <c r="EE57" s="564"/>
      <c r="EF57" s="564"/>
      <c r="EG57" s="564"/>
      <c r="EH57" s="560"/>
      <c r="EI57" s="561"/>
      <c r="EJ57" s="562"/>
      <c r="EK57" s="561"/>
      <c r="EL57" s="587"/>
      <c r="EM57" s="588"/>
      <c r="EN57" s="588"/>
      <c r="EO57" s="588"/>
      <c r="EP57" s="584"/>
      <c r="EQ57" s="585"/>
      <c r="ER57" s="586"/>
      <c r="ES57" s="585"/>
      <c r="ET57" s="587"/>
      <c r="EU57" s="588"/>
      <c r="EV57" s="588"/>
      <c r="EW57" s="588"/>
      <c r="EX57" s="584"/>
      <c r="EY57" s="585"/>
      <c r="EZ57" s="586"/>
      <c r="FA57" s="585"/>
      <c r="FB57" s="587"/>
      <c r="FC57" s="588"/>
      <c r="FD57" s="588"/>
      <c r="FE57" s="588"/>
      <c r="FF57" s="584"/>
      <c r="FG57" s="585"/>
      <c r="FH57" s="586"/>
      <c r="FI57" s="585"/>
      <c r="FJ57" s="587"/>
      <c r="FK57" s="588"/>
      <c r="FL57" s="588"/>
      <c r="FM57" s="588"/>
      <c r="FN57" s="584"/>
      <c r="FO57" s="585"/>
      <c r="FP57" s="586"/>
      <c r="FQ57" s="585"/>
      <c r="FR57" s="587"/>
      <c r="FS57" s="588"/>
      <c r="FT57" s="588"/>
      <c r="FU57" s="588"/>
      <c r="FV57" s="584"/>
      <c r="FW57" s="588"/>
      <c r="FX57" s="588"/>
      <c r="FY57" s="588"/>
      <c r="FZ57" s="587"/>
      <c r="GA57" s="588"/>
      <c r="GB57" s="588"/>
      <c r="GC57" s="588"/>
      <c r="GD57" s="584"/>
      <c r="GE57" s="588"/>
      <c r="GF57" s="588"/>
      <c r="GG57" s="588"/>
      <c r="GH57" s="587"/>
      <c r="GI57" s="588"/>
      <c r="GJ57" s="588"/>
      <c r="GK57" s="588"/>
      <c r="GL57" s="584"/>
      <c r="GM57" s="588"/>
      <c r="GN57" s="588"/>
      <c r="GO57" s="588"/>
      <c r="GP57" s="587"/>
      <c r="GQ57" s="588"/>
      <c r="GR57" s="588"/>
      <c r="GS57" s="588"/>
      <c r="GT57" s="584"/>
      <c r="GU57" s="588"/>
      <c r="GV57" s="588"/>
      <c r="GW57" s="588"/>
      <c r="GX57" s="541"/>
      <c r="GY57" s="535"/>
      <c r="GZ57" s="542"/>
      <c r="HA57" s="543"/>
      <c r="HB57" s="541"/>
      <c r="HC57" s="535"/>
      <c r="HD57" s="542"/>
      <c r="HE57" s="543"/>
      <c r="HF57" s="541"/>
      <c r="HG57" s="535"/>
      <c r="HH57" s="542"/>
      <c r="HI57" s="543"/>
      <c r="HJ57" s="541"/>
      <c r="HK57" s="535"/>
      <c r="HL57" s="542"/>
      <c r="HM57" s="543"/>
      <c r="HN57" s="541"/>
      <c r="HO57" s="535"/>
      <c r="HP57" s="542"/>
      <c r="HQ57" s="543"/>
      <c r="HR57" s="541"/>
      <c r="HS57" s="535"/>
      <c r="HT57" s="542"/>
      <c r="HU57" s="543"/>
    </row>
    <row r="58" spans="1:229" s="506" customFormat="1" ht="93" customHeight="1" x14ac:dyDescent="0.35">
      <c r="B58" s="544">
        <v>55</v>
      </c>
      <c r="C58" s="544" t="s">
        <v>46</v>
      </c>
      <c r="D58" s="545" t="s">
        <v>139</v>
      </c>
      <c r="E58" s="545" t="s">
        <v>261</v>
      </c>
      <c r="F58" s="546" t="s">
        <v>262</v>
      </c>
      <c r="G58" s="546" t="s">
        <v>46</v>
      </c>
      <c r="H58" s="547" t="s">
        <v>263</v>
      </c>
      <c r="I58" s="548"/>
      <c r="J58" s="705">
        <v>3</v>
      </c>
      <c r="K58" s="568">
        <f>P58+5</f>
        <v>46116</v>
      </c>
      <c r="L58" s="572" t="s">
        <v>62</v>
      </c>
      <c r="M58" s="569" t="s">
        <v>117</v>
      </c>
      <c r="N58" s="551">
        <v>1</v>
      </c>
      <c r="O58" s="552">
        <v>184</v>
      </c>
      <c r="P58" s="553">
        <v>46111</v>
      </c>
      <c r="Q58" s="554">
        <v>46122</v>
      </c>
      <c r="R58" s="554" t="s">
        <v>67</v>
      </c>
      <c r="S58" s="555">
        <f ca="1">IF(R58="Aprobado con comentarios / Emitir Rev_1", NETWORKDAYS(Q58,TODAY(),Hoja1!$C$3:$C$25),0)</f>
        <v>0</v>
      </c>
      <c r="T58" s="555">
        <f ca="1">IF(R58="Revisión INN",NETWORKDAYS(P58,TODAY(),Hoja1!$C$3:$C$25),0)</f>
        <v>0</v>
      </c>
      <c r="U58" s="556">
        <f t="shared" si="2"/>
        <v>3</v>
      </c>
      <c r="V58" s="557" t="s">
        <v>63</v>
      </c>
      <c r="W58" s="558">
        <v>98</v>
      </c>
      <c r="X58" s="558"/>
      <c r="Y58" s="559">
        <v>45995</v>
      </c>
      <c r="Z58" s="560">
        <v>75</v>
      </c>
      <c r="AA58" s="561">
        <v>46002</v>
      </c>
      <c r="AB58" s="562"/>
      <c r="AC58" s="561" t="s">
        <v>168</v>
      </c>
      <c r="AD58" s="563">
        <v>0</v>
      </c>
      <c r="AE58" s="567">
        <v>108</v>
      </c>
      <c r="AF58" s="564"/>
      <c r="AG58" s="565">
        <v>46007</v>
      </c>
      <c r="AH58" s="560">
        <v>156</v>
      </c>
      <c r="AI58" s="561">
        <v>46098</v>
      </c>
      <c r="AJ58" s="562"/>
      <c r="AK58" s="561" t="s">
        <v>155</v>
      </c>
      <c r="AL58" s="563">
        <v>1</v>
      </c>
      <c r="AM58" s="567">
        <v>248</v>
      </c>
      <c r="AN58" s="564"/>
      <c r="AO58" s="565">
        <v>46111</v>
      </c>
      <c r="AP58" s="589">
        <v>184</v>
      </c>
      <c r="AQ58" s="593">
        <v>46122</v>
      </c>
      <c r="AR58" s="562"/>
      <c r="AS58" s="593" t="s">
        <v>67</v>
      </c>
      <c r="AT58" s="563"/>
      <c r="AU58" s="567"/>
      <c r="AV58" s="564"/>
      <c r="AW58" s="565"/>
      <c r="AX58" s="560"/>
      <c r="AY58" s="561"/>
      <c r="AZ58" s="562"/>
      <c r="BA58" s="561"/>
      <c r="BB58" s="563"/>
      <c r="BC58" s="567"/>
      <c r="BD58" s="564"/>
      <c r="BE58" s="565"/>
      <c r="BF58" s="560"/>
      <c r="BG58" s="561"/>
      <c r="BH58" s="562"/>
      <c r="BI58" s="561"/>
      <c r="BJ58" s="563"/>
      <c r="BK58" s="567"/>
      <c r="BL58" s="564"/>
      <c r="BM58" s="565"/>
      <c r="BN58" s="560"/>
      <c r="BO58" s="561"/>
      <c r="BP58" s="562"/>
      <c r="BQ58" s="561"/>
      <c r="BR58" s="563"/>
      <c r="BS58" s="567"/>
      <c r="BT58" s="564"/>
      <c r="BU58" s="565"/>
      <c r="BV58" s="560"/>
      <c r="BW58" s="561"/>
      <c r="BX58" s="562"/>
      <c r="BY58" s="561"/>
      <c r="BZ58" s="563"/>
      <c r="CA58" s="567"/>
      <c r="CB58" s="564"/>
      <c r="CC58" s="565"/>
      <c r="CD58" s="560"/>
      <c r="CE58" s="561"/>
      <c r="CF58" s="562"/>
      <c r="CG58" s="561"/>
      <c r="CH58" s="563"/>
      <c r="CI58" s="564"/>
      <c r="CJ58" s="564"/>
      <c r="CK58" s="564"/>
      <c r="CL58" s="560"/>
      <c r="CM58" s="561"/>
      <c r="CN58" s="562"/>
      <c r="CO58" s="561"/>
      <c r="CP58" s="563"/>
      <c r="CQ58" s="564"/>
      <c r="CR58" s="564"/>
      <c r="CS58" s="564"/>
      <c r="CT58" s="560"/>
      <c r="CU58" s="561"/>
      <c r="CV58" s="562"/>
      <c r="CW58" s="561"/>
      <c r="CX58" s="563"/>
      <c r="CY58" s="564"/>
      <c r="CZ58" s="564"/>
      <c r="DA58" s="564"/>
      <c r="DB58" s="560"/>
      <c r="DC58" s="561"/>
      <c r="DD58" s="562"/>
      <c r="DE58" s="561"/>
      <c r="DF58" s="563"/>
      <c r="DG58" s="564"/>
      <c r="DH58" s="564"/>
      <c r="DI58" s="564"/>
      <c r="DJ58" s="560"/>
      <c r="DK58" s="561"/>
      <c r="DL58" s="562"/>
      <c r="DM58" s="561"/>
      <c r="DN58" s="563"/>
      <c r="DO58" s="564"/>
      <c r="DP58" s="564"/>
      <c r="DQ58" s="564"/>
      <c r="DR58" s="560"/>
      <c r="DS58" s="561"/>
      <c r="DT58" s="562"/>
      <c r="DU58" s="561"/>
      <c r="DV58" s="563"/>
      <c r="DW58" s="564"/>
      <c r="DX58" s="564"/>
      <c r="DY58" s="564"/>
      <c r="DZ58" s="560"/>
      <c r="EA58" s="561"/>
      <c r="EB58" s="562"/>
      <c r="EC58" s="561"/>
      <c r="ED58" s="563"/>
      <c r="EE58" s="564"/>
      <c r="EF58" s="564"/>
      <c r="EG58" s="564"/>
      <c r="EH58" s="560"/>
      <c r="EI58" s="561"/>
      <c r="EJ58" s="562"/>
      <c r="EK58" s="561"/>
      <c r="EL58" s="563"/>
      <c r="EM58" s="564"/>
      <c r="EN58" s="564"/>
      <c r="EO58" s="564"/>
      <c r="EP58" s="560"/>
      <c r="EQ58" s="561"/>
      <c r="ER58" s="562"/>
      <c r="ES58" s="561"/>
      <c r="ET58" s="563"/>
      <c r="EU58" s="564"/>
      <c r="EV58" s="564"/>
      <c r="EW58" s="564"/>
      <c r="EX58" s="560"/>
      <c r="EY58" s="561"/>
      <c r="EZ58" s="562"/>
      <c r="FA58" s="561"/>
      <c r="FB58" s="563"/>
      <c r="FC58" s="564"/>
      <c r="FD58" s="564"/>
      <c r="FE58" s="564"/>
      <c r="FF58" s="560"/>
      <c r="FG58" s="561"/>
      <c r="FH58" s="562"/>
      <c r="FI58" s="561"/>
      <c r="FJ58" s="563"/>
      <c r="FK58" s="564"/>
      <c r="FL58" s="564"/>
      <c r="FM58" s="564"/>
      <c r="FN58" s="560"/>
      <c r="FO58" s="561"/>
      <c r="FP58" s="562"/>
      <c r="FQ58" s="561"/>
      <c r="FR58" s="563"/>
      <c r="FS58" s="564"/>
      <c r="FT58" s="564"/>
      <c r="FU58" s="564"/>
      <c r="FV58" s="560"/>
      <c r="FW58" s="566"/>
      <c r="FX58" s="566"/>
      <c r="FY58" s="566"/>
      <c r="FZ58" s="563"/>
      <c r="GA58" s="564"/>
      <c r="GB58" s="564"/>
      <c r="GC58" s="564"/>
      <c r="GD58" s="560"/>
      <c r="GE58" s="566"/>
      <c r="GF58" s="566"/>
      <c r="GG58" s="566"/>
      <c r="GH58" s="563"/>
      <c r="GI58" s="564"/>
      <c r="GJ58" s="564"/>
      <c r="GK58" s="564"/>
      <c r="GL58" s="560"/>
      <c r="GM58" s="566"/>
      <c r="GN58" s="566"/>
      <c r="GO58" s="566"/>
      <c r="GP58" s="563"/>
      <c r="GQ58" s="564"/>
      <c r="GR58" s="564"/>
      <c r="GS58" s="564"/>
      <c r="GT58" s="560"/>
      <c r="GU58" s="566"/>
      <c r="GV58" s="566"/>
      <c r="GW58" s="566"/>
      <c r="GX58" s="563"/>
      <c r="GY58" s="564"/>
      <c r="GZ58" s="564"/>
      <c r="HA58" s="590"/>
      <c r="HB58" s="560"/>
      <c r="HC58" s="566"/>
      <c r="HD58" s="566"/>
      <c r="HE58" s="566"/>
      <c r="HF58" s="563"/>
      <c r="HG58" s="564"/>
      <c r="HH58" s="564"/>
      <c r="HI58" s="590"/>
      <c r="HJ58" s="560"/>
      <c r="HK58" s="566"/>
      <c r="HL58" s="566"/>
      <c r="HM58" s="566"/>
      <c r="HN58" s="563"/>
      <c r="HO58" s="564"/>
      <c r="HP58" s="564"/>
      <c r="HQ58" s="590"/>
      <c r="HR58" s="560"/>
      <c r="HS58" s="566"/>
      <c r="HT58" s="566"/>
      <c r="HU58" s="566"/>
    </row>
    <row r="59" spans="1:229" s="506" customFormat="1" ht="42.65" customHeight="1" x14ac:dyDescent="0.35">
      <c r="B59" s="544">
        <v>56</v>
      </c>
      <c r="C59" s="544" t="s">
        <v>46</v>
      </c>
      <c r="D59" s="545" t="s">
        <v>44</v>
      </c>
      <c r="E59" s="545" t="s">
        <v>264</v>
      </c>
      <c r="F59" s="546" t="s">
        <v>46</v>
      </c>
      <c r="G59" s="545" t="s">
        <v>46</v>
      </c>
      <c r="H59" s="547" t="s">
        <v>265</v>
      </c>
      <c r="I59" s="548" t="s">
        <v>86</v>
      </c>
      <c r="J59" s="708"/>
      <c r="K59" s="568" t="s">
        <v>86</v>
      </c>
      <c r="L59" s="709"/>
      <c r="M59" s="569" t="s">
        <v>132</v>
      </c>
      <c r="N59" s="551">
        <v>1</v>
      </c>
      <c r="O59" s="552">
        <v>28</v>
      </c>
      <c r="P59" s="553">
        <v>45923</v>
      </c>
      <c r="Q59" s="553">
        <v>45931</v>
      </c>
      <c r="R59" s="554" t="s">
        <v>67</v>
      </c>
      <c r="S59" s="555">
        <f ca="1">IF(R59="Aprobado con comentarios / Emitir en Rev_0", NETWORKDAYS(Q59,TODAY(),Hoja1!$C$3:$C$25),0)</f>
        <v>0</v>
      </c>
      <c r="T59" s="555">
        <f ca="1">IF(R59="Revisión INN",NETWORKDAYS(P59,TODAY(),Hoja1!$C$3:$C$25),0)</f>
        <v>0</v>
      </c>
      <c r="U59" s="556">
        <f t="shared" si="2"/>
        <v>2</v>
      </c>
      <c r="V59" s="557">
        <v>0</v>
      </c>
      <c r="W59" s="558">
        <v>11</v>
      </c>
      <c r="X59" s="558"/>
      <c r="Y59" s="559">
        <v>45904</v>
      </c>
      <c r="Z59" s="560">
        <v>14</v>
      </c>
      <c r="AA59" s="561">
        <v>45911</v>
      </c>
      <c r="AB59" s="562">
        <f>AA59-Y59</f>
        <v>7</v>
      </c>
      <c r="AC59" s="561" t="s">
        <v>67</v>
      </c>
      <c r="AD59" s="563">
        <v>1</v>
      </c>
      <c r="AE59" s="567">
        <v>22</v>
      </c>
      <c r="AF59" s="564">
        <f>AG59-AA59</f>
        <v>12</v>
      </c>
      <c r="AG59" s="565">
        <v>45923</v>
      </c>
      <c r="AH59" s="560">
        <v>28</v>
      </c>
      <c r="AI59" s="561">
        <v>45931</v>
      </c>
      <c r="AJ59" s="562">
        <f>AI59-AG59</f>
        <v>8</v>
      </c>
      <c r="AK59" s="561" t="s">
        <v>67</v>
      </c>
      <c r="AL59" s="563"/>
      <c r="AM59" s="567"/>
      <c r="AN59" s="564"/>
      <c r="AO59" s="565"/>
      <c r="AP59" s="560"/>
      <c r="AQ59" s="561"/>
      <c r="AR59" s="562"/>
      <c r="AS59" s="561"/>
      <c r="AT59" s="563"/>
      <c r="AU59" s="567"/>
      <c r="AV59" s="564"/>
      <c r="AW59" s="565"/>
      <c r="AX59" s="560"/>
      <c r="AY59" s="561"/>
      <c r="AZ59" s="562"/>
      <c r="BA59" s="561"/>
      <c r="BB59" s="563"/>
      <c r="BC59" s="567"/>
      <c r="BD59" s="564"/>
      <c r="BE59" s="565"/>
      <c r="BF59" s="560"/>
      <c r="BG59" s="561"/>
      <c r="BH59" s="562"/>
      <c r="BI59" s="561"/>
      <c r="BJ59" s="563"/>
      <c r="BK59" s="567"/>
      <c r="BL59" s="564"/>
      <c r="BM59" s="565"/>
      <c r="BN59" s="560"/>
      <c r="BO59" s="561"/>
      <c r="BP59" s="562"/>
      <c r="BQ59" s="561"/>
      <c r="BR59" s="563"/>
      <c r="BS59" s="567"/>
      <c r="BT59" s="564"/>
      <c r="BU59" s="565"/>
      <c r="BV59" s="560"/>
      <c r="BW59" s="561"/>
      <c r="BX59" s="562"/>
      <c r="BY59" s="561"/>
      <c r="BZ59" s="563"/>
      <c r="CA59" s="567"/>
      <c r="CB59" s="564"/>
      <c r="CC59" s="565"/>
      <c r="CD59" s="560"/>
      <c r="CE59" s="561"/>
      <c r="CF59" s="562"/>
      <c r="CG59" s="561"/>
      <c r="CH59" s="563"/>
      <c r="CI59" s="564"/>
      <c r="CJ59" s="564"/>
      <c r="CK59" s="564"/>
      <c r="CL59" s="560"/>
      <c r="CM59" s="561"/>
      <c r="CN59" s="562"/>
      <c r="CO59" s="561"/>
      <c r="CP59" s="563"/>
      <c r="CQ59" s="564"/>
      <c r="CR59" s="564"/>
      <c r="CS59" s="564"/>
      <c r="CT59" s="560"/>
      <c r="CU59" s="561"/>
      <c r="CV59" s="562"/>
      <c r="CW59" s="561"/>
      <c r="CX59" s="563"/>
      <c r="CY59" s="564"/>
      <c r="CZ59" s="564"/>
      <c r="DA59" s="564"/>
      <c r="DB59" s="560"/>
      <c r="DC59" s="561"/>
      <c r="DD59" s="562"/>
      <c r="DE59" s="561"/>
      <c r="DF59" s="563"/>
      <c r="DG59" s="564"/>
      <c r="DH59" s="564"/>
      <c r="DI59" s="564"/>
      <c r="DJ59" s="560"/>
      <c r="DK59" s="561"/>
      <c r="DL59" s="562"/>
      <c r="DM59" s="561"/>
      <c r="DN59" s="563"/>
      <c r="DO59" s="564"/>
      <c r="DP59" s="564"/>
      <c r="DQ59" s="564"/>
      <c r="DR59" s="560"/>
      <c r="DS59" s="561"/>
      <c r="DT59" s="562"/>
      <c r="DU59" s="561"/>
      <c r="DV59" s="563"/>
      <c r="DW59" s="564"/>
      <c r="DX59" s="564"/>
      <c r="DY59" s="564"/>
      <c r="DZ59" s="560"/>
      <c r="EA59" s="561"/>
      <c r="EB59" s="562"/>
      <c r="EC59" s="561"/>
      <c r="ED59" s="563"/>
      <c r="EE59" s="564"/>
      <c r="EF59" s="564"/>
      <c r="EG59" s="564"/>
      <c r="EH59" s="560"/>
      <c r="EI59" s="561"/>
      <c r="EJ59" s="562"/>
      <c r="EK59" s="561"/>
      <c r="EL59" s="563"/>
      <c r="EM59" s="564"/>
      <c r="EN59" s="564"/>
      <c r="EO59" s="564"/>
      <c r="EP59" s="560"/>
      <c r="EQ59" s="561"/>
      <c r="ER59" s="562"/>
      <c r="ES59" s="561"/>
      <c r="ET59" s="563"/>
      <c r="EU59" s="564"/>
      <c r="EV59" s="564"/>
      <c r="EW59" s="564"/>
      <c r="EX59" s="560"/>
      <c r="EY59" s="561"/>
      <c r="EZ59" s="562"/>
      <c r="FA59" s="561"/>
      <c r="FB59" s="563"/>
      <c r="FC59" s="564"/>
      <c r="FD59" s="564"/>
      <c r="FE59" s="564"/>
      <c r="FF59" s="560"/>
      <c r="FG59" s="561"/>
      <c r="FH59" s="562"/>
      <c r="FI59" s="561"/>
      <c r="FJ59" s="563"/>
      <c r="FK59" s="564"/>
      <c r="FL59" s="564"/>
      <c r="FM59" s="564"/>
      <c r="FN59" s="560"/>
      <c r="FO59" s="561"/>
      <c r="FP59" s="562"/>
      <c r="FQ59" s="561"/>
      <c r="FR59" s="563"/>
      <c r="FS59" s="564"/>
      <c r="FT59" s="564"/>
      <c r="FU59" s="564"/>
      <c r="FV59" s="560"/>
      <c r="FW59" s="566"/>
      <c r="FX59" s="566"/>
      <c r="FY59" s="566"/>
      <c r="FZ59" s="563"/>
      <c r="GA59" s="564"/>
      <c r="GB59" s="564"/>
      <c r="GC59" s="564"/>
      <c r="GD59" s="560"/>
      <c r="GE59" s="566"/>
      <c r="GF59" s="566"/>
      <c r="GG59" s="566"/>
      <c r="GH59" s="563"/>
      <c r="GI59" s="564"/>
      <c r="GJ59" s="564"/>
      <c r="GK59" s="564"/>
      <c r="GL59" s="560"/>
      <c r="GM59" s="566"/>
      <c r="GN59" s="566"/>
      <c r="GO59" s="566"/>
      <c r="GP59" s="563"/>
      <c r="GQ59" s="564"/>
      <c r="GR59" s="564"/>
      <c r="GS59" s="564"/>
      <c r="GT59" s="560"/>
      <c r="GU59" s="566"/>
      <c r="GV59" s="566"/>
      <c r="GW59" s="566"/>
      <c r="GX59" s="563"/>
      <c r="GY59" s="564"/>
      <c r="GZ59" s="564"/>
      <c r="HA59" s="590"/>
      <c r="HB59" s="560"/>
      <c r="HC59" s="566"/>
      <c r="HD59" s="566"/>
      <c r="HE59" s="566"/>
      <c r="HF59" s="563"/>
      <c r="HG59" s="564"/>
      <c r="HH59" s="564"/>
      <c r="HI59" s="590"/>
      <c r="HJ59" s="560"/>
      <c r="HK59" s="566"/>
      <c r="HL59" s="566"/>
      <c r="HM59" s="566"/>
      <c r="HN59" s="563"/>
      <c r="HO59" s="564"/>
      <c r="HP59" s="564"/>
      <c r="HQ59" s="590"/>
      <c r="HR59" s="560"/>
      <c r="HS59" s="566"/>
      <c r="HT59" s="566"/>
      <c r="HU59" s="566"/>
    </row>
    <row r="60" spans="1:229" s="506" customFormat="1" ht="45" customHeight="1" thickBot="1" x14ac:dyDescent="0.4">
      <c r="B60" s="544">
        <v>57</v>
      </c>
      <c r="C60" s="544" t="s">
        <v>156</v>
      </c>
      <c r="D60" s="545" t="s">
        <v>266</v>
      </c>
      <c r="E60" s="558" t="s">
        <v>267</v>
      </c>
      <c r="F60" s="546" t="s">
        <v>268</v>
      </c>
      <c r="G60" s="546" t="s">
        <v>46</v>
      </c>
      <c r="H60" s="547" t="s">
        <v>269</v>
      </c>
      <c r="I60" s="548">
        <f>Q60+5</f>
        <v>46123</v>
      </c>
      <c r="J60" s="705">
        <v>2</v>
      </c>
      <c r="K60" s="568" t="s">
        <v>62</v>
      </c>
      <c r="L60" s="548"/>
      <c r="M60" s="569" t="s">
        <v>117</v>
      </c>
      <c r="N60" s="658" t="s">
        <v>222</v>
      </c>
      <c r="O60" s="576">
        <v>175</v>
      </c>
      <c r="P60" s="553">
        <v>46098</v>
      </c>
      <c r="Q60" s="553">
        <v>46118</v>
      </c>
      <c r="R60" s="554" t="s">
        <v>67</v>
      </c>
      <c r="S60" s="555">
        <f ca="1">IF(R60="Aprobado / Emitir Rev_2", NETWORKDAYS(Q60,TODAY(),Hoja1!$C$3:$C$25),0)</f>
        <v>0</v>
      </c>
      <c r="T60" s="555">
        <f ca="1">IF(R60="Revisión INN",NETWORKDAYS(P60,TODAY(),Hoja1!$C$3:$C$25),0)</f>
        <v>0</v>
      </c>
      <c r="U60" s="556">
        <f t="shared" si="2"/>
        <v>5</v>
      </c>
      <c r="V60" s="557" t="s">
        <v>125</v>
      </c>
      <c r="W60" s="558">
        <v>88</v>
      </c>
      <c r="X60" s="558"/>
      <c r="Y60" s="559">
        <v>45989</v>
      </c>
      <c r="Z60" s="560">
        <v>78</v>
      </c>
      <c r="AA60" s="561">
        <v>46007</v>
      </c>
      <c r="AB60" s="562"/>
      <c r="AC60" s="561" t="s">
        <v>270</v>
      </c>
      <c r="AD60" s="563" t="s">
        <v>63</v>
      </c>
      <c r="AE60" s="567">
        <v>143</v>
      </c>
      <c r="AF60" s="564"/>
      <c r="AG60" s="565">
        <v>46042</v>
      </c>
      <c r="AH60" s="560">
        <v>129</v>
      </c>
      <c r="AI60" s="561">
        <v>46055</v>
      </c>
      <c r="AJ60" s="562"/>
      <c r="AK60" s="561" t="s">
        <v>186</v>
      </c>
      <c r="AL60" s="563">
        <v>0</v>
      </c>
      <c r="AM60" s="567">
        <v>163</v>
      </c>
      <c r="AN60" s="564"/>
      <c r="AO60" s="565">
        <v>46056</v>
      </c>
      <c r="AP60" s="560">
        <v>131</v>
      </c>
      <c r="AQ60" s="561">
        <v>46057</v>
      </c>
      <c r="AR60" s="562"/>
      <c r="AS60" s="561" t="s">
        <v>155</v>
      </c>
      <c r="AT60" s="563">
        <v>1</v>
      </c>
      <c r="AU60" s="567">
        <v>184</v>
      </c>
      <c r="AV60" s="564"/>
      <c r="AW60" s="565">
        <v>46072</v>
      </c>
      <c r="AX60" s="560" t="s">
        <v>62</v>
      </c>
      <c r="AY60" s="561" t="s">
        <v>62</v>
      </c>
      <c r="AZ60" s="562"/>
      <c r="BA60" s="561" t="s">
        <v>62</v>
      </c>
      <c r="BB60" s="563" t="s">
        <v>184</v>
      </c>
      <c r="BC60" s="567">
        <v>193</v>
      </c>
      <c r="BD60" s="564"/>
      <c r="BE60" s="565">
        <v>46077</v>
      </c>
      <c r="BF60" s="560">
        <v>148</v>
      </c>
      <c r="BG60" s="561">
        <v>46091</v>
      </c>
      <c r="BH60" s="562"/>
      <c r="BI60" s="561" t="s">
        <v>202</v>
      </c>
      <c r="BJ60" s="563" t="s">
        <v>222</v>
      </c>
      <c r="BK60" s="567">
        <v>224</v>
      </c>
      <c r="BL60" s="564"/>
      <c r="BM60" s="565">
        <v>46098</v>
      </c>
      <c r="BN60" s="589">
        <v>175</v>
      </c>
      <c r="BO60" s="593">
        <v>46118</v>
      </c>
      <c r="BP60" s="562"/>
      <c r="BQ60" s="593" t="s">
        <v>67</v>
      </c>
      <c r="BR60" s="563"/>
      <c r="BS60" s="567"/>
      <c r="BT60" s="564"/>
      <c r="BU60" s="565"/>
      <c r="BV60" s="560"/>
      <c r="BW60" s="561"/>
      <c r="BX60" s="562"/>
      <c r="BY60" s="561"/>
      <c r="BZ60" s="563"/>
      <c r="CA60" s="567"/>
      <c r="CB60" s="564"/>
      <c r="CC60" s="565"/>
      <c r="CD60" s="560"/>
      <c r="CE60" s="561"/>
      <c r="CF60" s="562"/>
      <c r="CG60" s="561"/>
      <c r="CH60" s="563"/>
      <c r="CI60" s="564"/>
      <c r="CJ60" s="564"/>
      <c r="CK60" s="564"/>
      <c r="CL60" s="560"/>
      <c r="CM60" s="561"/>
      <c r="CN60" s="562"/>
      <c r="CO60" s="561"/>
      <c r="CP60" s="563"/>
      <c r="CQ60" s="564"/>
      <c r="CR60" s="564"/>
      <c r="CS60" s="564"/>
      <c r="CT60" s="560"/>
      <c r="CU60" s="561"/>
      <c r="CV60" s="562"/>
      <c r="CW60" s="561"/>
      <c r="CX60" s="563"/>
      <c r="CY60" s="564"/>
      <c r="CZ60" s="564"/>
      <c r="DA60" s="564"/>
      <c r="DB60" s="560"/>
      <c r="DC60" s="561"/>
      <c r="DD60" s="562"/>
      <c r="DE60" s="561"/>
      <c r="DF60" s="563"/>
      <c r="DG60" s="564"/>
      <c r="DH60" s="564"/>
      <c r="DI60" s="564"/>
      <c r="DJ60" s="560"/>
      <c r="DK60" s="561"/>
      <c r="DL60" s="562"/>
      <c r="DM60" s="561"/>
      <c r="DN60" s="563"/>
      <c r="DO60" s="564"/>
      <c r="DP60" s="564"/>
      <c r="DQ60" s="564"/>
      <c r="DR60" s="560"/>
      <c r="DS60" s="561"/>
      <c r="DT60" s="562"/>
      <c r="DU60" s="561"/>
      <c r="DV60" s="563"/>
      <c r="DW60" s="564"/>
      <c r="DX60" s="564"/>
      <c r="DY60" s="564"/>
      <c r="DZ60" s="560"/>
      <c r="EA60" s="561"/>
      <c r="EB60" s="562"/>
      <c r="EC60" s="561"/>
      <c r="ED60" s="563"/>
      <c r="EE60" s="564"/>
      <c r="EF60" s="564"/>
      <c r="EG60" s="564"/>
      <c r="EH60" s="560"/>
      <c r="EI60" s="561"/>
      <c r="EJ60" s="562"/>
      <c r="EK60" s="561"/>
      <c r="EL60" s="563"/>
      <c r="EM60" s="564"/>
      <c r="EN60" s="564"/>
      <c r="EO60" s="564"/>
      <c r="EP60" s="560"/>
      <c r="EQ60" s="561"/>
      <c r="ER60" s="562"/>
      <c r="ES60" s="561"/>
      <c r="ET60" s="563"/>
      <c r="EU60" s="564"/>
      <c r="EV60" s="564"/>
      <c r="EW60" s="564"/>
      <c r="EX60" s="560"/>
      <c r="EY60" s="561"/>
      <c r="EZ60" s="562"/>
      <c r="FA60" s="561"/>
      <c r="FB60" s="563"/>
      <c r="FC60" s="564"/>
      <c r="FD60" s="564"/>
      <c r="FE60" s="564"/>
      <c r="FF60" s="560"/>
      <c r="FG60" s="561"/>
      <c r="FH60" s="562"/>
      <c r="FI60" s="561"/>
      <c r="FJ60" s="563"/>
      <c r="FK60" s="564"/>
      <c r="FL60" s="564"/>
      <c r="FM60" s="564"/>
      <c r="FN60" s="560"/>
      <c r="FO60" s="561"/>
      <c r="FP60" s="562"/>
      <c r="FQ60" s="561"/>
      <c r="FR60" s="563"/>
      <c r="FS60" s="564"/>
      <c r="FT60" s="564"/>
      <c r="FU60" s="564"/>
      <c r="FV60" s="560"/>
      <c r="FW60" s="566"/>
      <c r="FX60" s="566"/>
      <c r="FY60" s="566"/>
      <c r="FZ60" s="563"/>
      <c r="GA60" s="564"/>
      <c r="GB60" s="564"/>
      <c r="GC60" s="564"/>
      <c r="GD60" s="560"/>
      <c r="GE60" s="566"/>
      <c r="GF60" s="566"/>
      <c r="GG60" s="566"/>
      <c r="GH60" s="563"/>
      <c r="GI60" s="564"/>
      <c r="GJ60" s="564"/>
      <c r="GK60" s="564"/>
      <c r="GL60" s="560"/>
      <c r="GM60" s="566"/>
      <c r="GN60" s="566"/>
      <c r="GO60" s="566"/>
      <c r="GP60" s="563"/>
      <c r="GQ60" s="564"/>
      <c r="GR60" s="564"/>
      <c r="GS60" s="564"/>
      <c r="GT60" s="560"/>
      <c r="GU60" s="566"/>
      <c r="GV60" s="566"/>
      <c r="GW60" s="566"/>
      <c r="GX60" s="563"/>
      <c r="GY60" s="564"/>
      <c r="GZ60" s="564"/>
      <c r="HA60" s="590"/>
      <c r="HB60" s="560"/>
      <c r="HC60" s="566"/>
      <c r="HD60" s="566"/>
      <c r="HE60" s="566"/>
      <c r="HF60" s="563"/>
      <c r="HG60" s="564"/>
      <c r="HH60" s="564"/>
      <c r="HI60" s="590"/>
      <c r="HJ60" s="560"/>
      <c r="HK60" s="566"/>
      <c r="HL60" s="566"/>
      <c r="HM60" s="566"/>
      <c r="HN60" s="563"/>
      <c r="HO60" s="564"/>
      <c r="HP60" s="564"/>
      <c r="HQ60" s="590"/>
      <c r="HR60" s="560"/>
      <c r="HS60" s="566"/>
      <c r="HT60" s="566"/>
      <c r="HU60" s="566"/>
    </row>
    <row r="61" spans="1:229" s="506" customFormat="1" ht="76" customHeight="1" x14ac:dyDescent="0.35">
      <c r="B61" s="544">
        <v>58</v>
      </c>
      <c r="C61" s="544" t="s">
        <v>46</v>
      </c>
      <c r="D61" s="545" t="s">
        <v>44</v>
      </c>
      <c r="E61" s="545" t="s">
        <v>271</v>
      </c>
      <c r="F61" s="546" t="s">
        <v>272</v>
      </c>
      <c r="G61" s="546" t="s">
        <v>273</v>
      </c>
      <c r="H61" s="547" t="s">
        <v>274</v>
      </c>
      <c r="I61" s="548">
        <f>Q61+4</f>
        <v>46115</v>
      </c>
      <c r="J61" s="548"/>
      <c r="K61" s="568"/>
      <c r="L61" s="712" t="s">
        <v>275</v>
      </c>
      <c r="M61" s="569" t="s">
        <v>123</v>
      </c>
      <c r="N61" s="551">
        <v>3</v>
      </c>
      <c r="O61" s="552">
        <v>166</v>
      </c>
      <c r="P61" s="553">
        <v>46069</v>
      </c>
      <c r="Q61" s="553">
        <v>46111</v>
      </c>
      <c r="R61" s="554" t="s">
        <v>133</v>
      </c>
      <c r="S61" s="555">
        <f ca="1">IF(R61="Aprobado con comentarios / Emitir Rev_3", NETWORKDAYS(Q61,TODAY(),Hoja1!$C$3:$C$25),0)</f>
        <v>0</v>
      </c>
      <c r="T61" s="555">
        <f ca="1">IF(R61="Revisión INN",NETWORKDAYS(P61,TODAY(),Hoja1!$C$3:$C$25),0)</f>
        <v>0</v>
      </c>
      <c r="U61" s="556">
        <f t="shared" si="2"/>
        <v>4</v>
      </c>
      <c r="V61" s="557" t="s">
        <v>63</v>
      </c>
      <c r="W61" s="558">
        <v>26</v>
      </c>
      <c r="X61" s="575"/>
      <c r="Y61" s="559">
        <v>45926</v>
      </c>
      <c r="Z61" s="578">
        <v>85</v>
      </c>
      <c r="AA61" s="565">
        <v>46014</v>
      </c>
      <c r="AB61" s="600"/>
      <c r="AC61" s="565" t="s">
        <v>276</v>
      </c>
      <c r="AD61" s="563">
        <v>0</v>
      </c>
      <c r="AE61" s="567">
        <v>162</v>
      </c>
      <c r="AF61" s="564"/>
      <c r="AG61" s="559">
        <v>46055</v>
      </c>
      <c r="AH61" s="560">
        <v>69</v>
      </c>
      <c r="AI61" s="561">
        <v>45992</v>
      </c>
      <c r="AJ61" s="562"/>
      <c r="AK61" s="561" t="s">
        <v>155</v>
      </c>
      <c r="AL61" s="563">
        <v>1</v>
      </c>
      <c r="AM61" s="567">
        <v>162</v>
      </c>
      <c r="AN61" s="564"/>
      <c r="AO61" s="559">
        <v>46055</v>
      </c>
      <c r="AP61" s="560">
        <v>133</v>
      </c>
      <c r="AQ61" s="561">
        <v>46063</v>
      </c>
      <c r="AR61" s="562"/>
      <c r="AS61" s="655" t="s">
        <v>277</v>
      </c>
      <c r="AT61" s="563">
        <v>2</v>
      </c>
      <c r="AU61" s="567">
        <v>168</v>
      </c>
      <c r="AV61" s="564"/>
      <c r="AW61" s="559">
        <v>46064</v>
      </c>
      <c r="AX61" s="578">
        <v>134</v>
      </c>
      <c r="AY61" s="565">
        <v>46065</v>
      </c>
      <c r="AZ61" s="562"/>
      <c r="BA61" s="565" t="s">
        <v>278</v>
      </c>
      <c r="BB61" s="563">
        <v>3</v>
      </c>
      <c r="BC61" s="567">
        <v>175</v>
      </c>
      <c r="BD61" s="564"/>
      <c r="BE61" s="559">
        <v>46069</v>
      </c>
      <c r="BF61" s="589">
        <v>166</v>
      </c>
      <c r="BG61" s="593">
        <v>46111</v>
      </c>
      <c r="BH61" s="562"/>
      <c r="BI61" s="593" t="s">
        <v>67</v>
      </c>
      <c r="BJ61" s="563"/>
      <c r="BK61" s="567"/>
      <c r="BL61" s="564"/>
      <c r="BM61" s="559"/>
      <c r="BN61" s="560"/>
      <c r="BO61" s="561"/>
      <c r="BP61" s="562"/>
      <c r="BQ61" s="561"/>
      <c r="BR61" s="563"/>
      <c r="BS61" s="567"/>
      <c r="BT61" s="564"/>
      <c r="BU61" s="559"/>
      <c r="BV61" s="560"/>
      <c r="BW61" s="561"/>
      <c r="BX61" s="562"/>
      <c r="BY61" s="561"/>
      <c r="BZ61" s="563"/>
      <c r="CA61" s="567"/>
      <c r="CB61" s="564"/>
      <c r="CC61" s="559"/>
      <c r="CD61" s="560"/>
      <c r="CE61" s="561"/>
      <c r="CF61" s="562"/>
      <c r="CG61" s="561"/>
      <c r="CH61" s="563"/>
      <c r="CI61" s="564"/>
      <c r="CJ61" s="564"/>
      <c r="CK61" s="564"/>
      <c r="CL61" s="560"/>
      <c r="CM61" s="561"/>
      <c r="CN61" s="562"/>
      <c r="CO61" s="561"/>
      <c r="CP61" s="563"/>
      <c r="CQ61" s="564"/>
      <c r="CR61" s="564"/>
      <c r="CS61" s="564"/>
      <c r="CT61" s="560"/>
      <c r="CU61" s="561"/>
      <c r="CV61" s="562"/>
      <c r="CW61" s="561"/>
      <c r="CX61" s="563"/>
      <c r="CY61" s="564"/>
      <c r="CZ61" s="564"/>
      <c r="DA61" s="564"/>
      <c r="DB61" s="560"/>
      <c r="DC61" s="561"/>
      <c r="DD61" s="562"/>
      <c r="DE61" s="561"/>
      <c r="DF61" s="563"/>
      <c r="DG61" s="564"/>
      <c r="DH61" s="564"/>
      <c r="DI61" s="564"/>
      <c r="DJ61" s="560"/>
      <c r="DK61" s="561"/>
      <c r="DL61" s="562"/>
      <c r="DM61" s="561"/>
      <c r="DN61" s="563"/>
      <c r="DO61" s="564"/>
      <c r="DP61" s="564"/>
      <c r="DQ61" s="564"/>
      <c r="DR61" s="560"/>
      <c r="DS61" s="561"/>
      <c r="DT61" s="562"/>
      <c r="DU61" s="561"/>
      <c r="DV61" s="563"/>
      <c r="DW61" s="564"/>
      <c r="DX61" s="564"/>
      <c r="DY61" s="564"/>
      <c r="DZ61" s="560"/>
      <c r="EA61" s="561"/>
      <c r="EB61" s="562"/>
      <c r="EC61" s="561"/>
      <c r="ED61" s="563"/>
      <c r="EE61" s="564"/>
      <c r="EF61" s="564"/>
      <c r="EG61" s="564"/>
      <c r="EH61" s="560"/>
      <c r="EI61" s="561"/>
      <c r="EJ61" s="562"/>
      <c r="EK61" s="561"/>
      <c r="EL61" s="563"/>
      <c r="EM61" s="564"/>
      <c r="EN61" s="564"/>
      <c r="EO61" s="564"/>
      <c r="EP61" s="560"/>
      <c r="EQ61" s="561"/>
      <c r="ER61" s="562"/>
      <c r="ES61" s="561"/>
      <c r="ET61" s="563"/>
      <c r="EU61" s="564"/>
      <c r="EV61" s="564"/>
      <c r="EW61" s="564"/>
      <c r="EX61" s="560"/>
      <c r="EY61" s="561"/>
      <c r="EZ61" s="562"/>
      <c r="FA61" s="561"/>
      <c r="FB61" s="563"/>
      <c r="FC61" s="564"/>
      <c r="FD61" s="564"/>
      <c r="FE61" s="564"/>
      <c r="FF61" s="560"/>
      <c r="FG61" s="561"/>
      <c r="FH61" s="562"/>
      <c r="FI61" s="561"/>
      <c r="FJ61" s="563"/>
      <c r="FK61" s="564"/>
      <c r="FL61" s="564"/>
      <c r="FM61" s="564"/>
      <c r="FN61" s="560"/>
      <c r="FO61" s="561"/>
      <c r="FP61" s="562"/>
      <c r="FQ61" s="561"/>
      <c r="FR61" s="563"/>
      <c r="FS61" s="564"/>
      <c r="FT61" s="564"/>
      <c r="FU61" s="564"/>
      <c r="FV61" s="560"/>
      <c r="FW61" s="566"/>
      <c r="FX61" s="566"/>
      <c r="FY61" s="566"/>
      <c r="FZ61" s="563"/>
      <c r="GA61" s="564"/>
      <c r="GB61" s="564"/>
      <c r="GC61" s="564"/>
      <c r="GD61" s="560"/>
      <c r="GE61" s="566"/>
      <c r="GF61" s="566"/>
      <c r="GG61" s="566"/>
      <c r="GH61" s="563"/>
      <c r="GI61" s="564"/>
      <c r="GJ61" s="564"/>
      <c r="GK61" s="564"/>
      <c r="GL61" s="560"/>
      <c r="GM61" s="566"/>
      <c r="GN61" s="566"/>
      <c r="GO61" s="566"/>
      <c r="GP61" s="563"/>
      <c r="GQ61" s="564"/>
      <c r="GR61" s="564"/>
      <c r="GS61" s="564"/>
      <c r="GT61" s="560"/>
      <c r="GU61" s="566"/>
      <c r="GV61" s="566"/>
      <c r="GW61" s="566"/>
      <c r="GX61" s="541"/>
      <c r="GY61" s="535"/>
      <c r="GZ61" s="542"/>
      <c r="HA61" s="543"/>
      <c r="HB61" s="541"/>
      <c r="HC61" s="535"/>
      <c r="HD61" s="542"/>
      <c r="HE61" s="543"/>
      <c r="HF61" s="541"/>
      <c r="HG61" s="535"/>
      <c r="HH61" s="542"/>
      <c r="HI61" s="543"/>
      <c r="HJ61" s="541"/>
      <c r="HK61" s="535"/>
      <c r="HL61" s="542"/>
      <c r="HM61" s="543"/>
      <c r="HN61" s="541"/>
      <c r="HO61" s="535"/>
      <c r="HP61" s="542"/>
      <c r="HQ61" s="543"/>
      <c r="HR61" s="541"/>
      <c r="HS61" s="535"/>
      <c r="HT61" s="542"/>
      <c r="HU61" s="543"/>
    </row>
    <row r="62" spans="1:229" s="506" customFormat="1" ht="102" customHeight="1" x14ac:dyDescent="0.35">
      <c r="B62" s="544">
        <v>85</v>
      </c>
      <c r="C62" s="544" t="s">
        <v>156</v>
      </c>
      <c r="D62" s="545" t="s">
        <v>139</v>
      </c>
      <c r="E62" s="558" t="s">
        <v>279</v>
      </c>
      <c r="F62" s="546" t="s">
        <v>280</v>
      </c>
      <c r="G62" s="546" t="s">
        <v>281</v>
      </c>
      <c r="H62" s="547" t="s">
        <v>282</v>
      </c>
      <c r="I62" s="548">
        <f>Q62+5</f>
        <v>46036</v>
      </c>
      <c r="J62" s="705">
        <v>2</v>
      </c>
      <c r="K62" s="568" t="s">
        <v>62</v>
      </c>
      <c r="L62" s="548"/>
      <c r="M62" s="569" t="s">
        <v>117</v>
      </c>
      <c r="N62" s="551">
        <v>0</v>
      </c>
      <c r="O62" s="552">
        <v>199</v>
      </c>
      <c r="P62" s="553">
        <v>46080</v>
      </c>
      <c r="Q62" s="553">
        <v>46031</v>
      </c>
      <c r="R62" s="554" t="s">
        <v>151</v>
      </c>
      <c r="S62" s="555">
        <f ca="1">IF(R62="Aprobado / Emitir Rev_0", NETWORKDAYS(Q62,TODAY(),Hoja1!$C$3:$C$25),0)</f>
        <v>0</v>
      </c>
      <c r="T62" s="555">
        <f ca="1">IF(R62="Revisión INN",NETWORKDAYS(P62,TODAY(),Hoja1!$C$3:$C$25),0)</f>
        <v>35</v>
      </c>
      <c r="U62" s="556">
        <f t="shared" si="2"/>
        <v>2</v>
      </c>
      <c r="V62" s="557" t="s">
        <v>125</v>
      </c>
      <c r="W62" s="558">
        <v>97</v>
      </c>
      <c r="X62" s="558"/>
      <c r="Y62" s="559">
        <v>45995</v>
      </c>
      <c r="Z62" s="560">
        <v>78</v>
      </c>
      <c r="AA62" s="561">
        <v>46007</v>
      </c>
      <c r="AB62" s="562"/>
      <c r="AC62" s="561" t="s">
        <v>162</v>
      </c>
      <c r="AD62" s="638" t="s">
        <v>63</v>
      </c>
      <c r="AE62" s="639">
        <v>134</v>
      </c>
      <c r="AF62" s="564"/>
      <c r="AG62" s="640">
        <v>46030</v>
      </c>
      <c r="AH62" s="560">
        <v>102</v>
      </c>
      <c r="AI62" s="561">
        <v>46031</v>
      </c>
      <c r="AJ62" s="562"/>
      <c r="AK62" s="561" t="s">
        <v>128</v>
      </c>
      <c r="AL62" s="591">
        <v>0</v>
      </c>
      <c r="AM62" s="592">
        <v>199</v>
      </c>
      <c r="AN62" s="564"/>
      <c r="AO62" s="593">
        <v>46080</v>
      </c>
      <c r="AP62" s="560"/>
      <c r="AQ62" s="561"/>
      <c r="AR62" s="562"/>
      <c r="AS62" s="561"/>
      <c r="AT62" s="563"/>
      <c r="AU62" s="567"/>
      <c r="AV62" s="564"/>
      <c r="AW62" s="565"/>
      <c r="AX62" s="560"/>
      <c r="AY62" s="561"/>
      <c r="AZ62" s="562"/>
      <c r="BA62" s="561"/>
      <c r="BB62" s="563"/>
      <c r="BC62" s="567"/>
      <c r="BD62" s="564"/>
      <c r="BE62" s="565"/>
      <c r="BF62" s="560"/>
      <c r="BG62" s="561"/>
      <c r="BH62" s="562"/>
      <c r="BI62" s="561"/>
      <c r="BJ62" s="563"/>
      <c r="BK62" s="567"/>
      <c r="BL62" s="564"/>
      <c r="BM62" s="565"/>
      <c r="BN62" s="560"/>
      <c r="BO62" s="561"/>
      <c r="BP62" s="562"/>
      <c r="BQ62" s="561"/>
      <c r="BR62" s="563"/>
      <c r="BS62" s="567"/>
      <c r="BT62" s="564"/>
      <c r="BU62" s="565"/>
      <c r="BV62" s="560"/>
      <c r="BW62" s="561"/>
      <c r="BX62" s="562"/>
      <c r="BY62" s="561"/>
      <c r="BZ62" s="563"/>
      <c r="CA62" s="567"/>
      <c r="CB62" s="564"/>
      <c r="CC62" s="565"/>
      <c r="CD62" s="560"/>
      <c r="CE62" s="561"/>
      <c r="CF62" s="562"/>
      <c r="CG62" s="561"/>
      <c r="CH62" s="563"/>
      <c r="CI62" s="564"/>
      <c r="CJ62" s="564"/>
      <c r="CK62" s="564"/>
      <c r="CL62" s="560"/>
      <c r="CM62" s="561"/>
      <c r="CN62" s="562"/>
      <c r="CO62" s="561"/>
      <c r="CP62" s="563"/>
      <c r="CQ62" s="564"/>
      <c r="CR62" s="564"/>
      <c r="CS62" s="564"/>
      <c r="CT62" s="560"/>
      <c r="CU62" s="561"/>
      <c r="CV62" s="562"/>
      <c r="CW62" s="561"/>
      <c r="CX62" s="563"/>
      <c r="CY62" s="564"/>
      <c r="CZ62" s="564"/>
      <c r="DA62" s="564"/>
      <c r="DB62" s="560"/>
      <c r="DC62" s="561"/>
      <c r="DD62" s="562"/>
      <c r="DE62" s="561"/>
      <c r="DF62" s="563"/>
      <c r="DG62" s="564"/>
      <c r="DH62" s="564"/>
      <c r="DI62" s="564"/>
      <c r="DJ62" s="560"/>
      <c r="DK62" s="561"/>
      <c r="DL62" s="562"/>
      <c r="DM62" s="561"/>
      <c r="DN62" s="563"/>
      <c r="DO62" s="564"/>
      <c r="DP62" s="564"/>
      <c r="DQ62" s="564"/>
      <c r="DR62" s="560"/>
      <c r="DS62" s="561"/>
      <c r="DT62" s="562"/>
      <c r="DU62" s="561"/>
      <c r="DV62" s="563"/>
      <c r="DW62" s="564"/>
      <c r="DX62" s="564"/>
      <c r="DY62" s="564"/>
      <c r="DZ62" s="560"/>
      <c r="EA62" s="561"/>
      <c r="EB62" s="562"/>
      <c r="EC62" s="561"/>
      <c r="ED62" s="563"/>
      <c r="EE62" s="564"/>
      <c r="EF62" s="564"/>
      <c r="EG62" s="564"/>
      <c r="EH62" s="560"/>
      <c r="EI62" s="561"/>
      <c r="EJ62" s="562"/>
      <c r="EK62" s="561"/>
      <c r="EL62" s="563"/>
      <c r="EM62" s="564"/>
      <c r="EN62" s="564"/>
      <c r="EO62" s="564"/>
      <c r="EP62" s="560"/>
      <c r="EQ62" s="561"/>
      <c r="ER62" s="562"/>
      <c r="ES62" s="561"/>
      <c r="ET62" s="563"/>
      <c r="EU62" s="564"/>
      <c r="EV62" s="564"/>
      <c r="EW62" s="564"/>
      <c r="EX62" s="560"/>
      <c r="EY62" s="561"/>
      <c r="EZ62" s="562"/>
      <c r="FA62" s="561"/>
      <c r="FB62" s="563"/>
      <c r="FC62" s="564"/>
      <c r="FD62" s="564"/>
      <c r="FE62" s="564"/>
      <c r="FF62" s="560"/>
      <c r="FG62" s="561"/>
      <c r="FH62" s="562"/>
      <c r="FI62" s="561"/>
      <c r="FJ62" s="563"/>
      <c r="FK62" s="564"/>
      <c r="FL62" s="564"/>
      <c r="FM62" s="564"/>
      <c r="FN62" s="560"/>
      <c r="FO62" s="561"/>
      <c r="FP62" s="562"/>
      <c r="FQ62" s="561"/>
      <c r="FR62" s="563"/>
      <c r="FS62" s="564"/>
      <c r="FT62" s="564"/>
      <c r="FU62" s="564"/>
      <c r="FV62" s="560"/>
      <c r="FW62" s="566"/>
      <c r="FX62" s="566"/>
      <c r="FY62" s="566"/>
      <c r="FZ62" s="563"/>
      <c r="GA62" s="564"/>
      <c r="GB62" s="564"/>
      <c r="GC62" s="564"/>
      <c r="GD62" s="560"/>
      <c r="GE62" s="566"/>
      <c r="GF62" s="566"/>
      <c r="GG62" s="566"/>
      <c r="GH62" s="563"/>
      <c r="GI62" s="564"/>
      <c r="GJ62" s="564"/>
      <c r="GK62" s="564"/>
      <c r="GL62" s="560"/>
      <c r="GM62" s="566"/>
      <c r="GN62" s="566"/>
      <c r="GO62" s="566"/>
      <c r="GP62" s="563"/>
      <c r="GQ62" s="564"/>
      <c r="GR62" s="564"/>
      <c r="GS62" s="564"/>
      <c r="GT62" s="560"/>
      <c r="GU62" s="566"/>
      <c r="GV62" s="566"/>
      <c r="GW62" s="566"/>
      <c r="GX62" s="563"/>
      <c r="GY62" s="564"/>
      <c r="GZ62" s="564"/>
      <c r="HA62" s="590"/>
      <c r="HB62" s="560"/>
      <c r="HC62" s="566"/>
      <c r="HD62" s="566"/>
      <c r="HE62" s="566"/>
      <c r="HF62" s="563"/>
      <c r="HG62" s="564"/>
      <c r="HH62" s="564"/>
      <c r="HI62" s="590"/>
      <c r="HJ62" s="560"/>
      <c r="HK62" s="566"/>
      <c r="HL62" s="566"/>
      <c r="HM62" s="566"/>
      <c r="HN62" s="563"/>
      <c r="HO62" s="564"/>
      <c r="HP62" s="564"/>
      <c r="HQ62" s="590"/>
      <c r="HR62" s="560"/>
      <c r="HS62" s="566"/>
      <c r="HT62" s="566"/>
      <c r="HU62" s="566"/>
    </row>
    <row r="63" spans="1:229" s="506" customFormat="1" ht="76" customHeight="1" x14ac:dyDescent="0.35">
      <c r="B63" s="544">
        <v>107</v>
      </c>
      <c r="C63" s="577" t="s">
        <v>145</v>
      </c>
      <c r="D63" s="545" t="s">
        <v>139</v>
      </c>
      <c r="E63" s="545" t="s">
        <v>283</v>
      </c>
      <c r="F63" s="546" t="s">
        <v>284</v>
      </c>
      <c r="G63" s="546" t="s">
        <v>285</v>
      </c>
      <c r="H63" s="547" t="s">
        <v>286</v>
      </c>
      <c r="I63" s="568"/>
      <c r="J63" s="568"/>
      <c r="K63" s="568">
        <f>P63+5</f>
        <v>46112</v>
      </c>
      <c r="L63" s="549"/>
      <c r="M63" s="569" t="s">
        <v>117</v>
      </c>
      <c r="N63" s="658" t="s">
        <v>224</v>
      </c>
      <c r="O63" s="552">
        <v>177</v>
      </c>
      <c r="P63" s="553">
        <v>46107</v>
      </c>
      <c r="Q63" s="553">
        <v>46119</v>
      </c>
      <c r="R63" s="554" t="s">
        <v>220</v>
      </c>
      <c r="S63" s="555">
        <f ca="1">IF(R63="Aprobado / Emitir Rev_2", NETWORKDAYS(Q63,TODAY(),Hoja1!$C$3:$C$25),0)</f>
        <v>9</v>
      </c>
      <c r="T63" s="555">
        <f ca="1">IF(R63="Revisión INN",NETWORKDAYS(P63,TODAY(),Hoja1!$C$3:$C$25),0)</f>
        <v>0</v>
      </c>
      <c r="U63" s="556">
        <f t="shared" si="2"/>
        <v>8</v>
      </c>
      <c r="V63" s="557" t="s">
        <v>125</v>
      </c>
      <c r="W63" s="558">
        <v>27</v>
      </c>
      <c r="X63" s="575" t="s">
        <v>62</v>
      </c>
      <c r="Y63" s="559">
        <v>45929</v>
      </c>
      <c r="Z63" s="560">
        <v>28</v>
      </c>
      <c r="AA63" s="561">
        <v>45931</v>
      </c>
      <c r="AB63" s="562">
        <f>AA63-Y63</f>
        <v>2</v>
      </c>
      <c r="AC63" s="561" t="s">
        <v>287</v>
      </c>
      <c r="AD63" s="563" t="s">
        <v>63</v>
      </c>
      <c r="AE63" s="567">
        <v>32</v>
      </c>
      <c r="AF63" s="564">
        <f>AG63-AA63</f>
        <v>1</v>
      </c>
      <c r="AG63" s="559">
        <v>45932</v>
      </c>
      <c r="AH63" s="560">
        <v>47</v>
      </c>
      <c r="AI63" s="561">
        <v>45952</v>
      </c>
      <c r="AJ63" s="562"/>
      <c r="AK63" s="561" t="s">
        <v>186</v>
      </c>
      <c r="AL63" s="563">
        <v>0</v>
      </c>
      <c r="AM63" s="567">
        <v>63</v>
      </c>
      <c r="AN63" s="564"/>
      <c r="AO63" s="565">
        <v>45960</v>
      </c>
      <c r="AP63" s="560">
        <v>58</v>
      </c>
      <c r="AQ63" s="561">
        <v>45966</v>
      </c>
      <c r="AR63" s="562">
        <f>AQ63-AO63</f>
        <v>6</v>
      </c>
      <c r="AS63" s="561" t="s">
        <v>67</v>
      </c>
      <c r="AT63" s="563" t="s">
        <v>200</v>
      </c>
      <c r="AU63" s="567">
        <v>93</v>
      </c>
      <c r="AV63" s="564"/>
      <c r="AW63" s="559">
        <v>45994</v>
      </c>
      <c r="AX63" s="560">
        <v>78</v>
      </c>
      <c r="AY63" s="561">
        <v>46007</v>
      </c>
      <c r="AZ63" s="562"/>
      <c r="BA63" s="561" t="s">
        <v>133</v>
      </c>
      <c r="BB63" s="563">
        <v>1</v>
      </c>
      <c r="BC63" s="567">
        <v>124</v>
      </c>
      <c r="BD63" s="564"/>
      <c r="BE63" s="559">
        <v>46022</v>
      </c>
      <c r="BF63" s="560" t="s">
        <v>221</v>
      </c>
      <c r="BG63" s="561" t="s">
        <v>221</v>
      </c>
      <c r="BH63" s="562" t="s">
        <v>221</v>
      </c>
      <c r="BI63" s="561" t="s">
        <v>221</v>
      </c>
      <c r="BJ63" s="563" t="s">
        <v>184</v>
      </c>
      <c r="BK63" s="567">
        <v>151</v>
      </c>
      <c r="BL63" s="564"/>
      <c r="BM63" s="559">
        <v>46048</v>
      </c>
      <c r="BN63" s="560" t="s">
        <v>221</v>
      </c>
      <c r="BO63" s="561" t="s">
        <v>221</v>
      </c>
      <c r="BP63" s="562" t="s">
        <v>221</v>
      </c>
      <c r="BQ63" s="561" t="s">
        <v>221</v>
      </c>
      <c r="BR63" s="638" t="s">
        <v>222</v>
      </c>
      <c r="BS63" s="639">
        <v>176</v>
      </c>
      <c r="BT63" s="630"/>
      <c r="BU63" s="768">
        <v>46069</v>
      </c>
      <c r="BV63" s="769" t="s">
        <v>62</v>
      </c>
      <c r="BW63" s="770" t="s">
        <v>62</v>
      </c>
      <c r="BX63" s="562"/>
      <c r="BY63" s="770" t="s">
        <v>62</v>
      </c>
      <c r="BZ63" s="563" t="s">
        <v>223</v>
      </c>
      <c r="CA63" s="567">
        <v>223</v>
      </c>
      <c r="CB63" s="564"/>
      <c r="CC63" s="559">
        <v>46098</v>
      </c>
      <c r="CD63" s="560" t="s">
        <v>62</v>
      </c>
      <c r="CE63" s="561" t="s">
        <v>62</v>
      </c>
      <c r="CF63" s="562"/>
      <c r="CG63" s="561" t="s">
        <v>62</v>
      </c>
      <c r="CH63" s="563" t="s">
        <v>224</v>
      </c>
      <c r="CI63" s="564">
        <v>245</v>
      </c>
      <c r="CJ63" s="564"/>
      <c r="CK63" s="590">
        <v>46107</v>
      </c>
      <c r="CL63" s="589">
        <v>177</v>
      </c>
      <c r="CM63" s="593">
        <v>46119</v>
      </c>
      <c r="CN63" s="562"/>
      <c r="CO63" s="593" t="s">
        <v>225</v>
      </c>
      <c r="CP63" s="563"/>
      <c r="CQ63" s="564"/>
      <c r="CR63" s="564"/>
      <c r="CS63" s="564"/>
      <c r="CT63" s="560"/>
      <c r="CU63" s="561"/>
      <c r="CV63" s="562"/>
      <c r="CW63" s="561"/>
      <c r="CX63" s="563"/>
      <c r="CY63" s="564"/>
      <c r="CZ63" s="564"/>
      <c r="DA63" s="564"/>
      <c r="DB63" s="560"/>
      <c r="DC63" s="561"/>
      <c r="DD63" s="562"/>
      <c r="DE63" s="561"/>
      <c r="DF63" s="563"/>
      <c r="DG63" s="564"/>
      <c r="DH63" s="564"/>
      <c r="DI63" s="564"/>
      <c r="DJ63" s="560"/>
      <c r="DK63" s="561"/>
      <c r="DL63" s="562"/>
      <c r="DM63" s="561"/>
      <c r="DN63" s="563"/>
      <c r="DO63" s="564"/>
      <c r="DP63" s="564"/>
      <c r="DQ63" s="564"/>
      <c r="DR63" s="560"/>
      <c r="DS63" s="561"/>
      <c r="DT63" s="562"/>
      <c r="DU63" s="561"/>
      <c r="DV63" s="563"/>
      <c r="DW63" s="564"/>
      <c r="DX63" s="564"/>
      <c r="DY63" s="564"/>
      <c r="DZ63" s="560"/>
      <c r="EA63" s="561"/>
      <c r="EB63" s="562"/>
      <c r="EC63" s="561"/>
      <c r="ED63" s="563"/>
      <c r="EE63" s="564"/>
      <c r="EF63" s="564"/>
      <c r="EG63" s="564"/>
      <c r="EH63" s="560"/>
      <c r="EI63" s="561"/>
      <c r="EJ63" s="562"/>
      <c r="EK63" s="561"/>
      <c r="EL63" s="563"/>
      <c r="EM63" s="564"/>
      <c r="EN63" s="564"/>
      <c r="EO63" s="564"/>
      <c r="EP63" s="560"/>
      <c r="EQ63" s="561"/>
      <c r="ER63" s="562"/>
      <c r="ES63" s="561"/>
      <c r="ET63" s="563"/>
      <c r="EU63" s="564"/>
      <c r="EV63" s="564"/>
      <c r="EW63" s="564"/>
      <c r="EX63" s="560"/>
      <c r="EY63" s="561"/>
      <c r="EZ63" s="562"/>
      <c r="FA63" s="561"/>
      <c r="FB63" s="563"/>
      <c r="FC63" s="564"/>
      <c r="FD63" s="564"/>
      <c r="FE63" s="564"/>
      <c r="FF63" s="560"/>
      <c r="FG63" s="561"/>
      <c r="FH63" s="562"/>
      <c r="FI63" s="561"/>
      <c r="FJ63" s="563"/>
      <c r="FK63" s="564"/>
      <c r="FL63" s="564"/>
      <c r="FM63" s="564"/>
      <c r="FN63" s="560"/>
      <c r="FO63" s="561"/>
      <c r="FP63" s="562"/>
      <c r="FQ63" s="561"/>
      <c r="FR63" s="563"/>
      <c r="FS63" s="564"/>
      <c r="FT63" s="564"/>
      <c r="FU63" s="564"/>
      <c r="FV63" s="560"/>
      <c r="FW63" s="566"/>
      <c r="FX63" s="566"/>
      <c r="FY63" s="566"/>
      <c r="FZ63" s="563"/>
      <c r="GA63" s="564"/>
      <c r="GB63" s="564"/>
      <c r="GC63" s="564"/>
      <c r="GD63" s="560"/>
      <c r="GE63" s="566"/>
      <c r="GF63" s="566"/>
      <c r="GG63" s="566"/>
      <c r="GH63" s="563"/>
      <c r="GI63" s="564"/>
      <c r="GJ63" s="564"/>
      <c r="GK63" s="564"/>
      <c r="GL63" s="560"/>
      <c r="GM63" s="566"/>
      <c r="GN63" s="566"/>
      <c r="GO63" s="566"/>
      <c r="GP63" s="563"/>
      <c r="GQ63" s="564"/>
      <c r="GR63" s="564"/>
      <c r="GS63" s="564"/>
      <c r="GT63" s="560"/>
      <c r="GU63" s="566"/>
      <c r="GV63" s="566"/>
      <c r="GW63" s="566"/>
      <c r="GX63" s="563"/>
      <c r="GY63" s="564"/>
      <c r="GZ63" s="564"/>
      <c r="HA63" s="590"/>
      <c r="HB63" s="560"/>
      <c r="HC63" s="566"/>
      <c r="HD63" s="566"/>
      <c r="HE63" s="566"/>
      <c r="HF63" s="563"/>
      <c r="HG63" s="564"/>
      <c r="HH63" s="564"/>
      <c r="HI63" s="590"/>
      <c r="HJ63" s="560"/>
      <c r="HK63" s="566"/>
      <c r="HL63" s="566"/>
      <c r="HM63" s="566"/>
      <c r="HN63" s="563"/>
      <c r="HO63" s="564"/>
      <c r="HP63" s="564"/>
      <c r="HQ63" s="590"/>
      <c r="HR63" s="560"/>
      <c r="HS63" s="566"/>
      <c r="HT63" s="566"/>
      <c r="HU63" s="566"/>
    </row>
    <row r="64" spans="1:229" s="506" customFormat="1" ht="60" customHeight="1" thickBot="1" x14ac:dyDescent="0.4">
      <c r="A64" s="571"/>
      <c r="B64" s="544">
        <v>61</v>
      </c>
      <c r="C64" s="544" t="s">
        <v>46</v>
      </c>
      <c r="D64" s="545" t="s">
        <v>44</v>
      </c>
      <c r="E64" s="546" t="s">
        <v>288</v>
      </c>
      <c r="F64" s="546" t="s">
        <v>46</v>
      </c>
      <c r="G64" s="546" t="s">
        <v>46</v>
      </c>
      <c r="H64" s="547" t="s">
        <v>289</v>
      </c>
      <c r="I64" s="549" t="s">
        <v>46</v>
      </c>
      <c r="J64" s="549"/>
      <c r="K64" s="549" t="s">
        <v>46</v>
      </c>
      <c r="L64" s="568"/>
      <c r="M64" s="569" t="s">
        <v>102</v>
      </c>
      <c r="N64" s="551" t="s">
        <v>290</v>
      </c>
      <c r="O64" s="552">
        <v>4</v>
      </c>
      <c r="P64" s="553">
        <v>45894</v>
      </c>
      <c r="Q64" s="553"/>
      <c r="R64" s="554" t="s">
        <v>73</v>
      </c>
      <c r="S64" s="555">
        <f ca="1">IF(R64="Aprobado con comentarios / Emitir en Rev_0", NETWORKDAYS(Q64,TODAY(),Hoja1!$C$3:$C$25),0)</f>
        <v>0</v>
      </c>
      <c r="T64" s="555">
        <f ca="1">IF(R64="Revisión INN",NETWORKDAYS(P64,TODAY(),Hoja1!$C$3:$C$25),0)</f>
        <v>0</v>
      </c>
      <c r="U64" s="556">
        <f t="shared" si="2"/>
        <v>1</v>
      </c>
      <c r="V64" s="557" t="s">
        <v>290</v>
      </c>
      <c r="W64" s="558">
        <v>4</v>
      </c>
      <c r="X64" s="558"/>
      <c r="Y64" s="559">
        <v>45894</v>
      </c>
      <c r="Z64" s="560"/>
      <c r="AA64" s="561"/>
      <c r="AB64" s="562"/>
      <c r="AC64" s="561"/>
      <c r="AD64" s="563"/>
      <c r="AE64" s="567"/>
      <c r="AF64" s="564"/>
      <c r="AG64" s="565"/>
      <c r="AH64" s="560"/>
      <c r="AI64" s="561"/>
      <c r="AJ64" s="562"/>
      <c r="AK64" s="561"/>
      <c r="AL64" s="563"/>
      <c r="AM64" s="567"/>
      <c r="AN64" s="564"/>
      <c r="AO64" s="565"/>
      <c r="AP64" s="560"/>
      <c r="AQ64" s="561"/>
      <c r="AR64" s="562"/>
      <c r="AS64" s="561"/>
      <c r="AT64" s="563"/>
      <c r="AU64" s="567"/>
      <c r="AV64" s="564"/>
      <c r="AW64" s="565"/>
      <c r="AX64" s="560"/>
      <c r="AY64" s="561"/>
      <c r="AZ64" s="562"/>
      <c r="BA64" s="561"/>
      <c r="BB64" s="563"/>
      <c r="BC64" s="567"/>
      <c r="BD64" s="564"/>
      <c r="BE64" s="565"/>
      <c r="BF64" s="560"/>
      <c r="BG64" s="561"/>
      <c r="BH64" s="562"/>
      <c r="BI64" s="561"/>
      <c r="BJ64" s="563"/>
      <c r="BK64" s="567"/>
      <c r="BL64" s="564"/>
      <c r="BM64" s="565"/>
      <c r="BN64" s="560"/>
      <c r="BO64" s="561"/>
      <c r="BP64" s="562"/>
      <c r="BQ64" s="561"/>
      <c r="BR64" s="563"/>
      <c r="BS64" s="567"/>
      <c r="BT64" s="564"/>
      <c r="BU64" s="565"/>
      <c r="BV64" s="560"/>
      <c r="BW64" s="561"/>
      <c r="BX64" s="562"/>
      <c r="BY64" s="561"/>
      <c r="BZ64" s="563"/>
      <c r="CA64" s="567"/>
      <c r="CB64" s="564"/>
      <c r="CC64" s="565"/>
      <c r="CD64" s="560"/>
      <c r="CE64" s="561"/>
      <c r="CF64" s="562"/>
      <c r="CG64" s="561"/>
      <c r="CH64" s="563"/>
      <c r="CI64" s="564"/>
      <c r="CJ64" s="564"/>
      <c r="CK64" s="564"/>
      <c r="CL64" s="560"/>
      <c r="CM64" s="561"/>
      <c r="CN64" s="562"/>
      <c r="CO64" s="561"/>
      <c r="CP64" s="563"/>
      <c r="CQ64" s="567"/>
      <c r="CR64" s="564"/>
      <c r="CS64" s="565"/>
      <c r="CT64" s="560"/>
      <c r="CU64" s="561"/>
      <c r="CV64" s="562"/>
      <c r="CW64" s="561"/>
      <c r="CX64" s="563"/>
      <c r="CY64" s="564"/>
      <c r="CZ64" s="564"/>
      <c r="DA64" s="564"/>
      <c r="DB64" s="560"/>
      <c r="DC64" s="561"/>
      <c r="DD64" s="562"/>
      <c r="DE64" s="561"/>
      <c r="DF64" s="563"/>
      <c r="DG64" s="564"/>
      <c r="DH64" s="564"/>
      <c r="DI64" s="564"/>
      <c r="DJ64" s="560"/>
      <c r="DK64" s="561"/>
      <c r="DL64" s="562"/>
      <c r="DM64" s="561"/>
      <c r="DN64" s="563"/>
      <c r="DO64" s="564"/>
      <c r="DP64" s="564"/>
      <c r="DQ64" s="564"/>
      <c r="DR64" s="560"/>
      <c r="DS64" s="561"/>
      <c r="DT64" s="562"/>
      <c r="DU64" s="561"/>
      <c r="DV64" s="563"/>
      <c r="DW64" s="564"/>
      <c r="DX64" s="564"/>
      <c r="DY64" s="564"/>
      <c r="DZ64" s="560"/>
      <c r="EA64" s="561"/>
      <c r="EB64" s="562"/>
      <c r="EC64" s="561"/>
      <c r="ED64" s="563"/>
      <c r="EE64" s="564"/>
      <c r="EF64" s="564"/>
      <c r="EG64" s="564"/>
      <c r="EH64" s="560"/>
      <c r="EI64" s="561"/>
      <c r="EJ64" s="562"/>
      <c r="EK64" s="561"/>
      <c r="EL64" s="563"/>
      <c r="EM64" s="564"/>
      <c r="EN64" s="564"/>
      <c r="EO64" s="564"/>
      <c r="EP64" s="560"/>
      <c r="EQ64" s="561"/>
      <c r="ER64" s="562"/>
      <c r="ES64" s="561"/>
      <c r="ET64" s="563"/>
      <c r="EU64" s="564"/>
      <c r="EV64" s="564"/>
      <c r="EW64" s="564"/>
      <c r="EX64" s="560"/>
      <c r="EY64" s="561"/>
      <c r="EZ64" s="562"/>
      <c r="FA64" s="561"/>
      <c r="FB64" s="563"/>
      <c r="FC64" s="564"/>
      <c r="FD64" s="564"/>
      <c r="FE64" s="564"/>
      <c r="FF64" s="560"/>
      <c r="FG64" s="561"/>
      <c r="FH64" s="562"/>
      <c r="FI64" s="561"/>
      <c r="FJ64" s="563"/>
      <c r="FK64" s="564"/>
      <c r="FL64" s="564"/>
      <c r="FM64" s="564"/>
      <c r="FN64" s="560"/>
      <c r="FO64" s="561"/>
      <c r="FP64" s="562"/>
      <c r="FQ64" s="561"/>
      <c r="FR64" s="563"/>
      <c r="FS64" s="564"/>
      <c r="FT64" s="564"/>
      <c r="FU64" s="564"/>
      <c r="FV64" s="560"/>
      <c r="FW64" s="566"/>
      <c r="FX64" s="566"/>
      <c r="FY64" s="566"/>
      <c r="FZ64" s="563"/>
      <c r="GA64" s="564"/>
      <c r="GB64" s="564"/>
      <c r="GC64" s="564"/>
      <c r="GD64" s="560"/>
      <c r="GE64" s="566"/>
      <c r="GF64" s="566"/>
      <c r="GG64" s="566"/>
      <c r="GH64" s="563"/>
      <c r="GI64" s="564"/>
      <c r="GJ64" s="564"/>
      <c r="GK64" s="564"/>
      <c r="GL64" s="560"/>
      <c r="GM64" s="566"/>
      <c r="GN64" s="566"/>
      <c r="GO64" s="566"/>
      <c r="GP64" s="563"/>
      <c r="GQ64" s="564"/>
      <c r="GR64" s="564"/>
      <c r="GS64" s="564"/>
      <c r="GT64" s="560"/>
      <c r="GU64" s="566"/>
      <c r="GV64" s="566"/>
      <c r="GW64" s="566"/>
      <c r="GX64" s="563"/>
      <c r="GY64" s="564"/>
      <c r="GZ64" s="564"/>
      <c r="HA64" s="590"/>
      <c r="HB64" s="560"/>
      <c r="HC64" s="566"/>
      <c r="HD64" s="566"/>
      <c r="HE64" s="566"/>
      <c r="HF64" s="563"/>
      <c r="HG64" s="564"/>
      <c r="HH64" s="564"/>
      <c r="HI64" s="590"/>
      <c r="HJ64" s="560"/>
      <c r="HK64" s="566"/>
      <c r="HL64" s="566"/>
      <c r="HM64" s="566"/>
      <c r="HN64" s="563"/>
      <c r="HO64" s="564"/>
      <c r="HP64" s="564"/>
      <c r="HQ64" s="590"/>
      <c r="HR64" s="560"/>
      <c r="HS64" s="566"/>
      <c r="HT64" s="566"/>
      <c r="HU64" s="566"/>
    </row>
    <row r="65" spans="2:229" s="506" customFormat="1" ht="102" customHeight="1" x14ac:dyDescent="0.35">
      <c r="B65" s="544">
        <v>62</v>
      </c>
      <c r="C65" s="544" t="s">
        <v>46</v>
      </c>
      <c r="D65" s="544" t="s">
        <v>59</v>
      </c>
      <c r="E65" s="544" t="s">
        <v>291</v>
      </c>
      <c r="F65" s="546" t="s">
        <v>292</v>
      </c>
      <c r="G65" s="546" t="s">
        <v>46</v>
      </c>
      <c r="H65" s="547" t="s">
        <v>293</v>
      </c>
      <c r="I65" s="706" t="s">
        <v>294</v>
      </c>
      <c r="J65" s="706"/>
      <c r="K65" s="706" t="s">
        <v>294</v>
      </c>
      <c r="L65" s="706"/>
      <c r="M65" s="569" t="s">
        <v>295</v>
      </c>
      <c r="N65" s="551">
        <v>0</v>
      </c>
      <c r="O65" s="552">
        <v>252</v>
      </c>
      <c r="P65" s="553">
        <v>46114</v>
      </c>
      <c r="Q65" s="554">
        <v>45953</v>
      </c>
      <c r="R65" s="554" t="s">
        <v>56</v>
      </c>
      <c r="S65" s="555">
        <f ca="1">IF(R65="Aprobado con comentarios / Emitir en Rev_0", NETWORKDAYS(Q65,TODAY(),Hoja1!$C$3:$C$25),0)</f>
        <v>0</v>
      </c>
      <c r="T65" s="555">
        <f ca="1">IF(R65="Revisión INN",NETWORKDAYS(P65,TODAY(),Hoja1!$C$3:$C$25),0)</f>
        <v>0</v>
      </c>
      <c r="U65" s="556">
        <f t="shared" si="2"/>
        <v>18</v>
      </c>
      <c r="V65" s="557">
        <v>0</v>
      </c>
      <c r="W65" s="558">
        <v>7</v>
      </c>
      <c r="X65" s="558"/>
      <c r="Y65" s="559">
        <v>45895</v>
      </c>
      <c r="Z65" s="560">
        <v>10</v>
      </c>
      <c r="AA65" s="561">
        <v>45903</v>
      </c>
      <c r="AB65" s="562">
        <f>AA65-Y65</f>
        <v>8</v>
      </c>
      <c r="AC65" s="561" t="s">
        <v>296</v>
      </c>
      <c r="AD65" s="563">
        <v>0</v>
      </c>
      <c r="AE65" s="567">
        <v>13</v>
      </c>
      <c r="AF65" s="564">
        <f>AG65-AA65</f>
        <v>6</v>
      </c>
      <c r="AG65" s="565">
        <v>45909</v>
      </c>
      <c r="AH65" s="560">
        <v>33</v>
      </c>
      <c r="AI65" s="561">
        <v>45938</v>
      </c>
      <c r="AJ65" s="562"/>
      <c r="AK65" s="561" t="s">
        <v>296</v>
      </c>
      <c r="AL65" s="563">
        <v>0</v>
      </c>
      <c r="AM65" s="567">
        <v>43</v>
      </c>
      <c r="AN65" s="564"/>
      <c r="AO65" s="565">
        <v>45944</v>
      </c>
      <c r="AP65" s="560" t="s">
        <v>62</v>
      </c>
      <c r="AQ65" s="561" t="s">
        <v>62</v>
      </c>
      <c r="AR65" s="562" t="s">
        <v>62</v>
      </c>
      <c r="AS65" s="561" t="s">
        <v>62</v>
      </c>
      <c r="AT65" s="563">
        <v>0</v>
      </c>
      <c r="AU65" s="567">
        <v>46</v>
      </c>
      <c r="AV65" s="564"/>
      <c r="AW65" s="565">
        <v>45946</v>
      </c>
      <c r="AX65" s="560" t="s">
        <v>62</v>
      </c>
      <c r="AY65" s="561" t="s">
        <v>62</v>
      </c>
      <c r="AZ65" s="562" t="s">
        <v>62</v>
      </c>
      <c r="BA65" s="561" t="s">
        <v>62</v>
      </c>
      <c r="BB65" s="563">
        <v>0</v>
      </c>
      <c r="BC65" s="567">
        <v>51</v>
      </c>
      <c r="BD65" s="564" t="s">
        <v>62</v>
      </c>
      <c r="BE65" s="565">
        <v>45952</v>
      </c>
      <c r="BF65" s="560">
        <v>48</v>
      </c>
      <c r="BG65" s="561">
        <v>45953</v>
      </c>
      <c r="BH65" s="562">
        <f>BG65-BE65</f>
        <v>1</v>
      </c>
      <c r="BI65" s="561" t="s">
        <v>296</v>
      </c>
      <c r="BJ65" s="563">
        <v>0</v>
      </c>
      <c r="BK65" s="567">
        <v>53</v>
      </c>
      <c r="BL65" s="564">
        <f>BM65-BG65</f>
        <v>0</v>
      </c>
      <c r="BM65" s="565">
        <v>45953</v>
      </c>
      <c r="BN65" s="560"/>
      <c r="BO65" s="561"/>
      <c r="BP65" s="562"/>
      <c r="BQ65" s="561"/>
      <c r="BR65" s="563">
        <v>0</v>
      </c>
      <c r="BS65" s="567">
        <v>62</v>
      </c>
      <c r="BT65" s="564"/>
      <c r="BU65" s="565">
        <v>45960</v>
      </c>
      <c r="BV65" s="560"/>
      <c r="BW65" s="561"/>
      <c r="BX65" s="562"/>
      <c r="BY65" s="561"/>
      <c r="BZ65" s="563">
        <v>0</v>
      </c>
      <c r="CA65" s="567">
        <v>65</v>
      </c>
      <c r="CB65" s="564"/>
      <c r="CC65" s="565">
        <v>45967</v>
      </c>
      <c r="CD65" s="560"/>
      <c r="CE65" s="561"/>
      <c r="CF65" s="562"/>
      <c r="CG65" s="561"/>
      <c r="CH65" s="563">
        <v>0</v>
      </c>
      <c r="CI65" s="564">
        <v>71</v>
      </c>
      <c r="CJ65" s="564"/>
      <c r="CK65" s="590">
        <v>45973</v>
      </c>
      <c r="CL65" s="560" t="s">
        <v>62</v>
      </c>
      <c r="CM65" s="560" t="s">
        <v>62</v>
      </c>
      <c r="CN65" s="560" t="s">
        <v>62</v>
      </c>
      <c r="CO65" s="560" t="s">
        <v>62</v>
      </c>
      <c r="CP65" s="563">
        <v>0</v>
      </c>
      <c r="CQ65" s="564">
        <v>79</v>
      </c>
      <c r="CR65" s="564"/>
      <c r="CS65" s="590">
        <v>45980</v>
      </c>
      <c r="CT65" s="560" t="s">
        <v>62</v>
      </c>
      <c r="CU65" s="560" t="s">
        <v>62</v>
      </c>
      <c r="CV65" s="560" t="s">
        <v>62</v>
      </c>
      <c r="CW65" s="560" t="s">
        <v>62</v>
      </c>
      <c r="CX65" s="563">
        <v>0</v>
      </c>
      <c r="CY65" s="564">
        <v>86</v>
      </c>
      <c r="CZ65" s="564"/>
      <c r="DA65" s="590">
        <v>45988</v>
      </c>
      <c r="DB65" s="560" t="s">
        <v>62</v>
      </c>
      <c r="DC65" s="560" t="s">
        <v>62</v>
      </c>
      <c r="DD65" s="560" t="s">
        <v>62</v>
      </c>
      <c r="DE65" s="560" t="s">
        <v>62</v>
      </c>
      <c r="DF65" s="563">
        <v>0</v>
      </c>
      <c r="DG65" s="564">
        <v>100</v>
      </c>
      <c r="DH65" s="564"/>
      <c r="DI65" s="590">
        <v>46000</v>
      </c>
      <c r="DJ65" s="560" t="s">
        <v>62</v>
      </c>
      <c r="DK65" s="560" t="s">
        <v>62</v>
      </c>
      <c r="DL65" s="560" t="s">
        <v>62</v>
      </c>
      <c r="DM65" s="560" t="s">
        <v>62</v>
      </c>
      <c r="DN65" s="563">
        <v>0</v>
      </c>
      <c r="DO65" s="564">
        <v>127</v>
      </c>
      <c r="DP65" s="564"/>
      <c r="DQ65" s="590">
        <v>46028</v>
      </c>
      <c r="DR65" s="560" t="s">
        <v>62</v>
      </c>
      <c r="DS65" s="560" t="s">
        <v>62</v>
      </c>
      <c r="DT65" s="560" t="s">
        <v>62</v>
      </c>
      <c r="DU65" s="560" t="s">
        <v>62</v>
      </c>
      <c r="DV65" s="563">
        <v>0</v>
      </c>
      <c r="DW65" s="564">
        <v>131</v>
      </c>
      <c r="DX65" s="564"/>
      <c r="DY65" s="590">
        <v>46030</v>
      </c>
      <c r="DZ65" s="560" t="s">
        <v>62</v>
      </c>
      <c r="EA65" s="560" t="s">
        <v>62</v>
      </c>
      <c r="EB65" s="560" t="s">
        <v>62</v>
      </c>
      <c r="EC65" s="560" t="s">
        <v>62</v>
      </c>
      <c r="ED65" s="563">
        <v>0</v>
      </c>
      <c r="EE65" s="564">
        <v>139</v>
      </c>
      <c r="EF65" s="564"/>
      <c r="EG65" s="590">
        <v>46036</v>
      </c>
      <c r="EH65" s="560" t="s">
        <v>62</v>
      </c>
      <c r="EI65" s="560" t="s">
        <v>62</v>
      </c>
      <c r="EJ65" s="560" t="s">
        <v>62</v>
      </c>
      <c r="EK65" s="560" t="s">
        <v>62</v>
      </c>
      <c r="EL65" s="563">
        <v>0</v>
      </c>
      <c r="EM65" s="564">
        <v>144</v>
      </c>
      <c r="EN65" s="630"/>
      <c r="EO65" s="590">
        <v>46043</v>
      </c>
      <c r="EP65" s="560" t="s">
        <v>62</v>
      </c>
      <c r="EQ65" s="560" t="s">
        <v>62</v>
      </c>
      <c r="ER65" s="560" t="s">
        <v>62</v>
      </c>
      <c r="ES65" s="560" t="s">
        <v>62</v>
      </c>
      <c r="ET65" s="563">
        <v>0</v>
      </c>
      <c r="EU65" s="564">
        <v>159</v>
      </c>
      <c r="EV65" s="564"/>
      <c r="EW65" s="590">
        <v>46051</v>
      </c>
      <c r="EX65" s="560" t="s">
        <v>62</v>
      </c>
      <c r="EY65" s="560" t="s">
        <v>62</v>
      </c>
      <c r="EZ65" s="560" t="s">
        <v>62</v>
      </c>
      <c r="FA65" s="560" t="s">
        <v>62</v>
      </c>
      <c r="FB65" s="563">
        <v>0</v>
      </c>
      <c r="FC65" s="564">
        <v>165</v>
      </c>
      <c r="FD65" s="564"/>
      <c r="FE65" s="590">
        <v>46057</v>
      </c>
      <c r="FF65" s="560"/>
      <c r="FG65" s="561"/>
      <c r="FH65" s="562"/>
      <c r="FI65" s="561"/>
      <c r="FJ65" s="563">
        <v>0</v>
      </c>
      <c r="FK65" s="564">
        <v>171</v>
      </c>
      <c r="FL65" s="564"/>
      <c r="FM65" s="590">
        <v>46065</v>
      </c>
      <c r="FN65" s="560" t="s">
        <v>62</v>
      </c>
      <c r="FO65" s="561" t="s">
        <v>62</v>
      </c>
      <c r="FP65" s="562" t="s">
        <v>62</v>
      </c>
      <c r="FQ65" s="561" t="s">
        <v>62</v>
      </c>
      <c r="FR65" s="563">
        <v>0</v>
      </c>
      <c r="FS65" s="564">
        <v>183</v>
      </c>
      <c r="FT65" s="564"/>
      <c r="FU65" s="590">
        <v>46072</v>
      </c>
      <c r="FV65" s="560" t="s">
        <v>62</v>
      </c>
      <c r="FW65" s="560" t="s">
        <v>62</v>
      </c>
      <c r="FX65" s="560" t="s">
        <v>62</v>
      </c>
      <c r="FY65" s="560" t="s">
        <v>62</v>
      </c>
      <c r="FZ65" s="563">
        <v>0</v>
      </c>
      <c r="GA65" s="564">
        <v>197</v>
      </c>
      <c r="GB65" s="564"/>
      <c r="GC65" s="590">
        <v>46079</v>
      </c>
      <c r="GD65" s="560" t="s">
        <v>62</v>
      </c>
      <c r="GE65" s="560" t="s">
        <v>62</v>
      </c>
      <c r="GF65" s="560" t="s">
        <v>62</v>
      </c>
      <c r="GG65" s="560" t="s">
        <v>62</v>
      </c>
      <c r="GH65" s="563">
        <v>0</v>
      </c>
      <c r="GI65" s="564">
        <v>209</v>
      </c>
      <c r="GJ65" s="564"/>
      <c r="GK65" s="590">
        <v>46086</v>
      </c>
      <c r="GL65" s="560" t="s">
        <v>62</v>
      </c>
      <c r="GM65" s="566" t="s">
        <v>62</v>
      </c>
      <c r="GN65" s="566" t="s">
        <v>62</v>
      </c>
      <c r="GO65" s="566" t="s">
        <v>62</v>
      </c>
      <c r="GP65" s="563">
        <v>0</v>
      </c>
      <c r="GQ65" s="564">
        <v>219</v>
      </c>
      <c r="GR65" s="564"/>
      <c r="GS65" s="590">
        <v>46092</v>
      </c>
      <c r="GT65" s="560"/>
      <c r="GU65" s="566"/>
      <c r="GV65" s="566"/>
      <c r="GW65" s="566"/>
      <c r="GX65" s="541"/>
      <c r="GY65" s="535"/>
      <c r="GZ65" s="542"/>
      <c r="HA65" s="543"/>
      <c r="HB65" s="541"/>
      <c r="HC65" s="535"/>
      <c r="HD65" s="542"/>
      <c r="HE65" s="543"/>
      <c r="HF65" s="541"/>
      <c r="HG65" s="535"/>
      <c r="HH65" s="542"/>
      <c r="HI65" s="543"/>
      <c r="HJ65" s="541"/>
      <c r="HK65" s="535"/>
      <c r="HL65" s="542"/>
      <c r="HM65" s="543"/>
      <c r="HN65" s="541"/>
      <c r="HO65" s="535"/>
      <c r="HP65" s="542"/>
      <c r="HQ65" s="543"/>
      <c r="HR65" s="541"/>
      <c r="HS65" s="535"/>
      <c r="HT65" s="542"/>
      <c r="HU65" s="543"/>
    </row>
    <row r="66" spans="2:229" s="506" customFormat="1" ht="66.650000000000006" customHeight="1" x14ac:dyDescent="0.35">
      <c r="B66" s="544">
        <v>63</v>
      </c>
      <c r="C66" s="544" t="s">
        <v>46</v>
      </c>
      <c r="D66" s="544" t="s">
        <v>68</v>
      </c>
      <c r="E66" s="544" t="s">
        <v>297</v>
      </c>
      <c r="F66" s="546" t="s">
        <v>298</v>
      </c>
      <c r="G66" s="546" t="s">
        <v>46</v>
      </c>
      <c r="H66" s="547" t="s">
        <v>299</v>
      </c>
      <c r="I66" s="706" t="s">
        <v>294</v>
      </c>
      <c r="J66" s="706"/>
      <c r="K66" s="706" t="s">
        <v>294</v>
      </c>
      <c r="L66" s="706"/>
      <c r="M66" s="569" t="s">
        <v>295</v>
      </c>
      <c r="N66" s="551">
        <v>0</v>
      </c>
      <c r="O66" s="552">
        <v>252</v>
      </c>
      <c r="P66" s="553">
        <v>46114</v>
      </c>
      <c r="Q66" s="554">
        <v>45953</v>
      </c>
      <c r="R66" s="554" t="s">
        <v>56</v>
      </c>
      <c r="S66" s="555">
        <f ca="1">IF(R66="Aprobado con comentarios / Emitir en Rev_0", NETWORKDAYS(Q66,TODAY(),Hoja1!$C$3:$C$25),0)</f>
        <v>0</v>
      </c>
      <c r="T66" s="555">
        <f ca="1">IF(R66="Revisión INN",NETWORKDAYS(P66,TODAY(),Hoja1!$C$3:$C$25),0)</f>
        <v>0</v>
      </c>
      <c r="U66" s="556">
        <f t="shared" si="2"/>
        <v>18</v>
      </c>
      <c r="V66" s="557">
        <v>0</v>
      </c>
      <c r="W66" s="558">
        <v>7</v>
      </c>
      <c r="X66" s="558"/>
      <c r="Y66" s="559">
        <v>45895</v>
      </c>
      <c r="Z66" s="560">
        <v>10</v>
      </c>
      <c r="AA66" s="561">
        <v>45903</v>
      </c>
      <c r="AB66" s="562">
        <f>AA66-Y66</f>
        <v>8</v>
      </c>
      <c r="AC66" s="561" t="s">
        <v>296</v>
      </c>
      <c r="AD66" s="563">
        <v>0</v>
      </c>
      <c r="AE66" s="567">
        <v>13</v>
      </c>
      <c r="AF66" s="564">
        <f>AG66-AA66</f>
        <v>6</v>
      </c>
      <c r="AG66" s="565">
        <v>45909</v>
      </c>
      <c r="AH66" s="560">
        <v>33</v>
      </c>
      <c r="AI66" s="561">
        <v>45938</v>
      </c>
      <c r="AJ66" s="562"/>
      <c r="AK66" s="561" t="s">
        <v>296</v>
      </c>
      <c r="AL66" s="563">
        <v>0</v>
      </c>
      <c r="AM66" s="567">
        <v>43</v>
      </c>
      <c r="AN66" s="564"/>
      <c r="AO66" s="565">
        <v>45944</v>
      </c>
      <c r="AP66" s="560" t="s">
        <v>62</v>
      </c>
      <c r="AQ66" s="561" t="s">
        <v>62</v>
      </c>
      <c r="AR66" s="562" t="s">
        <v>62</v>
      </c>
      <c r="AS66" s="561" t="s">
        <v>62</v>
      </c>
      <c r="AT66" s="563">
        <v>0</v>
      </c>
      <c r="AU66" s="567">
        <v>46</v>
      </c>
      <c r="AV66" s="564"/>
      <c r="AW66" s="565">
        <v>45946</v>
      </c>
      <c r="AX66" s="560" t="s">
        <v>62</v>
      </c>
      <c r="AY66" s="561" t="s">
        <v>62</v>
      </c>
      <c r="AZ66" s="562" t="s">
        <v>62</v>
      </c>
      <c r="BA66" s="561" t="s">
        <v>62</v>
      </c>
      <c r="BB66" s="563">
        <v>0</v>
      </c>
      <c r="BC66" s="567">
        <v>51</v>
      </c>
      <c r="BD66" s="564" t="s">
        <v>62</v>
      </c>
      <c r="BE66" s="565">
        <v>45952</v>
      </c>
      <c r="BF66" s="560">
        <v>48</v>
      </c>
      <c r="BG66" s="561">
        <v>45953</v>
      </c>
      <c r="BH66" s="562">
        <f>BG66-BE66</f>
        <v>1</v>
      </c>
      <c r="BI66" s="561" t="s">
        <v>296</v>
      </c>
      <c r="BJ66" s="563">
        <v>0</v>
      </c>
      <c r="BK66" s="567">
        <v>53</v>
      </c>
      <c r="BL66" s="564">
        <f>BM66-BG66</f>
        <v>0</v>
      </c>
      <c r="BM66" s="565">
        <v>45953</v>
      </c>
      <c r="BN66" s="560"/>
      <c r="BO66" s="561"/>
      <c r="BP66" s="562"/>
      <c r="BQ66" s="561"/>
      <c r="BR66" s="563">
        <v>0</v>
      </c>
      <c r="BS66" s="567">
        <v>62</v>
      </c>
      <c r="BT66" s="564"/>
      <c r="BU66" s="565">
        <v>45960</v>
      </c>
      <c r="BV66" s="560"/>
      <c r="BW66" s="561"/>
      <c r="BX66" s="562"/>
      <c r="BY66" s="561"/>
      <c r="BZ66" s="563">
        <v>0</v>
      </c>
      <c r="CA66" s="567">
        <v>65</v>
      </c>
      <c r="CB66" s="564"/>
      <c r="CC66" s="565">
        <v>45967</v>
      </c>
      <c r="CD66" s="560"/>
      <c r="CE66" s="561"/>
      <c r="CF66" s="562"/>
      <c r="CG66" s="561"/>
      <c r="CH66" s="563">
        <v>0</v>
      </c>
      <c r="CI66" s="564">
        <v>71</v>
      </c>
      <c r="CJ66" s="564"/>
      <c r="CK66" s="590">
        <v>45973</v>
      </c>
      <c r="CL66" s="560" t="s">
        <v>62</v>
      </c>
      <c r="CM66" s="560" t="s">
        <v>62</v>
      </c>
      <c r="CN66" s="560" t="s">
        <v>62</v>
      </c>
      <c r="CO66" s="560" t="s">
        <v>62</v>
      </c>
      <c r="CP66" s="563">
        <v>0</v>
      </c>
      <c r="CQ66" s="564">
        <v>79</v>
      </c>
      <c r="CR66" s="564"/>
      <c r="CS66" s="590">
        <v>45980</v>
      </c>
      <c r="CT66" s="560" t="s">
        <v>62</v>
      </c>
      <c r="CU66" s="560" t="s">
        <v>62</v>
      </c>
      <c r="CV66" s="560" t="s">
        <v>62</v>
      </c>
      <c r="CW66" s="560" t="s">
        <v>62</v>
      </c>
      <c r="CX66" s="563">
        <v>0</v>
      </c>
      <c r="CY66" s="564">
        <v>86</v>
      </c>
      <c r="CZ66" s="564"/>
      <c r="DA66" s="590">
        <v>45988</v>
      </c>
      <c r="DB66" s="560" t="s">
        <v>62</v>
      </c>
      <c r="DC66" s="560" t="s">
        <v>62</v>
      </c>
      <c r="DD66" s="560" t="s">
        <v>62</v>
      </c>
      <c r="DE66" s="560" t="s">
        <v>62</v>
      </c>
      <c r="DF66" s="563">
        <v>0</v>
      </c>
      <c r="DG66" s="564">
        <v>100</v>
      </c>
      <c r="DH66" s="564"/>
      <c r="DI66" s="590">
        <v>46000</v>
      </c>
      <c r="DJ66" s="560" t="s">
        <v>62</v>
      </c>
      <c r="DK66" s="560" t="s">
        <v>62</v>
      </c>
      <c r="DL66" s="560" t="s">
        <v>62</v>
      </c>
      <c r="DM66" s="560" t="s">
        <v>62</v>
      </c>
      <c r="DN66" s="563">
        <v>0</v>
      </c>
      <c r="DO66" s="564">
        <v>127</v>
      </c>
      <c r="DP66" s="564"/>
      <c r="DQ66" s="590">
        <v>46028</v>
      </c>
      <c r="DR66" s="560" t="s">
        <v>62</v>
      </c>
      <c r="DS66" s="560" t="s">
        <v>62</v>
      </c>
      <c r="DT66" s="560" t="s">
        <v>62</v>
      </c>
      <c r="DU66" s="560" t="s">
        <v>62</v>
      </c>
      <c r="DV66" s="563">
        <v>0</v>
      </c>
      <c r="DW66" s="564">
        <v>131</v>
      </c>
      <c r="DX66" s="564"/>
      <c r="DY66" s="590">
        <v>46030</v>
      </c>
      <c r="DZ66" s="560" t="s">
        <v>62</v>
      </c>
      <c r="EA66" s="560" t="s">
        <v>62</v>
      </c>
      <c r="EB66" s="560" t="s">
        <v>62</v>
      </c>
      <c r="EC66" s="560" t="s">
        <v>62</v>
      </c>
      <c r="ED66" s="563">
        <v>0</v>
      </c>
      <c r="EE66" s="564">
        <v>139</v>
      </c>
      <c r="EF66" s="564"/>
      <c r="EG66" s="590">
        <v>46036</v>
      </c>
      <c r="EH66" s="560" t="s">
        <v>62</v>
      </c>
      <c r="EI66" s="560" t="s">
        <v>62</v>
      </c>
      <c r="EJ66" s="560" t="s">
        <v>62</v>
      </c>
      <c r="EK66" s="560" t="s">
        <v>62</v>
      </c>
      <c r="EL66" s="563">
        <v>0</v>
      </c>
      <c r="EM66" s="564">
        <v>144</v>
      </c>
      <c r="EN66" s="630"/>
      <c r="EO66" s="590">
        <v>46043</v>
      </c>
      <c r="EP66" s="560" t="s">
        <v>62</v>
      </c>
      <c r="EQ66" s="560" t="s">
        <v>62</v>
      </c>
      <c r="ER66" s="560" t="s">
        <v>62</v>
      </c>
      <c r="ES66" s="560" t="s">
        <v>62</v>
      </c>
      <c r="ET66" s="563">
        <v>0</v>
      </c>
      <c r="EU66" s="564">
        <v>159</v>
      </c>
      <c r="EV66" s="564"/>
      <c r="EW66" s="590">
        <v>46051</v>
      </c>
      <c r="EX66" s="560" t="s">
        <v>62</v>
      </c>
      <c r="EY66" s="560" t="s">
        <v>62</v>
      </c>
      <c r="EZ66" s="560" t="s">
        <v>62</v>
      </c>
      <c r="FA66" s="560" t="s">
        <v>62</v>
      </c>
      <c r="FB66" s="563">
        <v>0</v>
      </c>
      <c r="FC66" s="564">
        <v>165</v>
      </c>
      <c r="FD66" s="564"/>
      <c r="FE66" s="590">
        <v>46057</v>
      </c>
      <c r="FF66" s="560"/>
      <c r="FG66" s="561"/>
      <c r="FH66" s="562"/>
      <c r="FI66" s="561"/>
      <c r="FJ66" s="563">
        <v>0</v>
      </c>
      <c r="FK66" s="564">
        <v>171</v>
      </c>
      <c r="FL66" s="564"/>
      <c r="FM66" s="590">
        <v>46065</v>
      </c>
      <c r="FN66" s="560" t="s">
        <v>62</v>
      </c>
      <c r="FO66" s="561" t="s">
        <v>62</v>
      </c>
      <c r="FP66" s="562" t="s">
        <v>62</v>
      </c>
      <c r="FQ66" s="561" t="s">
        <v>62</v>
      </c>
      <c r="FR66" s="563">
        <v>0</v>
      </c>
      <c r="FS66" s="564">
        <v>183</v>
      </c>
      <c r="FT66" s="564"/>
      <c r="FU66" s="590">
        <v>46072</v>
      </c>
      <c r="FV66" s="560" t="s">
        <v>62</v>
      </c>
      <c r="FW66" s="560" t="s">
        <v>62</v>
      </c>
      <c r="FX66" s="560" t="s">
        <v>62</v>
      </c>
      <c r="FY66" s="560" t="s">
        <v>62</v>
      </c>
      <c r="FZ66" s="563">
        <v>0</v>
      </c>
      <c r="GA66" s="564">
        <v>197</v>
      </c>
      <c r="GB66" s="564"/>
      <c r="GC66" s="590">
        <v>46079</v>
      </c>
      <c r="GD66" s="560" t="s">
        <v>62</v>
      </c>
      <c r="GE66" s="560" t="s">
        <v>62</v>
      </c>
      <c r="GF66" s="560" t="s">
        <v>62</v>
      </c>
      <c r="GG66" s="560" t="s">
        <v>62</v>
      </c>
      <c r="GH66" s="563">
        <v>0</v>
      </c>
      <c r="GI66" s="564">
        <v>209</v>
      </c>
      <c r="GJ66" s="564"/>
      <c r="GK66" s="590">
        <v>46086</v>
      </c>
      <c r="GL66" s="560" t="s">
        <v>62</v>
      </c>
      <c r="GM66" s="566" t="s">
        <v>62</v>
      </c>
      <c r="GN66" s="566" t="s">
        <v>62</v>
      </c>
      <c r="GO66" s="566" t="s">
        <v>62</v>
      </c>
      <c r="GP66" s="563">
        <v>0</v>
      </c>
      <c r="GQ66" s="564">
        <v>219</v>
      </c>
      <c r="GR66" s="564"/>
      <c r="GS66" s="590">
        <v>46092</v>
      </c>
      <c r="GT66" s="560"/>
      <c r="GU66" s="566"/>
      <c r="GV66" s="566"/>
      <c r="GW66" s="566"/>
      <c r="GX66" s="563"/>
      <c r="GY66" s="564"/>
      <c r="GZ66" s="564"/>
      <c r="HA66" s="590"/>
      <c r="HB66" s="560"/>
      <c r="HC66" s="566"/>
      <c r="HD66" s="566"/>
      <c r="HE66" s="566"/>
      <c r="HF66" s="563"/>
      <c r="HG66" s="564"/>
      <c r="HH66" s="564"/>
      <c r="HI66" s="590"/>
      <c r="HJ66" s="560"/>
      <c r="HK66" s="566"/>
      <c r="HL66" s="566"/>
      <c r="HM66" s="566"/>
      <c r="HN66" s="563"/>
      <c r="HO66" s="564"/>
      <c r="HP66" s="564"/>
      <c r="HQ66" s="590"/>
      <c r="HR66" s="560"/>
      <c r="HS66" s="566"/>
      <c r="HT66" s="566"/>
      <c r="HU66" s="566"/>
    </row>
    <row r="67" spans="2:229" s="506" customFormat="1" ht="89.5" customHeight="1" x14ac:dyDescent="0.35">
      <c r="B67" s="544">
        <v>64</v>
      </c>
      <c r="C67" s="544" t="s">
        <v>46</v>
      </c>
      <c r="D67" s="544" t="s">
        <v>139</v>
      </c>
      <c r="E67" s="544" t="s">
        <v>300</v>
      </c>
      <c r="F67" s="546" t="s">
        <v>301</v>
      </c>
      <c r="G67" s="546" t="s">
        <v>46</v>
      </c>
      <c r="H67" s="547" t="s">
        <v>302</v>
      </c>
      <c r="I67" s="706" t="s">
        <v>294</v>
      </c>
      <c r="J67" s="706"/>
      <c r="K67" s="706" t="s">
        <v>294</v>
      </c>
      <c r="L67" s="706"/>
      <c r="M67" s="569" t="s">
        <v>295</v>
      </c>
      <c r="N67" s="551">
        <v>0</v>
      </c>
      <c r="O67" s="552">
        <v>252</v>
      </c>
      <c r="P67" s="553">
        <v>46114</v>
      </c>
      <c r="Q67" s="554">
        <v>45953</v>
      </c>
      <c r="R67" s="554" t="s">
        <v>56</v>
      </c>
      <c r="S67" s="555">
        <f ca="1">IF(R67="Aprobado con comentarios / Emitir en Rev_0", NETWORKDAYS(Q67,TODAY(),Hoja1!$C$3:$C$25),0)</f>
        <v>0</v>
      </c>
      <c r="T67" s="555">
        <f ca="1">IF(R67="Revisión INN",NETWORKDAYS(P67,TODAY(),Hoja1!$C$3:$C$25),0)</f>
        <v>0</v>
      </c>
      <c r="U67" s="556">
        <f t="shared" si="2"/>
        <v>18</v>
      </c>
      <c r="V67" s="557">
        <v>0</v>
      </c>
      <c r="W67" s="558">
        <v>7</v>
      </c>
      <c r="X67" s="558"/>
      <c r="Y67" s="559">
        <v>45895</v>
      </c>
      <c r="Z67" s="560">
        <v>10</v>
      </c>
      <c r="AA67" s="561">
        <v>45903</v>
      </c>
      <c r="AB67" s="562">
        <f>AA67-Y67</f>
        <v>8</v>
      </c>
      <c r="AC67" s="561" t="s">
        <v>296</v>
      </c>
      <c r="AD67" s="563">
        <v>0</v>
      </c>
      <c r="AE67" s="567">
        <v>13</v>
      </c>
      <c r="AF67" s="564">
        <f>AG67-AA67</f>
        <v>6</v>
      </c>
      <c r="AG67" s="565">
        <v>45909</v>
      </c>
      <c r="AH67" s="560">
        <v>33</v>
      </c>
      <c r="AI67" s="561">
        <v>45938</v>
      </c>
      <c r="AJ67" s="562"/>
      <c r="AK67" s="561" t="s">
        <v>296</v>
      </c>
      <c r="AL67" s="563">
        <v>0</v>
      </c>
      <c r="AM67" s="567">
        <v>43</v>
      </c>
      <c r="AN67" s="564"/>
      <c r="AO67" s="565">
        <v>45944</v>
      </c>
      <c r="AP67" s="560" t="s">
        <v>62</v>
      </c>
      <c r="AQ67" s="561" t="s">
        <v>62</v>
      </c>
      <c r="AR67" s="562" t="s">
        <v>62</v>
      </c>
      <c r="AS67" s="561" t="s">
        <v>62</v>
      </c>
      <c r="AT67" s="563">
        <v>0</v>
      </c>
      <c r="AU67" s="567">
        <v>46</v>
      </c>
      <c r="AV67" s="564"/>
      <c r="AW67" s="565">
        <v>45946</v>
      </c>
      <c r="AX67" s="560" t="s">
        <v>62</v>
      </c>
      <c r="AY67" s="561" t="s">
        <v>62</v>
      </c>
      <c r="AZ67" s="562" t="s">
        <v>62</v>
      </c>
      <c r="BA67" s="561" t="s">
        <v>62</v>
      </c>
      <c r="BB67" s="563">
        <v>0</v>
      </c>
      <c r="BC67" s="567">
        <v>51</v>
      </c>
      <c r="BD67" s="564" t="s">
        <v>62</v>
      </c>
      <c r="BE67" s="565">
        <v>45952</v>
      </c>
      <c r="BF67" s="560">
        <v>48</v>
      </c>
      <c r="BG67" s="561">
        <v>45953</v>
      </c>
      <c r="BH67" s="562">
        <f>BG67-BE67</f>
        <v>1</v>
      </c>
      <c r="BI67" s="561" t="s">
        <v>296</v>
      </c>
      <c r="BJ67" s="563">
        <v>0</v>
      </c>
      <c r="BK67" s="567">
        <v>53</v>
      </c>
      <c r="BL67" s="564">
        <f>BM67-BG67</f>
        <v>0</v>
      </c>
      <c r="BM67" s="565">
        <v>45953</v>
      </c>
      <c r="BN67" s="560"/>
      <c r="BO67" s="561"/>
      <c r="BP67" s="562"/>
      <c r="BQ67" s="561"/>
      <c r="BR67" s="563">
        <v>0</v>
      </c>
      <c r="BS67" s="567">
        <v>62</v>
      </c>
      <c r="BT67" s="564"/>
      <c r="BU67" s="565">
        <v>45960</v>
      </c>
      <c r="BV67" s="560"/>
      <c r="BW67" s="561"/>
      <c r="BX67" s="562"/>
      <c r="BY67" s="561"/>
      <c r="BZ67" s="563">
        <v>0</v>
      </c>
      <c r="CA67" s="567">
        <v>65</v>
      </c>
      <c r="CB67" s="564"/>
      <c r="CC67" s="565">
        <v>45967</v>
      </c>
      <c r="CD67" s="560"/>
      <c r="CE67" s="561"/>
      <c r="CF67" s="562"/>
      <c r="CG67" s="561"/>
      <c r="CH67" s="563">
        <v>0</v>
      </c>
      <c r="CI67" s="564">
        <v>71</v>
      </c>
      <c r="CJ67" s="564"/>
      <c r="CK67" s="590">
        <v>45973</v>
      </c>
      <c r="CL67" s="560" t="s">
        <v>62</v>
      </c>
      <c r="CM67" s="560" t="s">
        <v>62</v>
      </c>
      <c r="CN67" s="560" t="s">
        <v>62</v>
      </c>
      <c r="CO67" s="560" t="s">
        <v>62</v>
      </c>
      <c r="CP67" s="563">
        <v>0</v>
      </c>
      <c r="CQ67" s="564">
        <v>79</v>
      </c>
      <c r="CR67" s="564"/>
      <c r="CS67" s="590">
        <v>45980</v>
      </c>
      <c r="CT67" s="560" t="s">
        <v>62</v>
      </c>
      <c r="CU67" s="560" t="s">
        <v>62</v>
      </c>
      <c r="CV67" s="560" t="s">
        <v>62</v>
      </c>
      <c r="CW67" s="560" t="s">
        <v>62</v>
      </c>
      <c r="CX67" s="563">
        <v>0</v>
      </c>
      <c r="CY67" s="564">
        <v>86</v>
      </c>
      <c r="CZ67" s="564"/>
      <c r="DA67" s="590">
        <v>45988</v>
      </c>
      <c r="DB67" s="560" t="s">
        <v>62</v>
      </c>
      <c r="DC67" s="560" t="s">
        <v>62</v>
      </c>
      <c r="DD67" s="560" t="s">
        <v>62</v>
      </c>
      <c r="DE67" s="560" t="s">
        <v>62</v>
      </c>
      <c r="DF67" s="563">
        <v>0</v>
      </c>
      <c r="DG67" s="564">
        <v>100</v>
      </c>
      <c r="DH67" s="564"/>
      <c r="DI67" s="590">
        <v>46000</v>
      </c>
      <c r="DJ67" s="560" t="s">
        <v>62</v>
      </c>
      <c r="DK67" s="560" t="s">
        <v>62</v>
      </c>
      <c r="DL67" s="560" t="s">
        <v>62</v>
      </c>
      <c r="DM67" s="560" t="s">
        <v>62</v>
      </c>
      <c r="DN67" s="563">
        <v>0</v>
      </c>
      <c r="DO67" s="564">
        <v>127</v>
      </c>
      <c r="DP67" s="564"/>
      <c r="DQ67" s="590">
        <v>46028</v>
      </c>
      <c r="DR67" s="560" t="s">
        <v>62</v>
      </c>
      <c r="DS67" s="560" t="s">
        <v>62</v>
      </c>
      <c r="DT67" s="560" t="s">
        <v>62</v>
      </c>
      <c r="DU67" s="560" t="s">
        <v>62</v>
      </c>
      <c r="DV67" s="563">
        <v>0</v>
      </c>
      <c r="DW67" s="564">
        <v>131</v>
      </c>
      <c r="DX67" s="564"/>
      <c r="DY67" s="590">
        <v>46030</v>
      </c>
      <c r="DZ67" s="560" t="s">
        <v>62</v>
      </c>
      <c r="EA67" s="560" t="s">
        <v>62</v>
      </c>
      <c r="EB67" s="560" t="s">
        <v>62</v>
      </c>
      <c r="EC67" s="560" t="s">
        <v>62</v>
      </c>
      <c r="ED67" s="563">
        <v>0</v>
      </c>
      <c r="EE67" s="564">
        <v>139</v>
      </c>
      <c r="EF67" s="564"/>
      <c r="EG67" s="590">
        <v>46036</v>
      </c>
      <c r="EH67" s="560" t="s">
        <v>62</v>
      </c>
      <c r="EI67" s="560" t="s">
        <v>62</v>
      </c>
      <c r="EJ67" s="560" t="s">
        <v>62</v>
      </c>
      <c r="EK67" s="560" t="s">
        <v>62</v>
      </c>
      <c r="EL67" s="563">
        <v>0</v>
      </c>
      <c r="EM67" s="564">
        <v>144</v>
      </c>
      <c r="EN67" s="630"/>
      <c r="EO67" s="590">
        <v>46043</v>
      </c>
      <c r="EP67" s="560" t="s">
        <v>62</v>
      </c>
      <c r="EQ67" s="560" t="s">
        <v>62</v>
      </c>
      <c r="ER67" s="560" t="s">
        <v>62</v>
      </c>
      <c r="ES67" s="560" t="s">
        <v>62</v>
      </c>
      <c r="ET67" s="563">
        <v>0</v>
      </c>
      <c r="EU67" s="564">
        <v>159</v>
      </c>
      <c r="EV67" s="564"/>
      <c r="EW67" s="590">
        <v>46051</v>
      </c>
      <c r="EX67" s="560" t="s">
        <v>62</v>
      </c>
      <c r="EY67" s="560" t="s">
        <v>62</v>
      </c>
      <c r="EZ67" s="560" t="s">
        <v>62</v>
      </c>
      <c r="FA67" s="560" t="s">
        <v>62</v>
      </c>
      <c r="FB67" s="563">
        <v>0</v>
      </c>
      <c r="FC67" s="564">
        <v>165</v>
      </c>
      <c r="FD67" s="564"/>
      <c r="FE67" s="590">
        <v>46057</v>
      </c>
      <c r="FF67" s="560"/>
      <c r="FG67" s="561"/>
      <c r="FH67" s="562"/>
      <c r="FI67" s="561"/>
      <c r="FJ67" s="563">
        <v>0</v>
      </c>
      <c r="FK67" s="564">
        <v>171</v>
      </c>
      <c r="FL67" s="564"/>
      <c r="FM67" s="590">
        <v>46065</v>
      </c>
      <c r="FN67" s="560" t="s">
        <v>62</v>
      </c>
      <c r="FO67" s="561" t="s">
        <v>62</v>
      </c>
      <c r="FP67" s="562" t="s">
        <v>62</v>
      </c>
      <c r="FQ67" s="561" t="s">
        <v>62</v>
      </c>
      <c r="FR67" s="563">
        <v>0</v>
      </c>
      <c r="FS67" s="564">
        <v>183</v>
      </c>
      <c r="FT67" s="564"/>
      <c r="FU67" s="590">
        <v>46072</v>
      </c>
      <c r="FV67" s="560" t="s">
        <v>62</v>
      </c>
      <c r="FW67" s="560" t="s">
        <v>62</v>
      </c>
      <c r="FX67" s="560" t="s">
        <v>62</v>
      </c>
      <c r="FY67" s="560" t="s">
        <v>62</v>
      </c>
      <c r="FZ67" s="563">
        <v>0</v>
      </c>
      <c r="GA67" s="564">
        <v>197</v>
      </c>
      <c r="GB67" s="564"/>
      <c r="GC67" s="590">
        <v>46079</v>
      </c>
      <c r="GD67" s="560" t="s">
        <v>62</v>
      </c>
      <c r="GE67" s="560" t="s">
        <v>62</v>
      </c>
      <c r="GF67" s="560" t="s">
        <v>62</v>
      </c>
      <c r="GG67" s="560" t="s">
        <v>62</v>
      </c>
      <c r="GH67" s="563">
        <v>0</v>
      </c>
      <c r="GI67" s="564">
        <v>209</v>
      </c>
      <c r="GJ67" s="564"/>
      <c r="GK67" s="590">
        <v>46086</v>
      </c>
      <c r="GL67" s="560" t="s">
        <v>62</v>
      </c>
      <c r="GM67" s="566" t="s">
        <v>62</v>
      </c>
      <c r="GN67" s="566" t="s">
        <v>62</v>
      </c>
      <c r="GO67" s="566" t="s">
        <v>62</v>
      </c>
      <c r="GP67" s="563">
        <v>0</v>
      </c>
      <c r="GQ67" s="564">
        <v>219</v>
      </c>
      <c r="GR67" s="564"/>
      <c r="GS67" s="590">
        <v>46092</v>
      </c>
      <c r="GT67" s="560"/>
      <c r="GU67" s="566"/>
      <c r="GV67" s="566"/>
      <c r="GW67" s="566"/>
      <c r="GX67" s="563">
        <v>0</v>
      </c>
      <c r="GY67" s="564">
        <v>247</v>
      </c>
      <c r="GZ67" s="564"/>
      <c r="HA67" s="590">
        <v>46107</v>
      </c>
      <c r="HB67" s="560"/>
      <c r="HC67" s="566"/>
      <c r="HD67" s="566"/>
      <c r="HE67" s="566"/>
      <c r="HF67" s="591">
        <v>0</v>
      </c>
      <c r="HG67" s="630">
        <v>252</v>
      </c>
      <c r="HH67" s="564"/>
      <c r="HI67" s="631">
        <v>46114</v>
      </c>
      <c r="HJ67" s="560"/>
      <c r="HK67" s="566"/>
      <c r="HL67" s="566"/>
      <c r="HM67" s="566"/>
      <c r="HN67" s="563"/>
      <c r="HO67" s="564"/>
      <c r="HP67" s="564"/>
      <c r="HQ67" s="590"/>
      <c r="HR67" s="560"/>
      <c r="HS67" s="566"/>
      <c r="HT67" s="566"/>
      <c r="HU67" s="566"/>
    </row>
    <row r="68" spans="2:229" s="506" customFormat="1" ht="89.5" customHeight="1" thickBot="1" x14ac:dyDescent="0.4">
      <c r="B68" s="544">
        <v>28</v>
      </c>
      <c r="C68" s="544" t="s">
        <v>145</v>
      </c>
      <c r="D68" s="545" t="s">
        <v>59</v>
      </c>
      <c r="E68" s="558" t="s">
        <v>303</v>
      </c>
      <c r="F68" s="546" t="s">
        <v>304</v>
      </c>
      <c r="G68" s="546" t="s">
        <v>46</v>
      </c>
      <c r="H68" s="547" t="s">
        <v>305</v>
      </c>
      <c r="I68" s="568"/>
      <c r="J68" s="568"/>
      <c r="K68" s="568">
        <f>P68+5</f>
        <v>46055</v>
      </c>
      <c r="L68" s="549" t="s">
        <v>306</v>
      </c>
      <c r="M68" s="569" t="s">
        <v>117</v>
      </c>
      <c r="N68" s="551">
        <v>0</v>
      </c>
      <c r="O68" s="552">
        <v>181</v>
      </c>
      <c r="P68" s="553">
        <v>46050</v>
      </c>
      <c r="Q68" s="553">
        <v>46120</v>
      </c>
      <c r="R68" s="554" t="s">
        <v>307</v>
      </c>
      <c r="S68" s="555">
        <f ca="1">IF(R68="Aprobado con comentarios / Emitir Rev_1", NETWORKDAYS(Q68,TODAY(),Hoja1!$C$3:$C$25),0)</f>
        <v>8</v>
      </c>
      <c r="T68" s="555">
        <f ca="1">IF(R68="Revisión INN",NETWORKDAYS(P68,TODAY(),Hoja1!$C$3:$C$25),0)</f>
        <v>0</v>
      </c>
      <c r="U68" s="556">
        <f t="shared" si="2"/>
        <v>2</v>
      </c>
      <c r="V68" s="557" t="s">
        <v>63</v>
      </c>
      <c r="W68" s="558">
        <v>56</v>
      </c>
      <c r="X68" s="558" t="s">
        <v>62</v>
      </c>
      <c r="Y68" s="559">
        <v>45957</v>
      </c>
      <c r="Z68" s="560">
        <v>53</v>
      </c>
      <c r="AA68" s="561">
        <v>45964</v>
      </c>
      <c r="AB68" s="562"/>
      <c r="AC68" s="561" t="s">
        <v>126</v>
      </c>
      <c r="AD68" s="563">
        <v>0</v>
      </c>
      <c r="AE68" s="567">
        <v>155</v>
      </c>
      <c r="AF68" s="564"/>
      <c r="AG68" s="565">
        <v>46050</v>
      </c>
      <c r="AH68" s="589">
        <v>181</v>
      </c>
      <c r="AI68" s="593">
        <v>46120</v>
      </c>
      <c r="AJ68" s="562"/>
      <c r="AK68" s="593" t="s">
        <v>307</v>
      </c>
      <c r="AL68" s="563"/>
      <c r="AM68" s="567"/>
      <c r="AN68" s="564"/>
      <c r="AO68" s="565"/>
      <c r="AP68" s="560"/>
      <c r="AQ68" s="561"/>
      <c r="AR68" s="562"/>
      <c r="AS68" s="561"/>
      <c r="AT68" s="563"/>
      <c r="AU68" s="567"/>
      <c r="AV68" s="564"/>
      <c r="AW68" s="565"/>
      <c r="AX68" s="560"/>
      <c r="AY68" s="561"/>
      <c r="AZ68" s="562"/>
      <c r="BA68" s="561"/>
      <c r="BB68" s="563"/>
      <c r="BC68" s="567"/>
      <c r="BD68" s="564"/>
      <c r="BE68" s="565"/>
      <c r="BF68" s="560"/>
      <c r="BG68" s="561"/>
      <c r="BH68" s="562"/>
      <c r="BI68" s="561"/>
      <c r="BJ68" s="563"/>
      <c r="BK68" s="567"/>
      <c r="BL68" s="564"/>
      <c r="BM68" s="565"/>
      <c r="BN68" s="560"/>
      <c r="BO68" s="561"/>
      <c r="BP68" s="562"/>
      <c r="BQ68" s="561"/>
      <c r="BR68" s="563"/>
      <c r="BS68" s="567"/>
      <c r="BT68" s="564"/>
      <c r="BU68" s="565"/>
      <c r="BV68" s="560"/>
      <c r="BW68" s="561"/>
      <c r="BX68" s="562"/>
      <c r="BY68" s="561"/>
      <c r="BZ68" s="563"/>
      <c r="CA68" s="567"/>
      <c r="CB68" s="564"/>
      <c r="CC68" s="565"/>
      <c r="CD68" s="560"/>
      <c r="CE68" s="561"/>
      <c r="CF68" s="562"/>
      <c r="CG68" s="561"/>
      <c r="CH68" s="563"/>
      <c r="CI68" s="564"/>
      <c r="CJ68" s="564"/>
      <c r="CK68" s="564"/>
      <c r="CL68" s="560"/>
      <c r="CM68" s="561"/>
      <c r="CN68" s="562"/>
      <c r="CO68" s="561"/>
      <c r="CP68" s="563"/>
      <c r="CQ68" s="564"/>
      <c r="CR68" s="564"/>
      <c r="CS68" s="564"/>
      <c r="CT68" s="560"/>
      <c r="CU68" s="561"/>
      <c r="CV68" s="562"/>
      <c r="CW68" s="561"/>
      <c r="CX68" s="563"/>
      <c r="CY68" s="564"/>
      <c r="CZ68" s="564"/>
      <c r="DA68" s="564"/>
      <c r="DB68" s="560"/>
      <c r="DC68" s="561"/>
      <c r="DD68" s="562"/>
      <c r="DE68" s="561"/>
      <c r="DF68" s="563"/>
      <c r="DG68" s="564"/>
      <c r="DH68" s="564"/>
      <c r="DI68" s="564"/>
      <c r="DJ68" s="560"/>
      <c r="DK68" s="561"/>
      <c r="DL68" s="562"/>
      <c r="DM68" s="561"/>
      <c r="DN68" s="563"/>
      <c r="DO68" s="564"/>
      <c r="DP68" s="564"/>
      <c r="DQ68" s="564"/>
      <c r="DR68" s="560"/>
      <c r="DS68" s="561"/>
      <c r="DT68" s="562"/>
      <c r="DU68" s="561"/>
      <c r="DV68" s="563"/>
      <c r="DW68" s="564"/>
      <c r="DX68" s="564"/>
      <c r="DY68" s="564"/>
      <c r="DZ68" s="560"/>
      <c r="EA68" s="561"/>
      <c r="EB68" s="562"/>
      <c r="EC68" s="561"/>
      <c r="ED68" s="563"/>
      <c r="EE68" s="564"/>
      <c r="EF68" s="564"/>
      <c r="EG68" s="564"/>
      <c r="EH68" s="560"/>
      <c r="EI68" s="561"/>
      <c r="EJ68" s="562"/>
      <c r="EK68" s="561"/>
      <c r="EL68" s="563"/>
      <c r="EM68" s="564"/>
      <c r="EN68" s="564"/>
      <c r="EO68" s="564"/>
      <c r="EP68" s="560"/>
      <c r="EQ68" s="561"/>
      <c r="ER68" s="562"/>
      <c r="ES68" s="561"/>
      <c r="ET68" s="563"/>
      <c r="EU68" s="564"/>
      <c r="EV68" s="564"/>
      <c r="EW68" s="564"/>
      <c r="EX68" s="560"/>
      <c r="EY68" s="561"/>
      <c r="EZ68" s="562"/>
      <c r="FA68" s="561"/>
      <c r="FB68" s="563"/>
      <c r="FC68" s="564"/>
      <c r="FD68" s="564"/>
      <c r="FE68" s="564"/>
      <c r="FF68" s="560"/>
      <c r="FG68" s="561"/>
      <c r="FH68" s="562"/>
      <c r="FI68" s="561"/>
      <c r="FJ68" s="563"/>
      <c r="FK68" s="564"/>
      <c r="FL68" s="564"/>
      <c r="FM68" s="564"/>
      <c r="FN68" s="560"/>
      <c r="FO68" s="561"/>
      <c r="FP68" s="562"/>
      <c r="FQ68" s="561"/>
      <c r="FR68" s="563"/>
      <c r="FS68" s="564"/>
      <c r="FT68" s="564"/>
      <c r="FU68" s="564"/>
      <c r="FV68" s="560"/>
      <c r="FW68" s="566"/>
      <c r="FX68" s="566"/>
      <c r="FY68" s="566"/>
      <c r="FZ68" s="563"/>
      <c r="GA68" s="564"/>
      <c r="GB68" s="564"/>
      <c r="GC68" s="564"/>
      <c r="GD68" s="560"/>
      <c r="GE68" s="566"/>
      <c r="GF68" s="566"/>
      <c r="GG68" s="566"/>
      <c r="GH68" s="563"/>
      <c r="GI68" s="564"/>
      <c r="GJ68" s="564"/>
      <c r="GK68" s="564"/>
      <c r="GL68" s="560"/>
      <c r="GM68" s="566"/>
      <c r="GN68" s="566"/>
      <c r="GO68" s="566"/>
      <c r="GP68" s="563"/>
      <c r="GQ68" s="564"/>
      <c r="GR68" s="564"/>
      <c r="GS68" s="564"/>
      <c r="GT68" s="560"/>
      <c r="GU68" s="566"/>
      <c r="GV68" s="566"/>
      <c r="GW68" s="566"/>
      <c r="GX68" s="563">
        <v>0</v>
      </c>
      <c r="GY68" s="564">
        <v>247</v>
      </c>
      <c r="GZ68" s="564"/>
      <c r="HA68" s="590">
        <v>46107</v>
      </c>
      <c r="HB68" s="560"/>
      <c r="HC68" s="566"/>
      <c r="HD68" s="566"/>
      <c r="HE68" s="566"/>
      <c r="HF68" s="591">
        <v>0</v>
      </c>
      <c r="HG68" s="630">
        <v>252</v>
      </c>
      <c r="HH68" s="564"/>
      <c r="HI68" s="631">
        <v>46114</v>
      </c>
      <c r="HJ68" s="560"/>
      <c r="HK68" s="566"/>
      <c r="HL68" s="566"/>
      <c r="HM68" s="566"/>
      <c r="HN68" s="563"/>
      <c r="HO68" s="564"/>
      <c r="HP68" s="564"/>
      <c r="HQ68" s="590"/>
      <c r="HR68" s="560"/>
      <c r="HS68" s="566"/>
      <c r="HT68" s="566"/>
      <c r="HU68" s="566"/>
    </row>
    <row r="69" spans="2:229" s="506" customFormat="1" ht="89.5" customHeight="1" x14ac:dyDescent="0.35">
      <c r="B69" s="544">
        <v>66</v>
      </c>
      <c r="C69" s="544"/>
      <c r="D69" s="545" t="s">
        <v>44</v>
      </c>
      <c r="E69" s="558" t="s">
        <v>308</v>
      </c>
      <c r="F69" s="546" t="s">
        <v>46</v>
      </c>
      <c r="G69" s="546" t="s">
        <v>46</v>
      </c>
      <c r="H69" s="547" t="s">
        <v>309</v>
      </c>
      <c r="I69" s="548"/>
      <c r="J69" s="705"/>
      <c r="K69" s="568"/>
      <c r="L69" s="548"/>
      <c r="M69" s="569" t="s">
        <v>310</v>
      </c>
      <c r="N69" s="551">
        <v>3</v>
      </c>
      <c r="O69" s="552">
        <v>216</v>
      </c>
      <c r="P69" s="553">
        <v>46091</v>
      </c>
      <c r="Q69" s="553"/>
      <c r="R69" s="554" t="s">
        <v>151</v>
      </c>
      <c r="S69" s="555">
        <f ca="1">IF(R69="Aprobado / Emitir Rev_B", NETWORKDAYS(Q69,TODAY(),Hoja1!$C$3:$C$25),0)</f>
        <v>0</v>
      </c>
      <c r="T69" s="555">
        <f ca="1">IF(R69="Revisión INN",NETWORKDAYS(P69,TODAY(),Hoja1!$C$3:$C$25),0)</f>
        <v>28</v>
      </c>
      <c r="U69" s="556">
        <f t="shared" si="2"/>
        <v>3</v>
      </c>
      <c r="V69" s="557">
        <v>0</v>
      </c>
      <c r="W69" s="558">
        <v>113</v>
      </c>
      <c r="X69" s="558"/>
      <c r="Y69" s="559">
        <v>46008</v>
      </c>
      <c r="Z69" s="560" t="s">
        <v>62</v>
      </c>
      <c r="AA69" s="561" t="s">
        <v>62</v>
      </c>
      <c r="AB69" s="562"/>
      <c r="AC69" s="561" t="s">
        <v>62</v>
      </c>
      <c r="AD69" s="563">
        <v>1</v>
      </c>
      <c r="AE69" s="567">
        <v>157</v>
      </c>
      <c r="AF69" s="564"/>
      <c r="AG69" s="565">
        <v>46051</v>
      </c>
      <c r="AH69" s="560" t="s">
        <v>62</v>
      </c>
      <c r="AI69" s="561" t="s">
        <v>62</v>
      </c>
      <c r="AJ69" s="562"/>
      <c r="AK69" s="561" t="s">
        <v>62</v>
      </c>
      <c r="AL69" s="563" t="s">
        <v>311</v>
      </c>
      <c r="AM69" s="567" t="s">
        <v>62</v>
      </c>
      <c r="AN69" s="564"/>
      <c r="AO69" s="565" t="s">
        <v>62</v>
      </c>
      <c r="AP69" s="560" t="s">
        <v>62</v>
      </c>
      <c r="AQ69" s="561" t="s">
        <v>62</v>
      </c>
      <c r="AR69" s="562"/>
      <c r="AS69" s="561" t="s">
        <v>62</v>
      </c>
      <c r="AT69" s="563">
        <v>3</v>
      </c>
      <c r="AU69" s="567">
        <v>216</v>
      </c>
      <c r="AV69" s="564"/>
      <c r="AW69" s="565">
        <v>46091</v>
      </c>
      <c r="AX69" s="560"/>
      <c r="AY69" s="561"/>
      <c r="AZ69" s="562"/>
      <c r="BA69" s="561"/>
      <c r="BB69" s="563"/>
      <c r="BC69" s="567"/>
      <c r="BD69" s="564"/>
      <c r="BE69" s="565"/>
      <c r="BF69" s="560"/>
      <c r="BG69" s="561"/>
      <c r="BH69" s="562"/>
      <c r="BI69" s="561"/>
      <c r="BJ69" s="563"/>
      <c r="BK69" s="567"/>
      <c r="BL69" s="564"/>
      <c r="BM69" s="565"/>
      <c r="BN69" s="560"/>
      <c r="BO69" s="561"/>
      <c r="BP69" s="562"/>
      <c r="BQ69" s="561"/>
      <c r="BR69" s="563"/>
      <c r="BS69" s="567"/>
      <c r="BT69" s="564"/>
      <c r="BU69" s="565"/>
      <c r="BV69" s="560"/>
      <c r="BW69" s="561"/>
      <c r="BX69" s="562"/>
      <c r="BY69" s="561"/>
      <c r="BZ69" s="563"/>
      <c r="CA69" s="567"/>
      <c r="CB69" s="564"/>
      <c r="CC69" s="565"/>
      <c r="CD69" s="560"/>
      <c r="CE69" s="561"/>
      <c r="CF69" s="562"/>
      <c r="CG69" s="561"/>
      <c r="CH69" s="563"/>
      <c r="CI69" s="564"/>
      <c r="CJ69" s="564"/>
      <c r="CK69" s="564"/>
      <c r="CL69" s="560"/>
      <c r="CM69" s="561"/>
      <c r="CN69" s="562"/>
      <c r="CO69" s="561"/>
      <c r="CP69" s="563"/>
      <c r="CQ69" s="564"/>
      <c r="CR69" s="564"/>
      <c r="CS69" s="564"/>
      <c r="CT69" s="560"/>
      <c r="CU69" s="561"/>
      <c r="CV69" s="562"/>
      <c r="CW69" s="561"/>
      <c r="CX69" s="563"/>
      <c r="CY69" s="564"/>
      <c r="CZ69" s="564"/>
      <c r="DA69" s="564"/>
      <c r="DB69" s="560"/>
      <c r="DC69" s="561"/>
      <c r="DD69" s="562"/>
      <c r="DE69" s="561"/>
      <c r="DF69" s="563"/>
      <c r="DG69" s="564"/>
      <c r="DH69" s="564"/>
      <c r="DI69" s="564"/>
      <c r="DJ69" s="560"/>
      <c r="DK69" s="561"/>
      <c r="DL69" s="562"/>
      <c r="DM69" s="561"/>
      <c r="DN69" s="563"/>
      <c r="DO69" s="564"/>
      <c r="DP69" s="564"/>
      <c r="DQ69" s="564"/>
      <c r="DR69" s="560"/>
      <c r="DS69" s="561"/>
      <c r="DT69" s="562"/>
      <c r="DU69" s="561"/>
      <c r="DV69" s="563"/>
      <c r="DW69" s="564"/>
      <c r="DX69" s="564"/>
      <c r="DY69" s="564"/>
      <c r="DZ69" s="560"/>
      <c r="EA69" s="561"/>
      <c r="EB69" s="562"/>
      <c r="EC69" s="561"/>
      <c r="ED69" s="563"/>
      <c r="EE69" s="564"/>
      <c r="EF69" s="564"/>
      <c r="EG69" s="564"/>
      <c r="EH69" s="560"/>
      <c r="EI69" s="561"/>
      <c r="EJ69" s="562"/>
      <c r="EK69" s="561"/>
      <c r="EL69" s="563"/>
      <c r="EM69" s="564"/>
      <c r="EN69" s="564"/>
      <c r="EO69" s="564"/>
      <c r="EP69" s="560"/>
      <c r="EQ69" s="561"/>
      <c r="ER69" s="562"/>
      <c r="ES69" s="561"/>
      <c r="ET69" s="563"/>
      <c r="EU69" s="564"/>
      <c r="EV69" s="564"/>
      <c r="EW69" s="564"/>
      <c r="EX69" s="560"/>
      <c r="EY69" s="561"/>
      <c r="EZ69" s="562"/>
      <c r="FA69" s="561"/>
      <c r="FB69" s="563"/>
      <c r="FC69" s="564"/>
      <c r="FD69" s="564"/>
      <c r="FE69" s="564"/>
      <c r="FF69" s="560"/>
      <c r="FG69" s="561"/>
      <c r="FH69" s="562"/>
      <c r="FI69" s="561"/>
      <c r="FJ69" s="563"/>
      <c r="FK69" s="564"/>
      <c r="FL69" s="564"/>
      <c r="FM69" s="564"/>
      <c r="FN69" s="560"/>
      <c r="FO69" s="561"/>
      <c r="FP69" s="562"/>
      <c r="FQ69" s="561"/>
      <c r="FR69" s="563"/>
      <c r="FS69" s="564"/>
      <c r="FT69" s="564"/>
      <c r="FU69" s="564"/>
      <c r="FV69" s="560"/>
      <c r="FW69" s="566"/>
      <c r="FX69" s="566"/>
      <c r="FY69" s="566"/>
      <c r="FZ69" s="563"/>
      <c r="GA69" s="564"/>
      <c r="GB69" s="564"/>
      <c r="GC69" s="564"/>
      <c r="GD69" s="560"/>
      <c r="GE69" s="566"/>
      <c r="GF69" s="566"/>
      <c r="GG69" s="566"/>
      <c r="GH69" s="563"/>
      <c r="GI69" s="564"/>
      <c r="GJ69" s="564"/>
      <c r="GK69" s="564"/>
      <c r="GL69" s="560"/>
      <c r="GM69" s="566"/>
      <c r="GN69" s="566"/>
      <c r="GO69" s="566"/>
      <c r="GP69" s="563"/>
      <c r="GQ69" s="564"/>
      <c r="GR69" s="564"/>
      <c r="GS69" s="564"/>
      <c r="GT69" s="560"/>
      <c r="GU69" s="566"/>
      <c r="GV69" s="566"/>
      <c r="GW69" s="566"/>
      <c r="GX69" s="563">
        <v>0</v>
      </c>
      <c r="GY69" s="564">
        <v>247</v>
      </c>
      <c r="GZ69" s="542"/>
      <c r="HA69" s="590">
        <v>46107</v>
      </c>
      <c r="HB69" s="541"/>
      <c r="HC69" s="535"/>
      <c r="HD69" s="542"/>
      <c r="HE69" s="543"/>
      <c r="HF69" s="591">
        <v>0</v>
      </c>
      <c r="HG69" s="630">
        <v>252</v>
      </c>
      <c r="HH69" s="564"/>
      <c r="HI69" s="631">
        <v>46114</v>
      </c>
      <c r="HJ69" s="541"/>
      <c r="HK69" s="535"/>
      <c r="HL69" s="542"/>
      <c r="HM69" s="543"/>
      <c r="HN69" s="541"/>
      <c r="HO69" s="535"/>
      <c r="HP69" s="542"/>
      <c r="HQ69" s="543"/>
      <c r="HR69" s="541"/>
      <c r="HS69" s="535"/>
      <c r="HT69" s="542"/>
      <c r="HU69" s="543"/>
    </row>
    <row r="70" spans="2:229" s="506" customFormat="1" ht="85" customHeight="1" x14ac:dyDescent="0.35">
      <c r="B70" s="544">
        <v>36</v>
      </c>
      <c r="C70" s="544" t="s">
        <v>156</v>
      </c>
      <c r="D70" s="545" t="s">
        <v>157</v>
      </c>
      <c r="E70" s="545" t="s">
        <v>312</v>
      </c>
      <c r="F70" s="546" t="s">
        <v>313</v>
      </c>
      <c r="G70" s="546" t="s">
        <v>314</v>
      </c>
      <c r="H70" s="547" t="s">
        <v>315</v>
      </c>
      <c r="I70" s="707">
        <v>46086</v>
      </c>
      <c r="J70" s="568"/>
      <c r="K70" s="568">
        <f>P70+5</f>
        <v>46091</v>
      </c>
      <c r="L70" s="548"/>
      <c r="M70" s="569" t="s">
        <v>117</v>
      </c>
      <c r="N70" s="551">
        <v>0</v>
      </c>
      <c r="O70" s="552">
        <v>211</v>
      </c>
      <c r="P70" s="553">
        <v>46086</v>
      </c>
      <c r="Q70" s="553">
        <v>46076</v>
      </c>
      <c r="R70" s="554" t="s">
        <v>151</v>
      </c>
      <c r="S70" s="555">
        <f ca="1">IF(R70="Rechazada / Reemitir Rev_0", NETWORKDAYS(Q70,TODAY(),Hoja1!$C$3:$C$25),0)</f>
        <v>0</v>
      </c>
      <c r="T70" s="555">
        <f ca="1">IF(R70="Revisión INN",NETWORKDAYS(P70,TODAY(),Hoja1!$C$3:$C$25),0)</f>
        <v>31</v>
      </c>
      <c r="U70" s="556">
        <f t="shared" si="2"/>
        <v>3</v>
      </c>
      <c r="V70" s="557" t="s">
        <v>125</v>
      </c>
      <c r="W70" s="558">
        <v>48</v>
      </c>
      <c r="X70" s="558"/>
      <c r="Y70" s="559">
        <v>45950</v>
      </c>
      <c r="Z70" s="560">
        <v>51</v>
      </c>
      <c r="AA70" s="561">
        <v>45959</v>
      </c>
      <c r="AB70" s="562">
        <f>AA70-Y70</f>
        <v>9</v>
      </c>
      <c r="AC70" s="561" t="s">
        <v>167</v>
      </c>
      <c r="AD70" s="563" t="s">
        <v>63</v>
      </c>
      <c r="AE70" s="567">
        <v>61</v>
      </c>
      <c r="AF70" s="564">
        <f>AG70-AA70</f>
        <v>0</v>
      </c>
      <c r="AG70" s="565">
        <v>45959</v>
      </c>
      <c r="AH70" s="560">
        <v>67</v>
      </c>
      <c r="AI70" s="561">
        <v>45988</v>
      </c>
      <c r="AJ70" s="562"/>
      <c r="AK70" s="561" t="s">
        <v>168</v>
      </c>
      <c r="AL70" s="563">
        <v>0</v>
      </c>
      <c r="AM70" s="567">
        <v>169</v>
      </c>
      <c r="AN70" s="564"/>
      <c r="AO70" s="565">
        <v>46064</v>
      </c>
      <c r="AP70" s="560">
        <v>136</v>
      </c>
      <c r="AQ70" s="561">
        <v>46076</v>
      </c>
      <c r="AR70" s="562"/>
      <c r="AS70" s="655" t="s">
        <v>316</v>
      </c>
      <c r="AT70" s="591">
        <v>0</v>
      </c>
      <c r="AU70" s="592">
        <v>211</v>
      </c>
      <c r="AV70" s="564"/>
      <c r="AW70" s="593">
        <v>46086</v>
      </c>
      <c r="AX70" s="560"/>
      <c r="AY70" s="561"/>
      <c r="AZ70" s="562"/>
      <c r="BA70" s="561"/>
      <c r="BB70" s="563"/>
      <c r="BC70" s="567"/>
      <c r="BD70" s="564"/>
      <c r="BE70" s="565"/>
      <c r="BF70" s="560"/>
      <c r="BG70" s="561"/>
      <c r="BH70" s="562"/>
      <c r="BI70" s="561"/>
      <c r="BJ70" s="563"/>
      <c r="BK70" s="567"/>
      <c r="BL70" s="564"/>
      <c r="BM70" s="565"/>
      <c r="BN70" s="560"/>
      <c r="BO70" s="561"/>
      <c r="BP70" s="562"/>
      <c r="BQ70" s="561"/>
      <c r="BR70" s="563"/>
      <c r="BS70" s="567"/>
      <c r="BT70" s="564"/>
      <c r="BU70" s="565"/>
      <c r="BV70" s="560"/>
      <c r="BW70" s="561"/>
      <c r="BX70" s="562"/>
      <c r="BY70" s="561"/>
      <c r="BZ70" s="563"/>
      <c r="CA70" s="567"/>
      <c r="CB70" s="564"/>
      <c r="CC70" s="565"/>
      <c r="CD70" s="560"/>
      <c r="CE70" s="561"/>
      <c r="CF70" s="562"/>
      <c r="CG70" s="561"/>
      <c r="CH70" s="563"/>
      <c r="CI70" s="564"/>
      <c r="CJ70" s="564"/>
      <c r="CK70" s="564"/>
      <c r="CL70" s="560"/>
      <c r="CM70" s="561"/>
      <c r="CN70" s="562"/>
      <c r="CO70" s="561"/>
      <c r="CP70" s="563"/>
      <c r="CQ70" s="564"/>
      <c r="CR70" s="564"/>
      <c r="CS70" s="564"/>
      <c r="CT70" s="560"/>
      <c r="CU70" s="561"/>
      <c r="CV70" s="562"/>
      <c r="CW70" s="561"/>
      <c r="CX70" s="563"/>
      <c r="CY70" s="564"/>
      <c r="CZ70" s="564"/>
      <c r="DA70" s="564"/>
      <c r="DB70" s="560"/>
      <c r="DC70" s="561"/>
      <c r="DD70" s="562"/>
      <c r="DE70" s="561"/>
      <c r="DF70" s="563"/>
      <c r="DG70" s="564"/>
      <c r="DH70" s="564"/>
      <c r="DI70" s="564"/>
      <c r="DJ70" s="560"/>
      <c r="DK70" s="561"/>
      <c r="DL70" s="562"/>
      <c r="DM70" s="561"/>
      <c r="DN70" s="563"/>
      <c r="DO70" s="564"/>
      <c r="DP70" s="564"/>
      <c r="DQ70" s="564"/>
      <c r="DR70" s="560"/>
      <c r="DS70" s="561"/>
      <c r="DT70" s="562"/>
      <c r="DU70" s="561"/>
      <c r="DV70" s="563"/>
      <c r="DW70" s="564"/>
      <c r="DX70" s="564"/>
      <c r="DY70" s="564"/>
      <c r="DZ70" s="560"/>
      <c r="EA70" s="561"/>
      <c r="EB70" s="562"/>
      <c r="EC70" s="561"/>
      <c r="ED70" s="563"/>
      <c r="EE70" s="564"/>
      <c r="EF70" s="564"/>
      <c r="EG70" s="564"/>
      <c r="EH70" s="560"/>
      <c r="EI70" s="561"/>
      <c r="EJ70" s="562"/>
      <c r="EK70" s="561"/>
      <c r="EL70" s="563"/>
      <c r="EM70" s="564"/>
      <c r="EN70" s="564"/>
      <c r="EO70" s="564"/>
      <c r="EP70" s="560"/>
      <c r="EQ70" s="561"/>
      <c r="ER70" s="562"/>
      <c r="ES70" s="561"/>
      <c r="ET70" s="563"/>
      <c r="EU70" s="564"/>
      <c r="EV70" s="564"/>
      <c r="EW70" s="564"/>
      <c r="EX70" s="560"/>
      <c r="EY70" s="561"/>
      <c r="EZ70" s="562"/>
      <c r="FA70" s="561"/>
      <c r="FB70" s="563"/>
      <c r="FC70" s="564"/>
      <c r="FD70" s="564"/>
      <c r="FE70" s="564"/>
      <c r="FF70" s="560"/>
      <c r="FG70" s="561"/>
      <c r="FH70" s="562"/>
      <c r="FI70" s="561"/>
      <c r="FJ70" s="563"/>
      <c r="FK70" s="564"/>
      <c r="FL70" s="564"/>
      <c r="FM70" s="564"/>
      <c r="FN70" s="560"/>
      <c r="FO70" s="561"/>
      <c r="FP70" s="562"/>
      <c r="FQ70" s="561"/>
      <c r="FR70" s="563"/>
      <c r="FS70" s="564"/>
      <c r="FT70" s="564"/>
      <c r="FU70" s="564"/>
      <c r="FV70" s="560"/>
      <c r="FW70" s="566"/>
      <c r="FX70" s="566"/>
      <c r="FY70" s="566"/>
      <c r="FZ70" s="563"/>
      <c r="GA70" s="564"/>
      <c r="GB70" s="564"/>
      <c r="GC70" s="564"/>
      <c r="GD70" s="560"/>
      <c r="GE70" s="566"/>
      <c r="GF70" s="566"/>
      <c r="GG70" s="566"/>
      <c r="GH70" s="563"/>
      <c r="GI70" s="564"/>
      <c r="GJ70" s="564"/>
      <c r="GK70" s="564"/>
      <c r="GL70" s="560"/>
      <c r="GM70" s="566"/>
      <c r="GN70" s="566"/>
      <c r="GO70" s="566"/>
      <c r="GP70" s="563"/>
      <c r="GQ70" s="564"/>
      <c r="GR70" s="564"/>
      <c r="GS70" s="564"/>
      <c r="GT70" s="560"/>
      <c r="GU70" s="566"/>
      <c r="GV70" s="566"/>
      <c r="GW70" s="566"/>
      <c r="GX70" s="563"/>
      <c r="GY70" s="564"/>
      <c r="GZ70" s="564"/>
      <c r="HA70" s="590"/>
      <c r="HB70" s="560"/>
      <c r="HC70" s="566"/>
      <c r="HD70" s="566"/>
      <c r="HE70" s="566"/>
      <c r="HF70" s="563"/>
      <c r="HG70" s="564"/>
      <c r="HH70" s="564"/>
      <c r="HI70" s="590"/>
      <c r="HJ70" s="560"/>
      <c r="HK70" s="566"/>
      <c r="HL70" s="566"/>
      <c r="HM70" s="566"/>
      <c r="HN70" s="563"/>
      <c r="HO70" s="564"/>
      <c r="HP70" s="564"/>
      <c r="HQ70" s="590"/>
      <c r="HR70" s="560"/>
      <c r="HS70" s="566"/>
      <c r="HT70" s="566"/>
      <c r="HU70" s="566"/>
    </row>
    <row r="71" spans="2:229" s="506" customFormat="1" ht="44.15" customHeight="1" x14ac:dyDescent="0.35">
      <c r="B71" s="544">
        <v>68</v>
      </c>
      <c r="C71" s="544" t="s">
        <v>230</v>
      </c>
      <c r="D71" s="545" t="s">
        <v>59</v>
      </c>
      <c r="E71" s="558" t="s">
        <v>317</v>
      </c>
      <c r="F71" s="546" t="s">
        <v>318</v>
      </c>
      <c r="G71" s="546" t="s">
        <v>319</v>
      </c>
      <c r="H71" s="547" t="s">
        <v>320</v>
      </c>
      <c r="I71" s="548"/>
      <c r="J71" s="705">
        <v>3</v>
      </c>
      <c r="K71" s="568">
        <f>P71+5</f>
        <v>46106</v>
      </c>
      <c r="L71" s="548"/>
      <c r="M71" s="569" t="s">
        <v>117</v>
      </c>
      <c r="N71" s="551">
        <v>0</v>
      </c>
      <c r="O71" s="552">
        <v>234</v>
      </c>
      <c r="P71" s="553">
        <v>46101</v>
      </c>
      <c r="Q71" s="553">
        <v>46098</v>
      </c>
      <c r="R71" s="554" t="s">
        <v>151</v>
      </c>
      <c r="S71" s="555">
        <f ca="1">IF(R71="Aprobado / Emitir Rev_0", NETWORKDAYS(Q71,TODAY(),Hoja1!$C$3:$C$25),0)</f>
        <v>0</v>
      </c>
      <c r="T71" s="555">
        <f ca="1">IF(R71="Revisión INN",NETWORKDAYS(P71,TODAY(),Hoja1!$C$3:$C$25),0)</f>
        <v>20</v>
      </c>
      <c r="U71" s="556">
        <f t="shared" si="2"/>
        <v>2</v>
      </c>
      <c r="V71" s="557" t="s">
        <v>125</v>
      </c>
      <c r="W71" s="558">
        <v>90</v>
      </c>
      <c r="X71" s="558"/>
      <c r="Y71" s="559">
        <v>45992</v>
      </c>
      <c r="Z71" s="560" t="s">
        <v>321</v>
      </c>
      <c r="AA71" s="561">
        <v>46007</v>
      </c>
      <c r="AB71" s="562"/>
      <c r="AC71" s="561" t="s">
        <v>192</v>
      </c>
      <c r="AD71" s="563" t="s">
        <v>63</v>
      </c>
      <c r="AE71" s="567">
        <v>113</v>
      </c>
      <c r="AF71" s="564"/>
      <c r="AG71" s="565">
        <v>46008</v>
      </c>
      <c r="AH71" s="560">
        <v>157</v>
      </c>
      <c r="AI71" s="561">
        <v>46098</v>
      </c>
      <c r="AJ71" s="562"/>
      <c r="AK71" s="561" t="s">
        <v>128</v>
      </c>
      <c r="AL71" s="591">
        <v>0</v>
      </c>
      <c r="AM71" s="592">
        <v>234</v>
      </c>
      <c r="AN71" s="564"/>
      <c r="AO71" s="593">
        <v>46101</v>
      </c>
      <c r="AP71" s="560"/>
      <c r="AQ71" s="561"/>
      <c r="AR71" s="562"/>
      <c r="AS71" s="561"/>
      <c r="AT71" s="563"/>
      <c r="AU71" s="567"/>
      <c r="AV71" s="564"/>
      <c r="AW71" s="565"/>
      <c r="AX71" s="560"/>
      <c r="AY71" s="561"/>
      <c r="AZ71" s="562"/>
      <c r="BA71" s="561"/>
      <c r="BB71" s="563"/>
      <c r="BC71" s="567"/>
      <c r="BD71" s="564"/>
      <c r="BE71" s="565"/>
      <c r="BF71" s="560"/>
      <c r="BG71" s="561"/>
      <c r="BH71" s="562"/>
      <c r="BI71" s="561"/>
      <c r="BJ71" s="563"/>
      <c r="BK71" s="567"/>
      <c r="BL71" s="564"/>
      <c r="BM71" s="565"/>
      <c r="BN71" s="560"/>
      <c r="BO71" s="561"/>
      <c r="BP71" s="562"/>
      <c r="BQ71" s="561"/>
      <c r="BR71" s="563"/>
      <c r="BS71" s="567"/>
      <c r="BT71" s="564"/>
      <c r="BU71" s="565"/>
      <c r="BV71" s="560"/>
      <c r="BW71" s="561"/>
      <c r="BX71" s="562"/>
      <c r="BY71" s="561"/>
      <c r="BZ71" s="563"/>
      <c r="CA71" s="567"/>
      <c r="CB71" s="564"/>
      <c r="CC71" s="565"/>
      <c r="CD71" s="560"/>
      <c r="CE71" s="561"/>
      <c r="CF71" s="562"/>
      <c r="CG71" s="561"/>
      <c r="CH71" s="563"/>
      <c r="CI71" s="564"/>
      <c r="CJ71" s="564"/>
      <c r="CK71" s="564"/>
      <c r="CL71" s="560"/>
      <c r="CM71" s="561"/>
      <c r="CN71" s="562"/>
      <c r="CO71" s="561"/>
      <c r="CP71" s="563"/>
      <c r="CQ71" s="564"/>
      <c r="CR71" s="564"/>
      <c r="CS71" s="564"/>
      <c r="CT71" s="560"/>
      <c r="CU71" s="561"/>
      <c r="CV71" s="562"/>
      <c r="CW71" s="561"/>
      <c r="CX71" s="563"/>
      <c r="CY71" s="564"/>
      <c r="CZ71" s="564"/>
      <c r="DA71" s="564"/>
      <c r="DB71" s="560"/>
      <c r="DC71" s="561"/>
      <c r="DD71" s="562"/>
      <c r="DE71" s="561"/>
      <c r="DF71" s="563"/>
      <c r="DG71" s="564"/>
      <c r="DH71" s="564"/>
      <c r="DI71" s="564"/>
      <c r="DJ71" s="560"/>
      <c r="DK71" s="561"/>
      <c r="DL71" s="562"/>
      <c r="DM71" s="561"/>
      <c r="DN71" s="563"/>
      <c r="DO71" s="564"/>
      <c r="DP71" s="564"/>
      <c r="DQ71" s="564"/>
      <c r="DR71" s="560"/>
      <c r="DS71" s="561"/>
      <c r="DT71" s="562"/>
      <c r="DU71" s="561"/>
      <c r="DV71" s="563"/>
      <c r="DW71" s="564"/>
      <c r="DX71" s="564"/>
      <c r="DY71" s="564"/>
      <c r="DZ71" s="560"/>
      <c r="EA71" s="561"/>
      <c r="EB71" s="562"/>
      <c r="EC71" s="561"/>
      <c r="ED71" s="563"/>
      <c r="EE71" s="564"/>
      <c r="EF71" s="564"/>
      <c r="EG71" s="564"/>
      <c r="EH71" s="560"/>
      <c r="EI71" s="561"/>
      <c r="EJ71" s="562"/>
      <c r="EK71" s="561"/>
      <c r="EL71" s="563"/>
      <c r="EM71" s="564"/>
      <c r="EN71" s="564"/>
      <c r="EO71" s="564"/>
      <c r="EP71" s="560"/>
      <c r="EQ71" s="561"/>
      <c r="ER71" s="562"/>
      <c r="ES71" s="561"/>
      <c r="ET71" s="563"/>
      <c r="EU71" s="564"/>
      <c r="EV71" s="564"/>
      <c r="EW71" s="564"/>
      <c r="EX71" s="560"/>
      <c r="EY71" s="561"/>
      <c r="EZ71" s="562"/>
      <c r="FA71" s="561"/>
      <c r="FB71" s="563"/>
      <c r="FC71" s="564"/>
      <c r="FD71" s="564"/>
      <c r="FE71" s="564"/>
      <c r="FF71" s="560"/>
      <c r="FG71" s="561"/>
      <c r="FH71" s="562"/>
      <c r="FI71" s="561"/>
      <c r="FJ71" s="563"/>
      <c r="FK71" s="564"/>
      <c r="FL71" s="564"/>
      <c r="FM71" s="564"/>
      <c r="FN71" s="560"/>
      <c r="FO71" s="561"/>
      <c r="FP71" s="562"/>
      <c r="FQ71" s="561"/>
      <c r="FR71" s="563"/>
      <c r="FS71" s="564"/>
      <c r="FT71" s="564"/>
      <c r="FU71" s="564"/>
      <c r="FV71" s="560"/>
      <c r="FW71" s="566"/>
      <c r="FX71" s="566"/>
      <c r="FY71" s="566"/>
      <c r="FZ71" s="563"/>
      <c r="GA71" s="564"/>
      <c r="GB71" s="564"/>
      <c r="GC71" s="564"/>
      <c r="GD71" s="560"/>
      <c r="GE71" s="566"/>
      <c r="GF71" s="566"/>
      <c r="GG71" s="566"/>
      <c r="GH71" s="563"/>
      <c r="GI71" s="564"/>
      <c r="GJ71" s="564"/>
      <c r="GK71" s="564"/>
      <c r="GL71" s="560"/>
      <c r="GM71" s="566"/>
      <c r="GN71" s="566"/>
      <c r="GO71" s="566"/>
      <c r="GP71" s="563"/>
      <c r="GQ71" s="564"/>
      <c r="GR71" s="564"/>
      <c r="GS71" s="564"/>
      <c r="GT71" s="560"/>
      <c r="GU71" s="566"/>
      <c r="GV71" s="566"/>
      <c r="GW71" s="566"/>
      <c r="GX71" s="563"/>
      <c r="GY71" s="564"/>
      <c r="GZ71" s="564"/>
      <c r="HA71" s="590"/>
      <c r="HB71" s="560"/>
      <c r="HC71" s="566"/>
      <c r="HD71" s="566"/>
      <c r="HE71" s="566"/>
      <c r="HF71" s="563"/>
      <c r="HG71" s="564"/>
      <c r="HH71" s="564"/>
      <c r="HI71" s="590"/>
      <c r="HJ71" s="560"/>
      <c r="HK71" s="566"/>
      <c r="HL71" s="566"/>
      <c r="HM71" s="566"/>
      <c r="HN71" s="563"/>
      <c r="HO71" s="564"/>
      <c r="HP71" s="564"/>
      <c r="HQ71" s="590"/>
      <c r="HR71" s="560"/>
      <c r="HS71" s="566"/>
      <c r="HT71" s="566"/>
      <c r="HU71" s="566"/>
    </row>
    <row r="72" spans="2:229" s="506" customFormat="1" ht="71.150000000000006" customHeight="1" thickBot="1" x14ac:dyDescent="0.4">
      <c r="B72" s="544">
        <v>69</v>
      </c>
      <c r="C72" s="544" t="s">
        <v>230</v>
      </c>
      <c r="D72" s="545" t="s">
        <v>68</v>
      </c>
      <c r="E72" s="558" t="s">
        <v>322</v>
      </c>
      <c r="F72" s="546" t="s">
        <v>323</v>
      </c>
      <c r="G72" s="546" t="s">
        <v>324</v>
      </c>
      <c r="H72" s="547" t="s">
        <v>325</v>
      </c>
      <c r="I72" s="548"/>
      <c r="J72" s="705">
        <v>3</v>
      </c>
      <c r="K72" s="568">
        <f>P72+5</f>
        <v>46106</v>
      </c>
      <c r="L72" s="548"/>
      <c r="M72" s="569" t="s">
        <v>117</v>
      </c>
      <c r="N72" s="551">
        <v>0</v>
      </c>
      <c r="O72" s="552">
        <v>234</v>
      </c>
      <c r="P72" s="553">
        <v>46101</v>
      </c>
      <c r="Q72" s="553">
        <v>46098</v>
      </c>
      <c r="R72" s="554" t="s">
        <v>151</v>
      </c>
      <c r="S72" s="555">
        <f ca="1">IF(R72="Aprobado / Emitir Rev_0", NETWORKDAYS(Q72,TODAY(),Hoja1!$C$3:$C$25),0)</f>
        <v>0</v>
      </c>
      <c r="T72" s="555">
        <f ca="1">IF(R72="Revisión INN",NETWORKDAYS(P72,TODAY(),Hoja1!$C$3:$C$25),0)</f>
        <v>20</v>
      </c>
      <c r="U72" s="556">
        <f t="shared" si="2"/>
        <v>2</v>
      </c>
      <c r="V72" s="557" t="s">
        <v>125</v>
      </c>
      <c r="W72" s="558">
        <v>90</v>
      </c>
      <c r="X72" s="558"/>
      <c r="Y72" s="559">
        <v>45992</v>
      </c>
      <c r="Z72" s="560" t="s">
        <v>321</v>
      </c>
      <c r="AA72" s="561">
        <v>46007</v>
      </c>
      <c r="AB72" s="562"/>
      <c r="AC72" s="561" t="s">
        <v>192</v>
      </c>
      <c r="AD72" s="563" t="s">
        <v>63</v>
      </c>
      <c r="AE72" s="567">
        <v>113</v>
      </c>
      <c r="AF72" s="564"/>
      <c r="AG72" s="565">
        <v>46008</v>
      </c>
      <c r="AH72" s="560">
        <v>157</v>
      </c>
      <c r="AI72" s="561">
        <v>46098</v>
      </c>
      <c r="AJ72" s="562"/>
      <c r="AK72" s="561" t="s">
        <v>128</v>
      </c>
      <c r="AL72" s="591">
        <v>0</v>
      </c>
      <c r="AM72" s="592">
        <v>234</v>
      </c>
      <c r="AN72" s="564"/>
      <c r="AO72" s="593">
        <v>46101</v>
      </c>
      <c r="AP72" s="560"/>
      <c r="AQ72" s="561"/>
      <c r="AR72" s="562"/>
      <c r="AS72" s="561"/>
      <c r="AT72" s="563"/>
      <c r="AU72" s="567"/>
      <c r="AV72" s="564"/>
      <c r="AW72" s="565"/>
      <c r="AX72" s="560"/>
      <c r="AY72" s="561"/>
      <c r="AZ72" s="562"/>
      <c r="BA72" s="561"/>
      <c r="BB72" s="563"/>
      <c r="BC72" s="567"/>
      <c r="BD72" s="564"/>
      <c r="BE72" s="565"/>
      <c r="BF72" s="560"/>
      <c r="BG72" s="561"/>
      <c r="BH72" s="562"/>
      <c r="BI72" s="561"/>
      <c r="BJ72" s="563"/>
      <c r="BK72" s="567"/>
      <c r="BL72" s="564"/>
      <c r="BM72" s="565"/>
      <c r="BN72" s="560"/>
      <c r="BO72" s="561"/>
      <c r="BP72" s="562"/>
      <c r="BQ72" s="561"/>
      <c r="BR72" s="563"/>
      <c r="BS72" s="567"/>
      <c r="BT72" s="564"/>
      <c r="BU72" s="565"/>
      <c r="BV72" s="560"/>
      <c r="BW72" s="561"/>
      <c r="BX72" s="562"/>
      <c r="BY72" s="561"/>
      <c r="BZ72" s="563"/>
      <c r="CA72" s="567"/>
      <c r="CB72" s="564"/>
      <c r="CC72" s="565"/>
      <c r="CD72" s="560"/>
      <c r="CE72" s="561"/>
      <c r="CF72" s="562"/>
      <c r="CG72" s="561"/>
      <c r="CH72" s="563"/>
      <c r="CI72" s="564"/>
      <c r="CJ72" s="564"/>
      <c r="CK72" s="564"/>
      <c r="CL72" s="560"/>
      <c r="CM72" s="561"/>
      <c r="CN72" s="562"/>
      <c r="CO72" s="561"/>
      <c r="CP72" s="563"/>
      <c r="CQ72" s="564"/>
      <c r="CR72" s="564"/>
      <c r="CS72" s="564"/>
      <c r="CT72" s="560"/>
      <c r="CU72" s="561"/>
      <c r="CV72" s="562"/>
      <c r="CW72" s="561"/>
      <c r="CX72" s="563"/>
      <c r="CY72" s="564"/>
      <c r="CZ72" s="564"/>
      <c r="DA72" s="564"/>
      <c r="DB72" s="560"/>
      <c r="DC72" s="561"/>
      <c r="DD72" s="562"/>
      <c r="DE72" s="561"/>
      <c r="DF72" s="563"/>
      <c r="DG72" s="564"/>
      <c r="DH72" s="564"/>
      <c r="DI72" s="564"/>
      <c r="DJ72" s="560"/>
      <c r="DK72" s="561"/>
      <c r="DL72" s="562"/>
      <c r="DM72" s="561"/>
      <c r="DN72" s="563"/>
      <c r="DO72" s="564"/>
      <c r="DP72" s="564"/>
      <c r="DQ72" s="564"/>
      <c r="DR72" s="560"/>
      <c r="DS72" s="561"/>
      <c r="DT72" s="562"/>
      <c r="DU72" s="561"/>
      <c r="DV72" s="563"/>
      <c r="DW72" s="564"/>
      <c r="DX72" s="564"/>
      <c r="DY72" s="564"/>
      <c r="DZ72" s="560"/>
      <c r="EA72" s="561"/>
      <c r="EB72" s="562"/>
      <c r="EC72" s="561"/>
      <c r="ED72" s="563"/>
      <c r="EE72" s="564"/>
      <c r="EF72" s="564"/>
      <c r="EG72" s="564"/>
      <c r="EH72" s="560"/>
      <c r="EI72" s="561"/>
      <c r="EJ72" s="562"/>
      <c r="EK72" s="561"/>
      <c r="EL72" s="563"/>
      <c r="EM72" s="564"/>
      <c r="EN72" s="564"/>
      <c r="EO72" s="564"/>
      <c r="EP72" s="560"/>
      <c r="EQ72" s="561"/>
      <c r="ER72" s="562"/>
      <c r="ES72" s="561"/>
      <c r="ET72" s="563"/>
      <c r="EU72" s="564"/>
      <c r="EV72" s="564"/>
      <c r="EW72" s="564"/>
      <c r="EX72" s="560"/>
      <c r="EY72" s="561"/>
      <c r="EZ72" s="562"/>
      <c r="FA72" s="561"/>
      <c r="FB72" s="563"/>
      <c r="FC72" s="564"/>
      <c r="FD72" s="564"/>
      <c r="FE72" s="564"/>
      <c r="FF72" s="560"/>
      <c r="FG72" s="561"/>
      <c r="FH72" s="562"/>
      <c r="FI72" s="561"/>
      <c r="FJ72" s="563"/>
      <c r="FK72" s="564"/>
      <c r="FL72" s="564"/>
      <c r="FM72" s="564"/>
      <c r="FN72" s="560"/>
      <c r="FO72" s="561"/>
      <c r="FP72" s="562"/>
      <c r="FQ72" s="561"/>
      <c r="FR72" s="563"/>
      <c r="FS72" s="564"/>
      <c r="FT72" s="564"/>
      <c r="FU72" s="564"/>
      <c r="FV72" s="560"/>
      <c r="FW72" s="566"/>
      <c r="FX72" s="566"/>
      <c r="FY72" s="566"/>
      <c r="FZ72" s="563"/>
      <c r="GA72" s="564"/>
      <c r="GB72" s="564"/>
      <c r="GC72" s="564"/>
      <c r="GD72" s="560"/>
      <c r="GE72" s="566"/>
      <c r="GF72" s="566"/>
      <c r="GG72" s="566"/>
      <c r="GH72" s="563"/>
      <c r="GI72" s="564"/>
      <c r="GJ72" s="564"/>
      <c r="GK72" s="564"/>
      <c r="GL72" s="560"/>
      <c r="GM72" s="566"/>
      <c r="GN72" s="566"/>
      <c r="GO72" s="566"/>
      <c r="GP72" s="563"/>
      <c r="GQ72" s="564"/>
      <c r="GR72" s="564"/>
      <c r="GS72" s="564"/>
      <c r="GT72" s="560"/>
      <c r="GU72" s="566"/>
      <c r="GV72" s="566"/>
      <c r="GW72" s="566"/>
      <c r="GX72" s="563"/>
      <c r="GY72" s="564"/>
      <c r="GZ72" s="564"/>
      <c r="HA72" s="590"/>
      <c r="HB72" s="560"/>
      <c r="HC72" s="566"/>
      <c r="HD72" s="566"/>
      <c r="HE72" s="566"/>
      <c r="HF72" s="563"/>
      <c r="HG72" s="564"/>
      <c r="HH72" s="564"/>
      <c r="HI72" s="590"/>
      <c r="HJ72" s="560"/>
      <c r="HK72" s="566"/>
      <c r="HL72" s="566"/>
      <c r="HM72" s="566"/>
      <c r="HN72" s="563"/>
      <c r="HO72" s="564"/>
      <c r="HP72" s="564"/>
      <c r="HQ72" s="590"/>
      <c r="HR72" s="560"/>
      <c r="HS72" s="566"/>
      <c r="HT72" s="566"/>
      <c r="HU72" s="566"/>
    </row>
    <row r="73" spans="2:229" s="506" customFormat="1" ht="44.15" customHeight="1" x14ac:dyDescent="0.35">
      <c r="B73" s="544">
        <v>70</v>
      </c>
      <c r="C73" s="544" t="s">
        <v>230</v>
      </c>
      <c r="D73" s="545" t="s">
        <v>139</v>
      </c>
      <c r="E73" s="558" t="s">
        <v>326</v>
      </c>
      <c r="F73" s="546" t="s">
        <v>327</v>
      </c>
      <c r="G73" s="546" t="s">
        <v>328</v>
      </c>
      <c r="H73" s="547" t="s">
        <v>329</v>
      </c>
      <c r="I73" s="548"/>
      <c r="J73" s="705">
        <v>3</v>
      </c>
      <c r="K73" s="568">
        <f>P73+5</f>
        <v>46106</v>
      </c>
      <c r="L73" s="548"/>
      <c r="M73" s="569" t="s">
        <v>117</v>
      </c>
      <c r="N73" s="551">
        <v>0</v>
      </c>
      <c r="O73" s="552">
        <v>235</v>
      </c>
      <c r="P73" s="553">
        <v>46101</v>
      </c>
      <c r="Q73" s="553">
        <v>46098</v>
      </c>
      <c r="R73" s="554" t="s">
        <v>151</v>
      </c>
      <c r="S73" s="555">
        <f ca="1">IF(R73="Aprobado / Emitir Rev_0", NETWORKDAYS(Q73,TODAY(),Hoja1!$C$3:$C$25),0)</f>
        <v>0</v>
      </c>
      <c r="T73" s="555">
        <f ca="1">IF(R73="Revisión INN",NETWORKDAYS(P73,TODAY(),Hoja1!$C$3:$C$25),0)</f>
        <v>20</v>
      </c>
      <c r="U73" s="556">
        <f t="shared" si="2"/>
        <v>2</v>
      </c>
      <c r="V73" s="557" t="s">
        <v>125</v>
      </c>
      <c r="W73" s="558">
        <v>90</v>
      </c>
      <c r="X73" s="558"/>
      <c r="Y73" s="559">
        <v>45992</v>
      </c>
      <c r="Z73" s="560" t="s">
        <v>321</v>
      </c>
      <c r="AA73" s="561">
        <v>46007</v>
      </c>
      <c r="AB73" s="562"/>
      <c r="AC73" s="561" t="s">
        <v>192</v>
      </c>
      <c r="AD73" s="563" t="s">
        <v>63</v>
      </c>
      <c r="AE73" s="567">
        <v>113</v>
      </c>
      <c r="AF73" s="564"/>
      <c r="AG73" s="565">
        <v>46008</v>
      </c>
      <c r="AH73" s="560">
        <v>157</v>
      </c>
      <c r="AI73" s="561">
        <v>46098</v>
      </c>
      <c r="AJ73" s="562"/>
      <c r="AK73" s="561" t="s">
        <v>128</v>
      </c>
      <c r="AL73" s="591">
        <v>0</v>
      </c>
      <c r="AM73" s="592">
        <v>234</v>
      </c>
      <c r="AN73" s="564"/>
      <c r="AO73" s="593">
        <v>46101</v>
      </c>
      <c r="AP73" s="560"/>
      <c r="AQ73" s="561"/>
      <c r="AR73" s="562"/>
      <c r="AS73" s="561"/>
      <c r="AT73" s="563"/>
      <c r="AU73" s="567"/>
      <c r="AV73" s="564"/>
      <c r="AW73" s="565"/>
      <c r="AX73" s="560"/>
      <c r="AY73" s="561"/>
      <c r="AZ73" s="562"/>
      <c r="BA73" s="561"/>
      <c r="BB73" s="563"/>
      <c r="BC73" s="567"/>
      <c r="BD73" s="564"/>
      <c r="BE73" s="565"/>
      <c r="BF73" s="560"/>
      <c r="BG73" s="561"/>
      <c r="BH73" s="562"/>
      <c r="BI73" s="561"/>
      <c r="BJ73" s="563"/>
      <c r="BK73" s="567"/>
      <c r="BL73" s="564"/>
      <c r="BM73" s="565"/>
      <c r="BN73" s="560"/>
      <c r="BO73" s="561"/>
      <c r="BP73" s="562"/>
      <c r="BQ73" s="561"/>
      <c r="BR73" s="563"/>
      <c r="BS73" s="567"/>
      <c r="BT73" s="564"/>
      <c r="BU73" s="565"/>
      <c r="BV73" s="560"/>
      <c r="BW73" s="561"/>
      <c r="BX73" s="562"/>
      <c r="BY73" s="561"/>
      <c r="BZ73" s="563"/>
      <c r="CA73" s="567"/>
      <c r="CB73" s="564"/>
      <c r="CC73" s="565"/>
      <c r="CD73" s="560"/>
      <c r="CE73" s="561"/>
      <c r="CF73" s="562"/>
      <c r="CG73" s="561"/>
      <c r="CH73" s="563"/>
      <c r="CI73" s="564"/>
      <c r="CJ73" s="564"/>
      <c r="CK73" s="564"/>
      <c r="CL73" s="560"/>
      <c r="CM73" s="561"/>
      <c r="CN73" s="562"/>
      <c r="CO73" s="561"/>
      <c r="CP73" s="563"/>
      <c r="CQ73" s="564"/>
      <c r="CR73" s="564"/>
      <c r="CS73" s="564"/>
      <c r="CT73" s="560"/>
      <c r="CU73" s="561"/>
      <c r="CV73" s="562"/>
      <c r="CW73" s="561"/>
      <c r="CX73" s="563"/>
      <c r="CY73" s="564"/>
      <c r="CZ73" s="564"/>
      <c r="DA73" s="564"/>
      <c r="DB73" s="560"/>
      <c r="DC73" s="561"/>
      <c r="DD73" s="562"/>
      <c r="DE73" s="561"/>
      <c r="DF73" s="563"/>
      <c r="DG73" s="564"/>
      <c r="DH73" s="564"/>
      <c r="DI73" s="564"/>
      <c r="DJ73" s="560"/>
      <c r="DK73" s="561"/>
      <c r="DL73" s="562"/>
      <c r="DM73" s="561"/>
      <c r="DN73" s="563"/>
      <c r="DO73" s="564"/>
      <c r="DP73" s="564"/>
      <c r="DQ73" s="564"/>
      <c r="DR73" s="560"/>
      <c r="DS73" s="561"/>
      <c r="DT73" s="562"/>
      <c r="DU73" s="561"/>
      <c r="DV73" s="563"/>
      <c r="DW73" s="564"/>
      <c r="DX73" s="564"/>
      <c r="DY73" s="564"/>
      <c r="DZ73" s="560"/>
      <c r="EA73" s="561"/>
      <c r="EB73" s="562"/>
      <c r="EC73" s="561"/>
      <c r="ED73" s="563"/>
      <c r="EE73" s="564"/>
      <c r="EF73" s="564"/>
      <c r="EG73" s="564"/>
      <c r="EH73" s="560"/>
      <c r="EI73" s="561"/>
      <c r="EJ73" s="562"/>
      <c r="EK73" s="561"/>
      <c r="EL73" s="563"/>
      <c r="EM73" s="564"/>
      <c r="EN73" s="564"/>
      <c r="EO73" s="564"/>
      <c r="EP73" s="560"/>
      <c r="EQ73" s="561"/>
      <c r="ER73" s="562"/>
      <c r="ES73" s="561"/>
      <c r="ET73" s="563"/>
      <c r="EU73" s="564"/>
      <c r="EV73" s="564"/>
      <c r="EW73" s="564"/>
      <c r="EX73" s="560"/>
      <c r="EY73" s="561"/>
      <c r="EZ73" s="562"/>
      <c r="FA73" s="561"/>
      <c r="FB73" s="563"/>
      <c r="FC73" s="564"/>
      <c r="FD73" s="564"/>
      <c r="FE73" s="564"/>
      <c r="FF73" s="560"/>
      <c r="FG73" s="561"/>
      <c r="FH73" s="562"/>
      <c r="FI73" s="561"/>
      <c r="FJ73" s="563"/>
      <c r="FK73" s="564"/>
      <c r="FL73" s="564"/>
      <c r="FM73" s="564"/>
      <c r="FN73" s="560"/>
      <c r="FO73" s="561"/>
      <c r="FP73" s="562"/>
      <c r="FQ73" s="561"/>
      <c r="FR73" s="563"/>
      <c r="FS73" s="564"/>
      <c r="FT73" s="564"/>
      <c r="FU73" s="564"/>
      <c r="FV73" s="560"/>
      <c r="FW73" s="566"/>
      <c r="FX73" s="566"/>
      <c r="FY73" s="566"/>
      <c r="FZ73" s="563"/>
      <c r="GA73" s="564"/>
      <c r="GB73" s="564"/>
      <c r="GC73" s="564"/>
      <c r="GD73" s="560"/>
      <c r="GE73" s="566"/>
      <c r="GF73" s="566"/>
      <c r="GG73" s="566"/>
      <c r="GH73" s="563"/>
      <c r="GI73" s="564"/>
      <c r="GJ73" s="564"/>
      <c r="GK73" s="564"/>
      <c r="GL73" s="560"/>
      <c r="GM73" s="566"/>
      <c r="GN73" s="566"/>
      <c r="GO73" s="566"/>
      <c r="GP73" s="563"/>
      <c r="GQ73" s="564"/>
      <c r="GR73" s="564"/>
      <c r="GS73" s="564"/>
      <c r="GT73" s="560"/>
      <c r="GU73" s="566"/>
      <c r="GV73" s="566"/>
      <c r="GW73" s="566"/>
      <c r="GX73" s="541"/>
      <c r="GY73" s="535"/>
      <c r="GZ73" s="542"/>
      <c r="HA73" s="543"/>
      <c r="HB73" s="541"/>
      <c r="HC73" s="535"/>
      <c r="HD73" s="542"/>
      <c r="HE73" s="543"/>
      <c r="HF73" s="541"/>
      <c r="HG73" s="535"/>
      <c r="HH73" s="542"/>
      <c r="HI73" s="543"/>
      <c r="HJ73" s="541"/>
      <c r="HK73" s="535"/>
      <c r="HL73" s="542"/>
      <c r="HM73" s="543"/>
      <c r="HN73" s="541"/>
      <c r="HO73" s="535"/>
      <c r="HP73" s="542"/>
      <c r="HQ73" s="543"/>
      <c r="HR73" s="541"/>
      <c r="HS73" s="535"/>
      <c r="HT73" s="542"/>
      <c r="HU73" s="543"/>
    </row>
    <row r="74" spans="2:229" s="506" customFormat="1" ht="41.15" customHeight="1" x14ac:dyDescent="0.35">
      <c r="B74" s="544">
        <v>112</v>
      </c>
      <c r="C74" s="544" t="s">
        <v>230</v>
      </c>
      <c r="D74" s="545" t="s">
        <v>44</v>
      </c>
      <c r="E74" s="545" t="s">
        <v>330</v>
      </c>
      <c r="F74" s="546" t="s">
        <v>331</v>
      </c>
      <c r="G74" s="546" t="s">
        <v>332</v>
      </c>
      <c r="H74" s="547" t="s">
        <v>333</v>
      </c>
      <c r="I74" s="548">
        <f>Q74+5</f>
        <v>46110</v>
      </c>
      <c r="J74" s="568"/>
      <c r="K74" s="568" t="s">
        <v>62</v>
      </c>
      <c r="L74" s="549"/>
      <c r="M74" s="569" t="s">
        <v>334</v>
      </c>
      <c r="N74" s="551">
        <v>1</v>
      </c>
      <c r="O74" s="574">
        <v>242</v>
      </c>
      <c r="P74" s="553">
        <v>46106</v>
      </c>
      <c r="Q74" s="553">
        <v>46105</v>
      </c>
      <c r="R74" s="554" t="s">
        <v>151</v>
      </c>
      <c r="S74" s="555">
        <f ca="1">IF(R74="Rechazado / Bajar a Rev_0_RL1", NETWORKDAYS(Q74,TODAY(),Hoja1!$C$3:$C$25),0)</f>
        <v>0</v>
      </c>
      <c r="T74" s="555">
        <f ca="1">IF(R74="Revisión INN",NETWORKDAYS(P74,TODAY(),Hoja1!$C$3:$C$25),0)</f>
        <v>17</v>
      </c>
      <c r="U74" s="556">
        <f t="shared" si="2"/>
        <v>5</v>
      </c>
      <c r="V74" s="557" t="s">
        <v>63</v>
      </c>
      <c r="W74" s="558">
        <v>11</v>
      </c>
      <c r="X74" s="558"/>
      <c r="Y74" s="559">
        <v>45904</v>
      </c>
      <c r="Z74" s="560">
        <v>14</v>
      </c>
      <c r="AA74" s="561">
        <v>45911</v>
      </c>
      <c r="AB74" s="562">
        <f>AA74-Y74</f>
        <v>7</v>
      </c>
      <c r="AC74" s="561" t="s">
        <v>335</v>
      </c>
      <c r="AD74" s="563" t="s">
        <v>63</v>
      </c>
      <c r="AE74" s="567">
        <v>31</v>
      </c>
      <c r="AF74" s="564">
        <f>AG74-AA74</f>
        <v>20</v>
      </c>
      <c r="AG74" s="565">
        <v>45931</v>
      </c>
      <c r="AH74" s="560">
        <v>52</v>
      </c>
      <c r="AI74" s="561">
        <v>45959</v>
      </c>
      <c r="AJ74" s="562"/>
      <c r="AK74" s="561" t="s">
        <v>186</v>
      </c>
      <c r="AL74" s="563">
        <v>0</v>
      </c>
      <c r="AM74" s="567">
        <v>66</v>
      </c>
      <c r="AN74" s="564"/>
      <c r="AO74" s="565">
        <v>45968</v>
      </c>
      <c r="AP74" s="560">
        <v>71</v>
      </c>
      <c r="AQ74" s="561">
        <v>45992</v>
      </c>
      <c r="AR74" s="562"/>
      <c r="AS74" s="561" t="s">
        <v>67</v>
      </c>
      <c r="AT74" s="563">
        <v>1</v>
      </c>
      <c r="AU74" s="567">
        <v>119</v>
      </c>
      <c r="AV74" s="564"/>
      <c r="AW74" s="565">
        <v>46020</v>
      </c>
      <c r="AX74" s="560">
        <v>105</v>
      </c>
      <c r="AY74" s="561">
        <v>46035</v>
      </c>
      <c r="AZ74" s="562"/>
      <c r="BA74" s="561" t="s">
        <v>336</v>
      </c>
      <c r="BB74" s="591" t="s">
        <v>200</v>
      </c>
      <c r="BC74" s="592">
        <v>185</v>
      </c>
      <c r="BD74" s="564"/>
      <c r="BE74" s="593">
        <v>46072</v>
      </c>
      <c r="BF74" s="560">
        <v>165</v>
      </c>
      <c r="BG74" s="561">
        <v>46105</v>
      </c>
      <c r="BH74" s="562"/>
      <c r="BI74" s="561" t="s">
        <v>155</v>
      </c>
      <c r="BJ74" s="591">
        <v>1</v>
      </c>
      <c r="BK74" s="592">
        <v>242</v>
      </c>
      <c r="BL74" s="564"/>
      <c r="BM74" s="593">
        <v>46106</v>
      </c>
      <c r="BN74" s="560"/>
      <c r="BO74" s="561"/>
      <c r="BP74" s="562"/>
      <c r="BQ74" s="561"/>
      <c r="BR74" s="563"/>
      <c r="BS74" s="567"/>
      <c r="BT74" s="564"/>
      <c r="BU74" s="565"/>
      <c r="BV74" s="560"/>
      <c r="BW74" s="561"/>
      <c r="BX74" s="562"/>
      <c r="BY74" s="561"/>
      <c r="BZ74" s="563"/>
      <c r="CA74" s="567"/>
      <c r="CB74" s="564"/>
      <c r="CC74" s="565"/>
      <c r="CD74" s="560"/>
      <c r="CE74" s="561"/>
      <c r="CF74" s="562"/>
      <c r="CG74" s="561"/>
      <c r="CH74" s="563"/>
      <c r="CI74" s="564"/>
      <c r="CJ74" s="564"/>
      <c r="CK74" s="564"/>
      <c r="CL74" s="560"/>
      <c r="CM74" s="561"/>
      <c r="CN74" s="562"/>
      <c r="CO74" s="561"/>
      <c r="CP74" s="563"/>
      <c r="CQ74" s="564"/>
      <c r="CR74" s="564"/>
      <c r="CS74" s="564"/>
      <c r="CT74" s="560"/>
      <c r="CU74" s="561"/>
      <c r="CV74" s="562"/>
      <c r="CW74" s="561"/>
      <c r="CX74" s="563"/>
      <c r="CY74" s="564"/>
      <c r="CZ74" s="564"/>
      <c r="DA74" s="564"/>
      <c r="DB74" s="560"/>
      <c r="DC74" s="561"/>
      <c r="DD74" s="562"/>
      <c r="DE74" s="561"/>
      <c r="DF74" s="563"/>
      <c r="DG74" s="564"/>
      <c r="DH74" s="564"/>
      <c r="DI74" s="564"/>
      <c r="DJ74" s="560"/>
      <c r="DK74" s="561"/>
      <c r="DL74" s="562"/>
      <c r="DM74" s="561"/>
      <c r="DN74" s="563"/>
      <c r="DO74" s="564"/>
      <c r="DP74" s="564"/>
      <c r="DQ74" s="564"/>
      <c r="DR74" s="560"/>
      <c r="DS74" s="561"/>
      <c r="DT74" s="562"/>
      <c r="DU74" s="561"/>
      <c r="DV74" s="563"/>
      <c r="DW74" s="564"/>
      <c r="DX74" s="564"/>
      <c r="DY74" s="564"/>
      <c r="DZ74" s="560"/>
      <c r="EA74" s="561"/>
      <c r="EB74" s="562"/>
      <c r="EC74" s="561"/>
      <c r="ED74" s="563"/>
      <c r="EE74" s="564"/>
      <c r="EF74" s="564"/>
      <c r="EG74" s="564"/>
      <c r="EH74" s="560"/>
      <c r="EI74" s="561"/>
      <c r="EJ74" s="562"/>
      <c r="EK74" s="561"/>
      <c r="EL74" s="563"/>
      <c r="EM74" s="564"/>
      <c r="EN74" s="564"/>
      <c r="EO74" s="564"/>
      <c r="EP74" s="560"/>
      <c r="EQ74" s="561"/>
      <c r="ER74" s="562"/>
      <c r="ES74" s="561"/>
      <c r="ET74" s="563"/>
      <c r="EU74" s="564"/>
      <c r="EV74" s="564"/>
      <c r="EW74" s="564"/>
      <c r="EX74" s="560"/>
      <c r="EY74" s="561"/>
      <c r="EZ74" s="562"/>
      <c r="FA74" s="561"/>
      <c r="FB74" s="563"/>
      <c r="FC74" s="564"/>
      <c r="FD74" s="564"/>
      <c r="FE74" s="564"/>
      <c r="FF74" s="560"/>
      <c r="FG74" s="561"/>
      <c r="FH74" s="562"/>
      <c r="FI74" s="561"/>
      <c r="FJ74" s="563"/>
      <c r="FK74" s="564"/>
      <c r="FL74" s="564"/>
      <c r="FM74" s="564"/>
      <c r="FN74" s="560"/>
      <c r="FO74" s="561"/>
      <c r="FP74" s="562"/>
      <c r="FQ74" s="561"/>
      <c r="FR74" s="563"/>
      <c r="FS74" s="564"/>
      <c r="FT74" s="564"/>
      <c r="FU74" s="564"/>
      <c r="FV74" s="560"/>
      <c r="FW74" s="566"/>
      <c r="FX74" s="566"/>
      <c r="FY74" s="566"/>
      <c r="FZ74" s="563"/>
      <c r="GA74" s="564"/>
      <c r="GB74" s="564"/>
      <c r="GC74" s="564"/>
      <c r="GD74" s="560"/>
      <c r="GE74" s="566"/>
      <c r="GF74" s="566"/>
      <c r="GG74" s="566"/>
      <c r="GH74" s="563"/>
      <c r="GI74" s="564"/>
      <c r="GJ74" s="564"/>
      <c r="GK74" s="564"/>
      <c r="GL74" s="560"/>
      <c r="GM74" s="566"/>
      <c r="GN74" s="566"/>
      <c r="GO74" s="566"/>
      <c r="GP74" s="563"/>
      <c r="GQ74" s="564"/>
      <c r="GR74" s="564"/>
      <c r="GS74" s="564"/>
      <c r="GT74" s="560"/>
      <c r="GU74" s="566"/>
      <c r="GV74" s="566"/>
      <c r="GW74" s="566"/>
      <c r="GX74" s="563"/>
      <c r="GY74" s="564"/>
      <c r="GZ74" s="564"/>
      <c r="HA74" s="590"/>
      <c r="HB74" s="560"/>
      <c r="HC74" s="566"/>
      <c r="HD74" s="566"/>
      <c r="HE74" s="566"/>
      <c r="HF74" s="563"/>
      <c r="HG74" s="564"/>
      <c r="HH74" s="564"/>
      <c r="HI74" s="590"/>
      <c r="HJ74" s="560"/>
      <c r="HK74" s="566"/>
      <c r="HL74" s="566"/>
      <c r="HM74" s="566"/>
      <c r="HN74" s="563"/>
      <c r="HO74" s="564"/>
      <c r="HP74" s="564"/>
      <c r="HQ74" s="590"/>
      <c r="HR74" s="560"/>
      <c r="HS74" s="566"/>
      <c r="HT74" s="566"/>
      <c r="HU74" s="566"/>
    </row>
    <row r="75" spans="2:229" s="506" customFormat="1" ht="41.15" customHeight="1" x14ac:dyDescent="0.35">
      <c r="B75" s="544">
        <v>31</v>
      </c>
      <c r="C75" s="544" t="s">
        <v>145</v>
      </c>
      <c r="D75" s="545" t="s">
        <v>68</v>
      </c>
      <c r="E75" s="558" t="s">
        <v>337</v>
      </c>
      <c r="F75" s="546" t="s">
        <v>338</v>
      </c>
      <c r="G75" s="546" t="s">
        <v>46</v>
      </c>
      <c r="H75" s="547" t="s">
        <v>339</v>
      </c>
      <c r="I75" s="568"/>
      <c r="J75" s="568"/>
      <c r="K75" s="568">
        <f>P75+5</f>
        <v>46055</v>
      </c>
      <c r="L75" s="549" t="s">
        <v>306</v>
      </c>
      <c r="M75" s="569" t="s">
        <v>117</v>
      </c>
      <c r="N75" s="551">
        <v>0</v>
      </c>
      <c r="O75" s="552">
        <v>181</v>
      </c>
      <c r="P75" s="553">
        <v>46050</v>
      </c>
      <c r="Q75" s="553">
        <v>46120</v>
      </c>
      <c r="R75" s="554" t="s">
        <v>307</v>
      </c>
      <c r="S75" s="555">
        <f ca="1">IF(R75="Aprobado con comentarios / Emitir Rev_1", NETWORKDAYS(Q75,TODAY(),Hoja1!$C$3:$C$25),0)</f>
        <v>8</v>
      </c>
      <c r="T75" s="555">
        <f ca="1">IF(R75="Revisión INN",NETWORKDAYS(P75,TODAY(),Hoja1!$C$3:$C$25),0)</f>
        <v>0</v>
      </c>
      <c r="U75" s="556">
        <f t="shared" si="2"/>
        <v>2</v>
      </c>
      <c r="V75" s="557" t="s">
        <v>63</v>
      </c>
      <c r="W75" s="558">
        <v>56</v>
      </c>
      <c r="X75" s="558" t="s">
        <v>62</v>
      </c>
      <c r="Y75" s="559">
        <v>45957</v>
      </c>
      <c r="Z75" s="560">
        <v>53</v>
      </c>
      <c r="AA75" s="561">
        <v>45964</v>
      </c>
      <c r="AB75" s="562"/>
      <c r="AC75" s="561" t="s">
        <v>126</v>
      </c>
      <c r="AD75" s="563">
        <v>0</v>
      </c>
      <c r="AE75" s="567">
        <v>155</v>
      </c>
      <c r="AF75" s="564"/>
      <c r="AG75" s="565">
        <v>46050</v>
      </c>
      <c r="AH75" s="589">
        <v>181</v>
      </c>
      <c r="AI75" s="593">
        <v>46120</v>
      </c>
      <c r="AJ75" s="562"/>
      <c r="AK75" s="593" t="s">
        <v>307</v>
      </c>
      <c r="AL75" s="563"/>
      <c r="AM75" s="567"/>
      <c r="AN75" s="564"/>
      <c r="AO75" s="565"/>
      <c r="AP75" s="560"/>
      <c r="AQ75" s="561"/>
      <c r="AR75" s="562"/>
      <c r="AS75" s="561"/>
      <c r="AT75" s="563"/>
      <c r="AU75" s="567"/>
      <c r="AV75" s="564"/>
      <c r="AW75" s="565"/>
      <c r="AX75" s="560"/>
      <c r="AY75" s="561"/>
      <c r="AZ75" s="562"/>
      <c r="BA75" s="561"/>
      <c r="BB75" s="563"/>
      <c r="BC75" s="567"/>
      <c r="BD75" s="564"/>
      <c r="BE75" s="565"/>
      <c r="BF75" s="560"/>
      <c r="BG75" s="561"/>
      <c r="BH75" s="562"/>
      <c r="BI75" s="561"/>
      <c r="BJ75" s="563"/>
      <c r="BK75" s="567"/>
      <c r="BL75" s="564"/>
      <c r="BM75" s="565"/>
      <c r="BN75" s="560"/>
      <c r="BO75" s="561"/>
      <c r="BP75" s="562"/>
      <c r="BQ75" s="561"/>
      <c r="BR75" s="563"/>
      <c r="BS75" s="567"/>
      <c r="BT75" s="564"/>
      <c r="BU75" s="565"/>
      <c r="BV75" s="560"/>
      <c r="BW75" s="561"/>
      <c r="BX75" s="562"/>
      <c r="BY75" s="561"/>
      <c r="BZ75" s="563"/>
      <c r="CA75" s="567"/>
      <c r="CB75" s="564"/>
      <c r="CC75" s="565"/>
      <c r="CD75" s="560"/>
      <c r="CE75" s="561"/>
      <c r="CF75" s="562"/>
      <c r="CG75" s="561"/>
      <c r="CH75" s="563"/>
      <c r="CI75" s="564"/>
      <c r="CJ75" s="564"/>
      <c r="CK75" s="564"/>
      <c r="CL75" s="560"/>
      <c r="CM75" s="561"/>
      <c r="CN75" s="562"/>
      <c r="CO75" s="561"/>
      <c r="CP75" s="563"/>
      <c r="CQ75" s="564"/>
      <c r="CR75" s="564"/>
      <c r="CS75" s="564"/>
      <c r="CT75" s="560"/>
      <c r="CU75" s="561"/>
      <c r="CV75" s="562"/>
      <c r="CW75" s="561"/>
      <c r="CX75" s="563"/>
      <c r="CY75" s="564"/>
      <c r="CZ75" s="564"/>
      <c r="DA75" s="564"/>
      <c r="DB75" s="560"/>
      <c r="DC75" s="561"/>
      <c r="DD75" s="562"/>
      <c r="DE75" s="561"/>
      <c r="DF75" s="563"/>
      <c r="DG75" s="564"/>
      <c r="DH75" s="564"/>
      <c r="DI75" s="564"/>
      <c r="DJ75" s="560"/>
      <c r="DK75" s="561"/>
      <c r="DL75" s="562"/>
      <c r="DM75" s="561"/>
      <c r="DN75" s="563"/>
      <c r="DO75" s="564"/>
      <c r="DP75" s="564"/>
      <c r="DQ75" s="564"/>
      <c r="DR75" s="560"/>
      <c r="DS75" s="561"/>
      <c r="DT75" s="562"/>
      <c r="DU75" s="561"/>
      <c r="DV75" s="563"/>
      <c r="DW75" s="564"/>
      <c r="DX75" s="564"/>
      <c r="DY75" s="564"/>
      <c r="DZ75" s="560"/>
      <c r="EA75" s="561"/>
      <c r="EB75" s="562"/>
      <c r="EC75" s="561"/>
      <c r="ED75" s="563"/>
      <c r="EE75" s="564"/>
      <c r="EF75" s="564"/>
      <c r="EG75" s="564"/>
      <c r="EH75" s="560"/>
      <c r="EI75" s="561"/>
      <c r="EJ75" s="562"/>
      <c r="EK75" s="561"/>
      <c r="EL75" s="563"/>
      <c r="EM75" s="564"/>
      <c r="EN75" s="564"/>
      <c r="EO75" s="564"/>
      <c r="EP75" s="560"/>
      <c r="EQ75" s="561"/>
      <c r="ER75" s="562"/>
      <c r="ES75" s="561"/>
      <c r="ET75" s="563"/>
      <c r="EU75" s="564"/>
      <c r="EV75" s="564"/>
      <c r="EW75" s="564"/>
      <c r="EX75" s="560"/>
      <c r="EY75" s="561"/>
      <c r="EZ75" s="562"/>
      <c r="FA75" s="561"/>
      <c r="FB75" s="563"/>
      <c r="FC75" s="564"/>
      <c r="FD75" s="564"/>
      <c r="FE75" s="564"/>
      <c r="FF75" s="560"/>
      <c r="FG75" s="561"/>
      <c r="FH75" s="562"/>
      <c r="FI75" s="561"/>
      <c r="FJ75" s="563"/>
      <c r="FK75" s="564"/>
      <c r="FL75" s="564"/>
      <c r="FM75" s="564"/>
      <c r="FN75" s="560"/>
      <c r="FO75" s="561"/>
      <c r="FP75" s="562"/>
      <c r="FQ75" s="561"/>
      <c r="FR75" s="563"/>
      <c r="FS75" s="564"/>
      <c r="FT75" s="564"/>
      <c r="FU75" s="564"/>
      <c r="FV75" s="560"/>
      <c r="FW75" s="566"/>
      <c r="FX75" s="566"/>
      <c r="FY75" s="566"/>
      <c r="FZ75" s="563"/>
      <c r="GA75" s="564"/>
      <c r="GB75" s="564"/>
      <c r="GC75" s="564"/>
      <c r="GD75" s="560"/>
      <c r="GE75" s="566"/>
      <c r="GF75" s="566"/>
      <c r="GG75" s="566"/>
      <c r="GH75" s="563"/>
      <c r="GI75" s="564"/>
      <c r="GJ75" s="564"/>
      <c r="GK75" s="564"/>
      <c r="GL75" s="560"/>
      <c r="GM75" s="566"/>
      <c r="GN75" s="566"/>
      <c r="GO75" s="566"/>
      <c r="GP75" s="563"/>
      <c r="GQ75" s="564"/>
      <c r="GR75" s="564"/>
      <c r="GS75" s="564"/>
      <c r="GT75" s="560"/>
      <c r="GU75" s="566"/>
      <c r="GV75" s="566"/>
      <c r="GW75" s="566"/>
      <c r="GX75" s="563"/>
      <c r="GY75" s="564"/>
      <c r="GZ75" s="564"/>
      <c r="HA75" s="590"/>
      <c r="HB75" s="560"/>
      <c r="HC75" s="566"/>
      <c r="HD75" s="566"/>
      <c r="HE75" s="566"/>
      <c r="HF75" s="563"/>
      <c r="HG75" s="564"/>
      <c r="HH75" s="564"/>
      <c r="HI75" s="590"/>
      <c r="HJ75" s="560"/>
      <c r="HK75" s="566"/>
      <c r="HL75" s="566"/>
      <c r="HM75" s="566"/>
      <c r="HN75" s="563"/>
      <c r="HO75" s="564"/>
      <c r="HP75" s="564"/>
      <c r="HQ75" s="590"/>
      <c r="HR75" s="560"/>
      <c r="HS75" s="566"/>
      <c r="HT75" s="566"/>
      <c r="HU75" s="566"/>
    </row>
    <row r="76" spans="2:229" s="506" customFormat="1" ht="41.15" customHeight="1" thickBot="1" x14ac:dyDescent="0.4">
      <c r="B76" s="544">
        <v>93</v>
      </c>
      <c r="C76" s="577" t="s">
        <v>145</v>
      </c>
      <c r="D76" s="545" t="s">
        <v>59</v>
      </c>
      <c r="E76" s="545" t="s">
        <v>340</v>
      </c>
      <c r="F76" s="546" t="s">
        <v>341</v>
      </c>
      <c r="G76" s="546" t="s">
        <v>342</v>
      </c>
      <c r="H76" s="547" t="s">
        <v>343</v>
      </c>
      <c r="I76" s="568"/>
      <c r="J76" s="568"/>
      <c r="K76" s="568">
        <f>P76+5</f>
        <v>46112</v>
      </c>
      <c r="L76" s="549"/>
      <c r="M76" s="569" t="s">
        <v>117</v>
      </c>
      <c r="N76" s="551">
        <v>2</v>
      </c>
      <c r="O76" s="552">
        <v>243</v>
      </c>
      <c r="P76" s="553">
        <v>46107</v>
      </c>
      <c r="Q76" s="553">
        <v>46098</v>
      </c>
      <c r="R76" s="554" t="s">
        <v>151</v>
      </c>
      <c r="S76" s="555">
        <f ca="1">IF(R76="Aprobado / Emitir Rev_2", NETWORKDAYS(Q76,TODAY(),Hoja1!$C$3:$C$25),0)</f>
        <v>0</v>
      </c>
      <c r="T76" s="555">
        <f ca="1">IF(R76="Revisión INN",NETWORKDAYS(P76,TODAY(),Hoja1!$C$3:$C$25),0)</f>
        <v>16</v>
      </c>
      <c r="U76" s="556">
        <f t="shared" si="2"/>
        <v>7</v>
      </c>
      <c r="V76" s="557" t="s">
        <v>125</v>
      </c>
      <c r="W76" s="558">
        <v>28</v>
      </c>
      <c r="X76" s="558"/>
      <c r="Y76" s="559">
        <v>45929</v>
      </c>
      <c r="Z76" s="560">
        <v>30</v>
      </c>
      <c r="AA76" s="561">
        <v>45932</v>
      </c>
      <c r="AB76" s="562">
        <f>AA76-Y76</f>
        <v>3</v>
      </c>
      <c r="AC76" s="561" t="s">
        <v>167</v>
      </c>
      <c r="AD76" s="563" t="s">
        <v>63</v>
      </c>
      <c r="AE76" s="567">
        <v>34</v>
      </c>
      <c r="AF76" s="564">
        <f>AG76-AA76</f>
        <v>4</v>
      </c>
      <c r="AG76" s="565">
        <v>45936</v>
      </c>
      <c r="AH76" s="560">
        <v>47</v>
      </c>
      <c r="AI76" s="561">
        <v>45952</v>
      </c>
      <c r="AJ76" s="562"/>
      <c r="AK76" s="561" t="s">
        <v>186</v>
      </c>
      <c r="AL76" s="563">
        <v>0</v>
      </c>
      <c r="AM76" s="567">
        <v>63</v>
      </c>
      <c r="AN76" s="564"/>
      <c r="AO76" s="565">
        <v>45960</v>
      </c>
      <c r="AP76" s="560">
        <v>58</v>
      </c>
      <c r="AQ76" s="561">
        <v>45966</v>
      </c>
      <c r="AR76" s="562">
        <f>AQ76-AO76</f>
        <v>6</v>
      </c>
      <c r="AS76" s="561" t="s">
        <v>67</v>
      </c>
      <c r="AT76" s="563" t="s">
        <v>200</v>
      </c>
      <c r="AU76" s="567">
        <v>89</v>
      </c>
      <c r="AV76" s="564"/>
      <c r="AW76" s="565">
        <v>45992</v>
      </c>
      <c r="AX76" s="560">
        <v>79</v>
      </c>
      <c r="AY76" s="561">
        <v>46007</v>
      </c>
      <c r="AZ76" s="562"/>
      <c r="BA76" s="561" t="s">
        <v>155</v>
      </c>
      <c r="BB76" s="563">
        <v>1</v>
      </c>
      <c r="BC76" s="567">
        <v>122</v>
      </c>
      <c r="BD76" s="564"/>
      <c r="BE76" s="565">
        <v>46022</v>
      </c>
      <c r="BF76" s="560" t="s">
        <v>344</v>
      </c>
      <c r="BG76" s="561" t="s">
        <v>221</v>
      </c>
      <c r="BH76" s="562"/>
      <c r="BI76" s="561" t="s">
        <v>221</v>
      </c>
      <c r="BJ76" s="563" t="s">
        <v>184</v>
      </c>
      <c r="BK76" s="567">
        <v>146</v>
      </c>
      <c r="BL76" s="564"/>
      <c r="BM76" s="565">
        <v>46045</v>
      </c>
      <c r="BN76" s="661" t="s">
        <v>344</v>
      </c>
      <c r="BO76" s="561" t="s">
        <v>221</v>
      </c>
      <c r="BP76" s="561" t="s">
        <v>221</v>
      </c>
      <c r="BQ76" s="561" t="s">
        <v>221</v>
      </c>
      <c r="BR76" s="563" t="s">
        <v>222</v>
      </c>
      <c r="BS76" s="567">
        <v>176</v>
      </c>
      <c r="BT76" s="630"/>
      <c r="BU76" s="565">
        <v>46069</v>
      </c>
      <c r="BV76" s="560">
        <v>158</v>
      </c>
      <c r="BW76" s="561">
        <v>46098</v>
      </c>
      <c r="BX76" s="562"/>
      <c r="BY76" s="561" t="s">
        <v>225</v>
      </c>
      <c r="BZ76" s="591">
        <v>2</v>
      </c>
      <c r="CA76" s="592">
        <v>243</v>
      </c>
      <c r="CB76" s="564"/>
      <c r="CC76" s="593">
        <v>46107</v>
      </c>
      <c r="CD76" s="560"/>
      <c r="CE76" s="561"/>
      <c r="CF76" s="562"/>
      <c r="CG76" s="561"/>
      <c r="CH76" s="563"/>
      <c r="CI76" s="564"/>
      <c r="CJ76" s="564"/>
      <c r="CK76" s="564"/>
      <c r="CL76" s="560"/>
      <c r="CM76" s="561"/>
      <c r="CN76" s="562"/>
      <c r="CO76" s="561"/>
      <c r="CP76" s="563"/>
      <c r="CQ76" s="564"/>
      <c r="CR76" s="564"/>
      <c r="CS76" s="564"/>
      <c r="CT76" s="560"/>
      <c r="CU76" s="561"/>
      <c r="CV76" s="562"/>
      <c r="CW76" s="561"/>
      <c r="CX76" s="563"/>
      <c r="CY76" s="564"/>
      <c r="CZ76" s="564"/>
      <c r="DA76" s="564"/>
      <c r="DB76" s="560"/>
      <c r="DC76" s="561"/>
      <c r="DD76" s="562"/>
      <c r="DE76" s="561"/>
      <c r="DF76" s="563"/>
      <c r="DG76" s="564"/>
      <c r="DH76" s="564"/>
      <c r="DI76" s="564"/>
      <c r="DJ76" s="560"/>
      <c r="DK76" s="561"/>
      <c r="DL76" s="562"/>
      <c r="DM76" s="561"/>
      <c r="DN76" s="563"/>
      <c r="DO76" s="564"/>
      <c r="DP76" s="564"/>
      <c r="DQ76" s="564"/>
      <c r="DR76" s="560"/>
      <c r="DS76" s="561"/>
      <c r="DT76" s="562"/>
      <c r="DU76" s="561"/>
      <c r="DV76" s="563"/>
      <c r="DW76" s="564"/>
      <c r="DX76" s="564"/>
      <c r="DY76" s="564"/>
      <c r="DZ76" s="560"/>
      <c r="EA76" s="561"/>
      <c r="EB76" s="562"/>
      <c r="EC76" s="561"/>
      <c r="ED76" s="563"/>
      <c r="EE76" s="564"/>
      <c r="EF76" s="564"/>
      <c r="EG76" s="564"/>
      <c r="EH76" s="560"/>
      <c r="EI76" s="561"/>
      <c r="EJ76" s="562"/>
      <c r="EK76" s="561"/>
      <c r="EL76" s="563"/>
      <c r="EM76" s="564"/>
      <c r="EN76" s="564"/>
      <c r="EO76" s="564"/>
      <c r="EP76" s="560"/>
      <c r="EQ76" s="561"/>
      <c r="ER76" s="562"/>
      <c r="ES76" s="561"/>
      <c r="ET76" s="563"/>
      <c r="EU76" s="564"/>
      <c r="EV76" s="564"/>
      <c r="EW76" s="564"/>
      <c r="EX76" s="560"/>
      <c r="EY76" s="561"/>
      <c r="EZ76" s="562"/>
      <c r="FA76" s="561"/>
      <c r="FB76" s="563"/>
      <c r="FC76" s="564"/>
      <c r="FD76" s="564"/>
      <c r="FE76" s="564"/>
      <c r="FF76" s="560"/>
      <c r="FG76" s="561"/>
      <c r="FH76" s="562"/>
      <c r="FI76" s="561"/>
      <c r="FJ76" s="563"/>
      <c r="FK76" s="564"/>
      <c r="FL76" s="564"/>
      <c r="FM76" s="564"/>
      <c r="FN76" s="560"/>
      <c r="FO76" s="561"/>
      <c r="FP76" s="562"/>
      <c r="FQ76" s="561"/>
      <c r="FR76" s="563"/>
      <c r="FS76" s="564"/>
      <c r="FT76" s="564"/>
      <c r="FU76" s="564"/>
      <c r="FV76" s="560"/>
      <c r="FW76" s="566"/>
      <c r="FX76" s="566"/>
      <c r="FY76" s="566"/>
      <c r="FZ76" s="563"/>
      <c r="GA76" s="564"/>
      <c r="GB76" s="564"/>
      <c r="GC76" s="564"/>
      <c r="GD76" s="560"/>
      <c r="GE76" s="566"/>
      <c r="GF76" s="566"/>
      <c r="GG76" s="566"/>
      <c r="GH76" s="563"/>
      <c r="GI76" s="564"/>
      <c r="GJ76" s="564"/>
      <c r="GK76" s="564"/>
      <c r="GL76" s="560"/>
      <c r="GM76" s="566"/>
      <c r="GN76" s="566"/>
      <c r="GO76" s="566"/>
      <c r="GP76" s="563"/>
      <c r="GQ76" s="564"/>
      <c r="GR76" s="564"/>
      <c r="GS76" s="564"/>
      <c r="GT76" s="560"/>
      <c r="GU76" s="566"/>
      <c r="GV76" s="566"/>
      <c r="GW76" s="566"/>
      <c r="GX76" s="563"/>
      <c r="GY76" s="564"/>
      <c r="GZ76" s="564"/>
      <c r="HA76" s="590"/>
      <c r="HB76" s="560"/>
      <c r="HC76" s="566"/>
      <c r="HD76" s="566"/>
      <c r="HE76" s="566"/>
      <c r="HF76" s="563"/>
      <c r="HG76" s="564"/>
      <c r="HH76" s="564"/>
      <c r="HI76" s="590"/>
      <c r="HJ76" s="560"/>
      <c r="HK76" s="566"/>
      <c r="HL76" s="566"/>
      <c r="HM76" s="566"/>
      <c r="HN76" s="563"/>
      <c r="HO76" s="564"/>
      <c r="HP76" s="564"/>
      <c r="HQ76" s="590"/>
      <c r="HR76" s="560"/>
      <c r="HS76" s="566"/>
      <c r="HT76" s="566"/>
      <c r="HU76" s="566"/>
    </row>
    <row r="77" spans="2:229" s="506" customFormat="1" ht="56.15" customHeight="1" x14ac:dyDescent="0.35">
      <c r="B77" s="544">
        <v>74</v>
      </c>
      <c r="C77" s="544" t="s">
        <v>145</v>
      </c>
      <c r="D77" s="545" t="s">
        <v>59</v>
      </c>
      <c r="E77" s="558" t="s">
        <v>345</v>
      </c>
      <c r="F77" s="546" t="s">
        <v>346</v>
      </c>
      <c r="G77" s="546" t="s">
        <v>46</v>
      </c>
      <c r="H77" s="547" t="s">
        <v>347</v>
      </c>
      <c r="I77" s="548" t="s">
        <v>86</v>
      </c>
      <c r="J77" s="568"/>
      <c r="K77" s="568" t="s">
        <v>86</v>
      </c>
      <c r="L77" s="847" t="s">
        <v>348</v>
      </c>
      <c r="M77" s="569" t="s">
        <v>117</v>
      </c>
      <c r="N77" s="658" t="s">
        <v>349</v>
      </c>
      <c r="O77" s="552">
        <v>176</v>
      </c>
      <c r="P77" s="553">
        <v>46113</v>
      </c>
      <c r="Q77" s="553">
        <v>46118</v>
      </c>
      <c r="R77" s="554" t="s">
        <v>67</v>
      </c>
      <c r="S77" s="555">
        <f ca="1">IF(R77="Aprobado con comentarios / Emitir en Rev_0", NETWORKDAYS(Q77,TODAY(),Hoja1!$C$3:$C$25),0)</f>
        <v>0</v>
      </c>
      <c r="T77" s="555">
        <f ca="1">IF(R77="Revisión INN",NETWORKDAYS(P77,TODAY(),Hoja1!$C$3:$C$25),0)</f>
        <v>0</v>
      </c>
      <c r="U77" s="556">
        <f t="shared" si="2"/>
        <v>5</v>
      </c>
      <c r="V77" s="557" t="s">
        <v>63</v>
      </c>
      <c r="W77" s="558">
        <v>56</v>
      </c>
      <c r="X77" s="558" t="s">
        <v>62</v>
      </c>
      <c r="Y77" s="559">
        <v>45957</v>
      </c>
      <c r="Z77" s="560">
        <v>53</v>
      </c>
      <c r="AA77" s="561">
        <v>45964</v>
      </c>
      <c r="AB77" s="562"/>
      <c r="AC77" s="561" t="s">
        <v>186</v>
      </c>
      <c r="AD77" s="563">
        <v>0</v>
      </c>
      <c r="AE77" s="567">
        <v>82</v>
      </c>
      <c r="AF77" s="564"/>
      <c r="AG77" s="565">
        <v>45985</v>
      </c>
      <c r="AH77" s="560">
        <v>81</v>
      </c>
      <c r="AI77" s="561">
        <v>46009</v>
      </c>
      <c r="AJ77" s="562"/>
      <c r="AK77" s="561" t="s">
        <v>133</v>
      </c>
      <c r="AL77" s="563">
        <v>1</v>
      </c>
      <c r="AM77" s="567">
        <v>125</v>
      </c>
      <c r="AN77" s="564"/>
      <c r="AO77" s="565">
        <v>46022</v>
      </c>
      <c r="AP77" s="560">
        <v>109</v>
      </c>
      <c r="AQ77" s="561">
        <v>46041</v>
      </c>
      <c r="AR77" s="562"/>
      <c r="AS77" s="561" t="s">
        <v>67</v>
      </c>
      <c r="AT77" s="563" t="s">
        <v>184</v>
      </c>
      <c r="AU77" s="567">
        <v>147</v>
      </c>
      <c r="AV77" s="564"/>
      <c r="AW77" s="565">
        <v>46045</v>
      </c>
      <c r="AX77" s="560">
        <v>125</v>
      </c>
      <c r="AY77" s="561">
        <v>46050</v>
      </c>
      <c r="AZ77" s="562"/>
      <c r="BA77" s="561" t="s">
        <v>67</v>
      </c>
      <c r="BB77" s="563">
        <v>2</v>
      </c>
      <c r="BC77" s="567">
        <v>208</v>
      </c>
      <c r="BD77" s="564"/>
      <c r="BE77" s="565">
        <v>46086</v>
      </c>
      <c r="BF77" s="560">
        <v>172</v>
      </c>
      <c r="BG77" s="561">
        <v>46113</v>
      </c>
      <c r="BH77" s="562"/>
      <c r="BI77" s="845" t="s">
        <v>350</v>
      </c>
      <c r="BJ77" s="563" t="s">
        <v>349</v>
      </c>
      <c r="BK77" s="567">
        <v>251</v>
      </c>
      <c r="BL77" s="564"/>
      <c r="BM77" s="565">
        <v>46113</v>
      </c>
      <c r="BN77" s="589">
        <v>176</v>
      </c>
      <c r="BO77" s="593">
        <v>46118</v>
      </c>
      <c r="BP77" s="562"/>
      <c r="BQ77" s="593" t="s">
        <v>351</v>
      </c>
      <c r="BR77" s="563"/>
      <c r="BS77" s="567"/>
      <c r="BT77" s="564"/>
      <c r="BU77" s="565"/>
      <c r="BV77" s="560"/>
      <c r="BW77" s="561"/>
      <c r="BX77" s="562"/>
      <c r="BY77" s="561"/>
      <c r="BZ77" s="563"/>
      <c r="CA77" s="567"/>
      <c r="CB77" s="564"/>
      <c r="CC77" s="565"/>
      <c r="CD77" s="560"/>
      <c r="CE77" s="561"/>
      <c r="CF77" s="562"/>
      <c r="CG77" s="561"/>
      <c r="CH77" s="563"/>
      <c r="CI77" s="564"/>
      <c r="CJ77" s="564"/>
      <c r="CK77" s="564"/>
      <c r="CL77" s="560"/>
      <c r="CM77" s="561"/>
      <c r="CN77" s="562"/>
      <c r="CO77" s="561"/>
      <c r="CP77" s="563"/>
      <c r="CQ77" s="564"/>
      <c r="CR77" s="564"/>
      <c r="CS77" s="564"/>
      <c r="CT77" s="560"/>
      <c r="CU77" s="561"/>
      <c r="CV77" s="562"/>
      <c r="CW77" s="561"/>
      <c r="CX77" s="563"/>
      <c r="CY77" s="564"/>
      <c r="CZ77" s="564"/>
      <c r="DA77" s="564"/>
      <c r="DB77" s="560"/>
      <c r="DC77" s="561"/>
      <c r="DD77" s="562"/>
      <c r="DE77" s="561"/>
      <c r="DF77" s="563"/>
      <c r="DG77" s="564"/>
      <c r="DH77" s="564"/>
      <c r="DI77" s="564"/>
      <c r="DJ77" s="560"/>
      <c r="DK77" s="561"/>
      <c r="DL77" s="562"/>
      <c r="DM77" s="561"/>
      <c r="DN77" s="563"/>
      <c r="DO77" s="564"/>
      <c r="DP77" s="564"/>
      <c r="DQ77" s="564"/>
      <c r="DR77" s="560"/>
      <c r="DS77" s="561"/>
      <c r="DT77" s="562"/>
      <c r="DU77" s="561"/>
      <c r="DV77" s="563"/>
      <c r="DW77" s="564"/>
      <c r="DX77" s="564"/>
      <c r="DY77" s="564"/>
      <c r="DZ77" s="560"/>
      <c r="EA77" s="561"/>
      <c r="EB77" s="562"/>
      <c r="EC77" s="561"/>
      <c r="ED77" s="563"/>
      <c r="EE77" s="564"/>
      <c r="EF77" s="564"/>
      <c r="EG77" s="564"/>
      <c r="EH77" s="560"/>
      <c r="EI77" s="561"/>
      <c r="EJ77" s="562"/>
      <c r="EK77" s="561"/>
      <c r="EL77" s="563"/>
      <c r="EM77" s="564"/>
      <c r="EN77" s="564"/>
      <c r="EO77" s="564"/>
      <c r="EP77" s="560"/>
      <c r="EQ77" s="561"/>
      <c r="ER77" s="562"/>
      <c r="ES77" s="561"/>
      <c r="ET77" s="563"/>
      <c r="EU77" s="564"/>
      <c r="EV77" s="564"/>
      <c r="EW77" s="564"/>
      <c r="EX77" s="560"/>
      <c r="EY77" s="561"/>
      <c r="EZ77" s="562"/>
      <c r="FA77" s="561"/>
      <c r="FB77" s="563"/>
      <c r="FC77" s="564"/>
      <c r="FD77" s="564"/>
      <c r="FE77" s="564"/>
      <c r="FF77" s="560"/>
      <c r="FG77" s="561"/>
      <c r="FH77" s="562"/>
      <c r="FI77" s="561"/>
      <c r="FJ77" s="563"/>
      <c r="FK77" s="564"/>
      <c r="FL77" s="564"/>
      <c r="FM77" s="564"/>
      <c r="FN77" s="560"/>
      <c r="FO77" s="561"/>
      <c r="FP77" s="562"/>
      <c r="FQ77" s="561"/>
      <c r="FR77" s="563"/>
      <c r="FS77" s="564"/>
      <c r="FT77" s="564"/>
      <c r="FU77" s="564"/>
      <c r="FV77" s="560"/>
      <c r="FW77" s="566"/>
      <c r="FX77" s="566"/>
      <c r="FY77" s="566"/>
      <c r="FZ77" s="563"/>
      <c r="GA77" s="564"/>
      <c r="GB77" s="564"/>
      <c r="GC77" s="564"/>
      <c r="GD77" s="560"/>
      <c r="GE77" s="566"/>
      <c r="GF77" s="566"/>
      <c r="GG77" s="566"/>
      <c r="GH77" s="563"/>
      <c r="GI77" s="564"/>
      <c r="GJ77" s="564"/>
      <c r="GK77" s="564"/>
      <c r="GL77" s="560"/>
      <c r="GM77" s="566"/>
      <c r="GN77" s="566"/>
      <c r="GO77" s="566"/>
      <c r="GP77" s="563"/>
      <c r="GQ77" s="564"/>
      <c r="GR77" s="564"/>
      <c r="GS77" s="564"/>
      <c r="GT77" s="560"/>
      <c r="GU77" s="566"/>
      <c r="GV77" s="566"/>
      <c r="GW77" s="566"/>
      <c r="GX77" s="541"/>
      <c r="GY77" s="535"/>
      <c r="GZ77" s="542"/>
      <c r="HA77" s="543"/>
      <c r="HB77" s="541"/>
      <c r="HC77" s="535"/>
      <c r="HD77" s="542"/>
      <c r="HE77" s="543"/>
      <c r="HF77" s="541"/>
      <c r="HG77" s="535"/>
      <c r="HH77" s="542"/>
      <c r="HI77" s="543"/>
      <c r="HJ77" s="541"/>
      <c r="HK77" s="535"/>
      <c r="HL77" s="542"/>
      <c r="HM77" s="543"/>
      <c r="HN77" s="541"/>
      <c r="HO77" s="535"/>
      <c r="HP77" s="542"/>
      <c r="HQ77" s="543"/>
      <c r="HR77" s="541"/>
      <c r="HS77" s="535"/>
      <c r="HT77" s="542"/>
      <c r="HU77" s="543"/>
    </row>
    <row r="78" spans="2:229" s="506" customFormat="1" ht="54.65" customHeight="1" x14ac:dyDescent="0.35">
      <c r="B78" s="544">
        <v>33</v>
      </c>
      <c r="C78" s="544" t="s">
        <v>145</v>
      </c>
      <c r="D78" s="545" t="s">
        <v>139</v>
      </c>
      <c r="E78" s="558" t="s">
        <v>352</v>
      </c>
      <c r="F78" s="546" t="s">
        <v>353</v>
      </c>
      <c r="G78" s="546" t="s">
        <v>46</v>
      </c>
      <c r="H78" s="547" t="s">
        <v>354</v>
      </c>
      <c r="I78" s="568"/>
      <c r="J78" s="568"/>
      <c r="K78" s="568">
        <f>P78+5</f>
        <v>46055</v>
      </c>
      <c r="L78" s="549" t="s">
        <v>306</v>
      </c>
      <c r="M78" s="569" t="s">
        <v>117</v>
      </c>
      <c r="N78" s="551">
        <v>0</v>
      </c>
      <c r="O78" s="552">
        <v>181</v>
      </c>
      <c r="P78" s="553">
        <v>46050</v>
      </c>
      <c r="Q78" s="553">
        <v>46120</v>
      </c>
      <c r="R78" s="554" t="s">
        <v>307</v>
      </c>
      <c r="S78" s="555">
        <f ca="1">IF(R78="Aprobado con comentarios / Emitir Rev_1", NETWORKDAYS(Q78,TODAY(),Hoja1!$C$3:$C$25),0)</f>
        <v>8</v>
      </c>
      <c r="T78" s="555">
        <f ca="1">IF(R78="Revisión INN",NETWORKDAYS(P78,TODAY(),Hoja1!$C$3:$C$25),0)</f>
        <v>0</v>
      </c>
      <c r="U78" s="556">
        <f t="shared" si="2"/>
        <v>2</v>
      </c>
      <c r="V78" s="557" t="s">
        <v>63</v>
      </c>
      <c r="W78" s="558">
        <v>56</v>
      </c>
      <c r="X78" s="558" t="s">
        <v>62</v>
      </c>
      <c r="Y78" s="559">
        <v>45957</v>
      </c>
      <c r="Z78" s="560">
        <v>53</v>
      </c>
      <c r="AA78" s="561">
        <v>45964</v>
      </c>
      <c r="AB78" s="562"/>
      <c r="AC78" s="561" t="s">
        <v>126</v>
      </c>
      <c r="AD78" s="563">
        <v>0</v>
      </c>
      <c r="AE78" s="567">
        <v>155</v>
      </c>
      <c r="AF78" s="564"/>
      <c r="AG78" s="565">
        <v>46050</v>
      </c>
      <c r="AH78" s="589">
        <v>181</v>
      </c>
      <c r="AI78" s="593">
        <v>46120</v>
      </c>
      <c r="AJ78" s="562"/>
      <c r="AK78" s="593" t="s">
        <v>307</v>
      </c>
      <c r="AL78" s="563"/>
      <c r="AM78" s="567"/>
      <c r="AN78" s="564"/>
      <c r="AO78" s="565"/>
      <c r="AP78" s="560"/>
      <c r="AQ78" s="561"/>
      <c r="AR78" s="562"/>
      <c r="AS78" s="561"/>
      <c r="AT78" s="563"/>
      <c r="AU78" s="567"/>
      <c r="AV78" s="564"/>
      <c r="AW78" s="565"/>
      <c r="AX78" s="560"/>
      <c r="AY78" s="561"/>
      <c r="AZ78" s="562"/>
      <c r="BA78" s="561"/>
      <c r="BB78" s="563"/>
      <c r="BC78" s="567"/>
      <c r="BD78" s="564"/>
      <c r="BE78" s="565"/>
      <c r="BF78" s="560"/>
      <c r="BG78" s="561"/>
      <c r="BH78" s="562"/>
      <c r="BI78" s="561"/>
      <c r="BJ78" s="563"/>
      <c r="BK78" s="567"/>
      <c r="BL78" s="564"/>
      <c r="BM78" s="565"/>
      <c r="BN78" s="560"/>
      <c r="BO78" s="561"/>
      <c r="BP78" s="562"/>
      <c r="BQ78" s="561"/>
      <c r="BR78" s="563"/>
      <c r="BS78" s="567"/>
      <c r="BT78" s="564"/>
      <c r="BU78" s="565"/>
      <c r="BV78" s="560"/>
      <c r="BW78" s="561"/>
      <c r="BX78" s="562"/>
      <c r="BY78" s="561"/>
      <c r="BZ78" s="563"/>
      <c r="CA78" s="567"/>
      <c r="CB78" s="564"/>
      <c r="CC78" s="565"/>
      <c r="CD78" s="560"/>
      <c r="CE78" s="561"/>
      <c r="CF78" s="562"/>
      <c r="CG78" s="561"/>
      <c r="CH78" s="563"/>
      <c r="CI78" s="564"/>
      <c r="CJ78" s="564"/>
      <c r="CK78" s="564"/>
      <c r="CL78" s="560"/>
      <c r="CM78" s="561"/>
      <c r="CN78" s="562"/>
      <c r="CO78" s="561"/>
      <c r="CP78" s="563"/>
      <c r="CQ78" s="564"/>
      <c r="CR78" s="564"/>
      <c r="CS78" s="564"/>
      <c r="CT78" s="560"/>
      <c r="CU78" s="561"/>
      <c r="CV78" s="562"/>
      <c r="CW78" s="561"/>
      <c r="CX78" s="563"/>
      <c r="CY78" s="564"/>
      <c r="CZ78" s="564"/>
      <c r="DA78" s="564"/>
      <c r="DB78" s="560"/>
      <c r="DC78" s="561"/>
      <c r="DD78" s="562"/>
      <c r="DE78" s="561"/>
      <c r="DF78" s="563"/>
      <c r="DG78" s="564"/>
      <c r="DH78" s="564"/>
      <c r="DI78" s="564"/>
      <c r="DJ78" s="560"/>
      <c r="DK78" s="561"/>
      <c r="DL78" s="562"/>
      <c r="DM78" s="561"/>
      <c r="DN78" s="563"/>
      <c r="DO78" s="564"/>
      <c r="DP78" s="564"/>
      <c r="DQ78" s="564"/>
      <c r="DR78" s="560"/>
      <c r="DS78" s="561"/>
      <c r="DT78" s="562"/>
      <c r="DU78" s="561"/>
      <c r="DV78" s="563"/>
      <c r="DW78" s="564"/>
      <c r="DX78" s="564"/>
      <c r="DY78" s="564"/>
      <c r="DZ78" s="560"/>
      <c r="EA78" s="561"/>
      <c r="EB78" s="562"/>
      <c r="EC78" s="561"/>
      <c r="ED78" s="563"/>
      <c r="EE78" s="564"/>
      <c r="EF78" s="564"/>
      <c r="EG78" s="564"/>
      <c r="EH78" s="560"/>
      <c r="EI78" s="561"/>
      <c r="EJ78" s="562"/>
      <c r="EK78" s="561"/>
      <c r="EL78" s="563"/>
      <c r="EM78" s="564"/>
      <c r="EN78" s="564"/>
      <c r="EO78" s="564"/>
      <c r="EP78" s="560"/>
      <c r="EQ78" s="561"/>
      <c r="ER78" s="562"/>
      <c r="ES78" s="561"/>
      <c r="ET78" s="563"/>
      <c r="EU78" s="564"/>
      <c r="EV78" s="564"/>
      <c r="EW78" s="564"/>
      <c r="EX78" s="560"/>
      <c r="EY78" s="561"/>
      <c r="EZ78" s="562"/>
      <c r="FA78" s="561"/>
      <c r="FB78" s="563"/>
      <c r="FC78" s="564"/>
      <c r="FD78" s="564"/>
      <c r="FE78" s="564"/>
      <c r="FF78" s="560"/>
      <c r="FG78" s="561"/>
      <c r="FH78" s="562"/>
      <c r="FI78" s="561"/>
      <c r="FJ78" s="563"/>
      <c r="FK78" s="564"/>
      <c r="FL78" s="564"/>
      <c r="FM78" s="564"/>
      <c r="FN78" s="560"/>
      <c r="FO78" s="561"/>
      <c r="FP78" s="562"/>
      <c r="FQ78" s="561"/>
      <c r="FR78" s="563"/>
      <c r="FS78" s="564"/>
      <c r="FT78" s="564"/>
      <c r="FU78" s="564"/>
      <c r="FV78" s="560"/>
      <c r="FW78" s="566"/>
      <c r="FX78" s="566"/>
      <c r="FY78" s="566"/>
      <c r="FZ78" s="563"/>
      <c r="GA78" s="564"/>
      <c r="GB78" s="564"/>
      <c r="GC78" s="564"/>
      <c r="GD78" s="560"/>
      <c r="GE78" s="566"/>
      <c r="GF78" s="566"/>
      <c r="GG78" s="566"/>
      <c r="GH78" s="563"/>
      <c r="GI78" s="564"/>
      <c r="GJ78" s="564"/>
      <c r="GK78" s="564"/>
      <c r="GL78" s="560"/>
      <c r="GM78" s="566"/>
      <c r="GN78" s="566"/>
      <c r="GO78" s="566"/>
      <c r="GP78" s="563"/>
      <c r="GQ78" s="564"/>
      <c r="GR78" s="564"/>
      <c r="GS78" s="564"/>
      <c r="GT78" s="560"/>
      <c r="GU78" s="566"/>
      <c r="GV78" s="566"/>
      <c r="GW78" s="566"/>
      <c r="GX78" s="563"/>
      <c r="GY78" s="564"/>
      <c r="GZ78" s="564"/>
      <c r="HA78" s="590"/>
      <c r="HB78" s="560"/>
      <c r="HC78" s="566"/>
      <c r="HD78" s="566"/>
      <c r="HE78" s="566"/>
      <c r="HF78" s="563"/>
      <c r="HG78" s="564"/>
      <c r="HH78" s="564"/>
      <c r="HI78" s="590"/>
      <c r="HJ78" s="560"/>
      <c r="HK78" s="566"/>
      <c r="HL78" s="566"/>
      <c r="HM78" s="566"/>
      <c r="HN78" s="563"/>
      <c r="HO78" s="564"/>
      <c r="HP78" s="564"/>
      <c r="HQ78" s="590"/>
      <c r="HR78" s="560"/>
      <c r="HS78" s="566"/>
      <c r="HT78" s="566"/>
      <c r="HU78" s="566"/>
    </row>
    <row r="79" spans="2:229" s="506" customFormat="1" ht="112" customHeight="1" x14ac:dyDescent="0.35">
      <c r="B79" s="544">
        <v>76</v>
      </c>
      <c r="C79" s="544" t="s">
        <v>145</v>
      </c>
      <c r="D79" s="545" t="s">
        <v>59</v>
      </c>
      <c r="E79" s="558" t="s">
        <v>355</v>
      </c>
      <c r="F79" s="546" t="s">
        <v>356</v>
      </c>
      <c r="G79" s="546" t="s">
        <v>46</v>
      </c>
      <c r="H79" s="547" t="s">
        <v>357</v>
      </c>
      <c r="I79" s="548">
        <f>Q79+5</f>
        <v>46110</v>
      </c>
      <c r="J79" s="568"/>
      <c r="K79" s="568" t="s">
        <v>62</v>
      </c>
      <c r="L79" s="549" t="s">
        <v>358</v>
      </c>
      <c r="M79" s="569" t="s">
        <v>117</v>
      </c>
      <c r="N79" s="821">
        <v>1</v>
      </c>
      <c r="O79" s="552">
        <v>163</v>
      </c>
      <c r="P79" s="553">
        <v>46100</v>
      </c>
      <c r="Q79" s="553">
        <v>46105</v>
      </c>
      <c r="R79" s="554" t="s">
        <v>67</v>
      </c>
      <c r="S79" s="555">
        <f ca="1">IF(R79="Aprobado con comentarios / Emitir Rev_0_RL4", NETWORKDAYS(Q79,TODAY(),Hoja1!$C$3:$C$25),0)</f>
        <v>0</v>
      </c>
      <c r="T79" s="555">
        <f ca="1">IF(R79="Revisión INN",NETWORKDAYS(P79,TODAY(),Hoja1!$C$3:$C$25),0)</f>
        <v>0</v>
      </c>
      <c r="U79" s="556">
        <f t="shared" si="2"/>
        <v>6</v>
      </c>
      <c r="V79" s="557" t="s">
        <v>63</v>
      </c>
      <c r="W79" s="558">
        <v>56</v>
      </c>
      <c r="X79" s="558" t="s">
        <v>62</v>
      </c>
      <c r="Y79" s="559">
        <v>45957</v>
      </c>
      <c r="Z79" s="560">
        <v>53</v>
      </c>
      <c r="AA79" s="561">
        <v>45964</v>
      </c>
      <c r="AB79" s="562"/>
      <c r="AC79" s="561" t="s">
        <v>126</v>
      </c>
      <c r="AD79" s="563">
        <v>0</v>
      </c>
      <c r="AE79" s="567">
        <v>66</v>
      </c>
      <c r="AF79" s="564"/>
      <c r="AG79" s="565">
        <v>45968</v>
      </c>
      <c r="AH79" s="560">
        <v>78</v>
      </c>
      <c r="AI79" s="594">
        <v>46007</v>
      </c>
      <c r="AJ79" s="562"/>
      <c r="AK79" s="560" t="s">
        <v>359</v>
      </c>
      <c r="AL79" s="563" t="s">
        <v>200</v>
      </c>
      <c r="AM79" s="567">
        <v>82</v>
      </c>
      <c r="AN79" s="564"/>
      <c r="AO79" s="565">
        <v>45985</v>
      </c>
      <c r="AP79" s="560">
        <v>81</v>
      </c>
      <c r="AQ79" s="561">
        <v>46009</v>
      </c>
      <c r="AR79" s="562"/>
      <c r="AS79" s="561" t="s">
        <v>360</v>
      </c>
      <c r="AT79" s="563" t="s">
        <v>361</v>
      </c>
      <c r="AU79" s="567">
        <v>123</v>
      </c>
      <c r="AV79" s="564"/>
      <c r="AW79" s="565">
        <v>46022</v>
      </c>
      <c r="AX79" s="560">
        <v>111</v>
      </c>
      <c r="AY79" s="561">
        <v>46041</v>
      </c>
      <c r="AZ79" s="562"/>
      <c r="BA79" s="561" t="s">
        <v>362</v>
      </c>
      <c r="BB79" s="563" t="s">
        <v>363</v>
      </c>
      <c r="BC79" s="567">
        <v>172</v>
      </c>
      <c r="BD79" s="564"/>
      <c r="BE79" s="565">
        <v>46065</v>
      </c>
      <c r="BF79" s="560">
        <v>147</v>
      </c>
      <c r="BG79" s="561">
        <v>46091</v>
      </c>
      <c r="BH79" s="562"/>
      <c r="BI79" s="655" t="s">
        <v>364</v>
      </c>
      <c r="BJ79" s="591" t="s">
        <v>365</v>
      </c>
      <c r="BK79" s="592">
        <v>226</v>
      </c>
      <c r="BL79" s="564"/>
      <c r="BM79" s="593">
        <v>46099</v>
      </c>
      <c r="BN79" s="822">
        <v>160</v>
      </c>
      <c r="BO79" s="823">
        <v>46104</v>
      </c>
      <c r="BP79" s="562"/>
      <c r="BQ79" s="823" t="s">
        <v>155</v>
      </c>
      <c r="BR79" s="563">
        <v>1</v>
      </c>
      <c r="BS79" s="567">
        <v>232</v>
      </c>
      <c r="BT79" s="564"/>
      <c r="BU79" s="565">
        <v>46100</v>
      </c>
      <c r="BV79" s="589">
        <v>163</v>
      </c>
      <c r="BW79" s="593">
        <v>46105</v>
      </c>
      <c r="BX79" s="562"/>
      <c r="BY79" s="593" t="s">
        <v>67</v>
      </c>
      <c r="BZ79" s="563"/>
      <c r="CA79" s="567"/>
      <c r="CB79" s="564"/>
      <c r="CC79" s="565"/>
      <c r="CD79" s="560"/>
      <c r="CE79" s="561"/>
      <c r="CF79" s="562"/>
      <c r="CG79" s="561"/>
      <c r="CH79" s="563"/>
      <c r="CI79" s="564"/>
      <c r="CJ79" s="564"/>
      <c r="CK79" s="564"/>
      <c r="CL79" s="560"/>
      <c r="CM79" s="561"/>
      <c r="CN79" s="562"/>
      <c r="CO79" s="561"/>
      <c r="CP79" s="563"/>
      <c r="CQ79" s="564"/>
      <c r="CR79" s="564"/>
      <c r="CS79" s="564"/>
      <c r="CT79" s="560"/>
      <c r="CU79" s="561"/>
      <c r="CV79" s="562"/>
      <c r="CW79" s="561"/>
      <c r="CX79" s="563"/>
      <c r="CY79" s="564"/>
      <c r="CZ79" s="564"/>
      <c r="DA79" s="564"/>
      <c r="DB79" s="560"/>
      <c r="DC79" s="561"/>
      <c r="DD79" s="562"/>
      <c r="DE79" s="561"/>
      <c r="DF79" s="563"/>
      <c r="DG79" s="564"/>
      <c r="DH79" s="564"/>
      <c r="DI79" s="564"/>
      <c r="DJ79" s="560"/>
      <c r="DK79" s="561"/>
      <c r="DL79" s="562"/>
      <c r="DM79" s="561"/>
      <c r="DN79" s="563"/>
      <c r="DO79" s="564"/>
      <c r="DP79" s="564"/>
      <c r="DQ79" s="564"/>
      <c r="DR79" s="560"/>
      <c r="DS79" s="561"/>
      <c r="DT79" s="562"/>
      <c r="DU79" s="561"/>
      <c r="DV79" s="563"/>
      <c r="DW79" s="564"/>
      <c r="DX79" s="564"/>
      <c r="DY79" s="564"/>
      <c r="DZ79" s="560"/>
      <c r="EA79" s="561"/>
      <c r="EB79" s="562"/>
      <c r="EC79" s="561"/>
      <c r="ED79" s="563"/>
      <c r="EE79" s="564"/>
      <c r="EF79" s="564"/>
      <c r="EG79" s="564"/>
      <c r="EH79" s="560"/>
      <c r="EI79" s="561"/>
      <c r="EJ79" s="562"/>
      <c r="EK79" s="561"/>
      <c r="EL79" s="563"/>
      <c r="EM79" s="564"/>
      <c r="EN79" s="564"/>
      <c r="EO79" s="564"/>
      <c r="EP79" s="560"/>
      <c r="EQ79" s="561"/>
      <c r="ER79" s="562"/>
      <c r="ES79" s="561"/>
      <c r="ET79" s="563"/>
      <c r="EU79" s="564"/>
      <c r="EV79" s="564"/>
      <c r="EW79" s="564"/>
      <c r="EX79" s="560"/>
      <c r="EY79" s="561"/>
      <c r="EZ79" s="562"/>
      <c r="FA79" s="561"/>
      <c r="FB79" s="563"/>
      <c r="FC79" s="564"/>
      <c r="FD79" s="564"/>
      <c r="FE79" s="564"/>
      <c r="FF79" s="560"/>
      <c r="FG79" s="561"/>
      <c r="FH79" s="562"/>
      <c r="FI79" s="561"/>
      <c r="FJ79" s="563"/>
      <c r="FK79" s="564"/>
      <c r="FL79" s="564"/>
      <c r="FM79" s="564"/>
      <c r="FN79" s="560"/>
      <c r="FO79" s="561"/>
      <c r="FP79" s="562"/>
      <c r="FQ79" s="561"/>
      <c r="FR79" s="563"/>
      <c r="FS79" s="564"/>
      <c r="FT79" s="564"/>
      <c r="FU79" s="564"/>
      <c r="FV79" s="560"/>
      <c r="FW79" s="566"/>
      <c r="FX79" s="566"/>
      <c r="FY79" s="566"/>
      <c r="FZ79" s="563"/>
      <c r="GA79" s="564"/>
      <c r="GB79" s="564"/>
      <c r="GC79" s="564"/>
      <c r="GD79" s="560"/>
      <c r="GE79" s="566"/>
      <c r="GF79" s="566"/>
      <c r="GG79" s="566"/>
      <c r="GH79" s="563"/>
      <c r="GI79" s="564"/>
      <c r="GJ79" s="564"/>
      <c r="GK79" s="564"/>
      <c r="GL79" s="560"/>
      <c r="GM79" s="566"/>
      <c r="GN79" s="566"/>
      <c r="GO79" s="566"/>
      <c r="GP79" s="563"/>
      <c r="GQ79" s="564"/>
      <c r="GR79" s="564"/>
      <c r="GS79" s="564"/>
      <c r="GT79" s="560"/>
      <c r="GU79" s="566"/>
      <c r="GV79" s="566"/>
      <c r="GW79" s="566"/>
      <c r="GX79" s="563"/>
      <c r="GY79" s="564"/>
      <c r="GZ79" s="564"/>
      <c r="HA79" s="590"/>
      <c r="HB79" s="560"/>
      <c r="HC79" s="566"/>
      <c r="HD79" s="566"/>
      <c r="HE79" s="566"/>
      <c r="HF79" s="563"/>
      <c r="HG79" s="564"/>
      <c r="HH79" s="564"/>
      <c r="HI79" s="590"/>
      <c r="HJ79" s="560"/>
      <c r="HK79" s="566"/>
      <c r="HL79" s="566"/>
      <c r="HM79" s="566"/>
      <c r="HN79" s="563"/>
      <c r="HO79" s="564"/>
      <c r="HP79" s="564"/>
      <c r="HQ79" s="590"/>
      <c r="HR79" s="560"/>
      <c r="HS79" s="566"/>
      <c r="HT79" s="566"/>
      <c r="HU79" s="566"/>
    </row>
    <row r="80" spans="2:229" s="506" customFormat="1" ht="82" customHeight="1" thickBot="1" x14ac:dyDescent="0.4">
      <c r="B80" s="544">
        <v>77</v>
      </c>
      <c r="C80" s="544" t="s">
        <v>145</v>
      </c>
      <c r="D80" s="545" t="s">
        <v>68</v>
      </c>
      <c r="E80" s="558" t="s">
        <v>366</v>
      </c>
      <c r="F80" s="546" t="s">
        <v>367</v>
      </c>
      <c r="G80" s="546" t="s">
        <v>368</v>
      </c>
      <c r="H80" s="547" t="s">
        <v>369</v>
      </c>
      <c r="I80" s="548">
        <f>Q80+5</f>
        <v>46125</v>
      </c>
      <c r="J80" s="548"/>
      <c r="K80" s="568" t="s">
        <v>62</v>
      </c>
      <c r="L80" s="548"/>
      <c r="M80" s="569" t="s">
        <v>117</v>
      </c>
      <c r="N80" s="551">
        <v>0</v>
      </c>
      <c r="O80" s="576">
        <v>178</v>
      </c>
      <c r="P80" s="553">
        <v>46077</v>
      </c>
      <c r="Q80" s="553">
        <v>46120</v>
      </c>
      <c r="R80" s="554" t="s">
        <v>155</v>
      </c>
      <c r="S80" s="555">
        <f ca="1">IF(R80="Aprobado con comentarios / Emitir Rev_1", NETWORKDAYS(Q80,TODAY(),Hoja1!$C$3:$C$25),0)</f>
        <v>8</v>
      </c>
      <c r="T80" s="555">
        <f ca="1">IF(R80="Revisión INN",NETWORKDAYS(P80,TODAY(),Hoja1!$C$3:$C$25),0)</f>
        <v>0</v>
      </c>
      <c r="U80" s="556">
        <f t="shared" si="2"/>
        <v>4</v>
      </c>
      <c r="V80" s="557" t="s">
        <v>125</v>
      </c>
      <c r="W80" s="558">
        <v>60</v>
      </c>
      <c r="X80" s="558"/>
      <c r="Y80" s="559">
        <v>45959</v>
      </c>
      <c r="Z80" s="560">
        <v>56</v>
      </c>
      <c r="AA80" s="561">
        <v>45965</v>
      </c>
      <c r="AB80" s="562"/>
      <c r="AC80" s="561" t="s">
        <v>167</v>
      </c>
      <c r="AD80" s="563" t="s">
        <v>63</v>
      </c>
      <c r="AE80" s="567">
        <v>66</v>
      </c>
      <c r="AF80" s="564"/>
      <c r="AG80" s="565">
        <v>45968</v>
      </c>
      <c r="AH80" s="560">
        <v>95</v>
      </c>
      <c r="AI80" s="594">
        <v>46027</v>
      </c>
      <c r="AJ80" s="562"/>
      <c r="AK80" s="560" t="s">
        <v>370</v>
      </c>
      <c r="AL80" s="563" t="s">
        <v>201</v>
      </c>
      <c r="AM80" s="567">
        <v>91</v>
      </c>
      <c r="AN80" s="564" t="s">
        <v>62</v>
      </c>
      <c r="AO80" s="565">
        <v>45993</v>
      </c>
      <c r="AP80" s="560">
        <v>72</v>
      </c>
      <c r="AQ80" s="561">
        <v>45996</v>
      </c>
      <c r="AR80" s="562"/>
      <c r="AS80" s="561" t="s">
        <v>371</v>
      </c>
      <c r="AT80" s="591">
        <v>0</v>
      </c>
      <c r="AU80" s="592">
        <v>191</v>
      </c>
      <c r="AV80" s="564"/>
      <c r="AW80" s="593">
        <v>46077</v>
      </c>
      <c r="AX80" s="560">
        <v>178</v>
      </c>
      <c r="AY80" s="561">
        <v>46120</v>
      </c>
      <c r="AZ80" s="562"/>
      <c r="BA80" s="561" t="s">
        <v>155</v>
      </c>
      <c r="BB80" s="563"/>
      <c r="BC80" s="567"/>
      <c r="BD80" s="564"/>
      <c r="BE80" s="565"/>
      <c r="BF80" s="560"/>
      <c r="BG80" s="561"/>
      <c r="BH80" s="562"/>
      <c r="BI80" s="561"/>
      <c r="BJ80" s="563"/>
      <c r="BK80" s="567"/>
      <c r="BL80" s="564"/>
      <c r="BM80" s="565"/>
      <c r="BN80" s="560"/>
      <c r="BO80" s="561"/>
      <c r="BP80" s="562"/>
      <c r="BQ80" s="561"/>
      <c r="BR80" s="563"/>
      <c r="BS80" s="567"/>
      <c r="BT80" s="564"/>
      <c r="BU80" s="565"/>
      <c r="BV80" s="560"/>
      <c r="BW80" s="561"/>
      <c r="BX80" s="562"/>
      <c r="BY80" s="561"/>
      <c r="BZ80" s="563"/>
      <c r="CA80" s="567"/>
      <c r="CB80" s="564"/>
      <c r="CC80" s="565"/>
      <c r="CD80" s="560"/>
      <c r="CE80" s="561"/>
      <c r="CF80" s="562"/>
      <c r="CG80" s="561"/>
      <c r="CH80" s="563"/>
      <c r="CI80" s="564"/>
      <c r="CJ80" s="564"/>
      <c r="CK80" s="564"/>
      <c r="CL80" s="560"/>
      <c r="CM80" s="561"/>
      <c r="CN80" s="562"/>
      <c r="CO80" s="561"/>
      <c r="CP80" s="563"/>
      <c r="CQ80" s="564"/>
      <c r="CR80" s="564"/>
      <c r="CS80" s="564"/>
      <c r="CT80" s="560"/>
      <c r="CU80" s="561"/>
      <c r="CV80" s="562"/>
      <c r="CW80" s="561"/>
      <c r="CX80" s="563"/>
      <c r="CY80" s="564"/>
      <c r="CZ80" s="564"/>
      <c r="DA80" s="564"/>
      <c r="DB80" s="560"/>
      <c r="DC80" s="561"/>
      <c r="DD80" s="562"/>
      <c r="DE80" s="561"/>
      <c r="DF80" s="563"/>
      <c r="DG80" s="564"/>
      <c r="DH80" s="564"/>
      <c r="DI80" s="564"/>
      <c r="DJ80" s="560"/>
      <c r="DK80" s="561"/>
      <c r="DL80" s="562"/>
      <c r="DM80" s="561"/>
      <c r="DN80" s="563"/>
      <c r="DO80" s="564"/>
      <c r="DP80" s="564"/>
      <c r="DQ80" s="564"/>
      <c r="DR80" s="560"/>
      <c r="DS80" s="561"/>
      <c r="DT80" s="562"/>
      <c r="DU80" s="561"/>
      <c r="DV80" s="563"/>
      <c r="DW80" s="564"/>
      <c r="DX80" s="564"/>
      <c r="DY80" s="564"/>
      <c r="DZ80" s="560"/>
      <c r="EA80" s="561"/>
      <c r="EB80" s="562"/>
      <c r="EC80" s="561"/>
      <c r="ED80" s="563"/>
      <c r="EE80" s="564"/>
      <c r="EF80" s="564"/>
      <c r="EG80" s="564"/>
      <c r="EH80" s="560"/>
      <c r="EI80" s="561"/>
      <c r="EJ80" s="562"/>
      <c r="EK80" s="561"/>
      <c r="EL80" s="563"/>
      <c r="EM80" s="564"/>
      <c r="EN80" s="564"/>
      <c r="EO80" s="564"/>
      <c r="EP80" s="560"/>
      <c r="EQ80" s="561"/>
      <c r="ER80" s="562"/>
      <c r="ES80" s="561"/>
      <c r="ET80" s="563"/>
      <c r="EU80" s="564"/>
      <c r="EV80" s="564"/>
      <c r="EW80" s="564"/>
      <c r="EX80" s="560"/>
      <c r="EY80" s="561"/>
      <c r="EZ80" s="562"/>
      <c r="FA80" s="561"/>
      <c r="FB80" s="563"/>
      <c r="FC80" s="564"/>
      <c r="FD80" s="564"/>
      <c r="FE80" s="564"/>
      <c r="FF80" s="560"/>
      <c r="FG80" s="561"/>
      <c r="FH80" s="562"/>
      <c r="FI80" s="561"/>
      <c r="FJ80" s="563"/>
      <c r="FK80" s="564"/>
      <c r="FL80" s="564"/>
      <c r="FM80" s="564"/>
      <c r="FN80" s="560"/>
      <c r="FO80" s="561"/>
      <c r="FP80" s="562"/>
      <c r="FQ80" s="561"/>
      <c r="FR80" s="563"/>
      <c r="FS80" s="564"/>
      <c r="FT80" s="564"/>
      <c r="FU80" s="564"/>
      <c r="FV80" s="560"/>
      <c r="FW80" s="566"/>
      <c r="FX80" s="566"/>
      <c r="FY80" s="566"/>
      <c r="FZ80" s="563"/>
      <c r="GA80" s="564"/>
      <c r="GB80" s="564"/>
      <c r="GC80" s="564"/>
      <c r="GD80" s="560"/>
      <c r="GE80" s="566"/>
      <c r="GF80" s="566"/>
      <c r="GG80" s="566"/>
      <c r="GH80" s="563"/>
      <c r="GI80" s="564"/>
      <c r="GJ80" s="564"/>
      <c r="GK80" s="564"/>
      <c r="GL80" s="560"/>
      <c r="GM80" s="566"/>
      <c r="GN80" s="566"/>
      <c r="GO80" s="566"/>
      <c r="GP80" s="563"/>
      <c r="GQ80" s="564"/>
      <c r="GR80" s="564"/>
      <c r="GS80" s="564"/>
      <c r="GT80" s="560"/>
      <c r="GU80" s="566"/>
      <c r="GV80" s="566"/>
      <c r="GW80" s="566"/>
      <c r="GX80" s="563"/>
      <c r="GY80" s="564"/>
      <c r="GZ80" s="564"/>
      <c r="HA80" s="590"/>
      <c r="HB80" s="560"/>
      <c r="HC80" s="566"/>
      <c r="HD80" s="566"/>
      <c r="HE80" s="566"/>
      <c r="HF80" s="563"/>
      <c r="HG80" s="564"/>
      <c r="HH80" s="564"/>
      <c r="HI80" s="590"/>
      <c r="HJ80" s="560"/>
      <c r="HK80" s="566"/>
      <c r="HL80" s="566"/>
      <c r="HM80" s="566"/>
      <c r="HN80" s="563"/>
      <c r="HO80" s="564"/>
      <c r="HP80" s="564"/>
      <c r="HQ80" s="590"/>
      <c r="HR80" s="560"/>
      <c r="HS80" s="566"/>
      <c r="HT80" s="566"/>
      <c r="HU80" s="566"/>
    </row>
    <row r="81" spans="2:229" s="506" customFormat="1" ht="75" customHeight="1" x14ac:dyDescent="0.35">
      <c r="B81" s="544">
        <v>78</v>
      </c>
      <c r="C81" s="544"/>
      <c r="D81" s="545" t="s">
        <v>372</v>
      </c>
      <c r="E81" s="545" t="s">
        <v>373</v>
      </c>
      <c r="F81" s="546" t="s">
        <v>374</v>
      </c>
      <c r="G81" s="546" t="s">
        <v>375</v>
      </c>
      <c r="H81" s="547" t="s">
        <v>376</v>
      </c>
      <c r="I81" s="572"/>
      <c r="J81" s="572"/>
      <c r="K81" s="568">
        <f>P81+5</f>
        <v>46049</v>
      </c>
      <c r="L81" s="572"/>
      <c r="M81" s="569" t="s">
        <v>117</v>
      </c>
      <c r="N81" s="551">
        <v>0</v>
      </c>
      <c r="O81" s="552">
        <v>153</v>
      </c>
      <c r="P81" s="553">
        <v>46044</v>
      </c>
      <c r="Q81" s="553">
        <v>46076</v>
      </c>
      <c r="R81" s="554" t="s">
        <v>67</v>
      </c>
      <c r="S81" s="555">
        <f ca="1">IF(R81="Aprobado con comentarios / Emitir en Rev_0", NETWORKDAYS(Q81,TODAY(),Hoja1!$C$3:$C$25),0)</f>
        <v>0</v>
      </c>
      <c r="T81" s="555">
        <f ca="1">IF(R81="Revisión INN",NETWORKDAYS(P81,TODAY(),Hoja1!$C$3:$C$25),0)</f>
        <v>0</v>
      </c>
      <c r="U81" s="556">
        <f t="shared" si="2"/>
        <v>3</v>
      </c>
      <c r="V81" s="557" t="s">
        <v>125</v>
      </c>
      <c r="W81" s="558">
        <v>120</v>
      </c>
      <c r="X81" s="558"/>
      <c r="Y81" s="559">
        <v>46020</v>
      </c>
      <c r="Z81" s="560">
        <v>91</v>
      </c>
      <c r="AA81" s="561">
        <v>46021</v>
      </c>
      <c r="AB81" s="562"/>
      <c r="AC81" s="561" t="s">
        <v>167</v>
      </c>
      <c r="AD81" s="563" t="s">
        <v>63</v>
      </c>
      <c r="AE81" s="567">
        <v>121</v>
      </c>
      <c r="AF81" s="564"/>
      <c r="AG81" s="565">
        <v>46021</v>
      </c>
      <c r="AH81" s="560" t="s">
        <v>377</v>
      </c>
      <c r="AI81" s="560" t="s">
        <v>377</v>
      </c>
      <c r="AJ81" s="562"/>
      <c r="AK81" s="560" t="s">
        <v>377</v>
      </c>
      <c r="AL81" s="563">
        <v>0</v>
      </c>
      <c r="AM81" s="567">
        <v>145</v>
      </c>
      <c r="AN81" s="564"/>
      <c r="AO81" s="565">
        <v>46044</v>
      </c>
      <c r="AP81" s="589" t="s">
        <v>378</v>
      </c>
      <c r="AQ81" s="593" t="s">
        <v>379</v>
      </c>
      <c r="AR81" s="562"/>
      <c r="AS81" s="593" t="s">
        <v>67</v>
      </c>
      <c r="AT81" s="563"/>
      <c r="AU81" s="567"/>
      <c r="AV81" s="564"/>
      <c r="AW81" s="565"/>
      <c r="AX81" s="560"/>
      <c r="AY81" s="561"/>
      <c r="AZ81" s="562"/>
      <c r="BA81" s="561"/>
      <c r="BB81" s="563"/>
      <c r="BC81" s="567"/>
      <c r="BD81" s="564"/>
      <c r="BE81" s="565"/>
      <c r="BF81" s="560"/>
      <c r="BG81" s="561"/>
      <c r="BH81" s="562"/>
      <c r="BI81" s="561"/>
      <c r="BJ81" s="563"/>
      <c r="BK81" s="567"/>
      <c r="BL81" s="564"/>
      <c r="BM81" s="565"/>
      <c r="BN81" s="560"/>
      <c r="BO81" s="561"/>
      <c r="BP81" s="562"/>
      <c r="BQ81" s="561"/>
      <c r="BR81" s="563"/>
      <c r="BS81" s="567"/>
      <c r="BT81" s="564"/>
      <c r="BU81" s="565"/>
      <c r="BV81" s="560"/>
      <c r="BW81" s="561"/>
      <c r="BX81" s="562"/>
      <c r="BY81" s="561"/>
      <c r="BZ81" s="563"/>
      <c r="CA81" s="567"/>
      <c r="CB81" s="564"/>
      <c r="CC81" s="565"/>
      <c r="CD81" s="560"/>
      <c r="CE81" s="561"/>
      <c r="CF81" s="562"/>
      <c r="CG81" s="561"/>
      <c r="CH81" s="563"/>
      <c r="CI81" s="564"/>
      <c r="CJ81" s="564"/>
      <c r="CK81" s="564"/>
      <c r="CL81" s="560"/>
      <c r="CM81" s="561"/>
      <c r="CN81" s="562"/>
      <c r="CO81" s="561"/>
      <c r="CP81" s="563"/>
      <c r="CQ81" s="564"/>
      <c r="CR81" s="564"/>
      <c r="CS81" s="564"/>
      <c r="CT81" s="560"/>
      <c r="CU81" s="561"/>
      <c r="CV81" s="562"/>
      <c r="CW81" s="561"/>
      <c r="CX81" s="563"/>
      <c r="CY81" s="564"/>
      <c r="CZ81" s="564"/>
      <c r="DA81" s="564"/>
      <c r="DB81" s="560"/>
      <c r="DC81" s="561"/>
      <c r="DD81" s="562"/>
      <c r="DE81" s="561"/>
      <c r="DF81" s="563"/>
      <c r="DG81" s="564"/>
      <c r="DH81" s="564"/>
      <c r="DI81" s="564"/>
      <c r="DJ81" s="560"/>
      <c r="DK81" s="561"/>
      <c r="DL81" s="562"/>
      <c r="DM81" s="561"/>
      <c r="DN81" s="563"/>
      <c r="DO81" s="564"/>
      <c r="DP81" s="564"/>
      <c r="DQ81" s="564"/>
      <c r="DR81" s="560"/>
      <c r="DS81" s="561"/>
      <c r="DT81" s="562"/>
      <c r="DU81" s="561"/>
      <c r="DV81" s="563"/>
      <c r="DW81" s="564"/>
      <c r="DX81" s="564"/>
      <c r="DY81" s="564"/>
      <c r="DZ81" s="560"/>
      <c r="EA81" s="561"/>
      <c r="EB81" s="562"/>
      <c r="EC81" s="561"/>
      <c r="ED81" s="563"/>
      <c r="EE81" s="564"/>
      <c r="EF81" s="564"/>
      <c r="EG81" s="564"/>
      <c r="EH81" s="560"/>
      <c r="EI81" s="561"/>
      <c r="EJ81" s="562"/>
      <c r="EK81" s="561"/>
      <c r="EL81" s="563"/>
      <c r="EM81" s="564"/>
      <c r="EN81" s="564"/>
      <c r="EO81" s="564"/>
      <c r="EP81" s="560"/>
      <c r="EQ81" s="561"/>
      <c r="ER81" s="562"/>
      <c r="ES81" s="561"/>
      <c r="ET81" s="563"/>
      <c r="EU81" s="564"/>
      <c r="EV81" s="564"/>
      <c r="EW81" s="564"/>
      <c r="EX81" s="560"/>
      <c r="EY81" s="561"/>
      <c r="EZ81" s="562"/>
      <c r="FA81" s="561"/>
      <c r="FB81" s="563"/>
      <c r="FC81" s="564"/>
      <c r="FD81" s="564"/>
      <c r="FE81" s="564"/>
      <c r="FF81" s="560"/>
      <c r="FG81" s="561"/>
      <c r="FH81" s="562"/>
      <c r="FI81" s="561"/>
      <c r="FJ81" s="563"/>
      <c r="FK81" s="564"/>
      <c r="FL81" s="564"/>
      <c r="FM81" s="564"/>
      <c r="FN81" s="560"/>
      <c r="FO81" s="561"/>
      <c r="FP81" s="562"/>
      <c r="FQ81" s="561"/>
      <c r="FR81" s="563"/>
      <c r="FS81" s="564"/>
      <c r="FT81" s="564"/>
      <c r="FU81" s="564"/>
      <c r="FV81" s="560"/>
      <c r="FW81" s="566"/>
      <c r="FX81" s="566"/>
      <c r="FY81" s="566"/>
      <c r="FZ81" s="563"/>
      <c r="GA81" s="564"/>
      <c r="GB81" s="564"/>
      <c r="GC81" s="564"/>
      <c r="GD81" s="560"/>
      <c r="GE81" s="566"/>
      <c r="GF81" s="566"/>
      <c r="GG81" s="566"/>
      <c r="GH81" s="563"/>
      <c r="GI81" s="564"/>
      <c r="GJ81" s="564"/>
      <c r="GK81" s="564"/>
      <c r="GL81" s="560"/>
      <c r="GM81" s="566"/>
      <c r="GN81" s="566"/>
      <c r="GO81" s="566"/>
      <c r="GP81" s="563"/>
      <c r="GQ81" s="564"/>
      <c r="GR81" s="564"/>
      <c r="GS81" s="564"/>
      <c r="GT81" s="560"/>
      <c r="GU81" s="566"/>
      <c r="GV81" s="566"/>
      <c r="GW81" s="566"/>
      <c r="GX81" s="541"/>
      <c r="GY81" s="535"/>
      <c r="GZ81" s="542"/>
      <c r="HA81" s="543"/>
      <c r="HB81" s="541"/>
      <c r="HC81" s="535"/>
      <c r="HD81" s="542"/>
      <c r="HE81" s="543"/>
      <c r="HF81" s="541"/>
      <c r="HG81" s="535"/>
      <c r="HH81" s="542"/>
      <c r="HI81" s="543"/>
      <c r="HJ81" s="541"/>
      <c r="HK81" s="535"/>
      <c r="HL81" s="542"/>
      <c r="HM81" s="543"/>
      <c r="HN81" s="541"/>
      <c r="HO81" s="535"/>
      <c r="HP81" s="542"/>
      <c r="HQ81" s="543"/>
      <c r="HR81" s="541"/>
      <c r="HS81" s="535"/>
      <c r="HT81" s="542"/>
      <c r="HU81" s="543"/>
    </row>
    <row r="82" spans="2:229" s="506" customFormat="1" ht="75" customHeight="1" x14ac:dyDescent="0.35">
      <c r="B82" s="544">
        <v>79</v>
      </c>
      <c r="C82" s="544" t="s">
        <v>145</v>
      </c>
      <c r="D82" s="545" t="s">
        <v>68</v>
      </c>
      <c r="E82" s="558" t="s">
        <v>380</v>
      </c>
      <c r="F82" s="546" t="s">
        <v>381</v>
      </c>
      <c r="G82" s="546" t="s">
        <v>46</v>
      </c>
      <c r="H82" s="547" t="s">
        <v>382</v>
      </c>
      <c r="I82" s="548" t="s">
        <v>86</v>
      </c>
      <c r="J82" s="568"/>
      <c r="K82" s="568" t="s">
        <v>86</v>
      </c>
      <c r="L82" s="847" t="s">
        <v>348</v>
      </c>
      <c r="M82" s="569" t="s">
        <v>117</v>
      </c>
      <c r="N82" s="658" t="s">
        <v>349</v>
      </c>
      <c r="O82" s="552">
        <v>176</v>
      </c>
      <c r="P82" s="553">
        <v>46113</v>
      </c>
      <c r="Q82" s="553">
        <v>46118</v>
      </c>
      <c r="R82" s="554" t="s">
        <v>67</v>
      </c>
      <c r="S82" s="555">
        <f ca="1">IF(R82="Aprobado con comentarios / Emitir Rev_1", NETWORKDAYS(Q82,TODAY(),Hoja1!$C$3:$C$25),0)</f>
        <v>0</v>
      </c>
      <c r="T82" s="555">
        <f ca="1">IF(R82="Revisión INN",NETWORKDAYS(P82,TODAY(),Hoja1!$C$3:$C$25),0)</f>
        <v>0</v>
      </c>
      <c r="U82" s="556">
        <f t="shared" ref="U82:U113" si="3">ROUNDUP(((COUNTA(V82:GW82)/4)/2),0)</f>
        <v>5</v>
      </c>
      <c r="V82" s="557" t="s">
        <v>63</v>
      </c>
      <c r="W82" s="558">
        <v>56</v>
      </c>
      <c r="X82" s="558" t="s">
        <v>62</v>
      </c>
      <c r="Y82" s="559">
        <v>45957</v>
      </c>
      <c r="Z82" s="560">
        <v>53</v>
      </c>
      <c r="AA82" s="561">
        <v>45964</v>
      </c>
      <c r="AB82" s="562"/>
      <c r="AC82" s="561" t="s">
        <v>186</v>
      </c>
      <c r="AD82" s="563">
        <v>0</v>
      </c>
      <c r="AE82" s="567">
        <v>82</v>
      </c>
      <c r="AF82" s="564"/>
      <c r="AG82" s="565">
        <v>45985</v>
      </c>
      <c r="AH82" s="560">
        <v>81</v>
      </c>
      <c r="AI82" s="561">
        <v>46009</v>
      </c>
      <c r="AJ82" s="562"/>
      <c r="AK82" s="561" t="s">
        <v>155</v>
      </c>
      <c r="AL82" s="563">
        <v>1</v>
      </c>
      <c r="AM82" s="567">
        <v>125</v>
      </c>
      <c r="AN82" s="564"/>
      <c r="AO82" s="565">
        <v>46022</v>
      </c>
      <c r="AP82" s="560">
        <v>109</v>
      </c>
      <c r="AQ82" s="561">
        <v>46041</v>
      </c>
      <c r="AR82" s="562"/>
      <c r="AS82" s="561" t="s">
        <v>133</v>
      </c>
      <c r="AT82" s="563" t="s">
        <v>184</v>
      </c>
      <c r="AU82" s="567">
        <v>147</v>
      </c>
      <c r="AV82" s="564"/>
      <c r="AW82" s="565">
        <v>46045</v>
      </c>
      <c r="AX82" s="560">
        <v>125</v>
      </c>
      <c r="AY82" s="561">
        <v>46050</v>
      </c>
      <c r="AZ82" s="562"/>
      <c r="BA82" s="561" t="s">
        <v>67</v>
      </c>
      <c r="BB82" s="563">
        <v>2</v>
      </c>
      <c r="BC82" s="567">
        <v>215</v>
      </c>
      <c r="BD82" s="564"/>
      <c r="BE82" s="565">
        <v>46091</v>
      </c>
      <c r="BF82" s="560">
        <v>172</v>
      </c>
      <c r="BG82" s="561">
        <v>46113</v>
      </c>
      <c r="BH82" s="562"/>
      <c r="BI82" s="845" t="s">
        <v>350</v>
      </c>
      <c r="BJ82" s="563" t="s">
        <v>349</v>
      </c>
      <c r="BK82" s="567">
        <v>252</v>
      </c>
      <c r="BL82" s="564"/>
      <c r="BM82" s="565">
        <v>46113</v>
      </c>
      <c r="BN82" s="589">
        <v>176</v>
      </c>
      <c r="BO82" s="593">
        <v>46118</v>
      </c>
      <c r="BP82" s="562"/>
      <c r="BQ82" s="593" t="s">
        <v>351</v>
      </c>
      <c r="BR82" s="563"/>
      <c r="BS82" s="567"/>
      <c r="BT82" s="564"/>
      <c r="BU82" s="565"/>
      <c r="BV82" s="560"/>
      <c r="BW82" s="561"/>
      <c r="BX82" s="562"/>
      <c r="BY82" s="561"/>
      <c r="BZ82" s="563"/>
      <c r="CA82" s="567"/>
      <c r="CB82" s="564"/>
      <c r="CC82" s="565"/>
      <c r="CD82" s="560"/>
      <c r="CE82" s="561"/>
      <c r="CF82" s="562"/>
      <c r="CG82" s="561"/>
      <c r="CH82" s="563"/>
      <c r="CI82" s="564"/>
      <c r="CJ82" s="564"/>
      <c r="CK82" s="564"/>
      <c r="CL82" s="560"/>
      <c r="CM82" s="561"/>
      <c r="CN82" s="562"/>
      <c r="CO82" s="561"/>
      <c r="CP82" s="563"/>
      <c r="CQ82" s="564"/>
      <c r="CR82" s="564"/>
      <c r="CS82" s="564"/>
      <c r="CT82" s="560"/>
      <c r="CU82" s="561"/>
      <c r="CV82" s="562"/>
      <c r="CW82" s="561"/>
      <c r="CX82" s="563"/>
      <c r="CY82" s="564"/>
      <c r="CZ82" s="564"/>
      <c r="DA82" s="564"/>
      <c r="DB82" s="560"/>
      <c r="DC82" s="561"/>
      <c r="DD82" s="562"/>
      <c r="DE82" s="561"/>
      <c r="DF82" s="563"/>
      <c r="DG82" s="564"/>
      <c r="DH82" s="564"/>
      <c r="DI82" s="564"/>
      <c r="DJ82" s="560"/>
      <c r="DK82" s="561"/>
      <c r="DL82" s="562"/>
      <c r="DM82" s="561"/>
      <c r="DN82" s="563"/>
      <c r="DO82" s="564"/>
      <c r="DP82" s="564"/>
      <c r="DQ82" s="564"/>
      <c r="DR82" s="560"/>
      <c r="DS82" s="561"/>
      <c r="DT82" s="562"/>
      <c r="DU82" s="561"/>
      <c r="DV82" s="563"/>
      <c r="DW82" s="564"/>
      <c r="DX82" s="564"/>
      <c r="DY82" s="564"/>
      <c r="DZ82" s="560"/>
      <c r="EA82" s="561"/>
      <c r="EB82" s="562"/>
      <c r="EC82" s="561"/>
      <c r="ED82" s="563"/>
      <c r="EE82" s="564"/>
      <c r="EF82" s="564"/>
      <c r="EG82" s="564"/>
      <c r="EH82" s="560"/>
      <c r="EI82" s="561"/>
      <c r="EJ82" s="562"/>
      <c r="EK82" s="561"/>
      <c r="EL82" s="563"/>
      <c r="EM82" s="564"/>
      <c r="EN82" s="564"/>
      <c r="EO82" s="564"/>
      <c r="EP82" s="560"/>
      <c r="EQ82" s="561"/>
      <c r="ER82" s="562"/>
      <c r="ES82" s="561"/>
      <c r="ET82" s="563"/>
      <c r="EU82" s="564"/>
      <c r="EV82" s="564"/>
      <c r="EW82" s="564"/>
      <c r="EX82" s="560"/>
      <c r="EY82" s="561"/>
      <c r="EZ82" s="562"/>
      <c r="FA82" s="561"/>
      <c r="FB82" s="563"/>
      <c r="FC82" s="564"/>
      <c r="FD82" s="564"/>
      <c r="FE82" s="564"/>
      <c r="FF82" s="560"/>
      <c r="FG82" s="561"/>
      <c r="FH82" s="562"/>
      <c r="FI82" s="561"/>
      <c r="FJ82" s="563"/>
      <c r="FK82" s="564"/>
      <c r="FL82" s="564"/>
      <c r="FM82" s="564"/>
      <c r="FN82" s="560"/>
      <c r="FO82" s="561"/>
      <c r="FP82" s="562"/>
      <c r="FQ82" s="561"/>
      <c r="FR82" s="563"/>
      <c r="FS82" s="564"/>
      <c r="FT82" s="564"/>
      <c r="FU82" s="564"/>
      <c r="FV82" s="560"/>
      <c r="FW82" s="566"/>
      <c r="FX82" s="566"/>
      <c r="FY82" s="566"/>
      <c r="FZ82" s="563"/>
      <c r="GA82" s="564"/>
      <c r="GB82" s="564"/>
      <c r="GC82" s="564"/>
      <c r="GD82" s="560"/>
      <c r="GE82" s="566"/>
      <c r="GF82" s="566"/>
      <c r="GG82" s="566"/>
      <c r="GH82" s="563"/>
      <c r="GI82" s="564"/>
      <c r="GJ82" s="564"/>
      <c r="GK82" s="564"/>
      <c r="GL82" s="560"/>
      <c r="GM82" s="566"/>
      <c r="GN82" s="566"/>
      <c r="GO82" s="566"/>
      <c r="GP82" s="563"/>
      <c r="GQ82" s="564"/>
      <c r="GR82" s="564"/>
      <c r="GS82" s="564"/>
      <c r="GT82" s="560"/>
      <c r="GU82" s="566"/>
      <c r="GV82" s="566"/>
      <c r="GW82" s="566"/>
      <c r="GX82" s="563"/>
      <c r="GY82" s="564"/>
      <c r="GZ82" s="564"/>
      <c r="HA82" s="590"/>
      <c r="HB82" s="560"/>
      <c r="HC82" s="566"/>
      <c r="HD82" s="566"/>
      <c r="HE82" s="566"/>
      <c r="HF82" s="563"/>
      <c r="HG82" s="564"/>
      <c r="HH82" s="564"/>
      <c r="HI82" s="590"/>
      <c r="HJ82" s="560"/>
      <c r="HK82" s="566"/>
      <c r="HL82" s="566"/>
      <c r="HM82" s="566"/>
      <c r="HN82" s="563"/>
      <c r="HO82" s="564"/>
      <c r="HP82" s="564"/>
      <c r="HQ82" s="590"/>
      <c r="HR82" s="560"/>
      <c r="HS82" s="566"/>
      <c r="HT82" s="566"/>
      <c r="HU82" s="566"/>
    </row>
    <row r="83" spans="2:229" s="506" customFormat="1" ht="54.65" customHeight="1" x14ac:dyDescent="0.35">
      <c r="B83" s="544">
        <v>88</v>
      </c>
      <c r="C83" s="577" t="s">
        <v>145</v>
      </c>
      <c r="D83" s="545" t="s">
        <v>59</v>
      </c>
      <c r="E83" s="545" t="s">
        <v>383</v>
      </c>
      <c r="F83" s="546" t="s">
        <v>384</v>
      </c>
      <c r="G83" s="546" t="s">
        <v>385</v>
      </c>
      <c r="H83" s="547" t="s">
        <v>386</v>
      </c>
      <c r="I83" s="568"/>
      <c r="J83" s="568"/>
      <c r="K83" s="568">
        <f>P83+5</f>
        <v>46074</v>
      </c>
      <c r="L83" s="549" t="s">
        <v>387</v>
      </c>
      <c r="M83" s="569" t="s">
        <v>117</v>
      </c>
      <c r="N83" s="658" t="s">
        <v>184</v>
      </c>
      <c r="O83" s="552">
        <v>179</v>
      </c>
      <c r="P83" s="553">
        <v>46069</v>
      </c>
      <c r="Q83" s="553">
        <v>46120</v>
      </c>
      <c r="R83" s="554" t="s">
        <v>185</v>
      </c>
      <c r="S83" s="555">
        <f ca="1">IF(R83="Aprobado con comentarios / Emitir Rev_2", NETWORKDAYS(Q83,TODAY(),Hoja1!$C$3:$C$25),0)</f>
        <v>8</v>
      </c>
      <c r="T83" s="555">
        <f ca="1">IF(R83="Revisión INN",NETWORKDAYS(P83,TODAY(),Hoja1!$C$3:$C$25),0)</f>
        <v>0</v>
      </c>
      <c r="U83" s="556">
        <f t="shared" si="3"/>
        <v>5</v>
      </c>
      <c r="V83" s="557" t="s">
        <v>125</v>
      </c>
      <c r="W83" s="558">
        <v>19</v>
      </c>
      <c r="X83" s="575"/>
      <c r="Y83" s="559">
        <v>45916</v>
      </c>
      <c r="Z83" s="560">
        <v>18</v>
      </c>
      <c r="AA83" s="561">
        <v>45917</v>
      </c>
      <c r="AB83" s="562">
        <f>AA83-Y83</f>
        <v>1</v>
      </c>
      <c r="AC83" s="561" t="s">
        <v>388</v>
      </c>
      <c r="AD83" s="563" t="s">
        <v>63</v>
      </c>
      <c r="AE83" s="567">
        <v>31</v>
      </c>
      <c r="AF83" s="564">
        <f>AG83-AA83</f>
        <v>14</v>
      </c>
      <c r="AG83" s="559">
        <v>45931</v>
      </c>
      <c r="AH83" s="560">
        <v>47</v>
      </c>
      <c r="AI83" s="561">
        <v>45952</v>
      </c>
      <c r="AJ83" s="562">
        <f>AI83-AG83</f>
        <v>21</v>
      </c>
      <c r="AK83" s="561" t="s">
        <v>89</v>
      </c>
      <c r="AL83" s="563">
        <v>0</v>
      </c>
      <c r="AM83" s="567">
        <v>85</v>
      </c>
      <c r="AN83" s="564"/>
      <c r="AO83" s="559">
        <v>45988</v>
      </c>
      <c r="AP83" s="560">
        <v>79</v>
      </c>
      <c r="AQ83" s="561">
        <v>46007</v>
      </c>
      <c r="AR83" s="562"/>
      <c r="AS83" s="561" t="s">
        <v>389</v>
      </c>
      <c r="AT83" s="563">
        <v>1</v>
      </c>
      <c r="AU83" s="567">
        <v>123</v>
      </c>
      <c r="AV83" s="564"/>
      <c r="AW83" s="559">
        <v>46022</v>
      </c>
      <c r="AX83" s="560" t="s">
        <v>221</v>
      </c>
      <c r="AY83" s="560" t="s">
        <v>221</v>
      </c>
      <c r="AZ83" s="562"/>
      <c r="BA83" s="560" t="s">
        <v>221</v>
      </c>
      <c r="BB83" s="563" t="s">
        <v>184</v>
      </c>
      <c r="BC83" s="567">
        <v>176</v>
      </c>
      <c r="BD83" s="564"/>
      <c r="BE83" s="559">
        <v>46069</v>
      </c>
      <c r="BF83" s="589">
        <v>179</v>
      </c>
      <c r="BG83" s="593">
        <v>46120</v>
      </c>
      <c r="BH83" s="562"/>
      <c r="BI83" s="593" t="s">
        <v>185</v>
      </c>
      <c r="BJ83" s="563"/>
      <c r="BK83" s="567"/>
      <c r="BL83" s="564"/>
      <c r="BM83" s="559"/>
      <c r="BN83" s="560"/>
      <c r="BO83" s="561"/>
      <c r="BP83" s="562"/>
      <c r="BQ83" s="561"/>
      <c r="BR83" s="563"/>
      <c r="BS83" s="567"/>
      <c r="BT83" s="564"/>
      <c r="BU83" s="559"/>
      <c r="BV83" s="560"/>
      <c r="BW83" s="561"/>
      <c r="BX83" s="562"/>
      <c r="BY83" s="561"/>
      <c r="BZ83" s="563"/>
      <c r="CA83" s="567"/>
      <c r="CB83" s="564"/>
      <c r="CC83" s="559"/>
      <c r="CD83" s="560"/>
      <c r="CE83" s="561"/>
      <c r="CF83" s="562"/>
      <c r="CG83" s="561"/>
      <c r="CH83" s="563"/>
      <c r="CI83" s="564"/>
      <c r="CJ83" s="564"/>
      <c r="CK83" s="564"/>
      <c r="CL83" s="560"/>
      <c r="CM83" s="561"/>
      <c r="CN83" s="562"/>
      <c r="CO83" s="561"/>
      <c r="CP83" s="563"/>
      <c r="CQ83" s="564"/>
      <c r="CR83" s="564"/>
      <c r="CS83" s="564"/>
      <c r="CT83" s="560"/>
      <c r="CU83" s="561"/>
      <c r="CV83" s="562"/>
      <c r="CW83" s="561"/>
      <c r="CX83" s="563"/>
      <c r="CY83" s="564"/>
      <c r="CZ83" s="564"/>
      <c r="DA83" s="564"/>
      <c r="DB83" s="560"/>
      <c r="DC83" s="561"/>
      <c r="DD83" s="562"/>
      <c r="DE83" s="561"/>
      <c r="DF83" s="563"/>
      <c r="DG83" s="564"/>
      <c r="DH83" s="564"/>
      <c r="DI83" s="564"/>
      <c r="DJ83" s="560"/>
      <c r="DK83" s="561"/>
      <c r="DL83" s="562"/>
      <c r="DM83" s="561"/>
      <c r="DN83" s="563"/>
      <c r="DO83" s="564"/>
      <c r="DP83" s="564"/>
      <c r="DQ83" s="564"/>
      <c r="DR83" s="560"/>
      <c r="DS83" s="561"/>
      <c r="DT83" s="562"/>
      <c r="DU83" s="561"/>
      <c r="DV83" s="563"/>
      <c r="DW83" s="564"/>
      <c r="DX83" s="564"/>
      <c r="DY83" s="564"/>
      <c r="DZ83" s="560"/>
      <c r="EA83" s="561"/>
      <c r="EB83" s="562"/>
      <c r="EC83" s="561"/>
      <c r="ED83" s="563"/>
      <c r="EE83" s="564"/>
      <c r="EF83" s="564"/>
      <c r="EG83" s="564"/>
      <c r="EH83" s="560"/>
      <c r="EI83" s="561"/>
      <c r="EJ83" s="562"/>
      <c r="EK83" s="561"/>
      <c r="EL83" s="563"/>
      <c r="EM83" s="564"/>
      <c r="EN83" s="564"/>
      <c r="EO83" s="564"/>
      <c r="EP83" s="560"/>
      <c r="EQ83" s="561"/>
      <c r="ER83" s="562"/>
      <c r="ES83" s="561"/>
      <c r="ET83" s="563"/>
      <c r="EU83" s="564"/>
      <c r="EV83" s="564"/>
      <c r="EW83" s="564"/>
      <c r="EX83" s="560"/>
      <c r="EY83" s="561"/>
      <c r="EZ83" s="562"/>
      <c r="FA83" s="561"/>
      <c r="FB83" s="563"/>
      <c r="FC83" s="564"/>
      <c r="FD83" s="564"/>
      <c r="FE83" s="564"/>
      <c r="FF83" s="560"/>
      <c r="FG83" s="561"/>
      <c r="FH83" s="562"/>
      <c r="FI83" s="561"/>
      <c r="FJ83" s="563"/>
      <c r="FK83" s="564"/>
      <c r="FL83" s="564"/>
      <c r="FM83" s="564"/>
      <c r="FN83" s="560"/>
      <c r="FO83" s="561"/>
      <c r="FP83" s="562"/>
      <c r="FQ83" s="561"/>
      <c r="FR83" s="563"/>
      <c r="FS83" s="564"/>
      <c r="FT83" s="564"/>
      <c r="FU83" s="564"/>
      <c r="FV83" s="560"/>
      <c r="FW83" s="566"/>
      <c r="FX83" s="566"/>
      <c r="FY83" s="566"/>
      <c r="FZ83" s="563"/>
      <c r="GA83" s="564"/>
      <c r="GB83" s="564"/>
      <c r="GC83" s="564"/>
      <c r="GD83" s="560"/>
      <c r="GE83" s="566"/>
      <c r="GF83" s="566"/>
      <c r="GG83" s="566"/>
      <c r="GH83" s="563"/>
      <c r="GI83" s="564"/>
      <c r="GJ83" s="564"/>
      <c r="GK83" s="564"/>
      <c r="GL83" s="560"/>
      <c r="GM83" s="566"/>
      <c r="GN83" s="566"/>
      <c r="GO83" s="566"/>
      <c r="GP83" s="563"/>
      <c r="GQ83" s="564"/>
      <c r="GR83" s="564"/>
      <c r="GS83" s="564"/>
      <c r="GT83" s="560"/>
      <c r="GU83" s="566"/>
      <c r="GV83" s="566"/>
      <c r="GW83" s="566"/>
      <c r="GX83" s="563"/>
      <c r="GY83" s="564"/>
      <c r="GZ83" s="564"/>
      <c r="HA83" s="590"/>
      <c r="HB83" s="560"/>
      <c r="HC83" s="566"/>
      <c r="HD83" s="566"/>
      <c r="HE83" s="566"/>
      <c r="HF83" s="563"/>
      <c r="HG83" s="564"/>
      <c r="HH83" s="564"/>
      <c r="HI83" s="590"/>
      <c r="HJ83" s="560"/>
      <c r="HK83" s="566"/>
      <c r="HL83" s="566"/>
      <c r="HM83" s="566"/>
      <c r="HN83" s="563"/>
      <c r="HO83" s="564"/>
      <c r="HP83" s="564"/>
      <c r="HQ83" s="590"/>
      <c r="HR83" s="560"/>
      <c r="HS83" s="566"/>
      <c r="HT83" s="566"/>
      <c r="HU83" s="566"/>
    </row>
    <row r="84" spans="2:229" s="506" customFormat="1" ht="112" customHeight="1" thickBot="1" x14ac:dyDescent="0.4">
      <c r="B84" s="544">
        <v>81</v>
      </c>
      <c r="C84" s="544"/>
      <c r="D84" s="544" t="s">
        <v>44</v>
      </c>
      <c r="E84" s="545" t="s">
        <v>390</v>
      </c>
      <c r="F84" s="546" t="s">
        <v>46</v>
      </c>
      <c r="G84" s="545" t="s">
        <v>46</v>
      </c>
      <c r="H84" s="547" t="s">
        <v>391</v>
      </c>
      <c r="I84" s="548" t="s">
        <v>86</v>
      </c>
      <c r="J84" s="548"/>
      <c r="K84" s="568" t="s">
        <v>86</v>
      </c>
      <c r="L84" s="549" t="s">
        <v>392</v>
      </c>
      <c r="M84" s="569" t="s">
        <v>132</v>
      </c>
      <c r="N84" s="551">
        <v>1</v>
      </c>
      <c r="O84" s="576" t="s">
        <v>393</v>
      </c>
      <c r="P84" s="553">
        <v>46030</v>
      </c>
      <c r="Q84" s="553">
        <v>46031</v>
      </c>
      <c r="R84" s="554" t="s">
        <v>67</v>
      </c>
      <c r="S84" s="555">
        <f ca="1">IF(R84="Comentado / Emitir Rev_1", NETWORKDAYS(Q84,TODAY(),Hoja1!$C$3:$C$25),0)</f>
        <v>0</v>
      </c>
      <c r="T84" s="555">
        <f ca="1">IF(R84="Revisión INN",NETWORKDAYS(P84,TODAY(),Hoja1!$C$3:$C$25),0)</f>
        <v>0</v>
      </c>
      <c r="U84" s="556">
        <f t="shared" si="3"/>
        <v>2</v>
      </c>
      <c r="V84" s="557">
        <v>0</v>
      </c>
      <c r="W84" s="558">
        <v>99</v>
      </c>
      <c r="X84" s="567"/>
      <c r="Y84" s="559">
        <v>45996</v>
      </c>
      <c r="Z84" s="560">
        <v>97</v>
      </c>
      <c r="AA84" s="561">
        <v>46027</v>
      </c>
      <c r="AB84" s="562"/>
      <c r="AC84" s="561" t="s">
        <v>394</v>
      </c>
      <c r="AD84" s="591">
        <v>1</v>
      </c>
      <c r="AE84" s="592">
        <v>131</v>
      </c>
      <c r="AF84" s="564"/>
      <c r="AG84" s="593">
        <v>46030</v>
      </c>
      <c r="AH84" s="560" t="s">
        <v>393</v>
      </c>
      <c r="AI84" s="561"/>
      <c r="AJ84" s="562"/>
      <c r="AK84" s="561"/>
      <c r="AL84" s="563"/>
      <c r="AM84" s="567"/>
      <c r="AN84" s="564"/>
      <c r="AO84" s="565"/>
      <c r="AP84" s="560"/>
      <c r="AQ84" s="561"/>
      <c r="AR84" s="562"/>
      <c r="AS84" s="561"/>
      <c r="AT84" s="563"/>
      <c r="AU84" s="567"/>
      <c r="AV84" s="564"/>
      <c r="AW84" s="565"/>
      <c r="AX84" s="560"/>
      <c r="AY84" s="561"/>
      <c r="AZ84" s="562"/>
      <c r="BA84" s="561"/>
      <c r="BB84" s="563"/>
      <c r="BC84" s="567"/>
      <c r="BD84" s="564"/>
      <c r="BE84" s="565"/>
      <c r="BF84" s="560"/>
      <c r="BG84" s="560"/>
      <c r="BH84" s="560"/>
      <c r="BI84" s="560"/>
      <c r="BJ84" s="563"/>
      <c r="BK84" s="567"/>
      <c r="BL84" s="564"/>
      <c r="BM84" s="565"/>
      <c r="BN84" s="560"/>
      <c r="BO84" s="561"/>
      <c r="BP84" s="562"/>
      <c r="BQ84" s="561"/>
      <c r="BR84" s="563"/>
      <c r="BS84" s="567"/>
      <c r="BT84" s="564"/>
      <c r="BU84" s="565"/>
      <c r="BV84" s="560"/>
      <c r="BW84" s="561"/>
      <c r="BX84" s="562"/>
      <c r="BY84" s="561"/>
      <c r="BZ84" s="563"/>
      <c r="CA84" s="567"/>
      <c r="CB84" s="564"/>
      <c r="CC84" s="565"/>
      <c r="CD84" s="560"/>
      <c r="CE84" s="561"/>
      <c r="CF84" s="562"/>
      <c r="CG84" s="561"/>
      <c r="CH84" s="563"/>
      <c r="CI84" s="564"/>
      <c r="CJ84" s="564"/>
      <c r="CK84" s="590"/>
      <c r="CL84" s="560"/>
      <c r="CM84" s="561"/>
      <c r="CN84" s="562"/>
      <c r="CO84" s="561"/>
      <c r="CP84" s="563"/>
      <c r="CQ84" s="564"/>
      <c r="CR84" s="564"/>
      <c r="CS84" s="564"/>
      <c r="CT84" s="560"/>
      <c r="CU84" s="561"/>
      <c r="CV84" s="562"/>
      <c r="CW84" s="561"/>
      <c r="CX84" s="563"/>
      <c r="CY84" s="564"/>
      <c r="CZ84" s="564"/>
      <c r="DA84" s="564"/>
      <c r="DB84" s="560"/>
      <c r="DC84" s="561"/>
      <c r="DD84" s="562"/>
      <c r="DE84" s="561"/>
      <c r="DF84" s="563"/>
      <c r="DG84" s="564"/>
      <c r="DH84" s="564"/>
      <c r="DI84" s="564"/>
      <c r="DJ84" s="560"/>
      <c r="DK84" s="561"/>
      <c r="DL84" s="562"/>
      <c r="DM84" s="561"/>
      <c r="DN84" s="563"/>
      <c r="DO84" s="564"/>
      <c r="DP84" s="564"/>
      <c r="DQ84" s="564"/>
      <c r="DR84" s="560"/>
      <c r="DS84" s="561"/>
      <c r="DT84" s="562"/>
      <c r="DU84" s="561"/>
      <c r="DV84" s="563"/>
      <c r="DW84" s="564"/>
      <c r="DX84" s="564"/>
      <c r="DY84" s="564"/>
      <c r="DZ84" s="560"/>
      <c r="EA84" s="561"/>
      <c r="EB84" s="562"/>
      <c r="EC84" s="561"/>
      <c r="ED84" s="563"/>
      <c r="EE84" s="564"/>
      <c r="EF84" s="564"/>
      <c r="EG84" s="564"/>
      <c r="EH84" s="560"/>
      <c r="EI84" s="561"/>
      <c r="EJ84" s="562"/>
      <c r="EK84" s="561"/>
      <c r="EL84" s="563"/>
      <c r="EM84" s="564"/>
      <c r="EN84" s="564"/>
      <c r="EO84" s="564"/>
      <c r="EP84" s="560"/>
      <c r="EQ84" s="561"/>
      <c r="ER84" s="562"/>
      <c r="ES84" s="561"/>
      <c r="ET84" s="563"/>
      <c r="EU84" s="564"/>
      <c r="EV84" s="564"/>
      <c r="EW84" s="564"/>
      <c r="EX84" s="560"/>
      <c r="EY84" s="561"/>
      <c r="EZ84" s="562"/>
      <c r="FA84" s="561"/>
      <c r="FB84" s="563"/>
      <c r="FC84" s="564"/>
      <c r="FD84" s="564"/>
      <c r="FE84" s="564"/>
      <c r="FF84" s="560"/>
      <c r="FG84" s="561"/>
      <c r="FH84" s="562"/>
      <c r="FI84" s="561"/>
      <c r="FJ84" s="563"/>
      <c r="FK84" s="564"/>
      <c r="FL84" s="564"/>
      <c r="FM84" s="564"/>
      <c r="FN84" s="560"/>
      <c r="FO84" s="561"/>
      <c r="FP84" s="562"/>
      <c r="FQ84" s="561"/>
      <c r="FR84" s="563"/>
      <c r="FS84" s="564"/>
      <c r="FT84" s="564"/>
      <c r="FU84" s="564"/>
      <c r="FV84" s="560"/>
      <c r="FW84" s="566"/>
      <c r="FX84" s="566"/>
      <c r="FY84" s="566"/>
      <c r="FZ84" s="563"/>
      <c r="GA84" s="564"/>
      <c r="GB84" s="564"/>
      <c r="GC84" s="564"/>
      <c r="GD84" s="560"/>
      <c r="GE84" s="566"/>
      <c r="GF84" s="566"/>
      <c r="GG84" s="566"/>
      <c r="GH84" s="563"/>
      <c r="GI84" s="564"/>
      <c r="GJ84" s="564"/>
      <c r="GK84" s="564"/>
      <c r="GL84" s="560"/>
      <c r="GM84" s="566"/>
      <c r="GN84" s="566"/>
      <c r="GO84" s="566"/>
      <c r="GP84" s="563"/>
      <c r="GQ84" s="564"/>
      <c r="GR84" s="564"/>
      <c r="GS84" s="564"/>
      <c r="GT84" s="560"/>
      <c r="GU84" s="566"/>
      <c r="GV84" s="566"/>
      <c r="GW84" s="566"/>
      <c r="GX84" s="563"/>
      <c r="GY84" s="564"/>
      <c r="GZ84" s="564"/>
      <c r="HA84" s="590"/>
      <c r="HB84" s="560"/>
      <c r="HC84" s="566"/>
      <c r="HD84" s="566"/>
      <c r="HE84" s="566"/>
      <c r="HF84" s="563"/>
      <c r="HG84" s="564"/>
      <c r="HH84" s="564"/>
      <c r="HI84" s="590"/>
      <c r="HJ84" s="560"/>
      <c r="HK84" s="566"/>
      <c r="HL84" s="566"/>
      <c r="HM84" s="566"/>
      <c r="HN84" s="563"/>
      <c r="HO84" s="564"/>
      <c r="HP84" s="564"/>
      <c r="HQ84" s="590"/>
      <c r="HR84" s="560"/>
      <c r="HS84" s="566"/>
      <c r="HT84" s="566"/>
      <c r="HU84" s="566"/>
    </row>
    <row r="85" spans="2:229" s="506" customFormat="1" ht="85" customHeight="1" x14ac:dyDescent="0.35">
      <c r="B85" s="544">
        <v>95</v>
      </c>
      <c r="C85" s="544" t="s">
        <v>145</v>
      </c>
      <c r="D85" s="545" t="s">
        <v>68</v>
      </c>
      <c r="E85" s="545" t="s">
        <v>395</v>
      </c>
      <c r="F85" s="546" t="s">
        <v>396</v>
      </c>
      <c r="G85" s="546" t="s">
        <v>397</v>
      </c>
      <c r="H85" s="547" t="s">
        <v>398</v>
      </c>
      <c r="I85" s="568"/>
      <c r="J85" s="568"/>
      <c r="K85" s="568">
        <f>P85+5</f>
        <v>46112</v>
      </c>
      <c r="L85" s="549"/>
      <c r="M85" s="569" t="s">
        <v>117</v>
      </c>
      <c r="N85" s="551">
        <v>2</v>
      </c>
      <c r="O85" s="552">
        <v>243</v>
      </c>
      <c r="P85" s="553">
        <v>46107</v>
      </c>
      <c r="Q85" s="553">
        <v>46098</v>
      </c>
      <c r="R85" s="554" t="s">
        <v>151</v>
      </c>
      <c r="S85" s="555">
        <f ca="1">IF(R85="Aprobado / Emitir Rev_2", NETWORKDAYS(Q85,TODAY(),Hoja1!$C$3:$C$25),0)</f>
        <v>0</v>
      </c>
      <c r="T85" s="555">
        <f ca="1">IF(R85="Revisión INN",NETWORKDAYS(P85,TODAY(),Hoja1!$C$3:$C$25),0)</f>
        <v>16</v>
      </c>
      <c r="U85" s="556">
        <f t="shared" si="3"/>
        <v>6</v>
      </c>
      <c r="V85" s="557" t="s">
        <v>125</v>
      </c>
      <c r="W85" s="558">
        <v>28</v>
      </c>
      <c r="X85" s="558"/>
      <c r="Y85" s="559">
        <v>45929</v>
      </c>
      <c r="Z85" s="560">
        <v>30</v>
      </c>
      <c r="AA85" s="561">
        <v>45932</v>
      </c>
      <c r="AB85" s="562">
        <f>AA85-Y85</f>
        <v>3</v>
      </c>
      <c r="AC85" s="561" t="s">
        <v>167</v>
      </c>
      <c r="AD85" s="563" t="s">
        <v>63</v>
      </c>
      <c r="AE85" s="567">
        <v>34</v>
      </c>
      <c r="AF85" s="564">
        <f>AG85-AA85</f>
        <v>4</v>
      </c>
      <c r="AG85" s="565">
        <v>45936</v>
      </c>
      <c r="AH85" s="560">
        <v>47</v>
      </c>
      <c r="AI85" s="561">
        <v>45952</v>
      </c>
      <c r="AJ85" s="562"/>
      <c r="AK85" s="561" t="s">
        <v>186</v>
      </c>
      <c r="AL85" s="563">
        <v>0</v>
      </c>
      <c r="AM85" s="567">
        <v>63</v>
      </c>
      <c r="AN85" s="564"/>
      <c r="AO85" s="565">
        <v>45960</v>
      </c>
      <c r="AP85" s="560" t="s">
        <v>399</v>
      </c>
      <c r="AQ85" s="561" t="s">
        <v>400</v>
      </c>
      <c r="AR85" s="562" t="e">
        <f>AQ85-AO85</f>
        <v>#VALUE!</v>
      </c>
      <c r="AS85" s="561" t="s">
        <v>155</v>
      </c>
      <c r="AT85" s="563" t="s">
        <v>200</v>
      </c>
      <c r="AU85" s="567">
        <v>89</v>
      </c>
      <c r="AV85" s="564"/>
      <c r="AW85" s="565">
        <v>45992</v>
      </c>
      <c r="AX85" s="560">
        <v>79</v>
      </c>
      <c r="AY85" s="561">
        <v>46007</v>
      </c>
      <c r="AZ85" s="562"/>
      <c r="BA85" s="561" t="s">
        <v>155</v>
      </c>
      <c r="BB85" s="563">
        <v>1</v>
      </c>
      <c r="BC85" s="567">
        <v>122</v>
      </c>
      <c r="BD85" s="564"/>
      <c r="BE85" s="565">
        <v>46022</v>
      </c>
      <c r="BF85" s="560" t="s">
        <v>344</v>
      </c>
      <c r="BG85" s="561" t="s">
        <v>221</v>
      </c>
      <c r="BH85" s="562"/>
      <c r="BI85" s="561" t="s">
        <v>221</v>
      </c>
      <c r="BJ85" s="563" t="s">
        <v>184</v>
      </c>
      <c r="BK85" s="567">
        <v>146</v>
      </c>
      <c r="BL85" s="564"/>
      <c r="BM85" s="565">
        <v>46045</v>
      </c>
      <c r="BN85" s="560">
        <v>158</v>
      </c>
      <c r="BO85" s="561">
        <v>46098</v>
      </c>
      <c r="BP85" s="562"/>
      <c r="BQ85" s="561" t="s">
        <v>225</v>
      </c>
      <c r="BR85" s="591">
        <v>2</v>
      </c>
      <c r="BS85" s="592">
        <v>243</v>
      </c>
      <c r="BT85" s="564"/>
      <c r="BU85" s="593">
        <v>46107</v>
      </c>
      <c r="BV85" s="560"/>
      <c r="BW85" s="561"/>
      <c r="BX85" s="562"/>
      <c r="BY85" s="561"/>
      <c r="BZ85" s="563"/>
      <c r="CA85" s="567"/>
      <c r="CB85" s="564"/>
      <c r="CC85" s="565"/>
      <c r="CD85" s="560"/>
      <c r="CE85" s="561"/>
      <c r="CF85" s="562"/>
      <c r="CG85" s="561"/>
      <c r="CH85" s="563"/>
      <c r="CI85" s="564"/>
      <c r="CJ85" s="564"/>
      <c r="CK85" s="564"/>
      <c r="CL85" s="560"/>
      <c r="CM85" s="561"/>
      <c r="CN85" s="562"/>
      <c r="CO85" s="561"/>
      <c r="CP85" s="563"/>
      <c r="CQ85" s="564"/>
      <c r="CR85" s="564"/>
      <c r="CS85" s="564"/>
      <c r="CT85" s="560"/>
      <c r="CU85" s="561"/>
      <c r="CV85" s="562"/>
      <c r="CW85" s="561"/>
      <c r="CX85" s="563"/>
      <c r="CY85" s="564"/>
      <c r="CZ85" s="564"/>
      <c r="DA85" s="564"/>
      <c r="DB85" s="560"/>
      <c r="DC85" s="561"/>
      <c r="DD85" s="562"/>
      <c r="DE85" s="561"/>
      <c r="DF85" s="563"/>
      <c r="DG85" s="564"/>
      <c r="DH85" s="564"/>
      <c r="DI85" s="564"/>
      <c r="DJ85" s="560"/>
      <c r="DK85" s="561"/>
      <c r="DL85" s="562"/>
      <c r="DM85" s="561"/>
      <c r="DN85" s="563"/>
      <c r="DO85" s="564"/>
      <c r="DP85" s="564"/>
      <c r="DQ85" s="564"/>
      <c r="DR85" s="560"/>
      <c r="DS85" s="561"/>
      <c r="DT85" s="562"/>
      <c r="DU85" s="561"/>
      <c r="DV85" s="563"/>
      <c r="DW85" s="564"/>
      <c r="DX85" s="564"/>
      <c r="DY85" s="564"/>
      <c r="DZ85" s="560"/>
      <c r="EA85" s="561"/>
      <c r="EB85" s="562"/>
      <c r="EC85" s="561"/>
      <c r="ED85" s="563"/>
      <c r="EE85" s="564"/>
      <c r="EF85" s="564"/>
      <c r="EG85" s="564"/>
      <c r="EH85" s="560"/>
      <c r="EI85" s="561"/>
      <c r="EJ85" s="562"/>
      <c r="EK85" s="561"/>
      <c r="EL85" s="563"/>
      <c r="EM85" s="564"/>
      <c r="EN85" s="564"/>
      <c r="EO85" s="564"/>
      <c r="EP85" s="560"/>
      <c r="EQ85" s="561"/>
      <c r="ER85" s="562"/>
      <c r="ES85" s="561"/>
      <c r="ET85" s="563"/>
      <c r="EU85" s="564"/>
      <c r="EV85" s="564"/>
      <c r="EW85" s="564"/>
      <c r="EX85" s="560"/>
      <c r="EY85" s="561"/>
      <c r="EZ85" s="562"/>
      <c r="FA85" s="561"/>
      <c r="FB85" s="563"/>
      <c r="FC85" s="564"/>
      <c r="FD85" s="564"/>
      <c r="FE85" s="564"/>
      <c r="FF85" s="560"/>
      <c r="FG85" s="561"/>
      <c r="FH85" s="562"/>
      <c r="FI85" s="561"/>
      <c r="FJ85" s="563"/>
      <c r="FK85" s="564"/>
      <c r="FL85" s="564"/>
      <c r="FM85" s="564"/>
      <c r="FN85" s="560"/>
      <c r="FO85" s="561"/>
      <c r="FP85" s="562"/>
      <c r="FQ85" s="561"/>
      <c r="FR85" s="563"/>
      <c r="FS85" s="564"/>
      <c r="FT85" s="564"/>
      <c r="FU85" s="564"/>
      <c r="FV85" s="560"/>
      <c r="FW85" s="566"/>
      <c r="FX85" s="566"/>
      <c r="FY85" s="566"/>
      <c r="FZ85" s="563"/>
      <c r="GA85" s="564"/>
      <c r="GB85" s="564"/>
      <c r="GC85" s="564"/>
      <c r="GD85" s="560"/>
      <c r="GE85" s="566"/>
      <c r="GF85" s="566"/>
      <c r="GG85" s="566"/>
      <c r="GH85" s="563"/>
      <c r="GI85" s="564"/>
      <c r="GJ85" s="564"/>
      <c r="GK85" s="564"/>
      <c r="GL85" s="560"/>
      <c r="GM85" s="566"/>
      <c r="GN85" s="566"/>
      <c r="GO85" s="566"/>
      <c r="GP85" s="563"/>
      <c r="GQ85" s="564"/>
      <c r="GR85" s="564"/>
      <c r="GS85" s="564"/>
      <c r="GT85" s="560"/>
      <c r="GU85" s="566"/>
      <c r="GV85" s="566"/>
      <c r="GW85" s="566"/>
      <c r="GX85" s="541"/>
      <c r="GY85" s="535"/>
      <c r="GZ85" s="542"/>
      <c r="HA85" s="543"/>
      <c r="HB85" s="541"/>
      <c r="HC85" s="535"/>
      <c r="HD85" s="542"/>
      <c r="HE85" s="543"/>
      <c r="HF85" s="541"/>
      <c r="HG85" s="535"/>
      <c r="HH85" s="542"/>
      <c r="HI85" s="543"/>
      <c r="HJ85" s="541"/>
      <c r="HK85" s="535"/>
      <c r="HL85" s="542"/>
      <c r="HM85" s="543"/>
      <c r="HN85" s="541"/>
      <c r="HO85" s="535"/>
      <c r="HP85" s="542"/>
      <c r="HQ85" s="543"/>
      <c r="HR85" s="541"/>
      <c r="HS85" s="535"/>
      <c r="HT85" s="542"/>
      <c r="HU85" s="543"/>
    </row>
    <row r="86" spans="2:229" s="506" customFormat="1" ht="43.5" customHeight="1" x14ac:dyDescent="0.35">
      <c r="B86" s="544">
        <v>83</v>
      </c>
      <c r="C86" s="544" t="s">
        <v>145</v>
      </c>
      <c r="D86" s="545" t="s">
        <v>68</v>
      </c>
      <c r="E86" s="558" t="s">
        <v>401</v>
      </c>
      <c r="F86" s="546" t="s">
        <v>402</v>
      </c>
      <c r="G86" s="546" t="s">
        <v>46</v>
      </c>
      <c r="H86" s="547" t="s">
        <v>403</v>
      </c>
      <c r="I86" s="548">
        <f>Q86+5</f>
        <v>46110</v>
      </c>
      <c r="J86" s="568"/>
      <c r="K86" s="568" t="s">
        <v>62</v>
      </c>
      <c r="L86" s="549" t="s">
        <v>358</v>
      </c>
      <c r="M86" s="569" t="s">
        <v>117</v>
      </c>
      <c r="N86" s="821">
        <v>1</v>
      </c>
      <c r="O86" s="552">
        <v>163</v>
      </c>
      <c r="P86" s="553">
        <v>46104</v>
      </c>
      <c r="Q86" s="553">
        <v>46105</v>
      </c>
      <c r="R86" s="554" t="s">
        <v>67</v>
      </c>
      <c r="S86" s="555">
        <f ca="1">IF(R86="Aprobado con comentarios / Emitir Rev_0_RL4", NETWORKDAYS(Q86,TODAY(),Hoja1!$C$3:$C$25),0)</f>
        <v>0</v>
      </c>
      <c r="T86" s="555">
        <f ca="1">IF(R86="Revisión INN",NETWORKDAYS(P86,TODAY(),Hoja1!$C$3:$C$25),0)</f>
        <v>0</v>
      </c>
      <c r="U86" s="556">
        <f t="shared" si="3"/>
        <v>6</v>
      </c>
      <c r="V86" s="557" t="s">
        <v>63</v>
      </c>
      <c r="W86" s="558">
        <v>56</v>
      </c>
      <c r="X86" s="558" t="s">
        <v>62</v>
      </c>
      <c r="Y86" s="559">
        <v>45957</v>
      </c>
      <c r="Z86" s="560">
        <v>53</v>
      </c>
      <c r="AA86" s="561">
        <v>45964</v>
      </c>
      <c r="AB86" s="562"/>
      <c r="AC86" s="561" t="s">
        <v>186</v>
      </c>
      <c r="AD86" s="563">
        <v>0</v>
      </c>
      <c r="AE86" s="567">
        <v>66</v>
      </c>
      <c r="AF86" s="564"/>
      <c r="AG86" s="565">
        <v>45968</v>
      </c>
      <c r="AH86" s="560">
        <v>78</v>
      </c>
      <c r="AI86" s="594">
        <v>46007</v>
      </c>
      <c r="AJ86" s="562"/>
      <c r="AK86" s="560" t="s">
        <v>203</v>
      </c>
      <c r="AL86" s="563" t="s">
        <v>200</v>
      </c>
      <c r="AM86" s="567">
        <v>82</v>
      </c>
      <c r="AN86" s="564"/>
      <c r="AO86" s="565">
        <v>45985</v>
      </c>
      <c r="AP86" s="560">
        <v>81</v>
      </c>
      <c r="AQ86" s="561">
        <v>46009</v>
      </c>
      <c r="AR86" s="562"/>
      <c r="AS86" s="561" t="s">
        <v>360</v>
      </c>
      <c r="AT86" s="563" t="s">
        <v>361</v>
      </c>
      <c r="AU86" s="567">
        <v>123</v>
      </c>
      <c r="AV86" s="564"/>
      <c r="AW86" s="565">
        <v>46022</v>
      </c>
      <c r="AX86" s="560">
        <v>111</v>
      </c>
      <c r="AY86" s="561">
        <v>46041</v>
      </c>
      <c r="AZ86" s="562"/>
      <c r="BA86" s="561" t="s">
        <v>404</v>
      </c>
      <c r="BB86" s="563" t="s">
        <v>363</v>
      </c>
      <c r="BC86" s="567">
        <v>172</v>
      </c>
      <c r="BD86" s="564"/>
      <c r="BE86" s="565">
        <v>46065</v>
      </c>
      <c r="BF86" s="560">
        <v>149</v>
      </c>
      <c r="BG86" s="561">
        <v>46097</v>
      </c>
      <c r="BH86" s="562"/>
      <c r="BI86" s="561" t="s">
        <v>405</v>
      </c>
      <c r="BJ86" s="563" t="s">
        <v>365</v>
      </c>
      <c r="BK86" s="567">
        <v>226</v>
      </c>
      <c r="BL86" s="564"/>
      <c r="BM86" s="565">
        <v>46099</v>
      </c>
      <c r="BN86" s="822">
        <v>160</v>
      </c>
      <c r="BO86" s="824">
        <v>46104</v>
      </c>
      <c r="BP86" s="562"/>
      <c r="BQ86" s="823" t="s">
        <v>155</v>
      </c>
      <c r="BR86" s="563">
        <v>1</v>
      </c>
      <c r="BS86" s="567">
        <v>236</v>
      </c>
      <c r="BT86" s="564"/>
      <c r="BU86" s="565">
        <v>46104</v>
      </c>
      <c r="BV86" s="589">
        <v>163</v>
      </c>
      <c r="BW86" s="593">
        <v>46105</v>
      </c>
      <c r="BX86" s="562"/>
      <c r="BY86" s="593" t="s">
        <v>67</v>
      </c>
      <c r="BZ86" s="563"/>
      <c r="CA86" s="567"/>
      <c r="CB86" s="564"/>
      <c r="CC86" s="565"/>
      <c r="CD86" s="560"/>
      <c r="CE86" s="561"/>
      <c r="CF86" s="562"/>
      <c r="CG86" s="561"/>
      <c r="CH86" s="563"/>
      <c r="CI86" s="564"/>
      <c r="CJ86" s="564"/>
      <c r="CK86" s="564"/>
      <c r="CL86" s="560"/>
      <c r="CM86" s="561"/>
      <c r="CN86" s="562"/>
      <c r="CO86" s="561"/>
      <c r="CP86" s="563"/>
      <c r="CQ86" s="564"/>
      <c r="CR86" s="564"/>
      <c r="CS86" s="564"/>
      <c r="CT86" s="560"/>
      <c r="CU86" s="561"/>
      <c r="CV86" s="562"/>
      <c r="CW86" s="561"/>
      <c r="CX86" s="563"/>
      <c r="CY86" s="564"/>
      <c r="CZ86" s="564"/>
      <c r="DA86" s="564"/>
      <c r="DB86" s="560"/>
      <c r="DC86" s="561"/>
      <c r="DD86" s="562"/>
      <c r="DE86" s="561"/>
      <c r="DF86" s="563"/>
      <c r="DG86" s="564"/>
      <c r="DH86" s="564"/>
      <c r="DI86" s="564"/>
      <c r="DJ86" s="560"/>
      <c r="DK86" s="561"/>
      <c r="DL86" s="562"/>
      <c r="DM86" s="561"/>
      <c r="DN86" s="563"/>
      <c r="DO86" s="564"/>
      <c r="DP86" s="564"/>
      <c r="DQ86" s="564"/>
      <c r="DR86" s="560"/>
      <c r="DS86" s="561"/>
      <c r="DT86" s="562"/>
      <c r="DU86" s="561"/>
      <c r="DV86" s="563"/>
      <c r="DW86" s="564"/>
      <c r="DX86" s="564"/>
      <c r="DY86" s="564"/>
      <c r="DZ86" s="560"/>
      <c r="EA86" s="561"/>
      <c r="EB86" s="562"/>
      <c r="EC86" s="561"/>
      <c r="ED86" s="563"/>
      <c r="EE86" s="564"/>
      <c r="EF86" s="564"/>
      <c r="EG86" s="564"/>
      <c r="EH86" s="560"/>
      <c r="EI86" s="561"/>
      <c r="EJ86" s="562"/>
      <c r="EK86" s="561"/>
      <c r="EL86" s="563"/>
      <c r="EM86" s="564"/>
      <c r="EN86" s="564"/>
      <c r="EO86" s="564"/>
      <c r="EP86" s="560"/>
      <c r="EQ86" s="561"/>
      <c r="ER86" s="562"/>
      <c r="ES86" s="561"/>
      <c r="ET86" s="563"/>
      <c r="EU86" s="564"/>
      <c r="EV86" s="564"/>
      <c r="EW86" s="564"/>
      <c r="EX86" s="560"/>
      <c r="EY86" s="561"/>
      <c r="EZ86" s="562"/>
      <c r="FA86" s="561"/>
      <c r="FB86" s="563"/>
      <c r="FC86" s="564"/>
      <c r="FD86" s="564"/>
      <c r="FE86" s="564"/>
      <c r="FF86" s="560"/>
      <c r="FG86" s="561"/>
      <c r="FH86" s="562"/>
      <c r="FI86" s="561"/>
      <c r="FJ86" s="563"/>
      <c r="FK86" s="564"/>
      <c r="FL86" s="564"/>
      <c r="FM86" s="564"/>
      <c r="FN86" s="560"/>
      <c r="FO86" s="561"/>
      <c r="FP86" s="562"/>
      <c r="FQ86" s="561"/>
      <c r="FR86" s="563"/>
      <c r="FS86" s="564"/>
      <c r="FT86" s="564"/>
      <c r="FU86" s="564"/>
      <c r="FV86" s="560"/>
      <c r="FW86" s="566"/>
      <c r="FX86" s="566"/>
      <c r="FY86" s="566"/>
      <c r="FZ86" s="563"/>
      <c r="GA86" s="564"/>
      <c r="GB86" s="564"/>
      <c r="GC86" s="564"/>
      <c r="GD86" s="560"/>
      <c r="GE86" s="566"/>
      <c r="GF86" s="566"/>
      <c r="GG86" s="566"/>
      <c r="GH86" s="563"/>
      <c r="GI86" s="564"/>
      <c r="GJ86" s="564"/>
      <c r="GK86" s="564"/>
      <c r="GL86" s="560"/>
      <c r="GM86" s="566"/>
      <c r="GN86" s="566"/>
      <c r="GO86" s="566"/>
      <c r="GP86" s="563"/>
      <c r="GQ86" s="564"/>
      <c r="GR86" s="564"/>
      <c r="GS86" s="564"/>
      <c r="GT86" s="560"/>
      <c r="GU86" s="566"/>
      <c r="GV86" s="566"/>
      <c r="GW86" s="566"/>
      <c r="GX86" s="563"/>
      <c r="GY86" s="564"/>
      <c r="GZ86" s="564"/>
      <c r="HA86" s="590"/>
      <c r="HB86" s="560"/>
      <c r="HC86" s="566"/>
      <c r="HD86" s="566"/>
      <c r="HE86" s="566"/>
      <c r="HF86" s="563"/>
      <c r="HG86" s="564"/>
      <c r="HH86" s="564"/>
      <c r="HI86" s="590"/>
      <c r="HJ86" s="560"/>
      <c r="HK86" s="566"/>
      <c r="HL86" s="566"/>
      <c r="HM86" s="566"/>
      <c r="HN86" s="563"/>
      <c r="HO86" s="564"/>
      <c r="HP86" s="564"/>
      <c r="HQ86" s="590"/>
      <c r="HR86" s="560"/>
      <c r="HS86" s="566"/>
      <c r="HT86" s="566"/>
      <c r="HU86" s="566"/>
    </row>
    <row r="87" spans="2:229" s="506" customFormat="1" ht="119.5" customHeight="1" x14ac:dyDescent="0.35">
      <c r="B87" s="544">
        <v>84</v>
      </c>
      <c r="C87" s="544" t="s">
        <v>156</v>
      </c>
      <c r="D87" s="545" t="s">
        <v>68</v>
      </c>
      <c r="E87" s="558" t="s">
        <v>406</v>
      </c>
      <c r="F87" s="546" t="s">
        <v>407</v>
      </c>
      <c r="G87" s="546" t="s">
        <v>408</v>
      </c>
      <c r="H87" s="547" t="s">
        <v>409</v>
      </c>
      <c r="I87" s="548"/>
      <c r="J87" s="705">
        <v>2</v>
      </c>
      <c r="K87" s="568">
        <f>P87+5</f>
        <v>46057</v>
      </c>
      <c r="L87" s="548"/>
      <c r="M87" s="569" t="s">
        <v>117</v>
      </c>
      <c r="N87" s="551">
        <v>0</v>
      </c>
      <c r="O87" s="552">
        <v>153</v>
      </c>
      <c r="P87" s="553">
        <v>46052</v>
      </c>
      <c r="Q87" s="553">
        <v>46031</v>
      </c>
      <c r="R87" s="554" t="s">
        <v>67</v>
      </c>
      <c r="S87" s="555">
        <f ca="1">IF(R87="Aprobado / Emitir Rev_0", NETWORKDAYS(Q87,TODAY(),Hoja1!$C$3:$C$25),0)</f>
        <v>0</v>
      </c>
      <c r="T87" s="555">
        <f ca="1">IF(R87="Revisión INN",NETWORKDAYS(P87,TODAY(),Hoja1!$C$3:$C$25),0)</f>
        <v>0</v>
      </c>
      <c r="U87" s="556">
        <f t="shared" si="3"/>
        <v>3</v>
      </c>
      <c r="V87" s="557" t="s">
        <v>125</v>
      </c>
      <c r="W87" s="558">
        <v>93</v>
      </c>
      <c r="X87" s="558"/>
      <c r="Y87" s="559">
        <v>45994</v>
      </c>
      <c r="Z87" s="560">
        <v>78</v>
      </c>
      <c r="AA87" s="561">
        <v>46007</v>
      </c>
      <c r="AB87" s="562"/>
      <c r="AC87" s="561" t="s">
        <v>162</v>
      </c>
      <c r="AD87" s="638" t="s">
        <v>63</v>
      </c>
      <c r="AE87" s="639">
        <v>134</v>
      </c>
      <c r="AF87" s="564"/>
      <c r="AG87" s="640">
        <v>46030</v>
      </c>
      <c r="AH87" s="560">
        <v>102</v>
      </c>
      <c r="AI87" s="561">
        <v>46031</v>
      </c>
      <c r="AJ87" s="562"/>
      <c r="AK87" s="561" t="s">
        <v>128</v>
      </c>
      <c r="AL87" s="563">
        <v>0</v>
      </c>
      <c r="AM87" s="567">
        <v>160</v>
      </c>
      <c r="AN87" s="564"/>
      <c r="AO87" s="565">
        <v>46052</v>
      </c>
      <c r="AP87" s="589">
        <v>153</v>
      </c>
      <c r="AQ87" s="593">
        <v>46097</v>
      </c>
      <c r="AR87" s="562"/>
      <c r="AS87" s="593" t="s">
        <v>67</v>
      </c>
      <c r="AT87" s="563"/>
      <c r="AU87" s="567"/>
      <c r="AV87" s="564"/>
      <c r="AW87" s="565"/>
      <c r="AX87" s="560"/>
      <c r="AY87" s="561"/>
      <c r="AZ87" s="562"/>
      <c r="BA87" s="561"/>
      <c r="BB87" s="563"/>
      <c r="BC87" s="567"/>
      <c r="BD87" s="564"/>
      <c r="BE87" s="565"/>
      <c r="BF87" s="560"/>
      <c r="BG87" s="561"/>
      <c r="BH87" s="562"/>
      <c r="BI87" s="561"/>
      <c r="BJ87" s="563"/>
      <c r="BK87" s="567"/>
      <c r="BL87" s="564"/>
      <c r="BM87" s="565"/>
      <c r="BN87" s="560"/>
      <c r="BO87" s="561"/>
      <c r="BP87" s="562"/>
      <c r="BQ87" s="561"/>
      <c r="BR87" s="563"/>
      <c r="BS87" s="567"/>
      <c r="BT87" s="564"/>
      <c r="BU87" s="565"/>
      <c r="BV87" s="560"/>
      <c r="BW87" s="561"/>
      <c r="BX87" s="562"/>
      <c r="BY87" s="561"/>
      <c r="BZ87" s="563"/>
      <c r="CA87" s="567"/>
      <c r="CB87" s="564"/>
      <c r="CC87" s="565"/>
      <c r="CD87" s="560"/>
      <c r="CE87" s="561"/>
      <c r="CF87" s="562"/>
      <c r="CG87" s="561"/>
      <c r="CH87" s="563"/>
      <c r="CI87" s="564"/>
      <c r="CJ87" s="564"/>
      <c r="CK87" s="564"/>
      <c r="CL87" s="560"/>
      <c r="CM87" s="561"/>
      <c r="CN87" s="562"/>
      <c r="CO87" s="561"/>
      <c r="CP87" s="563"/>
      <c r="CQ87" s="564"/>
      <c r="CR87" s="564"/>
      <c r="CS87" s="564"/>
      <c r="CT87" s="560"/>
      <c r="CU87" s="561"/>
      <c r="CV87" s="562"/>
      <c r="CW87" s="561"/>
      <c r="CX87" s="563"/>
      <c r="CY87" s="564"/>
      <c r="CZ87" s="564"/>
      <c r="DA87" s="564"/>
      <c r="DB87" s="560"/>
      <c r="DC87" s="561"/>
      <c r="DD87" s="562"/>
      <c r="DE87" s="561"/>
      <c r="DF87" s="563"/>
      <c r="DG87" s="564"/>
      <c r="DH87" s="564"/>
      <c r="DI87" s="564"/>
      <c r="DJ87" s="560"/>
      <c r="DK87" s="561"/>
      <c r="DL87" s="562"/>
      <c r="DM87" s="561"/>
      <c r="DN87" s="563"/>
      <c r="DO87" s="564"/>
      <c r="DP87" s="564"/>
      <c r="DQ87" s="564"/>
      <c r="DR87" s="560"/>
      <c r="DS87" s="561"/>
      <c r="DT87" s="562"/>
      <c r="DU87" s="561"/>
      <c r="DV87" s="563"/>
      <c r="DW87" s="564"/>
      <c r="DX87" s="564"/>
      <c r="DY87" s="564"/>
      <c r="DZ87" s="560"/>
      <c r="EA87" s="561"/>
      <c r="EB87" s="562"/>
      <c r="EC87" s="561"/>
      <c r="ED87" s="563"/>
      <c r="EE87" s="564"/>
      <c r="EF87" s="564"/>
      <c r="EG87" s="564"/>
      <c r="EH87" s="560"/>
      <c r="EI87" s="561"/>
      <c r="EJ87" s="562"/>
      <c r="EK87" s="561"/>
      <c r="EL87" s="563"/>
      <c r="EM87" s="564"/>
      <c r="EN87" s="564"/>
      <c r="EO87" s="564"/>
      <c r="EP87" s="560"/>
      <c r="EQ87" s="561"/>
      <c r="ER87" s="562"/>
      <c r="ES87" s="561"/>
      <c r="ET87" s="563"/>
      <c r="EU87" s="564"/>
      <c r="EV87" s="564"/>
      <c r="EW87" s="564"/>
      <c r="EX87" s="560"/>
      <c r="EY87" s="561"/>
      <c r="EZ87" s="562"/>
      <c r="FA87" s="561"/>
      <c r="FB87" s="563"/>
      <c r="FC87" s="564"/>
      <c r="FD87" s="564"/>
      <c r="FE87" s="564"/>
      <c r="FF87" s="560"/>
      <c r="FG87" s="561"/>
      <c r="FH87" s="562"/>
      <c r="FI87" s="561"/>
      <c r="FJ87" s="563"/>
      <c r="FK87" s="564"/>
      <c r="FL87" s="564"/>
      <c r="FM87" s="564"/>
      <c r="FN87" s="560"/>
      <c r="FO87" s="561"/>
      <c r="FP87" s="562"/>
      <c r="FQ87" s="561"/>
      <c r="FR87" s="563"/>
      <c r="FS87" s="564"/>
      <c r="FT87" s="564"/>
      <c r="FU87" s="564"/>
      <c r="FV87" s="560"/>
      <c r="FW87" s="566"/>
      <c r="FX87" s="566"/>
      <c r="FY87" s="566"/>
      <c r="FZ87" s="563"/>
      <c r="GA87" s="564"/>
      <c r="GB87" s="564"/>
      <c r="GC87" s="564"/>
      <c r="GD87" s="560"/>
      <c r="GE87" s="566"/>
      <c r="GF87" s="566"/>
      <c r="GG87" s="566"/>
      <c r="GH87" s="563"/>
      <c r="GI87" s="564"/>
      <c r="GJ87" s="564"/>
      <c r="GK87" s="564"/>
      <c r="GL87" s="560"/>
      <c r="GM87" s="566"/>
      <c r="GN87" s="566"/>
      <c r="GO87" s="566"/>
      <c r="GP87" s="563"/>
      <c r="GQ87" s="564"/>
      <c r="GR87" s="564"/>
      <c r="GS87" s="564"/>
      <c r="GT87" s="560"/>
      <c r="GU87" s="566"/>
      <c r="GV87" s="566"/>
      <c r="GW87" s="566"/>
      <c r="GX87" s="563"/>
      <c r="GY87" s="564"/>
      <c r="GZ87" s="564"/>
      <c r="HA87" s="590"/>
      <c r="HB87" s="560"/>
      <c r="HC87" s="566"/>
      <c r="HD87" s="566"/>
      <c r="HE87" s="566"/>
      <c r="HF87" s="563"/>
      <c r="HG87" s="564"/>
      <c r="HH87" s="564"/>
      <c r="HI87" s="590"/>
      <c r="HJ87" s="560"/>
      <c r="HK87" s="566"/>
      <c r="HL87" s="566"/>
      <c r="HM87" s="566"/>
      <c r="HN87" s="563"/>
      <c r="HO87" s="564"/>
      <c r="HP87" s="564"/>
      <c r="HQ87" s="590"/>
      <c r="HR87" s="560"/>
      <c r="HS87" s="566"/>
      <c r="HT87" s="566"/>
      <c r="HU87" s="566"/>
    </row>
    <row r="88" spans="2:229" s="506" customFormat="1" ht="115.5" customHeight="1" thickBot="1" x14ac:dyDescent="0.4">
      <c r="B88" s="544">
        <v>96</v>
      </c>
      <c r="C88" s="544" t="s">
        <v>145</v>
      </c>
      <c r="D88" s="545" t="s">
        <v>139</v>
      </c>
      <c r="E88" s="545" t="s">
        <v>410</v>
      </c>
      <c r="F88" s="546" t="s">
        <v>411</v>
      </c>
      <c r="G88" s="546" t="s">
        <v>412</v>
      </c>
      <c r="H88" s="547" t="s">
        <v>413</v>
      </c>
      <c r="I88" s="568"/>
      <c r="J88" s="568"/>
      <c r="K88" s="568">
        <f>P88+5</f>
        <v>46112</v>
      </c>
      <c r="L88" s="549"/>
      <c r="M88" s="569" t="s">
        <v>117</v>
      </c>
      <c r="N88" s="551">
        <v>2</v>
      </c>
      <c r="O88" s="552">
        <v>243</v>
      </c>
      <c r="P88" s="553">
        <v>46107</v>
      </c>
      <c r="Q88" s="553">
        <v>46098</v>
      </c>
      <c r="R88" s="554" t="s">
        <v>151</v>
      </c>
      <c r="S88" s="555">
        <f ca="1">IF(R88="Aprobado / Emitir Rev_2", NETWORKDAYS(Q88,TODAY(),Hoja1!$C$3:$C$25),0)</f>
        <v>0</v>
      </c>
      <c r="T88" s="555">
        <f ca="1">IF(R88="Revisión INN",NETWORKDAYS(P88,TODAY(),Hoja1!$C$3:$C$25),0)</f>
        <v>16</v>
      </c>
      <c r="U88" s="556">
        <f t="shared" si="3"/>
        <v>6</v>
      </c>
      <c r="V88" s="557" t="s">
        <v>125</v>
      </c>
      <c r="W88" s="558">
        <v>28</v>
      </c>
      <c r="X88" s="558"/>
      <c r="Y88" s="559">
        <v>45929</v>
      </c>
      <c r="Z88" s="560">
        <v>30</v>
      </c>
      <c r="AA88" s="561">
        <v>45932</v>
      </c>
      <c r="AB88" s="562">
        <f>AA88-Y88</f>
        <v>3</v>
      </c>
      <c r="AC88" s="561" t="s">
        <v>167</v>
      </c>
      <c r="AD88" s="563" t="s">
        <v>63</v>
      </c>
      <c r="AE88" s="567">
        <v>34</v>
      </c>
      <c r="AF88" s="564">
        <f>AG88-AA88</f>
        <v>4</v>
      </c>
      <c r="AG88" s="565">
        <v>45936</v>
      </c>
      <c r="AH88" s="560">
        <v>47</v>
      </c>
      <c r="AI88" s="561">
        <v>45952</v>
      </c>
      <c r="AJ88" s="562"/>
      <c r="AK88" s="561" t="s">
        <v>186</v>
      </c>
      <c r="AL88" s="563">
        <v>0</v>
      </c>
      <c r="AM88" s="567">
        <v>63</v>
      </c>
      <c r="AN88" s="564"/>
      <c r="AO88" s="565">
        <v>45960</v>
      </c>
      <c r="AP88" s="560" t="s">
        <v>414</v>
      </c>
      <c r="AQ88" s="561" t="s">
        <v>415</v>
      </c>
      <c r="AR88" s="562" t="e">
        <f>AQ88-AO88</f>
        <v>#VALUE!</v>
      </c>
      <c r="AS88" s="561" t="s">
        <v>67</v>
      </c>
      <c r="AT88" s="563" t="s">
        <v>200</v>
      </c>
      <c r="AU88" s="567">
        <v>89</v>
      </c>
      <c r="AV88" s="564"/>
      <c r="AW88" s="565">
        <v>45992</v>
      </c>
      <c r="AX88" s="560">
        <v>79</v>
      </c>
      <c r="AY88" s="561">
        <v>46007</v>
      </c>
      <c r="AZ88" s="562"/>
      <c r="BA88" s="561" t="s">
        <v>155</v>
      </c>
      <c r="BB88" s="563">
        <v>1</v>
      </c>
      <c r="BC88" s="567">
        <v>122</v>
      </c>
      <c r="BD88" s="564"/>
      <c r="BE88" s="565">
        <v>46022</v>
      </c>
      <c r="BF88" s="560" t="s">
        <v>344</v>
      </c>
      <c r="BG88" s="561" t="s">
        <v>221</v>
      </c>
      <c r="BH88" s="562"/>
      <c r="BI88" s="561" t="s">
        <v>221</v>
      </c>
      <c r="BJ88" s="563" t="s">
        <v>184</v>
      </c>
      <c r="BK88" s="567">
        <v>146</v>
      </c>
      <c r="BL88" s="564"/>
      <c r="BM88" s="565">
        <v>46045</v>
      </c>
      <c r="BN88" s="560">
        <v>158</v>
      </c>
      <c r="BO88" s="561">
        <v>46098</v>
      </c>
      <c r="BP88" s="562"/>
      <c r="BQ88" s="561" t="s">
        <v>225</v>
      </c>
      <c r="BR88" s="591">
        <v>2</v>
      </c>
      <c r="BS88" s="592">
        <v>243</v>
      </c>
      <c r="BT88" s="564"/>
      <c r="BU88" s="593">
        <v>46107</v>
      </c>
      <c r="BV88" s="560"/>
      <c r="BW88" s="561"/>
      <c r="BX88" s="562"/>
      <c r="BY88" s="561"/>
      <c r="BZ88" s="563"/>
      <c r="CA88" s="567"/>
      <c r="CB88" s="564"/>
      <c r="CC88" s="565"/>
      <c r="CD88" s="560"/>
      <c r="CE88" s="561"/>
      <c r="CF88" s="562"/>
      <c r="CG88" s="561"/>
      <c r="CH88" s="563"/>
      <c r="CI88" s="564"/>
      <c r="CJ88" s="564"/>
      <c r="CK88" s="564"/>
      <c r="CL88" s="560"/>
      <c r="CM88" s="561"/>
      <c r="CN88" s="562"/>
      <c r="CO88" s="561"/>
      <c r="CP88" s="563"/>
      <c r="CQ88" s="564"/>
      <c r="CR88" s="564"/>
      <c r="CS88" s="564"/>
      <c r="CT88" s="560"/>
      <c r="CU88" s="561"/>
      <c r="CV88" s="562"/>
      <c r="CW88" s="561"/>
      <c r="CX88" s="563"/>
      <c r="CY88" s="564"/>
      <c r="CZ88" s="564"/>
      <c r="DA88" s="564"/>
      <c r="DB88" s="560"/>
      <c r="DC88" s="561"/>
      <c r="DD88" s="562"/>
      <c r="DE88" s="561"/>
      <c r="DF88" s="563"/>
      <c r="DG88" s="564"/>
      <c r="DH88" s="564"/>
      <c r="DI88" s="564"/>
      <c r="DJ88" s="560"/>
      <c r="DK88" s="561"/>
      <c r="DL88" s="562"/>
      <c r="DM88" s="561"/>
      <c r="DN88" s="563"/>
      <c r="DO88" s="564"/>
      <c r="DP88" s="564"/>
      <c r="DQ88" s="564"/>
      <c r="DR88" s="560"/>
      <c r="DS88" s="561"/>
      <c r="DT88" s="562"/>
      <c r="DU88" s="561"/>
      <c r="DV88" s="563"/>
      <c r="DW88" s="564"/>
      <c r="DX88" s="564"/>
      <c r="DY88" s="564"/>
      <c r="DZ88" s="560"/>
      <c r="EA88" s="561"/>
      <c r="EB88" s="562"/>
      <c r="EC88" s="561"/>
      <c r="ED88" s="563"/>
      <c r="EE88" s="564"/>
      <c r="EF88" s="564"/>
      <c r="EG88" s="564"/>
      <c r="EH88" s="560"/>
      <c r="EI88" s="561"/>
      <c r="EJ88" s="562"/>
      <c r="EK88" s="561"/>
      <c r="EL88" s="563"/>
      <c r="EM88" s="564"/>
      <c r="EN88" s="564"/>
      <c r="EO88" s="564"/>
      <c r="EP88" s="560"/>
      <c r="EQ88" s="561"/>
      <c r="ER88" s="562"/>
      <c r="ES88" s="561"/>
      <c r="ET88" s="563"/>
      <c r="EU88" s="564"/>
      <c r="EV88" s="564"/>
      <c r="EW88" s="564"/>
      <c r="EX88" s="560"/>
      <c r="EY88" s="561"/>
      <c r="EZ88" s="562"/>
      <c r="FA88" s="561"/>
      <c r="FB88" s="563"/>
      <c r="FC88" s="564"/>
      <c r="FD88" s="564"/>
      <c r="FE88" s="564"/>
      <c r="FF88" s="560"/>
      <c r="FG88" s="561"/>
      <c r="FH88" s="562"/>
      <c r="FI88" s="561"/>
      <c r="FJ88" s="563"/>
      <c r="FK88" s="564"/>
      <c r="FL88" s="564"/>
      <c r="FM88" s="564"/>
      <c r="FN88" s="560"/>
      <c r="FO88" s="561"/>
      <c r="FP88" s="562"/>
      <c r="FQ88" s="561"/>
      <c r="FR88" s="563"/>
      <c r="FS88" s="564"/>
      <c r="FT88" s="564"/>
      <c r="FU88" s="564"/>
      <c r="FV88" s="560"/>
      <c r="FW88" s="566"/>
      <c r="FX88" s="566"/>
      <c r="FY88" s="566"/>
      <c r="FZ88" s="563"/>
      <c r="GA88" s="564"/>
      <c r="GB88" s="564"/>
      <c r="GC88" s="564"/>
      <c r="GD88" s="560"/>
      <c r="GE88" s="566"/>
      <c r="GF88" s="566"/>
      <c r="GG88" s="566"/>
      <c r="GH88" s="563"/>
      <c r="GI88" s="564"/>
      <c r="GJ88" s="564"/>
      <c r="GK88" s="564"/>
      <c r="GL88" s="560"/>
      <c r="GM88" s="566"/>
      <c r="GN88" s="566"/>
      <c r="GO88" s="566"/>
      <c r="GP88" s="563"/>
      <c r="GQ88" s="564"/>
      <c r="GR88" s="564"/>
      <c r="GS88" s="564"/>
      <c r="GT88" s="560"/>
      <c r="GU88" s="566"/>
      <c r="GV88" s="566"/>
      <c r="GW88" s="566"/>
      <c r="GX88" s="563"/>
      <c r="GY88" s="564"/>
      <c r="GZ88" s="564"/>
      <c r="HA88" s="590"/>
      <c r="HB88" s="560"/>
      <c r="HC88" s="566"/>
      <c r="HD88" s="566"/>
      <c r="HE88" s="566"/>
      <c r="HF88" s="563"/>
      <c r="HG88" s="564"/>
      <c r="HH88" s="564"/>
      <c r="HI88" s="590"/>
      <c r="HJ88" s="560"/>
      <c r="HK88" s="566"/>
      <c r="HL88" s="566"/>
      <c r="HM88" s="566"/>
      <c r="HN88" s="563"/>
      <c r="HO88" s="564"/>
      <c r="HP88" s="564"/>
      <c r="HQ88" s="590"/>
      <c r="HR88" s="560"/>
      <c r="HS88" s="566"/>
      <c r="HT88" s="566"/>
      <c r="HU88" s="566"/>
    </row>
    <row r="89" spans="2:229" s="506" customFormat="1" ht="56.5" customHeight="1" x14ac:dyDescent="0.35">
      <c r="B89" s="544">
        <v>86</v>
      </c>
      <c r="C89" s="544" t="s">
        <v>156</v>
      </c>
      <c r="D89" s="545" t="s">
        <v>266</v>
      </c>
      <c r="E89" s="558" t="s">
        <v>416</v>
      </c>
      <c r="F89" s="546" t="s">
        <v>417</v>
      </c>
      <c r="G89" s="546" t="s">
        <v>418</v>
      </c>
      <c r="H89" s="547" t="s">
        <v>419</v>
      </c>
      <c r="I89" s="548"/>
      <c r="J89" s="705">
        <v>2</v>
      </c>
      <c r="K89" s="568">
        <f>P89+5</f>
        <v>46047</v>
      </c>
      <c r="L89" s="548"/>
      <c r="M89" s="569" t="s">
        <v>117</v>
      </c>
      <c r="N89" s="551">
        <v>0</v>
      </c>
      <c r="O89" s="552">
        <v>153</v>
      </c>
      <c r="P89" s="553">
        <v>46042</v>
      </c>
      <c r="Q89" s="553">
        <v>46031</v>
      </c>
      <c r="R89" s="554" t="s">
        <v>67</v>
      </c>
      <c r="S89" s="555">
        <f ca="1">IF(R89="Aprobado / Emitir Rev_0", NETWORKDAYS(Q89,TODAY(),Hoja1!$C$3:$C$25),0)</f>
        <v>0</v>
      </c>
      <c r="T89" s="555">
        <f ca="1">IF(R89="Revisión INN",NETWORKDAYS(P89,TODAY(),Hoja1!$C$3:$C$25),0)</f>
        <v>0</v>
      </c>
      <c r="U89" s="556">
        <f t="shared" si="3"/>
        <v>3</v>
      </c>
      <c r="V89" s="557" t="s">
        <v>125</v>
      </c>
      <c r="W89" s="558">
        <v>88</v>
      </c>
      <c r="X89" s="558"/>
      <c r="Y89" s="559">
        <v>45989</v>
      </c>
      <c r="Z89" s="560">
        <v>78</v>
      </c>
      <c r="AA89" s="561">
        <v>46007</v>
      </c>
      <c r="AB89" s="562"/>
      <c r="AC89" s="561" t="s">
        <v>162</v>
      </c>
      <c r="AD89" s="638" t="s">
        <v>63</v>
      </c>
      <c r="AE89" s="639">
        <v>134</v>
      </c>
      <c r="AF89" s="564"/>
      <c r="AG89" s="640">
        <v>46030</v>
      </c>
      <c r="AH89" s="560">
        <v>102</v>
      </c>
      <c r="AI89" s="561">
        <v>46031</v>
      </c>
      <c r="AJ89" s="562"/>
      <c r="AK89" s="561" t="s">
        <v>128</v>
      </c>
      <c r="AL89" s="563">
        <v>0</v>
      </c>
      <c r="AM89" s="567">
        <v>143</v>
      </c>
      <c r="AN89" s="564"/>
      <c r="AO89" s="565">
        <v>46042</v>
      </c>
      <c r="AP89" s="589">
        <v>153</v>
      </c>
      <c r="AQ89" s="593">
        <v>46097</v>
      </c>
      <c r="AR89" s="562"/>
      <c r="AS89" s="593" t="s">
        <v>67</v>
      </c>
      <c r="AT89" s="563"/>
      <c r="AU89" s="567"/>
      <c r="AV89" s="564"/>
      <c r="AW89" s="565"/>
      <c r="AX89" s="560"/>
      <c r="AY89" s="561"/>
      <c r="AZ89" s="562"/>
      <c r="BA89" s="561"/>
      <c r="BB89" s="563"/>
      <c r="BC89" s="567"/>
      <c r="BD89" s="564"/>
      <c r="BE89" s="565"/>
      <c r="BF89" s="560"/>
      <c r="BG89" s="561"/>
      <c r="BH89" s="562"/>
      <c r="BI89" s="561"/>
      <c r="BJ89" s="563"/>
      <c r="BK89" s="567"/>
      <c r="BL89" s="564"/>
      <c r="BM89" s="565"/>
      <c r="BN89" s="560"/>
      <c r="BO89" s="561"/>
      <c r="BP89" s="562"/>
      <c r="BQ89" s="561"/>
      <c r="BR89" s="563"/>
      <c r="BS89" s="567"/>
      <c r="BT89" s="564"/>
      <c r="BU89" s="565"/>
      <c r="BV89" s="560"/>
      <c r="BW89" s="561"/>
      <c r="BX89" s="562"/>
      <c r="BY89" s="561"/>
      <c r="BZ89" s="563"/>
      <c r="CA89" s="567"/>
      <c r="CB89" s="564"/>
      <c r="CC89" s="565"/>
      <c r="CD89" s="560"/>
      <c r="CE89" s="561"/>
      <c r="CF89" s="562"/>
      <c r="CG89" s="561"/>
      <c r="CH89" s="563"/>
      <c r="CI89" s="564"/>
      <c r="CJ89" s="564"/>
      <c r="CK89" s="564"/>
      <c r="CL89" s="560"/>
      <c r="CM89" s="561"/>
      <c r="CN89" s="562"/>
      <c r="CO89" s="561"/>
      <c r="CP89" s="563"/>
      <c r="CQ89" s="564"/>
      <c r="CR89" s="564"/>
      <c r="CS89" s="564"/>
      <c r="CT89" s="560"/>
      <c r="CU89" s="561"/>
      <c r="CV89" s="562"/>
      <c r="CW89" s="561"/>
      <c r="CX89" s="563"/>
      <c r="CY89" s="564"/>
      <c r="CZ89" s="564"/>
      <c r="DA89" s="564"/>
      <c r="DB89" s="560"/>
      <c r="DC89" s="561"/>
      <c r="DD89" s="562"/>
      <c r="DE89" s="561"/>
      <c r="DF89" s="563"/>
      <c r="DG89" s="564"/>
      <c r="DH89" s="564"/>
      <c r="DI89" s="564"/>
      <c r="DJ89" s="560"/>
      <c r="DK89" s="561"/>
      <c r="DL89" s="562"/>
      <c r="DM89" s="561"/>
      <c r="DN89" s="563"/>
      <c r="DO89" s="564"/>
      <c r="DP89" s="564"/>
      <c r="DQ89" s="564"/>
      <c r="DR89" s="560"/>
      <c r="DS89" s="561"/>
      <c r="DT89" s="562"/>
      <c r="DU89" s="561"/>
      <c r="DV89" s="563"/>
      <c r="DW89" s="564"/>
      <c r="DX89" s="564"/>
      <c r="DY89" s="564"/>
      <c r="DZ89" s="560"/>
      <c r="EA89" s="561"/>
      <c r="EB89" s="562"/>
      <c r="EC89" s="561"/>
      <c r="ED89" s="563"/>
      <c r="EE89" s="564"/>
      <c r="EF89" s="564"/>
      <c r="EG89" s="564"/>
      <c r="EH89" s="560"/>
      <c r="EI89" s="561"/>
      <c r="EJ89" s="562"/>
      <c r="EK89" s="561"/>
      <c r="EL89" s="563"/>
      <c r="EM89" s="564"/>
      <c r="EN89" s="564"/>
      <c r="EO89" s="564"/>
      <c r="EP89" s="560"/>
      <c r="EQ89" s="561"/>
      <c r="ER89" s="562"/>
      <c r="ES89" s="561"/>
      <c r="ET89" s="563"/>
      <c r="EU89" s="564"/>
      <c r="EV89" s="564"/>
      <c r="EW89" s="564"/>
      <c r="EX89" s="560"/>
      <c r="EY89" s="561"/>
      <c r="EZ89" s="562"/>
      <c r="FA89" s="561"/>
      <c r="FB89" s="563"/>
      <c r="FC89" s="564"/>
      <c r="FD89" s="564"/>
      <c r="FE89" s="564"/>
      <c r="FF89" s="560"/>
      <c r="FG89" s="561"/>
      <c r="FH89" s="562"/>
      <c r="FI89" s="561"/>
      <c r="FJ89" s="563"/>
      <c r="FK89" s="564"/>
      <c r="FL89" s="564"/>
      <c r="FM89" s="564"/>
      <c r="FN89" s="560"/>
      <c r="FO89" s="561"/>
      <c r="FP89" s="562"/>
      <c r="FQ89" s="561"/>
      <c r="FR89" s="563"/>
      <c r="FS89" s="564"/>
      <c r="FT89" s="564"/>
      <c r="FU89" s="564"/>
      <c r="FV89" s="560"/>
      <c r="FW89" s="566"/>
      <c r="FX89" s="566"/>
      <c r="FY89" s="566"/>
      <c r="FZ89" s="563"/>
      <c r="GA89" s="564"/>
      <c r="GB89" s="564"/>
      <c r="GC89" s="564"/>
      <c r="GD89" s="560"/>
      <c r="GE89" s="566"/>
      <c r="GF89" s="566"/>
      <c r="GG89" s="566"/>
      <c r="GH89" s="563"/>
      <c r="GI89" s="564"/>
      <c r="GJ89" s="564"/>
      <c r="GK89" s="564"/>
      <c r="GL89" s="560"/>
      <c r="GM89" s="566"/>
      <c r="GN89" s="566"/>
      <c r="GO89" s="566"/>
      <c r="GP89" s="563"/>
      <c r="GQ89" s="564"/>
      <c r="GR89" s="564"/>
      <c r="GS89" s="564"/>
      <c r="GT89" s="560"/>
      <c r="GU89" s="566"/>
      <c r="GV89" s="566"/>
      <c r="GW89" s="566"/>
      <c r="GX89" s="541"/>
      <c r="GY89" s="535"/>
      <c r="GZ89" s="542"/>
      <c r="HA89" s="543"/>
      <c r="HB89" s="541"/>
      <c r="HC89" s="535"/>
      <c r="HD89" s="542"/>
      <c r="HE89" s="543"/>
      <c r="HF89" s="541"/>
      <c r="HG89" s="535"/>
      <c r="HH89" s="542"/>
      <c r="HI89" s="543"/>
      <c r="HJ89" s="541"/>
      <c r="HK89" s="535"/>
      <c r="HL89" s="542"/>
      <c r="HM89" s="543"/>
      <c r="HN89" s="541"/>
      <c r="HO89" s="535"/>
      <c r="HP89" s="542"/>
      <c r="HQ89" s="543"/>
      <c r="HR89" s="541"/>
      <c r="HS89" s="535"/>
      <c r="HT89" s="542"/>
      <c r="HU89" s="543"/>
    </row>
    <row r="90" spans="2:229" s="506" customFormat="1" ht="77.150000000000006" customHeight="1" x14ac:dyDescent="0.35">
      <c r="B90" s="544">
        <v>87</v>
      </c>
      <c r="C90" s="544" t="s">
        <v>145</v>
      </c>
      <c r="D90" s="545" t="s">
        <v>139</v>
      </c>
      <c r="E90" s="558" t="s">
        <v>420</v>
      </c>
      <c r="F90" s="546" t="s">
        <v>421</v>
      </c>
      <c r="G90" s="546" t="s">
        <v>46</v>
      </c>
      <c r="H90" s="547" t="s">
        <v>422</v>
      </c>
      <c r="I90" s="548">
        <f>Q90+5</f>
        <v>46116</v>
      </c>
      <c r="J90" s="568"/>
      <c r="K90" s="568" t="s">
        <v>62</v>
      </c>
      <c r="L90" s="549" t="s">
        <v>358</v>
      </c>
      <c r="M90" s="569" t="s">
        <v>117</v>
      </c>
      <c r="N90" s="551">
        <v>1</v>
      </c>
      <c r="O90" s="552">
        <v>167</v>
      </c>
      <c r="P90" s="553">
        <v>46107</v>
      </c>
      <c r="Q90" s="553">
        <v>46111</v>
      </c>
      <c r="R90" s="554" t="s">
        <v>67</v>
      </c>
      <c r="S90" s="555">
        <f ca="1">IF(R90="Aprobado con comentarios / Emitir Rev_1", NETWORKDAYS(Q90,TODAY(),Hoja1!$C$3:$C$25),0)</f>
        <v>0</v>
      </c>
      <c r="T90" s="555">
        <f ca="1">IF(R90="Revisión INN",NETWORKDAYS(P90,TODAY(),Hoja1!$C$3:$C$25),0)</f>
        <v>0</v>
      </c>
      <c r="U90" s="556">
        <f t="shared" si="3"/>
        <v>6</v>
      </c>
      <c r="V90" s="557" t="s">
        <v>63</v>
      </c>
      <c r="W90" s="558">
        <v>56</v>
      </c>
      <c r="X90" s="558" t="s">
        <v>62</v>
      </c>
      <c r="Y90" s="559">
        <v>45957</v>
      </c>
      <c r="Z90" s="560">
        <v>53</v>
      </c>
      <c r="AA90" s="561">
        <v>45964</v>
      </c>
      <c r="AB90" s="562"/>
      <c r="AC90" s="561" t="s">
        <v>126</v>
      </c>
      <c r="AD90" s="563">
        <v>0</v>
      </c>
      <c r="AE90" s="567">
        <v>66</v>
      </c>
      <c r="AF90" s="564"/>
      <c r="AG90" s="565">
        <v>45968</v>
      </c>
      <c r="AH90" s="560">
        <v>78</v>
      </c>
      <c r="AI90" s="594">
        <v>46007</v>
      </c>
      <c r="AJ90" s="562"/>
      <c r="AK90" s="560" t="s">
        <v>203</v>
      </c>
      <c r="AL90" s="563" t="s">
        <v>200</v>
      </c>
      <c r="AM90" s="567">
        <v>82</v>
      </c>
      <c r="AN90" s="564"/>
      <c r="AO90" s="565">
        <v>45985</v>
      </c>
      <c r="AP90" s="560" t="s">
        <v>423</v>
      </c>
      <c r="AQ90" s="561" t="s">
        <v>423</v>
      </c>
      <c r="AR90" s="562"/>
      <c r="AS90" s="561" t="s">
        <v>423</v>
      </c>
      <c r="AT90" s="563" t="s">
        <v>361</v>
      </c>
      <c r="AU90" s="567">
        <v>123</v>
      </c>
      <c r="AV90" s="564"/>
      <c r="AW90" s="565">
        <v>46022</v>
      </c>
      <c r="AX90" s="560">
        <v>111</v>
      </c>
      <c r="AY90" s="561">
        <v>46041</v>
      </c>
      <c r="AZ90" s="562"/>
      <c r="BA90" s="561" t="s">
        <v>404</v>
      </c>
      <c r="BB90" s="563" t="s">
        <v>363</v>
      </c>
      <c r="BC90" s="567">
        <v>172</v>
      </c>
      <c r="BD90" s="564"/>
      <c r="BE90" s="565">
        <v>46065</v>
      </c>
      <c r="BF90" s="560">
        <v>149</v>
      </c>
      <c r="BG90" s="561">
        <v>46097</v>
      </c>
      <c r="BH90" s="562"/>
      <c r="BI90" s="561" t="s">
        <v>405</v>
      </c>
      <c r="BJ90" s="563" t="s">
        <v>365</v>
      </c>
      <c r="BK90" s="567">
        <v>226</v>
      </c>
      <c r="BL90" s="564"/>
      <c r="BM90" s="565">
        <v>46099</v>
      </c>
      <c r="BN90" s="822">
        <v>160</v>
      </c>
      <c r="BO90" s="823">
        <v>46104</v>
      </c>
      <c r="BP90" s="562"/>
      <c r="BQ90" s="823" t="s">
        <v>155</v>
      </c>
      <c r="BR90" s="563">
        <v>1</v>
      </c>
      <c r="BS90" s="567">
        <v>246</v>
      </c>
      <c r="BT90" s="564"/>
      <c r="BU90" s="565">
        <v>46107</v>
      </c>
      <c r="BV90" s="589">
        <v>167</v>
      </c>
      <c r="BW90" s="593">
        <v>46111</v>
      </c>
      <c r="BX90" s="562"/>
      <c r="BY90" s="593" t="s">
        <v>67</v>
      </c>
      <c r="BZ90" s="563"/>
      <c r="CA90" s="567"/>
      <c r="CB90" s="564"/>
      <c r="CC90" s="565"/>
      <c r="CD90" s="560"/>
      <c r="CE90" s="561"/>
      <c r="CF90" s="562"/>
      <c r="CG90" s="561"/>
      <c r="CH90" s="563"/>
      <c r="CI90" s="564"/>
      <c r="CJ90" s="564"/>
      <c r="CK90" s="564"/>
      <c r="CL90" s="560"/>
      <c r="CM90" s="561"/>
      <c r="CN90" s="562"/>
      <c r="CO90" s="561"/>
      <c r="CP90" s="563"/>
      <c r="CQ90" s="564"/>
      <c r="CR90" s="564"/>
      <c r="CS90" s="564"/>
      <c r="CT90" s="560"/>
      <c r="CU90" s="561"/>
      <c r="CV90" s="562"/>
      <c r="CW90" s="561"/>
      <c r="CX90" s="563"/>
      <c r="CY90" s="564"/>
      <c r="CZ90" s="564"/>
      <c r="DA90" s="564"/>
      <c r="DB90" s="560"/>
      <c r="DC90" s="561"/>
      <c r="DD90" s="562"/>
      <c r="DE90" s="561"/>
      <c r="DF90" s="563"/>
      <c r="DG90" s="564"/>
      <c r="DH90" s="564"/>
      <c r="DI90" s="564"/>
      <c r="DJ90" s="560"/>
      <c r="DK90" s="561"/>
      <c r="DL90" s="562"/>
      <c r="DM90" s="561"/>
      <c r="DN90" s="563"/>
      <c r="DO90" s="564"/>
      <c r="DP90" s="564"/>
      <c r="DQ90" s="564"/>
      <c r="DR90" s="560"/>
      <c r="DS90" s="561"/>
      <c r="DT90" s="562"/>
      <c r="DU90" s="561"/>
      <c r="DV90" s="563"/>
      <c r="DW90" s="564"/>
      <c r="DX90" s="564"/>
      <c r="DY90" s="564"/>
      <c r="DZ90" s="560"/>
      <c r="EA90" s="561"/>
      <c r="EB90" s="562"/>
      <c r="EC90" s="561"/>
      <c r="ED90" s="563"/>
      <c r="EE90" s="564"/>
      <c r="EF90" s="564"/>
      <c r="EG90" s="564"/>
      <c r="EH90" s="560"/>
      <c r="EI90" s="561"/>
      <c r="EJ90" s="562"/>
      <c r="EK90" s="561"/>
      <c r="EL90" s="563"/>
      <c r="EM90" s="564"/>
      <c r="EN90" s="564"/>
      <c r="EO90" s="564"/>
      <c r="EP90" s="560"/>
      <c r="EQ90" s="561"/>
      <c r="ER90" s="562"/>
      <c r="ES90" s="561"/>
      <c r="ET90" s="563"/>
      <c r="EU90" s="564"/>
      <c r="EV90" s="564"/>
      <c r="EW90" s="564"/>
      <c r="EX90" s="560"/>
      <c r="EY90" s="561"/>
      <c r="EZ90" s="562"/>
      <c r="FA90" s="561"/>
      <c r="FB90" s="563"/>
      <c r="FC90" s="564"/>
      <c r="FD90" s="564"/>
      <c r="FE90" s="564"/>
      <c r="FF90" s="560"/>
      <c r="FG90" s="561"/>
      <c r="FH90" s="562"/>
      <c r="FI90" s="561"/>
      <c r="FJ90" s="563"/>
      <c r="FK90" s="564"/>
      <c r="FL90" s="564"/>
      <c r="FM90" s="564"/>
      <c r="FN90" s="560"/>
      <c r="FO90" s="561"/>
      <c r="FP90" s="562"/>
      <c r="FQ90" s="561"/>
      <c r="FR90" s="563"/>
      <c r="FS90" s="564"/>
      <c r="FT90" s="564"/>
      <c r="FU90" s="564"/>
      <c r="FV90" s="560"/>
      <c r="FW90" s="566"/>
      <c r="FX90" s="566"/>
      <c r="FY90" s="566"/>
      <c r="FZ90" s="563"/>
      <c r="GA90" s="564"/>
      <c r="GB90" s="564"/>
      <c r="GC90" s="564"/>
      <c r="GD90" s="560"/>
      <c r="GE90" s="566"/>
      <c r="GF90" s="566"/>
      <c r="GG90" s="566"/>
      <c r="GH90" s="563"/>
      <c r="GI90" s="564"/>
      <c r="GJ90" s="564"/>
      <c r="GK90" s="564"/>
      <c r="GL90" s="560"/>
      <c r="GM90" s="566"/>
      <c r="GN90" s="566"/>
      <c r="GO90" s="566"/>
      <c r="GP90" s="563"/>
      <c r="GQ90" s="564"/>
      <c r="GR90" s="564"/>
      <c r="GS90" s="564"/>
      <c r="GT90" s="560"/>
      <c r="GU90" s="566"/>
      <c r="GV90" s="566"/>
      <c r="GW90" s="566"/>
      <c r="GX90" s="563"/>
      <c r="GY90" s="564"/>
      <c r="GZ90" s="564"/>
      <c r="HA90" s="590"/>
      <c r="HB90" s="560"/>
      <c r="HC90" s="566"/>
      <c r="HD90" s="566"/>
      <c r="HE90" s="566"/>
      <c r="HF90" s="563"/>
      <c r="HG90" s="564"/>
      <c r="HH90" s="564"/>
      <c r="HI90" s="590"/>
      <c r="HJ90" s="560"/>
      <c r="HK90" s="566"/>
      <c r="HL90" s="566"/>
      <c r="HM90" s="566"/>
      <c r="HN90" s="563"/>
      <c r="HO90" s="564"/>
      <c r="HP90" s="564"/>
      <c r="HQ90" s="590"/>
      <c r="HR90" s="560"/>
      <c r="HS90" s="566"/>
      <c r="HT90" s="566"/>
      <c r="HU90" s="566"/>
    </row>
    <row r="91" spans="2:229" s="506" customFormat="1" ht="89.5" customHeight="1" x14ac:dyDescent="0.35">
      <c r="B91" s="544">
        <v>89</v>
      </c>
      <c r="C91" s="577" t="s">
        <v>145</v>
      </c>
      <c r="D91" s="545" t="s">
        <v>68</v>
      </c>
      <c r="E91" s="546" t="s">
        <v>424</v>
      </c>
      <c r="F91" s="546" t="s">
        <v>425</v>
      </c>
      <c r="G91" s="546" t="s">
        <v>426</v>
      </c>
      <c r="H91" s="547" t="s">
        <v>427</v>
      </c>
      <c r="I91" s="568"/>
      <c r="J91" s="568"/>
      <c r="K91" s="568">
        <f>P91+5</f>
        <v>46074</v>
      </c>
      <c r="L91" s="549" t="s">
        <v>387</v>
      </c>
      <c r="M91" s="569" t="s">
        <v>117</v>
      </c>
      <c r="N91" s="658" t="s">
        <v>184</v>
      </c>
      <c r="O91" s="552">
        <v>179</v>
      </c>
      <c r="P91" s="553">
        <v>46069</v>
      </c>
      <c r="Q91" s="553">
        <v>46120</v>
      </c>
      <c r="R91" s="554" t="s">
        <v>185</v>
      </c>
      <c r="S91" s="555">
        <f ca="1">IF(R91="Aprobado con comentarios / Emitir Rev_2", NETWORKDAYS(Q91,TODAY(),Hoja1!$C$3:$C$25),0)</f>
        <v>8</v>
      </c>
      <c r="T91" s="555">
        <f ca="1">IF(R91="Revisión INN",NETWORKDAYS(P91,TODAY(),Hoja1!$C$3:$C$25),0)</f>
        <v>0</v>
      </c>
      <c r="U91" s="556">
        <f t="shared" si="3"/>
        <v>4</v>
      </c>
      <c r="V91" s="557" t="s">
        <v>125</v>
      </c>
      <c r="W91" s="558">
        <v>19</v>
      </c>
      <c r="X91" s="575"/>
      <c r="Y91" s="559">
        <v>45916</v>
      </c>
      <c r="Z91" s="560">
        <v>18</v>
      </c>
      <c r="AA91" s="561">
        <v>45917</v>
      </c>
      <c r="AB91" s="562">
        <f>AA91-Y91</f>
        <v>1</v>
      </c>
      <c r="AC91" s="561" t="s">
        <v>388</v>
      </c>
      <c r="AD91" s="563" t="s">
        <v>63</v>
      </c>
      <c r="AE91" s="567">
        <v>33</v>
      </c>
      <c r="AF91" s="564">
        <f>AG91-AA91</f>
        <v>16</v>
      </c>
      <c r="AG91" s="565">
        <v>45933</v>
      </c>
      <c r="AH91" s="560">
        <v>47</v>
      </c>
      <c r="AI91" s="561">
        <v>45952</v>
      </c>
      <c r="AJ91" s="562"/>
      <c r="AK91" s="561" t="s">
        <v>186</v>
      </c>
      <c r="AL91" s="563">
        <v>0</v>
      </c>
      <c r="AM91" s="567">
        <v>85</v>
      </c>
      <c r="AN91" s="564"/>
      <c r="AO91" s="559">
        <v>45988</v>
      </c>
      <c r="AP91" s="560">
        <v>79</v>
      </c>
      <c r="AQ91" s="561">
        <v>46007</v>
      </c>
      <c r="AR91" s="562"/>
      <c r="AS91" s="561" t="s">
        <v>389</v>
      </c>
      <c r="AT91" s="563">
        <v>1</v>
      </c>
      <c r="AU91" s="567">
        <v>123</v>
      </c>
      <c r="AV91" s="564"/>
      <c r="AW91" s="565">
        <v>46022</v>
      </c>
      <c r="AX91" s="560" t="s">
        <v>221</v>
      </c>
      <c r="AY91" s="560" t="s">
        <v>221</v>
      </c>
      <c r="AZ91" s="562"/>
      <c r="BA91" s="560" t="s">
        <v>221</v>
      </c>
      <c r="BB91" s="563" t="s">
        <v>184</v>
      </c>
      <c r="BC91" s="567">
        <v>176</v>
      </c>
      <c r="BD91" s="564"/>
      <c r="BE91" s="565">
        <v>46069</v>
      </c>
      <c r="BF91" s="589">
        <v>179</v>
      </c>
      <c r="BG91" s="593">
        <v>46120</v>
      </c>
      <c r="BH91" s="562"/>
      <c r="BI91" s="593" t="s">
        <v>185</v>
      </c>
      <c r="BJ91" s="563"/>
      <c r="BK91" s="567"/>
      <c r="BL91" s="564"/>
      <c r="BM91" s="565"/>
      <c r="BN91" s="560"/>
      <c r="BO91" s="561"/>
      <c r="BP91" s="562"/>
      <c r="BQ91" s="561"/>
      <c r="BR91" s="563"/>
      <c r="BS91" s="567"/>
      <c r="BT91" s="564"/>
      <c r="BU91" s="565"/>
      <c r="BV91" s="560"/>
      <c r="BW91" s="561"/>
      <c r="BX91" s="562"/>
      <c r="BY91" s="561"/>
      <c r="BZ91" s="563"/>
      <c r="CA91" s="567"/>
      <c r="CB91" s="564"/>
      <c r="CC91" s="565"/>
      <c r="CD91" s="560"/>
      <c r="CE91" s="561"/>
      <c r="CF91" s="562"/>
      <c r="CG91" s="561"/>
      <c r="CH91" s="563"/>
      <c r="CI91" s="564"/>
      <c r="CJ91" s="564"/>
      <c r="CK91" s="564"/>
      <c r="CL91" s="560"/>
      <c r="CM91" s="561"/>
      <c r="CN91" s="562"/>
      <c r="CO91" s="561"/>
      <c r="CP91" s="563"/>
      <c r="CQ91" s="564"/>
      <c r="CR91" s="564"/>
      <c r="CS91" s="564"/>
      <c r="CT91" s="560"/>
      <c r="CU91" s="561"/>
      <c r="CV91" s="562"/>
      <c r="CW91" s="561"/>
      <c r="CX91" s="563"/>
      <c r="CY91" s="564"/>
      <c r="CZ91" s="564"/>
      <c r="DA91" s="564"/>
      <c r="DB91" s="560"/>
      <c r="DC91" s="561"/>
      <c r="DD91" s="562"/>
      <c r="DE91" s="561"/>
      <c r="DF91" s="563"/>
      <c r="DG91" s="564"/>
      <c r="DH91" s="564"/>
      <c r="DI91" s="564"/>
      <c r="DJ91" s="560"/>
      <c r="DK91" s="561"/>
      <c r="DL91" s="562"/>
      <c r="DM91" s="561"/>
      <c r="DN91" s="563"/>
      <c r="DO91" s="564"/>
      <c r="DP91" s="564"/>
      <c r="DQ91" s="564"/>
      <c r="DR91" s="560"/>
      <c r="DS91" s="561"/>
      <c r="DT91" s="562"/>
      <c r="DU91" s="561"/>
      <c r="DV91" s="563"/>
      <c r="DW91" s="564"/>
      <c r="DX91" s="564"/>
      <c r="DY91" s="564"/>
      <c r="DZ91" s="560"/>
      <c r="EA91" s="561"/>
      <c r="EB91" s="562"/>
      <c r="EC91" s="561"/>
      <c r="ED91" s="563"/>
      <c r="EE91" s="564"/>
      <c r="EF91" s="564"/>
      <c r="EG91" s="564"/>
      <c r="EH91" s="560"/>
      <c r="EI91" s="561"/>
      <c r="EJ91" s="562"/>
      <c r="EK91" s="561"/>
      <c r="EL91" s="563"/>
      <c r="EM91" s="564"/>
      <c r="EN91" s="564"/>
      <c r="EO91" s="564"/>
      <c r="EP91" s="560"/>
      <c r="EQ91" s="561"/>
      <c r="ER91" s="562"/>
      <c r="ES91" s="561"/>
      <c r="ET91" s="563"/>
      <c r="EU91" s="564"/>
      <c r="EV91" s="564"/>
      <c r="EW91" s="564"/>
      <c r="EX91" s="560"/>
      <c r="EY91" s="561"/>
      <c r="EZ91" s="562"/>
      <c r="FA91" s="561"/>
      <c r="FB91" s="563"/>
      <c r="FC91" s="564"/>
      <c r="FD91" s="564"/>
      <c r="FE91" s="564"/>
      <c r="FF91" s="560"/>
      <c r="FG91" s="561"/>
      <c r="FH91" s="562"/>
      <c r="FI91" s="561"/>
      <c r="FJ91" s="563"/>
      <c r="FK91" s="564"/>
      <c r="FL91" s="564"/>
      <c r="FM91" s="564"/>
      <c r="FN91" s="560"/>
      <c r="FO91" s="561"/>
      <c r="FP91" s="562"/>
      <c r="FQ91" s="561"/>
      <c r="FR91" s="563"/>
      <c r="FS91" s="564"/>
      <c r="FT91" s="564"/>
      <c r="FU91" s="564"/>
      <c r="FV91" s="560"/>
      <c r="FW91" s="566"/>
      <c r="FX91" s="566"/>
      <c r="FY91" s="566"/>
      <c r="FZ91" s="563"/>
      <c r="GA91" s="564"/>
      <c r="GB91" s="564"/>
      <c r="GC91" s="564"/>
      <c r="GD91" s="560"/>
      <c r="GE91" s="566"/>
      <c r="GF91" s="566"/>
      <c r="GG91" s="566"/>
      <c r="GH91" s="563"/>
      <c r="GI91" s="564"/>
      <c r="GJ91" s="564"/>
      <c r="GK91" s="564"/>
      <c r="GL91" s="560"/>
      <c r="GM91" s="566"/>
      <c r="GN91" s="566"/>
      <c r="GO91" s="566"/>
      <c r="GP91" s="563"/>
      <c r="GQ91" s="564"/>
      <c r="GR91" s="564"/>
      <c r="GS91" s="564"/>
      <c r="GT91" s="560"/>
      <c r="GU91" s="566"/>
      <c r="GV91" s="566"/>
      <c r="GW91" s="566"/>
      <c r="GX91" s="563"/>
      <c r="GY91" s="564"/>
      <c r="GZ91" s="564"/>
      <c r="HA91" s="590"/>
      <c r="HB91" s="560"/>
      <c r="HC91" s="566"/>
      <c r="HD91" s="566"/>
      <c r="HE91" s="566"/>
      <c r="HF91" s="563"/>
      <c r="HG91" s="564"/>
      <c r="HH91" s="564"/>
      <c r="HI91" s="590"/>
      <c r="HJ91" s="560"/>
      <c r="HK91" s="566"/>
      <c r="HL91" s="566"/>
      <c r="HM91" s="566"/>
      <c r="HN91" s="563"/>
      <c r="HO91" s="564"/>
      <c r="HP91" s="564"/>
      <c r="HQ91" s="590"/>
      <c r="HR91" s="560"/>
      <c r="HS91" s="566"/>
      <c r="HT91" s="566"/>
      <c r="HU91" s="566"/>
    </row>
    <row r="92" spans="2:229" s="506" customFormat="1" ht="89.5" customHeight="1" thickBot="1" x14ac:dyDescent="0.4">
      <c r="B92" s="544">
        <v>101</v>
      </c>
      <c r="C92" s="577" t="s">
        <v>145</v>
      </c>
      <c r="D92" s="545" t="s">
        <v>139</v>
      </c>
      <c r="E92" s="546" t="s">
        <v>428</v>
      </c>
      <c r="F92" s="546" t="s">
        <v>429</v>
      </c>
      <c r="G92" s="546" t="s">
        <v>430</v>
      </c>
      <c r="H92" s="547" t="s">
        <v>431</v>
      </c>
      <c r="I92" s="568"/>
      <c r="J92" s="568"/>
      <c r="K92" s="568">
        <f>P92+5</f>
        <v>46074</v>
      </c>
      <c r="L92" s="549" t="s">
        <v>387</v>
      </c>
      <c r="M92" s="569" t="s">
        <v>117</v>
      </c>
      <c r="N92" s="658" t="s">
        <v>184</v>
      </c>
      <c r="O92" s="552">
        <v>179</v>
      </c>
      <c r="P92" s="553">
        <v>46069</v>
      </c>
      <c r="Q92" s="553">
        <v>46120</v>
      </c>
      <c r="R92" s="554" t="s">
        <v>185</v>
      </c>
      <c r="S92" s="555">
        <f ca="1">IF(R92="Aprobado con comentarios / Emitir Rev_2", NETWORKDAYS(Q92,TODAY(),Hoja1!$C$3:$C$25),0)</f>
        <v>8</v>
      </c>
      <c r="T92" s="555">
        <f ca="1">IF(R92="Revisión INN",NETWORKDAYS(P92,TODAY(),Hoja1!$C$3:$C$25),0)</f>
        <v>0</v>
      </c>
      <c r="U92" s="556">
        <f t="shared" si="3"/>
        <v>4</v>
      </c>
      <c r="V92" s="557" t="s">
        <v>125</v>
      </c>
      <c r="W92" s="558">
        <v>19</v>
      </c>
      <c r="X92" s="575"/>
      <c r="Y92" s="559">
        <v>45916</v>
      </c>
      <c r="Z92" s="560">
        <v>18</v>
      </c>
      <c r="AA92" s="561">
        <v>45917</v>
      </c>
      <c r="AB92" s="562">
        <f>AA92-Y92</f>
        <v>1</v>
      </c>
      <c r="AC92" s="561" t="s">
        <v>388</v>
      </c>
      <c r="AD92" s="563" t="s">
        <v>63</v>
      </c>
      <c r="AE92" s="567">
        <v>33</v>
      </c>
      <c r="AF92" s="564">
        <f>AG92-AA92</f>
        <v>16</v>
      </c>
      <c r="AG92" s="565">
        <v>45933</v>
      </c>
      <c r="AH92" s="560">
        <v>47</v>
      </c>
      <c r="AI92" s="561">
        <v>45952</v>
      </c>
      <c r="AJ92" s="562"/>
      <c r="AK92" s="561" t="s">
        <v>89</v>
      </c>
      <c r="AL92" s="563">
        <v>0</v>
      </c>
      <c r="AM92" s="567">
        <v>85</v>
      </c>
      <c r="AN92" s="564"/>
      <c r="AO92" s="559">
        <v>45988</v>
      </c>
      <c r="AP92" s="560">
        <v>79</v>
      </c>
      <c r="AQ92" s="561">
        <v>46007</v>
      </c>
      <c r="AR92" s="562"/>
      <c r="AS92" s="561" t="s">
        <v>155</v>
      </c>
      <c r="AT92" s="563">
        <v>1</v>
      </c>
      <c r="AU92" s="567">
        <v>123</v>
      </c>
      <c r="AV92" s="564"/>
      <c r="AW92" s="565">
        <v>46022</v>
      </c>
      <c r="AX92" s="560" t="s">
        <v>221</v>
      </c>
      <c r="AY92" s="560" t="s">
        <v>221</v>
      </c>
      <c r="AZ92" s="562"/>
      <c r="BA92" s="560" t="s">
        <v>221</v>
      </c>
      <c r="BB92" s="563" t="s">
        <v>184</v>
      </c>
      <c r="BC92" s="567">
        <v>176</v>
      </c>
      <c r="BD92" s="564"/>
      <c r="BE92" s="565">
        <v>46069</v>
      </c>
      <c r="BF92" s="589">
        <v>179</v>
      </c>
      <c r="BG92" s="593">
        <v>46120</v>
      </c>
      <c r="BH92" s="562"/>
      <c r="BI92" s="593" t="s">
        <v>185</v>
      </c>
      <c r="BJ92" s="563"/>
      <c r="BK92" s="567"/>
      <c r="BL92" s="564"/>
      <c r="BM92" s="565"/>
      <c r="BN92" s="560"/>
      <c r="BO92" s="561"/>
      <c r="BP92" s="562"/>
      <c r="BQ92" s="561"/>
      <c r="BR92" s="563"/>
      <c r="BS92" s="567"/>
      <c r="BT92" s="564"/>
      <c r="BU92" s="565"/>
      <c r="BV92" s="560"/>
      <c r="BW92" s="561"/>
      <c r="BX92" s="562"/>
      <c r="BY92" s="561"/>
      <c r="BZ92" s="563"/>
      <c r="CA92" s="567"/>
      <c r="CB92" s="564"/>
      <c r="CC92" s="565"/>
      <c r="CD92" s="560"/>
      <c r="CE92" s="561"/>
      <c r="CF92" s="562"/>
      <c r="CG92" s="561"/>
      <c r="CH92" s="563"/>
      <c r="CI92" s="564"/>
      <c r="CJ92" s="564"/>
      <c r="CK92" s="564"/>
      <c r="CL92" s="560"/>
      <c r="CM92" s="561"/>
      <c r="CN92" s="562"/>
      <c r="CO92" s="561"/>
      <c r="CP92" s="563"/>
      <c r="CQ92" s="564"/>
      <c r="CR92" s="564"/>
      <c r="CS92" s="564"/>
      <c r="CT92" s="560"/>
      <c r="CU92" s="561"/>
      <c r="CV92" s="562"/>
      <c r="CW92" s="561"/>
      <c r="CX92" s="563"/>
      <c r="CY92" s="564"/>
      <c r="CZ92" s="564"/>
      <c r="DA92" s="564"/>
      <c r="DB92" s="560"/>
      <c r="DC92" s="561"/>
      <c r="DD92" s="562"/>
      <c r="DE92" s="561"/>
      <c r="DF92" s="563"/>
      <c r="DG92" s="564"/>
      <c r="DH92" s="564"/>
      <c r="DI92" s="564"/>
      <c r="DJ92" s="560"/>
      <c r="DK92" s="561"/>
      <c r="DL92" s="562"/>
      <c r="DM92" s="561"/>
      <c r="DN92" s="563"/>
      <c r="DO92" s="564"/>
      <c r="DP92" s="564"/>
      <c r="DQ92" s="564"/>
      <c r="DR92" s="560"/>
      <c r="DS92" s="561"/>
      <c r="DT92" s="562"/>
      <c r="DU92" s="561"/>
      <c r="DV92" s="563"/>
      <c r="DW92" s="564"/>
      <c r="DX92" s="564"/>
      <c r="DY92" s="564"/>
      <c r="DZ92" s="560"/>
      <c r="EA92" s="561"/>
      <c r="EB92" s="562"/>
      <c r="EC92" s="561"/>
      <c r="ED92" s="563"/>
      <c r="EE92" s="564"/>
      <c r="EF92" s="564"/>
      <c r="EG92" s="564"/>
      <c r="EH92" s="560"/>
      <c r="EI92" s="561"/>
      <c r="EJ92" s="562"/>
      <c r="EK92" s="561"/>
      <c r="EL92" s="563"/>
      <c r="EM92" s="564"/>
      <c r="EN92" s="564"/>
      <c r="EO92" s="564"/>
      <c r="EP92" s="560"/>
      <c r="EQ92" s="561"/>
      <c r="ER92" s="562"/>
      <c r="ES92" s="561"/>
      <c r="ET92" s="563"/>
      <c r="EU92" s="564"/>
      <c r="EV92" s="564"/>
      <c r="EW92" s="564"/>
      <c r="EX92" s="560"/>
      <c r="EY92" s="561"/>
      <c r="EZ92" s="562"/>
      <c r="FA92" s="561"/>
      <c r="FB92" s="563"/>
      <c r="FC92" s="564"/>
      <c r="FD92" s="564"/>
      <c r="FE92" s="564"/>
      <c r="FF92" s="560"/>
      <c r="FG92" s="561"/>
      <c r="FH92" s="562"/>
      <c r="FI92" s="561"/>
      <c r="FJ92" s="563"/>
      <c r="FK92" s="564"/>
      <c r="FL92" s="564"/>
      <c r="FM92" s="564"/>
      <c r="FN92" s="560"/>
      <c r="FO92" s="561"/>
      <c r="FP92" s="562"/>
      <c r="FQ92" s="561"/>
      <c r="FR92" s="563"/>
      <c r="FS92" s="564"/>
      <c r="FT92" s="564"/>
      <c r="FU92" s="564"/>
      <c r="FV92" s="560"/>
      <c r="FW92" s="566"/>
      <c r="FX92" s="566"/>
      <c r="FY92" s="566"/>
      <c r="FZ92" s="563"/>
      <c r="GA92" s="564"/>
      <c r="GB92" s="564"/>
      <c r="GC92" s="564"/>
      <c r="GD92" s="560"/>
      <c r="GE92" s="566"/>
      <c r="GF92" s="566"/>
      <c r="GG92" s="566"/>
      <c r="GH92" s="563"/>
      <c r="GI92" s="564"/>
      <c r="GJ92" s="564"/>
      <c r="GK92" s="564"/>
      <c r="GL92" s="560"/>
      <c r="GM92" s="566"/>
      <c r="GN92" s="566"/>
      <c r="GO92" s="566"/>
      <c r="GP92" s="563"/>
      <c r="GQ92" s="564"/>
      <c r="GR92" s="564"/>
      <c r="GS92" s="564"/>
      <c r="GT92" s="560"/>
      <c r="GU92" s="566"/>
      <c r="GV92" s="566"/>
      <c r="GW92" s="566"/>
      <c r="GX92" s="563"/>
      <c r="GY92" s="564"/>
      <c r="GZ92" s="564"/>
      <c r="HA92" s="590"/>
      <c r="HB92" s="560"/>
      <c r="HC92" s="566"/>
      <c r="HD92" s="566"/>
      <c r="HE92" s="566"/>
      <c r="HF92" s="563"/>
      <c r="HG92" s="564"/>
      <c r="HH92" s="564"/>
      <c r="HI92" s="590"/>
      <c r="HJ92" s="560"/>
      <c r="HK92" s="566"/>
      <c r="HL92" s="566"/>
      <c r="HM92" s="566"/>
      <c r="HN92" s="563"/>
      <c r="HO92" s="564"/>
      <c r="HP92" s="564"/>
      <c r="HQ92" s="590"/>
      <c r="HR92" s="560"/>
      <c r="HS92" s="566"/>
      <c r="HT92" s="566"/>
      <c r="HU92" s="566"/>
    </row>
    <row r="93" spans="2:229" s="506" customFormat="1" ht="118" customHeight="1" x14ac:dyDescent="0.35">
      <c r="B93" s="544">
        <v>90</v>
      </c>
      <c r="C93" s="544" t="s">
        <v>46</v>
      </c>
      <c r="D93" s="545" t="s">
        <v>44</v>
      </c>
      <c r="E93" s="545" t="s">
        <v>432</v>
      </c>
      <c r="F93" s="546" t="s">
        <v>433</v>
      </c>
      <c r="G93" s="546" t="s">
        <v>434</v>
      </c>
      <c r="H93" s="547" t="s">
        <v>435</v>
      </c>
      <c r="I93" s="549" t="s">
        <v>436</v>
      </c>
      <c r="J93" s="548" t="s">
        <v>46</v>
      </c>
      <c r="K93" s="568" t="s">
        <v>62</v>
      </c>
      <c r="L93" s="710" t="s">
        <v>437</v>
      </c>
      <c r="M93" s="569" t="s">
        <v>123</v>
      </c>
      <c r="N93" s="551"/>
      <c r="O93" s="552"/>
      <c r="P93" s="553"/>
      <c r="Q93" s="554"/>
      <c r="R93" s="554" t="s">
        <v>438</v>
      </c>
      <c r="S93" s="555">
        <f ca="1">IF(R93="Aprobado con comentarios / Emitir en Rev_0", NETWORKDAYS(Q93,TODAY(),Hoja1!$C$3:$C$25),0)</f>
        <v>0</v>
      </c>
      <c r="T93" s="555">
        <f ca="1">IF(R93="Revisión INN",NETWORKDAYS(P93,TODAY(),Hoja1!$C$3:$C$25),0)</f>
        <v>0</v>
      </c>
      <c r="U93" s="556">
        <f t="shared" si="3"/>
        <v>0</v>
      </c>
      <c r="V93" s="557"/>
      <c r="W93" s="558"/>
      <c r="X93" s="558"/>
      <c r="Y93" s="559"/>
      <c r="Z93" s="560"/>
      <c r="AA93" s="561"/>
      <c r="AB93" s="562"/>
      <c r="AC93" s="561"/>
      <c r="AD93" s="563"/>
      <c r="AE93" s="567"/>
      <c r="AF93" s="564"/>
      <c r="AG93" s="565"/>
      <c r="AH93" s="560"/>
      <c r="AI93" s="561"/>
      <c r="AJ93" s="562"/>
      <c r="AK93" s="561"/>
      <c r="AL93" s="563"/>
      <c r="AM93" s="567"/>
      <c r="AN93" s="564"/>
      <c r="AO93" s="565"/>
      <c r="AP93" s="560"/>
      <c r="AQ93" s="561"/>
      <c r="AR93" s="562"/>
      <c r="AS93" s="561"/>
      <c r="AT93" s="563"/>
      <c r="AU93" s="567"/>
      <c r="AV93" s="564"/>
      <c r="AW93" s="565"/>
      <c r="AX93" s="560"/>
      <c r="AY93" s="561"/>
      <c r="AZ93" s="562"/>
      <c r="BA93" s="561"/>
      <c r="BB93" s="563"/>
      <c r="BC93" s="567"/>
      <c r="BD93" s="564"/>
      <c r="BE93" s="565"/>
      <c r="BF93" s="560"/>
      <c r="BG93" s="561"/>
      <c r="BH93" s="562"/>
      <c r="BI93" s="561"/>
      <c r="BJ93" s="563"/>
      <c r="BK93" s="567"/>
      <c r="BL93" s="564"/>
      <c r="BM93" s="565"/>
      <c r="BN93" s="560"/>
      <c r="BO93" s="561"/>
      <c r="BP93" s="562"/>
      <c r="BQ93" s="561"/>
      <c r="BR93" s="563"/>
      <c r="BS93" s="567"/>
      <c r="BT93" s="564"/>
      <c r="BU93" s="565"/>
      <c r="BV93" s="560"/>
      <c r="BW93" s="561"/>
      <c r="BX93" s="562"/>
      <c r="BY93" s="561"/>
      <c r="BZ93" s="563"/>
      <c r="CA93" s="567"/>
      <c r="CB93" s="564"/>
      <c r="CC93" s="565"/>
      <c r="CD93" s="560"/>
      <c r="CE93" s="561"/>
      <c r="CF93" s="562"/>
      <c r="CG93" s="561"/>
      <c r="CH93" s="563"/>
      <c r="CI93" s="564"/>
      <c r="CJ93" s="564"/>
      <c r="CK93" s="564"/>
      <c r="CL93" s="560"/>
      <c r="CM93" s="561"/>
      <c r="CN93" s="562"/>
      <c r="CO93" s="561"/>
      <c r="CP93" s="563"/>
      <c r="CQ93" s="564"/>
      <c r="CR93" s="564"/>
      <c r="CS93" s="564"/>
      <c r="CT93" s="560"/>
      <c r="CU93" s="561"/>
      <c r="CV93" s="562"/>
      <c r="CW93" s="561"/>
      <c r="CX93" s="563"/>
      <c r="CY93" s="564"/>
      <c r="CZ93" s="564"/>
      <c r="DA93" s="564"/>
      <c r="DB93" s="560"/>
      <c r="DC93" s="561"/>
      <c r="DD93" s="562"/>
      <c r="DE93" s="561"/>
      <c r="DF93" s="563"/>
      <c r="DG93" s="564"/>
      <c r="DH93" s="564"/>
      <c r="DI93" s="564"/>
      <c r="DJ93" s="560"/>
      <c r="DK93" s="561"/>
      <c r="DL93" s="562"/>
      <c r="DM93" s="561"/>
      <c r="DN93" s="563"/>
      <c r="DO93" s="564"/>
      <c r="DP93" s="564"/>
      <c r="DQ93" s="564"/>
      <c r="DR93" s="560"/>
      <c r="DS93" s="561"/>
      <c r="DT93" s="562"/>
      <c r="DU93" s="561"/>
      <c r="DV93" s="563"/>
      <c r="DW93" s="564"/>
      <c r="DX93" s="564"/>
      <c r="DY93" s="564"/>
      <c r="DZ93" s="560"/>
      <c r="EA93" s="561"/>
      <c r="EB93" s="562"/>
      <c r="EC93" s="561"/>
      <c r="ED93" s="563"/>
      <c r="EE93" s="564"/>
      <c r="EF93" s="564"/>
      <c r="EG93" s="564"/>
      <c r="EH93" s="560"/>
      <c r="EI93" s="561"/>
      <c r="EJ93" s="562"/>
      <c r="EK93" s="561"/>
      <c r="EL93" s="563"/>
      <c r="EM93" s="564"/>
      <c r="EN93" s="564"/>
      <c r="EO93" s="564"/>
      <c r="EP93" s="560"/>
      <c r="EQ93" s="561"/>
      <c r="ER93" s="562"/>
      <c r="ES93" s="561"/>
      <c r="ET93" s="563"/>
      <c r="EU93" s="564"/>
      <c r="EV93" s="564"/>
      <c r="EW93" s="564"/>
      <c r="EX93" s="560"/>
      <c r="EY93" s="561"/>
      <c r="EZ93" s="562"/>
      <c r="FA93" s="561"/>
      <c r="FB93" s="563"/>
      <c r="FC93" s="564"/>
      <c r="FD93" s="564"/>
      <c r="FE93" s="564"/>
      <c r="FF93" s="560"/>
      <c r="FG93" s="561"/>
      <c r="FH93" s="562"/>
      <c r="FI93" s="561"/>
      <c r="FJ93" s="563"/>
      <c r="FK93" s="564"/>
      <c r="FL93" s="564"/>
      <c r="FM93" s="564"/>
      <c r="FN93" s="560"/>
      <c r="FO93" s="561"/>
      <c r="FP93" s="562"/>
      <c r="FQ93" s="561"/>
      <c r="FR93" s="563"/>
      <c r="FS93" s="564"/>
      <c r="FT93" s="564"/>
      <c r="FU93" s="564"/>
      <c r="FV93" s="560"/>
      <c r="FW93" s="566"/>
      <c r="FX93" s="566"/>
      <c r="FY93" s="566"/>
      <c r="FZ93" s="563"/>
      <c r="GA93" s="564"/>
      <c r="GB93" s="564"/>
      <c r="GC93" s="564"/>
      <c r="GD93" s="560"/>
      <c r="GE93" s="566"/>
      <c r="GF93" s="566"/>
      <c r="GG93" s="566"/>
      <c r="GH93" s="563"/>
      <c r="GI93" s="564"/>
      <c r="GJ93" s="564"/>
      <c r="GK93" s="564"/>
      <c r="GL93" s="560"/>
      <c r="GM93" s="566"/>
      <c r="GN93" s="566"/>
      <c r="GO93" s="566"/>
      <c r="GP93" s="563"/>
      <c r="GQ93" s="564"/>
      <c r="GR93" s="564"/>
      <c r="GS93" s="564"/>
      <c r="GT93" s="560"/>
      <c r="GU93" s="566"/>
      <c r="GV93" s="566"/>
      <c r="GW93" s="566"/>
      <c r="GX93" s="541"/>
      <c r="GY93" s="535"/>
      <c r="GZ93" s="542"/>
      <c r="HA93" s="543"/>
      <c r="HB93" s="541"/>
      <c r="HC93" s="535"/>
      <c r="HD93" s="542"/>
      <c r="HE93" s="543"/>
      <c r="HF93" s="541"/>
      <c r="HG93" s="535"/>
      <c r="HH93" s="542"/>
      <c r="HI93" s="543"/>
      <c r="HJ93" s="541"/>
      <c r="HK93" s="535"/>
      <c r="HL93" s="542"/>
      <c r="HM93" s="543"/>
      <c r="HN93" s="541"/>
      <c r="HO93" s="535"/>
      <c r="HP93" s="542"/>
      <c r="HQ93" s="543"/>
      <c r="HR93" s="541"/>
      <c r="HS93" s="535"/>
      <c r="HT93" s="542"/>
      <c r="HU93" s="543"/>
    </row>
    <row r="94" spans="2:229" s="506" customFormat="1" ht="89.5" customHeight="1" x14ac:dyDescent="0.35">
      <c r="B94" s="544">
        <v>91</v>
      </c>
      <c r="C94" s="544" t="s">
        <v>145</v>
      </c>
      <c r="D94" s="545" t="s">
        <v>44</v>
      </c>
      <c r="E94" s="545" t="s">
        <v>439</v>
      </c>
      <c r="F94" s="546" t="s">
        <v>440</v>
      </c>
      <c r="G94" s="546" t="s">
        <v>441</v>
      </c>
      <c r="H94" s="547" t="s">
        <v>442</v>
      </c>
      <c r="I94" s="549" t="s">
        <v>436</v>
      </c>
      <c r="J94" s="548" t="s">
        <v>46</v>
      </c>
      <c r="K94" s="568" t="s">
        <v>62</v>
      </c>
      <c r="L94" s="710" t="s">
        <v>443</v>
      </c>
      <c r="M94" s="569" t="s">
        <v>123</v>
      </c>
      <c r="N94" s="551"/>
      <c r="O94" s="552"/>
      <c r="P94" s="553"/>
      <c r="Q94" s="554"/>
      <c r="R94" s="554" t="s">
        <v>438</v>
      </c>
      <c r="S94" s="555">
        <f ca="1">IF(R94="Aprobado con comentarios / Emitir en Rev_0", NETWORKDAYS(Q94,TODAY(),Hoja1!$C$3:$C$25),0)</f>
        <v>0</v>
      </c>
      <c r="T94" s="555">
        <f ca="1">IF(R94="Revisión INN",NETWORKDAYS(P94,TODAY(),Hoja1!$C$3:$C$25),0)</f>
        <v>0</v>
      </c>
      <c r="U94" s="556">
        <f t="shared" si="3"/>
        <v>0</v>
      </c>
      <c r="V94" s="557"/>
      <c r="W94" s="558"/>
      <c r="X94" s="558"/>
      <c r="Y94" s="559"/>
      <c r="Z94" s="560"/>
      <c r="AA94" s="561"/>
      <c r="AB94" s="562"/>
      <c r="AC94" s="561"/>
      <c r="AD94" s="563"/>
      <c r="AE94" s="567"/>
      <c r="AF94" s="564"/>
      <c r="AG94" s="565"/>
      <c r="AH94" s="560"/>
      <c r="AI94" s="561"/>
      <c r="AJ94" s="562"/>
      <c r="AK94" s="561"/>
      <c r="AL94" s="563"/>
      <c r="AM94" s="567"/>
      <c r="AN94" s="564"/>
      <c r="AO94" s="565"/>
      <c r="AP94" s="560"/>
      <c r="AQ94" s="561"/>
      <c r="AR94" s="562"/>
      <c r="AS94" s="561"/>
      <c r="AT94" s="563"/>
      <c r="AU94" s="567"/>
      <c r="AV94" s="564"/>
      <c r="AW94" s="565"/>
      <c r="AX94" s="560"/>
      <c r="AY94" s="561"/>
      <c r="AZ94" s="562"/>
      <c r="BA94" s="561"/>
      <c r="BB94" s="563"/>
      <c r="BC94" s="567"/>
      <c r="BD94" s="564"/>
      <c r="BE94" s="565"/>
      <c r="BF94" s="560"/>
      <c r="BG94" s="561"/>
      <c r="BH94" s="562"/>
      <c r="BI94" s="561"/>
      <c r="BJ94" s="563"/>
      <c r="BK94" s="567"/>
      <c r="BL94" s="564"/>
      <c r="BM94" s="565"/>
      <c r="BN94" s="560"/>
      <c r="BO94" s="561"/>
      <c r="BP94" s="562"/>
      <c r="BQ94" s="561"/>
      <c r="BR94" s="563"/>
      <c r="BS94" s="567"/>
      <c r="BT94" s="564"/>
      <c r="BU94" s="565"/>
      <c r="BV94" s="560"/>
      <c r="BW94" s="561"/>
      <c r="BX94" s="562"/>
      <c r="BY94" s="561"/>
      <c r="BZ94" s="563"/>
      <c r="CA94" s="567"/>
      <c r="CB94" s="564"/>
      <c r="CC94" s="565"/>
      <c r="CD94" s="560"/>
      <c r="CE94" s="561"/>
      <c r="CF94" s="562"/>
      <c r="CG94" s="561"/>
      <c r="CH94" s="563"/>
      <c r="CI94" s="564"/>
      <c r="CJ94" s="564"/>
      <c r="CK94" s="564"/>
      <c r="CL94" s="560"/>
      <c r="CM94" s="561"/>
      <c r="CN94" s="562"/>
      <c r="CO94" s="561"/>
      <c r="CP94" s="563"/>
      <c r="CQ94" s="564"/>
      <c r="CR94" s="564"/>
      <c r="CS94" s="564"/>
      <c r="CT94" s="560"/>
      <c r="CU94" s="561"/>
      <c r="CV94" s="562"/>
      <c r="CW94" s="561"/>
      <c r="CX94" s="563"/>
      <c r="CY94" s="564"/>
      <c r="CZ94" s="564"/>
      <c r="DA94" s="564"/>
      <c r="DB94" s="560"/>
      <c r="DC94" s="561"/>
      <c r="DD94" s="562"/>
      <c r="DE94" s="561"/>
      <c r="DF94" s="563"/>
      <c r="DG94" s="564"/>
      <c r="DH94" s="564"/>
      <c r="DI94" s="564"/>
      <c r="DJ94" s="560"/>
      <c r="DK94" s="561"/>
      <c r="DL94" s="562"/>
      <c r="DM94" s="561"/>
      <c r="DN94" s="563"/>
      <c r="DO94" s="564"/>
      <c r="DP94" s="564"/>
      <c r="DQ94" s="564"/>
      <c r="DR94" s="560"/>
      <c r="DS94" s="561"/>
      <c r="DT94" s="562"/>
      <c r="DU94" s="561"/>
      <c r="DV94" s="563"/>
      <c r="DW94" s="564"/>
      <c r="DX94" s="564"/>
      <c r="DY94" s="564"/>
      <c r="DZ94" s="560"/>
      <c r="EA94" s="561"/>
      <c r="EB94" s="562"/>
      <c r="EC94" s="561"/>
      <c r="ED94" s="563"/>
      <c r="EE94" s="564"/>
      <c r="EF94" s="564"/>
      <c r="EG94" s="564"/>
      <c r="EH94" s="560"/>
      <c r="EI94" s="561"/>
      <c r="EJ94" s="562"/>
      <c r="EK94" s="561"/>
      <c r="EL94" s="563"/>
      <c r="EM94" s="564"/>
      <c r="EN94" s="564"/>
      <c r="EO94" s="564"/>
      <c r="EP94" s="560"/>
      <c r="EQ94" s="561"/>
      <c r="ER94" s="562"/>
      <c r="ES94" s="561"/>
      <c r="ET94" s="563"/>
      <c r="EU94" s="564"/>
      <c r="EV94" s="564"/>
      <c r="EW94" s="564"/>
      <c r="EX94" s="560"/>
      <c r="EY94" s="561"/>
      <c r="EZ94" s="562"/>
      <c r="FA94" s="561"/>
      <c r="FB94" s="563"/>
      <c r="FC94" s="564"/>
      <c r="FD94" s="564"/>
      <c r="FE94" s="564"/>
      <c r="FF94" s="560"/>
      <c r="FG94" s="561"/>
      <c r="FH94" s="562"/>
      <c r="FI94" s="561"/>
      <c r="FJ94" s="563"/>
      <c r="FK94" s="564"/>
      <c r="FL94" s="564"/>
      <c r="FM94" s="564"/>
      <c r="FN94" s="560"/>
      <c r="FO94" s="561"/>
      <c r="FP94" s="562"/>
      <c r="FQ94" s="561"/>
      <c r="FR94" s="563"/>
      <c r="FS94" s="564"/>
      <c r="FT94" s="564"/>
      <c r="FU94" s="564"/>
      <c r="FV94" s="560"/>
      <c r="FW94" s="566"/>
      <c r="FX94" s="566"/>
      <c r="FY94" s="566"/>
      <c r="FZ94" s="563"/>
      <c r="GA94" s="564"/>
      <c r="GB94" s="564"/>
      <c r="GC94" s="564"/>
      <c r="GD94" s="560"/>
      <c r="GE94" s="566"/>
      <c r="GF94" s="566"/>
      <c r="GG94" s="566"/>
      <c r="GH94" s="563"/>
      <c r="GI94" s="564"/>
      <c r="GJ94" s="564"/>
      <c r="GK94" s="564"/>
      <c r="GL94" s="560"/>
      <c r="GM94" s="566"/>
      <c r="GN94" s="566"/>
      <c r="GO94" s="566"/>
      <c r="GP94" s="563"/>
      <c r="GQ94" s="564"/>
      <c r="GR94" s="564"/>
      <c r="GS94" s="564"/>
      <c r="GT94" s="560"/>
      <c r="GU94" s="566"/>
      <c r="GV94" s="566"/>
      <c r="GW94" s="566"/>
      <c r="GX94" s="563"/>
      <c r="GY94" s="564"/>
      <c r="GZ94" s="564"/>
      <c r="HA94" s="590"/>
      <c r="HB94" s="560"/>
      <c r="HC94" s="566"/>
      <c r="HD94" s="566"/>
      <c r="HE94" s="566"/>
      <c r="HF94" s="563"/>
      <c r="HG94" s="564"/>
      <c r="HH94" s="564"/>
      <c r="HI94" s="590"/>
      <c r="HJ94" s="560"/>
      <c r="HK94" s="566"/>
      <c r="HL94" s="566"/>
      <c r="HM94" s="566"/>
      <c r="HN94" s="563"/>
      <c r="HO94" s="564"/>
      <c r="HP94" s="564"/>
      <c r="HQ94" s="590"/>
      <c r="HR94" s="560"/>
      <c r="HS94" s="566"/>
      <c r="HT94" s="566"/>
      <c r="HU94" s="566"/>
    </row>
    <row r="95" spans="2:229" s="506" customFormat="1" ht="66.650000000000006" customHeight="1" x14ac:dyDescent="0.35">
      <c r="B95" s="544">
        <v>92</v>
      </c>
      <c r="C95" s="544" t="s">
        <v>46</v>
      </c>
      <c r="D95" s="545" t="s">
        <v>44</v>
      </c>
      <c r="E95" s="545" t="s">
        <v>444</v>
      </c>
      <c r="F95" s="546" t="s">
        <v>445</v>
      </c>
      <c r="G95" s="546" t="s">
        <v>446</v>
      </c>
      <c r="H95" s="547" t="s">
        <v>447</v>
      </c>
      <c r="I95" s="548" t="s">
        <v>448</v>
      </c>
      <c r="J95" s="546">
        <v>3</v>
      </c>
      <c r="K95" s="568" t="s">
        <v>62</v>
      </c>
      <c r="L95" s="549" t="s">
        <v>449</v>
      </c>
      <c r="M95" s="569" t="s">
        <v>117</v>
      </c>
      <c r="N95" s="551"/>
      <c r="O95" s="552"/>
      <c r="P95" s="553"/>
      <c r="Q95" s="554"/>
      <c r="R95" s="554" t="s">
        <v>450</v>
      </c>
      <c r="S95" s="555">
        <f ca="1">IF(R95="Aprobado con comentarios / Emitir en Rev_0", NETWORKDAYS(Q95,TODAY(),Hoja1!$C$3:$C$25),0)</f>
        <v>0</v>
      </c>
      <c r="T95" s="555">
        <f ca="1">IF(R95="Revisión INN",NETWORKDAYS(P95,TODAY(),Hoja1!$C$3:$C$25),0)</f>
        <v>0</v>
      </c>
      <c r="U95" s="556">
        <f t="shared" si="3"/>
        <v>0</v>
      </c>
      <c r="V95" s="557"/>
      <c r="W95" s="558"/>
      <c r="X95" s="558"/>
      <c r="Y95" s="559"/>
      <c r="Z95" s="560"/>
      <c r="AA95" s="561"/>
      <c r="AB95" s="562"/>
      <c r="AC95" s="561"/>
      <c r="AD95" s="563"/>
      <c r="AE95" s="567"/>
      <c r="AF95" s="564"/>
      <c r="AG95" s="565"/>
      <c r="AH95" s="560"/>
      <c r="AI95" s="561"/>
      <c r="AJ95" s="562"/>
      <c r="AK95" s="561"/>
      <c r="AL95" s="563"/>
      <c r="AM95" s="567"/>
      <c r="AN95" s="564"/>
      <c r="AO95" s="565"/>
      <c r="AP95" s="560"/>
      <c r="AQ95" s="561"/>
      <c r="AR95" s="562"/>
      <c r="AS95" s="561"/>
      <c r="AT95" s="563"/>
      <c r="AU95" s="567"/>
      <c r="AV95" s="564"/>
      <c r="AW95" s="565"/>
      <c r="AX95" s="560"/>
      <c r="AY95" s="561"/>
      <c r="AZ95" s="562"/>
      <c r="BA95" s="561"/>
      <c r="BB95" s="563"/>
      <c r="BC95" s="567"/>
      <c r="BD95" s="564"/>
      <c r="BE95" s="565"/>
      <c r="BF95" s="560"/>
      <c r="BG95" s="561"/>
      <c r="BH95" s="562"/>
      <c r="BI95" s="561"/>
      <c r="BJ95" s="563"/>
      <c r="BK95" s="567"/>
      <c r="BL95" s="564"/>
      <c r="BM95" s="565"/>
      <c r="BN95" s="560"/>
      <c r="BO95" s="561"/>
      <c r="BP95" s="562"/>
      <c r="BQ95" s="561"/>
      <c r="BR95" s="563"/>
      <c r="BS95" s="567"/>
      <c r="BT95" s="564"/>
      <c r="BU95" s="565"/>
      <c r="BV95" s="560"/>
      <c r="BW95" s="561"/>
      <c r="BX95" s="562"/>
      <c r="BY95" s="561"/>
      <c r="BZ95" s="563"/>
      <c r="CA95" s="567"/>
      <c r="CB95" s="564"/>
      <c r="CC95" s="565"/>
      <c r="CD95" s="560"/>
      <c r="CE95" s="561"/>
      <c r="CF95" s="562"/>
      <c r="CG95" s="561"/>
      <c r="CH95" s="563"/>
      <c r="CI95" s="564"/>
      <c r="CJ95" s="564"/>
      <c r="CK95" s="564"/>
      <c r="CL95" s="560"/>
      <c r="CM95" s="561"/>
      <c r="CN95" s="562"/>
      <c r="CO95" s="561"/>
      <c r="CP95" s="563"/>
      <c r="CQ95" s="564"/>
      <c r="CR95" s="564"/>
      <c r="CS95" s="564"/>
      <c r="CT95" s="560"/>
      <c r="CU95" s="561"/>
      <c r="CV95" s="562"/>
      <c r="CW95" s="561"/>
      <c r="CX95" s="563"/>
      <c r="CY95" s="564"/>
      <c r="CZ95" s="564"/>
      <c r="DA95" s="564"/>
      <c r="DB95" s="560"/>
      <c r="DC95" s="561"/>
      <c r="DD95" s="562"/>
      <c r="DE95" s="561"/>
      <c r="DF95" s="563"/>
      <c r="DG95" s="564"/>
      <c r="DH95" s="564"/>
      <c r="DI95" s="564"/>
      <c r="DJ95" s="560"/>
      <c r="DK95" s="561"/>
      <c r="DL95" s="562"/>
      <c r="DM95" s="561"/>
      <c r="DN95" s="563"/>
      <c r="DO95" s="564"/>
      <c r="DP95" s="564"/>
      <c r="DQ95" s="564"/>
      <c r="DR95" s="560"/>
      <c r="DS95" s="561"/>
      <c r="DT95" s="562"/>
      <c r="DU95" s="561"/>
      <c r="DV95" s="563"/>
      <c r="DW95" s="564"/>
      <c r="DX95" s="564"/>
      <c r="DY95" s="564"/>
      <c r="DZ95" s="560"/>
      <c r="EA95" s="561"/>
      <c r="EB95" s="562"/>
      <c r="EC95" s="561"/>
      <c r="ED95" s="563"/>
      <c r="EE95" s="564"/>
      <c r="EF95" s="564"/>
      <c r="EG95" s="564"/>
      <c r="EH95" s="560"/>
      <c r="EI95" s="561"/>
      <c r="EJ95" s="562"/>
      <c r="EK95" s="561"/>
      <c r="EL95" s="563"/>
      <c r="EM95" s="564"/>
      <c r="EN95" s="564"/>
      <c r="EO95" s="564"/>
      <c r="EP95" s="560"/>
      <c r="EQ95" s="561"/>
      <c r="ER95" s="562"/>
      <c r="ES95" s="561"/>
      <c r="ET95" s="563"/>
      <c r="EU95" s="564"/>
      <c r="EV95" s="564"/>
      <c r="EW95" s="564"/>
      <c r="EX95" s="560"/>
      <c r="EY95" s="561"/>
      <c r="EZ95" s="562"/>
      <c r="FA95" s="561"/>
      <c r="FB95" s="563"/>
      <c r="FC95" s="564"/>
      <c r="FD95" s="564"/>
      <c r="FE95" s="564"/>
      <c r="FF95" s="560"/>
      <c r="FG95" s="561"/>
      <c r="FH95" s="562"/>
      <c r="FI95" s="561"/>
      <c r="FJ95" s="563"/>
      <c r="FK95" s="564"/>
      <c r="FL95" s="564"/>
      <c r="FM95" s="564"/>
      <c r="FN95" s="560"/>
      <c r="FO95" s="561"/>
      <c r="FP95" s="562"/>
      <c r="FQ95" s="561"/>
      <c r="FR95" s="563"/>
      <c r="FS95" s="564"/>
      <c r="FT95" s="564"/>
      <c r="FU95" s="564"/>
      <c r="FV95" s="560"/>
      <c r="FW95" s="566"/>
      <c r="FX95" s="566"/>
      <c r="FY95" s="566"/>
      <c r="FZ95" s="563"/>
      <c r="GA95" s="564"/>
      <c r="GB95" s="564"/>
      <c r="GC95" s="564"/>
      <c r="GD95" s="560"/>
      <c r="GE95" s="566"/>
      <c r="GF95" s="566"/>
      <c r="GG95" s="566"/>
      <c r="GH95" s="563"/>
      <c r="GI95" s="564"/>
      <c r="GJ95" s="564"/>
      <c r="GK95" s="564"/>
      <c r="GL95" s="560"/>
      <c r="GM95" s="566"/>
      <c r="GN95" s="566"/>
      <c r="GO95" s="566"/>
      <c r="GP95" s="563"/>
      <c r="GQ95" s="564"/>
      <c r="GR95" s="564"/>
      <c r="GS95" s="564"/>
      <c r="GT95" s="560"/>
      <c r="GU95" s="566"/>
      <c r="GV95" s="566"/>
      <c r="GW95" s="566"/>
      <c r="GX95" s="563"/>
      <c r="GY95" s="564"/>
      <c r="GZ95" s="564"/>
      <c r="HA95" s="590"/>
      <c r="HB95" s="560"/>
      <c r="HC95" s="566"/>
      <c r="HD95" s="566"/>
      <c r="HE95" s="566"/>
      <c r="HF95" s="563"/>
      <c r="HG95" s="564"/>
      <c r="HH95" s="564"/>
      <c r="HI95" s="590"/>
      <c r="HJ95" s="560"/>
      <c r="HK95" s="566"/>
      <c r="HL95" s="566"/>
      <c r="HM95" s="566"/>
      <c r="HN95" s="563"/>
      <c r="HO95" s="564"/>
      <c r="HP95" s="564"/>
      <c r="HQ95" s="590"/>
      <c r="HR95" s="560"/>
      <c r="HS95" s="566"/>
      <c r="HT95" s="566"/>
      <c r="HU95" s="566"/>
    </row>
    <row r="96" spans="2:229" s="506" customFormat="1" ht="87" customHeight="1" thickBot="1" x14ac:dyDescent="0.4">
      <c r="B96" s="544">
        <v>32</v>
      </c>
      <c r="C96" s="544" t="s">
        <v>46</v>
      </c>
      <c r="D96" s="545" t="s">
        <v>44</v>
      </c>
      <c r="E96" s="545" t="s">
        <v>451</v>
      </c>
      <c r="F96" s="546" t="s">
        <v>452</v>
      </c>
      <c r="G96" s="546" t="s">
        <v>453</v>
      </c>
      <c r="H96" s="547" t="s">
        <v>454</v>
      </c>
      <c r="I96" s="568"/>
      <c r="J96" s="568"/>
      <c r="K96" s="568"/>
      <c r="L96" s="707" t="s">
        <v>455</v>
      </c>
      <c r="M96" s="569" t="s">
        <v>123</v>
      </c>
      <c r="N96" s="551">
        <v>4</v>
      </c>
      <c r="O96" s="552">
        <v>250</v>
      </c>
      <c r="P96" s="553">
        <v>46113</v>
      </c>
      <c r="Q96" s="553">
        <v>46099</v>
      </c>
      <c r="R96" s="554" t="s">
        <v>151</v>
      </c>
      <c r="S96" s="555">
        <f ca="1">IF(R96="Aprobado con comentarios / Emitir Rev_4", NETWORKDAYS(Q96,TODAY(),Hoja1!$C$3:$C$25),0)</f>
        <v>0</v>
      </c>
      <c r="T96" s="555">
        <f ca="1">IF(R96="Revisión INN",NETWORKDAYS(P96,TODAY(),Hoja1!$C$3:$C$25),0)</f>
        <v>12</v>
      </c>
      <c r="U96" s="556">
        <f t="shared" si="3"/>
        <v>5</v>
      </c>
      <c r="V96" s="557" t="s">
        <v>63</v>
      </c>
      <c r="W96" s="558">
        <v>15</v>
      </c>
      <c r="X96" s="575"/>
      <c r="Y96" s="559">
        <v>45910</v>
      </c>
      <c r="Z96" s="560">
        <v>35</v>
      </c>
      <c r="AA96" s="561">
        <v>45938</v>
      </c>
      <c r="AB96" s="562"/>
      <c r="AC96" s="561" t="s">
        <v>186</v>
      </c>
      <c r="AD96" s="563">
        <v>0</v>
      </c>
      <c r="AE96" s="567">
        <v>37</v>
      </c>
      <c r="AF96" s="564"/>
      <c r="AG96" s="559">
        <v>45940</v>
      </c>
      <c r="AH96" s="560">
        <v>57</v>
      </c>
      <c r="AI96" s="561">
        <v>45965</v>
      </c>
      <c r="AJ96" s="562"/>
      <c r="AK96" s="561" t="s">
        <v>155</v>
      </c>
      <c r="AL96" s="563">
        <v>1</v>
      </c>
      <c r="AM96" s="567">
        <v>75</v>
      </c>
      <c r="AN96" s="564"/>
      <c r="AO96" s="559">
        <v>45979</v>
      </c>
      <c r="AP96" s="578">
        <v>110</v>
      </c>
      <c r="AQ96" s="565">
        <v>46038</v>
      </c>
      <c r="AR96" s="562"/>
      <c r="AS96" s="565" t="s">
        <v>187</v>
      </c>
      <c r="AT96" s="563">
        <v>2</v>
      </c>
      <c r="AU96" s="567">
        <v>140</v>
      </c>
      <c r="AV96" s="564"/>
      <c r="AW96" s="559">
        <v>46038</v>
      </c>
      <c r="AX96" s="578">
        <v>135</v>
      </c>
      <c r="AY96" s="565">
        <v>46076</v>
      </c>
      <c r="AZ96" s="562"/>
      <c r="BA96" s="668" t="s">
        <v>456</v>
      </c>
      <c r="BB96" s="563">
        <v>3</v>
      </c>
      <c r="BC96" s="567">
        <v>198</v>
      </c>
      <c r="BD96" s="564"/>
      <c r="BE96" s="559">
        <v>46079</v>
      </c>
      <c r="BF96" s="560">
        <v>159</v>
      </c>
      <c r="BG96" s="561">
        <v>46099</v>
      </c>
      <c r="BH96" s="562"/>
      <c r="BI96" s="561" t="s">
        <v>457</v>
      </c>
      <c r="BJ96" s="591">
        <v>4</v>
      </c>
      <c r="BK96" s="592">
        <v>250</v>
      </c>
      <c r="BL96" s="564"/>
      <c r="BM96" s="596">
        <v>46113</v>
      </c>
      <c r="BN96" s="560"/>
      <c r="BO96" s="561"/>
      <c r="BP96" s="562"/>
      <c r="BQ96" s="561"/>
      <c r="BR96" s="563"/>
      <c r="BS96" s="567"/>
      <c r="BT96" s="564"/>
      <c r="BU96" s="559"/>
      <c r="BV96" s="560"/>
      <c r="BW96" s="561"/>
      <c r="BX96" s="562"/>
      <c r="BY96" s="561"/>
      <c r="BZ96" s="563"/>
      <c r="CA96" s="567"/>
      <c r="CB96" s="564"/>
      <c r="CC96" s="559"/>
      <c r="CD96" s="560"/>
      <c r="CE96" s="561"/>
      <c r="CF96" s="562"/>
      <c r="CG96" s="561"/>
      <c r="CH96" s="563"/>
      <c r="CI96" s="564"/>
      <c r="CJ96" s="564"/>
      <c r="CK96" s="564"/>
      <c r="CL96" s="560"/>
      <c r="CM96" s="561"/>
      <c r="CN96" s="562"/>
      <c r="CO96" s="561"/>
      <c r="CP96" s="563"/>
      <c r="CQ96" s="564"/>
      <c r="CR96" s="564"/>
      <c r="CS96" s="564"/>
      <c r="CT96" s="560"/>
      <c r="CU96" s="561"/>
      <c r="CV96" s="562"/>
      <c r="CW96" s="561"/>
      <c r="CX96" s="563"/>
      <c r="CY96" s="564"/>
      <c r="CZ96" s="564"/>
      <c r="DA96" s="564"/>
      <c r="DB96" s="560"/>
      <c r="DC96" s="561"/>
      <c r="DD96" s="562"/>
      <c r="DE96" s="561"/>
      <c r="DF96" s="563"/>
      <c r="DG96" s="564"/>
      <c r="DH96" s="564"/>
      <c r="DI96" s="564"/>
      <c r="DJ96" s="560"/>
      <c r="DK96" s="561"/>
      <c r="DL96" s="562"/>
      <c r="DM96" s="561"/>
      <c r="DN96" s="563"/>
      <c r="DO96" s="564"/>
      <c r="DP96" s="564"/>
      <c r="DQ96" s="564"/>
      <c r="DR96" s="560"/>
      <c r="DS96" s="561"/>
      <c r="DT96" s="562"/>
      <c r="DU96" s="561"/>
      <c r="DV96" s="563"/>
      <c r="DW96" s="564"/>
      <c r="DX96" s="564"/>
      <c r="DY96" s="564"/>
      <c r="DZ96" s="560"/>
      <c r="EA96" s="561"/>
      <c r="EB96" s="562"/>
      <c r="EC96" s="561"/>
      <c r="ED96" s="563"/>
      <c r="EE96" s="564"/>
      <c r="EF96" s="564"/>
      <c r="EG96" s="564"/>
      <c r="EH96" s="560"/>
      <c r="EI96" s="561"/>
      <c r="EJ96" s="562"/>
      <c r="EK96" s="561"/>
      <c r="EL96" s="563"/>
      <c r="EM96" s="564"/>
      <c r="EN96" s="564"/>
      <c r="EO96" s="564"/>
      <c r="EP96" s="560"/>
      <c r="EQ96" s="561"/>
      <c r="ER96" s="562"/>
      <c r="ES96" s="561"/>
      <c r="ET96" s="563"/>
      <c r="EU96" s="564"/>
      <c r="EV96" s="564"/>
      <c r="EW96" s="564"/>
      <c r="EX96" s="560"/>
      <c r="EY96" s="561"/>
      <c r="EZ96" s="562"/>
      <c r="FA96" s="561"/>
      <c r="FB96" s="563"/>
      <c r="FC96" s="564"/>
      <c r="FD96" s="564"/>
      <c r="FE96" s="564"/>
      <c r="FF96" s="560"/>
      <c r="FG96" s="561"/>
      <c r="FH96" s="562"/>
      <c r="FI96" s="561"/>
      <c r="FJ96" s="563"/>
      <c r="FK96" s="564"/>
      <c r="FL96" s="564"/>
      <c r="FM96" s="564"/>
      <c r="FN96" s="560"/>
      <c r="FO96" s="561"/>
      <c r="FP96" s="562"/>
      <c r="FQ96" s="561"/>
      <c r="FR96" s="563"/>
      <c r="FS96" s="564"/>
      <c r="FT96" s="564"/>
      <c r="FU96" s="564"/>
      <c r="FV96" s="560"/>
      <c r="FW96" s="566"/>
      <c r="FX96" s="566"/>
      <c r="FY96" s="566"/>
      <c r="FZ96" s="563"/>
      <c r="GA96" s="564"/>
      <c r="GB96" s="564"/>
      <c r="GC96" s="564"/>
      <c r="GD96" s="560"/>
      <c r="GE96" s="566"/>
      <c r="GF96" s="566"/>
      <c r="GG96" s="566"/>
      <c r="GH96" s="563"/>
      <c r="GI96" s="564"/>
      <c r="GJ96" s="564"/>
      <c r="GK96" s="564"/>
      <c r="GL96" s="560"/>
      <c r="GM96" s="566"/>
      <c r="GN96" s="566"/>
      <c r="GO96" s="566"/>
      <c r="GP96" s="563"/>
      <c r="GQ96" s="564"/>
      <c r="GR96" s="564"/>
      <c r="GS96" s="564"/>
      <c r="GT96" s="560"/>
      <c r="GU96" s="566"/>
      <c r="GV96" s="566"/>
      <c r="GW96" s="566"/>
      <c r="GX96" s="563"/>
      <c r="GY96" s="564"/>
      <c r="GZ96" s="564"/>
      <c r="HA96" s="590"/>
      <c r="HB96" s="560"/>
      <c r="HC96" s="566"/>
      <c r="HD96" s="566"/>
      <c r="HE96" s="566"/>
      <c r="HF96" s="563"/>
      <c r="HG96" s="564"/>
      <c r="HH96" s="564"/>
      <c r="HI96" s="590"/>
      <c r="HJ96" s="560"/>
      <c r="HK96" s="566"/>
      <c r="HL96" s="566"/>
      <c r="HM96" s="566"/>
      <c r="HN96" s="563"/>
      <c r="HO96" s="564"/>
      <c r="HP96" s="564"/>
      <c r="HQ96" s="590"/>
      <c r="HR96" s="560"/>
      <c r="HS96" s="566"/>
      <c r="HT96" s="566"/>
      <c r="HU96" s="566"/>
    </row>
    <row r="97" spans="2:229" s="506" customFormat="1" ht="87" customHeight="1" x14ac:dyDescent="0.35">
      <c r="B97" s="544">
        <v>94</v>
      </c>
      <c r="C97" s="544" t="s">
        <v>145</v>
      </c>
      <c r="D97" s="545" t="s">
        <v>59</v>
      </c>
      <c r="E97" s="545" t="s">
        <v>458</v>
      </c>
      <c r="F97" s="546" t="s">
        <v>459</v>
      </c>
      <c r="G97" s="546" t="s">
        <v>460</v>
      </c>
      <c r="H97" s="547" t="s">
        <v>461</v>
      </c>
      <c r="I97" s="548" t="s">
        <v>86</v>
      </c>
      <c r="J97" s="705" t="s">
        <v>462</v>
      </c>
      <c r="K97" s="568" t="s">
        <v>86</v>
      </c>
      <c r="L97" s="572"/>
      <c r="M97" s="569" t="s">
        <v>117</v>
      </c>
      <c r="N97" s="551">
        <v>0</v>
      </c>
      <c r="O97" s="576">
        <v>122</v>
      </c>
      <c r="P97" s="553">
        <v>46022</v>
      </c>
      <c r="Q97" s="554">
        <v>46055</v>
      </c>
      <c r="R97" s="554" t="s">
        <v>67</v>
      </c>
      <c r="S97" s="555">
        <f ca="1">IF(R97="Aprobados", NETWORKDAYS(Q97,TODAY(),Hoja1!$C$3:$C$25),0)</f>
        <v>0</v>
      </c>
      <c r="T97" s="555">
        <f ca="1">IF(R97="Revisión INN",NETWORKDAYS(P97,TODAY(),Hoja1!$C$3:$C$25),0)</f>
        <v>0</v>
      </c>
      <c r="U97" s="556">
        <f t="shared" si="3"/>
        <v>3</v>
      </c>
      <c r="V97" s="557" t="s">
        <v>125</v>
      </c>
      <c r="W97" s="558">
        <v>87</v>
      </c>
      <c r="X97" s="558"/>
      <c r="Y97" s="559">
        <v>45988</v>
      </c>
      <c r="Z97" s="560">
        <v>75</v>
      </c>
      <c r="AA97" s="561">
        <v>46002</v>
      </c>
      <c r="AB97" s="562"/>
      <c r="AC97" s="561" t="s">
        <v>162</v>
      </c>
      <c r="AD97" s="597" t="s">
        <v>63</v>
      </c>
      <c r="AE97" s="598">
        <v>105</v>
      </c>
      <c r="AF97" s="564"/>
      <c r="AG97" s="599">
        <v>46006</v>
      </c>
      <c r="AH97" s="560">
        <v>93</v>
      </c>
      <c r="AI97" s="561">
        <v>46027</v>
      </c>
      <c r="AJ97" s="562"/>
      <c r="AK97" s="561" t="s">
        <v>128</v>
      </c>
      <c r="AL97" s="563">
        <v>0</v>
      </c>
      <c r="AM97" s="567">
        <v>122</v>
      </c>
      <c r="AN97" s="564"/>
      <c r="AO97" s="565">
        <v>46022</v>
      </c>
      <c r="AP97" s="589">
        <v>129</v>
      </c>
      <c r="AQ97" s="593">
        <v>46055</v>
      </c>
      <c r="AR97" s="562"/>
      <c r="AS97" s="593" t="s">
        <v>67</v>
      </c>
      <c r="AT97" s="563"/>
      <c r="AU97" s="567"/>
      <c r="AV97" s="564"/>
      <c r="AW97" s="565"/>
      <c r="AX97" s="560"/>
      <c r="AY97" s="561"/>
      <c r="AZ97" s="562"/>
      <c r="BA97" s="561"/>
      <c r="BB97" s="563"/>
      <c r="BC97" s="567"/>
      <c r="BD97" s="564"/>
      <c r="BE97" s="565"/>
      <c r="BF97" s="560"/>
      <c r="BG97" s="561"/>
      <c r="BH97" s="562"/>
      <c r="BI97" s="561"/>
      <c r="BJ97" s="563"/>
      <c r="BK97" s="567"/>
      <c r="BL97" s="564"/>
      <c r="BM97" s="565"/>
      <c r="BN97" s="560"/>
      <c r="BO97" s="561"/>
      <c r="BP97" s="562"/>
      <c r="BQ97" s="561"/>
      <c r="BR97" s="563"/>
      <c r="BS97" s="567"/>
      <c r="BT97" s="564"/>
      <c r="BU97" s="565"/>
      <c r="BV97" s="560"/>
      <c r="BW97" s="561"/>
      <c r="BX97" s="562"/>
      <c r="BY97" s="561"/>
      <c r="BZ97" s="563"/>
      <c r="CA97" s="567"/>
      <c r="CB97" s="564"/>
      <c r="CC97" s="565"/>
      <c r="CD97" s="560"/>
      <c r="CE97" s="561"/>
      <c r="CF97" s="562"/>
      <c r="CG97" s="561"/>
      <c r="CH97" s="563"/>
      <c r="CI97" s="564"/>
      <c r="CJ97" s="564"/>
      <c r="CK97" s="564"/>
      <c r="CL97" s="560"/>
      <c r="CM97" s="561"/>
      <c r="CN97" s="562"/>
      <c r="CO97" s="561"/>
      <c r="CP97" s="563"/>
      <c r="CQ97" s="564"/>
      <c r="CR97" s="564"/>
      <c r="CS97" s="564"/>
      <c r="CT97" s="560"/>
      <c r="CU97" s="561"/>
      <c r="CV97" s="562"/>
      <c r="CW97" s="561"/>
      <c r="CX97" s="563"/>
      <c r="CY97" s="564"/>
      <c r="CZ97" s="564"/>
      <c r="DA97" s="564"/>
      <c r="DB97" s="560"/>
      <c r="DC97" s="561"/>
      <c r="DD97" s="562"/>
      <c r="DE97" s="561"/>
      <c r="DF97" s="563"/>
      <c r="DG97" s="564"/>
      <c r="DH97" s="564"/>
      <c r="DI97" s="564"/>
      <c r="DJ97" s="560"/>
      <c r="DK97" s="561"/>
      <c r="DL97" s="562"/>
      <c r="DM97" s="561"/>
      <c r="DN97" s="563"/>
      <c r="DO97" s="564"/>
      <c r="DP97" s="564"/>
      <c r="DQ97" s="564"/>
      <c r="DR97" s="560"/>
      <c r="DS97" s="561"/>
      <c r="DT97" s="562"/>
      <c r="DU97" s="561"/>
      <c r="DV97" s="563"/>
      <c r="DW97" s="564"/>
      <c r="DX97" s="564"/>
      <c r="DY97" s="564"/>
      <c r="DZ97" s="560"/>
      <c r="EA97" s="561"/>
      <c r="EB97" s="562"/>
      <c r="EC97" s="561"/>
      <c r="ED97" s="563"/>
      <c r="EE97" s="564"/>
      <c r="EF97" s="564"/>
      <c r="EG97" s="564"/>
      <c r="EH97" s="560"/>
      <c r="EI97" s="561"/>
      <c r="EJ97" s="562"/>
      <c r="EK97" s="561"/>
      <c r="EL97" s="563"/>
      <c r="EM97" s="564"/>
      <c r="EN97" s="564"/>
      <c r="EO97" s="564"/>
      <c r="EP97" s="560"/>
      <c r="EQ97" s="561"/>
      <c r="ER97" s="562"/>
      <c r="ES97" s="561"/>
      <c r="ET97" s="563"/>
      <c r="EU97" s="564"/>
      <c r="EV97" s="564"/>
      <c r="EW97" s="564"/>
      <c r="EX97" s="560"/>
      <c r="EY97" s="561"/>
      <c r="EZ97" s="562"/>
      <c r="FA97" s="561"/>
      <c r="FB97" s="563"/>
      <c r="FC97" s="564"/>
      <c r="FD97" s="564"/>
      <c r="FE97" s="564"/>
      <c r="FF97" s="560"/>
      <c r="FG97" s="561"/>
      <c r="FH97" s="562"/>
      <c r="FI97" s="561"/>
      <c r="FJ97" s="563"/>
      <c r="FK97" s="564"/>
      <c r="FL97" s="564"/>
      <c r="FM97" s="564"/>
      <c r="FN97" s="560"/>
      <c r="FO97" s="561"/>
      <c r="FP97" s="562"/>
      <c r="FQ97" s="561"/>
      <c r="FR97" s="563"/>
      <c r="FS97" s="564"/>
      <c r="FT97" s="564"/>
      <c r="FU97" s="564"/>
      <c r="FV97" s="560"/>
      <c r="FW97" s="566"/>
      <c r="FX97" s="566"/>
      <c r="FY97" s="566"/>
      <c r="FZ97" s="563"/>
      <c r="GA97" s="564"/>
      <c r="GB97" s="564"/>
      <c r="GC97" s="564"/>
      <c r="GD97" s="560"/>
      <c r="GE97" s="566"/>
      <c r="GF97" s="566"/>
      <c r="GG97" s="566"/>
      <c r="GH97" s="563"/>
      <c r="GI97" s="564"/>
      <c r="GJ97" s="564"/>
      <c r="GK97" s="564"/>
      <c r="GL97" s="560"/>
      <c r="GM97" s="566"/>
      <c r="GN97" s="566"/>
      <c r="GO97" s="566"/>
      <c r="GP97" s="563"/>
      <c r="GQ97" s="564"/>
      <c r="GR97" s="564"/>
      <c r="GS97" s="564"/>
      <c r="GT97" s="560"/>
      <c r="GU97" s="566"/>
      <c r="GV97" s="566"/>
      <c r="GW97" s="566"/>
      <c r="GX97" s="541"/>
      <c r="GY97" s="535"/>
      <c r="GZ97" s="542"/>
      <c r="HA97" s="543"/>
      <c r="HB97" s="541"/>
      <c r="HC97" s="535"/>
      <c r="HD97" s="542"/>
      <c r="HE97" s="543"/>
      <c r="HF97" s="541"/>
      <c r="HG97" s="535"/>
      <c r="HH97" s="542"/>
      <c r="HI97" s="543"/>
      <c r="HJ97" s="541"/>
      <c r="HK97" s="535"/>
      <c r="HL97" s="542"/>
      <c r="HM97" s="543"/>
      <c r="HN97" s="541"/>
      <c r="HO97" s="535"/>
      <c r="HP97" s="542"/>
      <c r="HQ97" s="543"/>
      <c r="HR97" s="541"/>
      <c r="HS97" s="535"/>
      <c r="HT97" s="542"/>
      <c r="HU97" s="543"/>
    </row>
    <row r="98" spans="2:229" s="506" customFormat="1" ht="87" customHeight="1" x14ac:dyDescent="0.35">
      <c r="B98" s="544">
        <v>67</v>
      </c>
      <c r="C98" s="544" t="s">
        <v>145</v>
      </c>
      <c r="D98" s="545" t="s">
        <v>59</v>
      </c>
      <c r="E98" s="558" t="s">
        <v>463</v>
      </c>
      <c r="F98" s="546" t="s">
        <v>464</v>
      </c>
      <c r="G98" s="546" t="s">
        <v>465</v>
      </c>
      <c r="H98" s="547" t="s">
        <v>466</v>
      </c>
      <c r="I98" s="548">
        <f>Q98+5</f>
        <v>46125</v>
      </c>
      <c r="J98" s="548"/>
      <c r="K98" s="568" t="s">
        <v>62</v>
      </c>
      <c r="L98" s="548"/>
      <c r="M98" s="569" t="s">
        <v>117</v>
      </c>
      <c r="N98" s="551">
        <v>1</v>
      </c>
      <c r="O98" s="576">
        <v>257</v>
      </c>
      <c r="P98" s="553">
        <v>46121</v>
      </c>
      <c r="Q98" s="553">
        <v>46120</v>
      </c>
      <c r="R98" s="554" t="s">
        <v>151</v>
      </c>
      <c r="S98" s="555">
        <f ca="1">IF(R98="Aprobado con comentarios / Emitir Rev_1", NETWORKDAYS(Q98,TODAY(),Hoja1!$C$3:$C$25),0)</f>
        <v>0</v>
      </c>
      <c r="T98" s="555">
        <f ca="1">IF(R98="Revisión INN",NETWORKDAYS(P98,TODAY(),Hoja1!$C$3:$C$25),0)</f>
        <v>7</v>
      </c>
      <c r="U98" s="556">
        <f t="shared" si="3"/>
        <v>4</v>
      </c>
      <c r="V98" s="557" t="s">
        <v>125</v>
      </c>
      <c r="W98" s="558">
        <v>60</v>
      </c>
      <c r="X98" s="558"/>
      <c r="Y98" s="559">
        <v>45959</v>
      </c>
      <c r="Z98" s="560">
        <v>56</v>
      </c>
      <c r="AA98" s="561">
        <v>45965</v>
      </c>
      <c r="AB98" s="562"/>
      <c r="AC98" s="561" t="s">
        <v>167</v>
      </c>
      <c r="AD98" s="563" t="s">
        <v>63</v>
      </c>
      <c r="AE98" s="567">
        <v>66</v>
      </c>
      <c r="AF98" s="564"/>
      <c r="AG98" s="565">
        <v>45968</v>
      </c>
      <c r="AH98" s="560">
        <v>95</v>
      </c>
      <c r="AI98" s="594">
        <v>46027</v>
      </c>
      <c r="AJ98" s="562"/>
      <c r="AK98" s="560" t="s">
        <v>370</v>
      </c>
      <c r="AL98" s="563" t="s">
        <v>201</v>
      </c>
      <c r="AM98" s="567">
        <v>91</v>
      </c>
      <c r="AN98" s="564" t="s">
        <v>62</v>
      </c>
      <c r="AO98" s="565">
        <v>45993</v>
      </c>
      <c r="AP98" s="560">
        <v>72</v>
      </c>
      <c r="AQ98" s="561">
        <v>45996</v>
      </c>
      <c r="AR98" s="562"/>
      <c r="AS98" s="561" t="s">
        <v>371</v>
      </c>
      <c r="AT98" s="563">
        <v>0</v>
      </c>
      <c r="AU98" s="567">
        <v>191</v>
      </c>
      <c r="AV98" s="564"/>
      <c r="AW98" s="565">
        <v>46077</v>
      </c>
      <c r="AX98" s="560">
        <v>178</v>
      </c>
      <c r="AY98" s="561">
        <v>46120</v>
      </c>
      <c r="AZ98" s="562"/>
      <c r="BA98" s="561" t="s">
        <v>155</v>
      </c>
      <c r="BB98" s="563"/>
      <c r="BC98" s="567"/>
      <c r="BD98" s="564"/>
      <c r="BE98" s="565"/>
      <c r="BF98" s="560"/>
      <c r="BG98" s="561"/>
      <c r="BH98" s="562"/>
      <c r="BI98" s="561"/>
      <c r="BJ98" s="563"/>
      <c r="BK98" s="567"/>
      <c r="BL98" s="564"/>
      <c r="BM98" s="565"/>
      <c r="BN98" s="560"/>
      <c r="BO98" s="561"/>
      <c r="BP98" s="562"/>
      <c r="BQ98" s="561"/>
      <c r="BR98" s="563"/>
      <c r="BS98" s="567"/>
      <c r="BT98" s="564"/>
      <c r="BU98" s="565"/>
      <c r="BV98" s="560"/>
      <c r="BW98" s="561"/>
      <c r="BX98" s="562"/>
      <c r="BY98" s="561"/>
      <c r="BZ98" s="563"/>
      <c r="CA98" s="567"/>
      <c r="CB98" s="564"/>
      <c r="CC98" s="565"/>
      <c r="CD98" s="560"/>
      <c r="CE98" s="561"/>
      <c r="CF98" s="562"/>
      <c r="CG98" s="561"/>
      <c r="CH98" s="563"/>
      <c r="CI98" s="564"/>
      <c r="CJ98" s="564"/>
      <c r="CK98" s="564"/>
      <c r="CL98" s="560"/>
      <c r="CM98" s="561"/>
      <c r="CN98" s="562"/>
      <c r="CO98" s="561"/>
      <c r="CP98" s="563"/>
      <c r="CQ98" s="564"/>
      <c r="CR98" s="564"/>
      <c r="CS98" s="564"/>
      <c r="CT98" s="560"/>
      <c r="CU98" s="561"/>
      <c r="CV98" s="562"/>
      <c r="CW98" s="561"/>
      <c r="CX98" s="563"/>
      <c r="CY98" s="564"/>
      <c r="CZ98" s="564"/>
      <c r="DA98" s="564"/>
      <c r="DB98" s="560"/>
      <c r="DC98" s="561"/>
      <c r="DD98" s="562"/>
      <c r="DE98" s="561"/>
      <c r="DF98" s="563"/>
      <c r="DG98" s="564"/>
      <c r="DH98" s="564"/>
      <c r="DI98" s="564"/>
      <c r="DJ98" s="560"/>
      <c r="DK98" s="561"/>
      <c r="DL98" s="562"/>
      <c r="DM98" s="561"/>
      <c r="DN98" s="563"/>
      <c r="DO98" s="564"/>
      <c r="DP98" s="564"/>
      <c r="DQ98" s="564"/>
      <c r="DR98" s="560"/>
      <c r="DS98" s="561"/>
      <c r="DT98" s="562"/>
      <c r="DU98" s="561"/>
      <c r="DV98" s="563"/>
      <c r="DW98" s="564"/>
      <c r="DX98" s="564"/>
      <c r="DY98" s="564"/>
      <c r="DZ98" s="560"/>
      <c r="EA98" s="561"/>
      <c r="EB98" s="562"/>
      <c r="EC98" s="561"/>
      <c r="ED98" s="563"/>
      <c r="EE98" s="564"/>
      <c r="EF98" s="564"/>
      <c r="EG98" s="564"/>
      <c r="EH98" s="560"/>
      <c r="EI98" s="561"/>
      <c r="EJ98" s="562"/>
      <c r="EK98" s="561"/>
      <c r="EL98" s="563"/>
      <c r="EM98" s="564"/>
      <c r="EN98" s="564"/>
      <c r="EO98" s="564"/>
      <c r="EP98" s="560"/>
      <c r="EQ98" s="561"/>
      <c r="ER98" s="562"/>
      <c r="ES98" s="561"/>
      <c r="ET98" s="563"/>
      <c r="EU98" s="564"/>
      <c r="EV98" s="564"/>
      <c r="EW98" s="564"/>
      <c r="EX98" s="560"/>
      <c r="EY98" s="561"/>
      <c r="EZ98" s="562"/>
      <c r="FA98" s="561"/>
      <c r="FB98" s="563"/>
      <c r="FC98" s="564"/>
      <c r="FD98" s="564"/>
      <c r="FE98" s="564"/>
      <c r="FF98" s="560"/>
      <c r="FG98" s="561"/>
      <c r="FH98" s="562"/>
      <c r="FI98" s="561"/>
      <c r="FJ98" s="563"/>
      <c r="FK98" s="564"/>
      <c r="FL98" s="564"/>
      <c r="FM98" s="564"/>
      <c r="FN98" s="560"/>
      <c r="FO98" s="561"/>
      <c r="FP98" s="562"/>
      <c r="FQ98" s="561"/>
      <c r="FR98" s="563"/>
      <c r="FS98" s="564"/>
      <c r="FT98" s="564"/>
      <c r="FU98" s="564"/>
      <c r="FV98" s="560"/>
      <c r="FW98" s="566"/>
      <c r="FX98" s="566"/>
      <c r="FY98" s="566"/>
      <c r="FZ98" s="563"/>
      <c r="GA98" s="564"/>
      <c r="GB98" s="564"/>
      <c r="GC98" s="564"/>
      <c r="GD98" s="560"/>
      <c r="GE98" s="566"/>
      <c r="GF98" s="566"/>
      <c r="GG98" s="566"/>
      <c r="GH98" s="563"/>
      <c r="GI98" s="564"/>
      <c r="GJ98" s="564"/>
      <c r="GK98" s="564"/>
      <c r="GL98" s="560"/>
      <c r="GM98" s="566"/>
      <c r="GN98" s="566"/>
      <c r="GO98" s="566"/>
      <c r="GP98" s="563"/>
      <c r="GQ98" s="564"/>
      <c r="GR98" s="564"/>
      <c r="GS98" s="564"/>
      <c r="GT98" s="560"/>
      <c r="GU98" s="566"/>
      <c r="GV98" s="566"/>
      <c r="GW98" s="566"/>
      <c r="GX98" s="563"/>
      <c r="GY98" s="564"/>
      <c r="GZ98" s="564"/>
      <c r="HA98" s="590"/>
      <c r="HB98" s="560"/>
      <c r="HC98" s="566"/>
      <c r="HD98" s="566"/>
      <c r="HE98" s="566"/>
      <c r="HF98" s="563"/>
      <c r="HG98" s="564"/>
      <c r="HH98" s="564"/>
      <c r="HI98" s="590"/>
      <c r="HJ98" s="560"/>
      <c r="HK98" s="566"/>
      <c r="HL98" s="566"/>
      <c r="HM98" s="566"/>
      <c r="HN98" s="563"/>
      <c r="HO98" s="564"/>
      <c r="HP98" s="564"/>
      <c r="HQ98" s="590"/>
      <c r="HR98" s="560"/>
      <c r="HS98" s="566"/>
      <c r="HT98" s="566"/>
      <c r="HU98" s="566"/>
    </row>
    <row r="99" spans="2:229" s="506" customFormat="1" ht="89.5" customHeight="1" x14ac:dyDescent="0.35">
      <c r="B99" s="544">
        <v>82</v>
      </c>
      <c r="C99" s="544" t="s">
        <v>145</v>
      </c>
      <c r="D99" s="545" t="s">
        <v>139</v>
      </c>
      <c r="E99" s="558" t="s">
        <v>467</v>
      </c>
      <c r="F99" s="546" t="s">
        <v>468</v>
      </c>
      <c r="G99" s="546" t="s">
        <v>469</v>
      </c>
      <c r="H99" s="547" t="s">
        <v>470</v>
      </c>
      <c r="I99" s="548">
        <f>Q99+5</f>
        <v>46125</v>
      </c>
      <c r="J99" s="548"/>
      <c r="K99" s="568" t="s">
        <v>62</v>
      </c>
      <c r="L99" s="549"/>
      <c r="M99" s="569" t="s">
        <v>117</v>
      </c>
      <c r="N99" s="551">
        <v>1</v>
      </c>
      <c r="O99" s="576">
        <v>257</v>
      </c>
      <c r="P99" s="553">
        <v>46121</v>
      </c>
      <c r="Q99" s="553">
        <v>46120</v>
      </c>
      <c r="R99" s="554" t="s">
        <v>151</v>
      </c>
      <c r="S99" s="555">
        <f ca="1">IF(R99="Aprobado con comentarios / Emitir Rev_1", NETWORKDAYS(Q99,TODAY(),Hoja1!$C$3:$C$25),0)</f>
        <v>0</v>
      </c>
      <c r="T99" s="555">
        <f ca="1">IF(R99="Revisión INN",NETWORKDAYS(P99,TODAY(),Hoja1!$C$3:$C$25),0)</f>
        <v>7</v>
      </c>
      <c r="U99" s="556">
        <f t="shared" si="3"/>
        <v>4</v>
      </c>
      <c r="V99" s="557" t="s">
        <v>125</v>
      </c>
      <c r="W99" s="558">
        <v>60</v>
      </c>
      <c r="X99" s="558"/>
      <c r="Y99" s="559">
        <v>45959</v>
      </c>
      <c r="Z99" s="560">
        <v>56</v>
      </c>
      <c r="AA99" s="561">
        <v>45965</v>
      </c>
      <c r="AB99" s="562"/>
      <c r="AC99" s="561" t="s">
        <v>167</v>
      </c>
      <c r="AD99" s="563" t="s">
        <v>63</v>
      </c>
      <c r="AE99" s="567">
        <v>66</v>
      </c>
      <c r="AF99" s="564"/>
      <c r="AG99" s="565">
        <v>45968</v>
      </c>
      <c r="AH99" s="560">
        <v>95</v>
      </c>
      <c r="AI99" s="594">
        <v>46027</v>
      </c>
      <c r="AJ99" s="562"/>
      <c r="AK99" s="560" t="s">
        <v>370</v>
      </c>
      <c r="AL99" s="563" t="s">
        <v>201</v>
      </c>
      <c r="AM99" s="567">
        <v>91</v>
      </c>
      <c r="AN99" s="564" t="s">
        <v>62</v>
      </c>
      <c r="AO99" s="565">
        <v>45993</v>
      </c>
      <c r="AP99" s="560">
        <v>72</v>
      </c>
      <c r="AQ99" s="561">
        <v>45996</v>
      </c>
      <c r="AR99" s="562"/>
      <c r="AS99" s="561" t="s">
        <v>371</v>
      </c>
      <c r="AT99" s="563">
        <v>0</v>
      </c>
      <c r="AU99" s="567">
        <v>191</v>
      </c>
      <c r="AV99" s="564"/>
      <c r="AW99" s="565">
        <v>46077</v>
      </c>
      <c r="AX99" s="560">
        <v>178</v>
      </c>
      <c r="AY99" s="561">
        <v>46120</v>
      </c>
      <c r="AZ99" s="562"/>
      <c r="BA99" s="561" t="s">
        <v>155</v>
      </c>
      <c r="BB99" s="563"/>
      <c r="BC99" s="567"/>
      <c r="BD99" s="564"/>
      <c r="BE99" s="565"/>
      <c r="BF99" s="560"/>
      <c r="BG99" s="561"/>
      <c r="BH99" s="562"/>
      <c r="BI99" s="561"/>
      <c r="BJ99" s="563"/>
      <c r="BK99" s="567"/>
      <c r="BL99" s="564"/>
      <c r="BM99" s="565"/>
      <c r="BN99" s="560"/>
      <c r="BO99" s="561"/>
      <c r="BP99" s="562"/>
      <c r="BQ99" s="561"/>
      <c r="BR99" s="563"/>
      <c r="BS99" s="567"/>
      <c r="BT99" s="564"/>
      <c r="BU99" s="565"/>
      <c r="BV99" s="560"/>
      <c r="BW99" s="561"/>
      <c r="BX99" s="562"/>
      <c r="BY99" s="561"/>
      <c r="BZ99" s="563"/>
      <c r="CA99" s="567"/>
      <c r="CB99" s="564"/>
      <c r="CC99" s="565"/>
      <c r="CD99" s="560"/>
      <c r="CE99" s="561"/>
      <c r="CF99" s="562"/>
      <c r="CG99" s="561"/>
      <c r="CH99" s="563"/>
      <c r="CI99" s="564"/>
      <c r="CJ99" s="564"/>
      <c r="CK99" s="564"/>
      <c r="CL99" s="560"/>
      <c r="CM99" s="561"/>
      <c r="CN99" s="562"/>
      <c r="CO99" s="561"/>
      <c r="CP99" s="563"/>
      <c r="CQ99" s="564"/>
      <c r="CR99" s="564"/>
      <c r="CS99" s="564"/>
      <c r="CT99" s="560"/>
      <c r="CU99" s="561"/>
      <c r="CV99" s="562"/>
      <c r="CW99" s="561"/>
      <c r="CX99" s="563"/>
      <c r="CY99" s="564"/>
      <c r="CZ99" s="564"/>
      <c r="DA99" s="564"/>
      <c r="DB99" s="560"/>
      <c r="DC99" s="561"/>
      <c r="DD99" s="562"/>
      <c r="DE99" s="561"/>
      <c r="DF99" s="563"/>
      <c r="DG99" s="564"/>
      <c r="DH99" s="564"/>
      <c r="DI99" s="564"/>
      <c r="DJ99" s="560"/>
      <c r="DK99" s="561"/>
      <c r="DL99" s="562"/>
      <c r="DM99" s="561"/>
      <c r="DN99" s="563"/>
      <c r="DO99" s="564"/>
      <c r="DP99" s="564"/>
      <c r="DQ99" s="564"/>
      <c r="DR99" s="560"/>
      <c r="DS99" s="561"/>
      <c r="DT99" s="562"/>
      <c r="DU99" s="561"/>
      <c r="DV99" s="563"/>
      <c r="DW99" s="564"/>
      <c r="DX99" s="564"/>
      <c r="DY99" s="564"/>
      <c r="DZ99" s="560"/>
      <c r="EA99" s="561"/>
      <c r="EB99" s="562"/>
      <c r="EC99" s="561"/>
      <c r="ED99" s="563"/>
      <c r="EE99" s="564"/>
      <c r="EF99" s="564"/>
      <c r="EG99" s="564"/>
      <c r="EH99" s="560"/>
      <c r="EI99" s="561"/>
      <c r="EJ99" s="562"/>
      <c r="EK99" s="561"/>
      <c r="EL99" s="563"/>
      <c r="EM99" s="564"/>
      <c r="EN99" s="564"/>
      <c r="EO99" s="564"/>
      <c r="EP99" s="560"/>
      <c r="EQ99" s="561"/>
      <c r="ER99" s="562"/>
      <c r="ES99" s="561"/>
      <c r="ET99" s="563"/>
      <c r="EU99" s="564"/>
      <c r="EV99" s="564"/>
      <c r="EW99" s="564"/>
      <c r="EX99" s="560"/>
      <c r="EY99" s="561"/>
      <c r="EZ99" s="562"/>
      <c r="FA99" s="561"/>
      <c r="FB99" s="563"/>
      <c r="FC99" s="564"/>
      <c r="FD99" s="564"/>
      <c r="FE99" s="564"/>
      <c r="FF99" s="560"/>
      <c r="FG99" s="561"/>
      <c r="FH99" s="562"/>
      <c r="FI99" s="561"/>
      <c r="FJ99" s="563"/>
      <c r="FK99" s="564"/>
      <c r="FL99" s="564"/>
      <c r="FM99" s="564"/>
      <c r="FN99" s="560"/>
      <c r="FO99" s="561"/>
      <c r="FP99" s="562"/>
      <c r="FQ99" s="561"/>
      <c r="FR99" s="563"/>
      <c r="FS99" s="564"/>
      <c r="FT99" s="564"/>
      <c r="FU99" s="564"/>
      <c r="FV99" s="560"/>
      <c r="FW99" s="566"/>
      <c r="FX99" s="566"/>
      <c r="FY99" s="566"/>
      <c r="FZ99" s="563"/>
      <c r="GA99" s="564"/>
      <c r="GB99" s="564"/>
      <c r="GC99" s="564"/>
      <c r="GD99" s="560"/>
      <c r="GE99" s="566"/>
      <c r="GF99" s="566"/>
      <c r="GG99" s="566"/>
      <c r="GH99" s="563"/>
      <c r="GI99" s="564"/>
      <c r="GJ99" s="564"/>
      <c r="GK99" s="564"/>
      <c r="GL99" s="560"/>
      <c r="GM99" s="566"/>
      <c r="GN99" s="566"/>
      <c r="GO99" s="566"/>
      <c r="GP99" s="563"/>
      <c r="GQ99" s="564"/>
      <c r="GR99" s="564"/>
      <c r="GS99" s="564"/>
      <c r="GT99" s="560"/>
      <c r="GU99" s="566"/>
      <c r="GV99" s="566"/>
      <c r="GW99" s="566"/>
      <c r="GX99" s="563"/>
      <c r="GY99" s="564"/>
      <c r="GZ99" s="564"/>
      <c r="HA99" s="590"/>
      <c r="HB99" s="560"/>
      <c r="HC99" s="566"/>
      <c r="HD99" s="566"/>
      <c r="HE99" s="566"/>
      <c r="HF99" s="563"/>
      <c r="HG99" s="564"/>
      <c r="HH99" s="564"/>
      <c r="HI99" s="590"/>
      <c r="HJ99" s="560"/>
      <c r="HK99" s="566"/>
      <c r="HL99" s="566"/>
      <c r="HM99" s="566"/>
      <c r="HN99" s="563"/>
      <c r="HO99" s="564"/>
      <c r="HP99" s="564"/>
      <c r="HQ99" s="590"/>
      <c r="HR99" s="560"/>
      <c r="HS99" s="566"/>
      <c r="HT99" s="566"/>
      <c r="HU99" s="566"/>
    </row>
    <row r="100" spans="2:229" s="506" customFormat="1" ht="89.5" customHeight="1" thickBot="1" x14ac:dyDescent="0.4">
      <c r="B100" s="544">
        <v>122</v>
      </c>
      <c r="C100" s="653" t="s">
        <v>244</v>
      </c>
      <c r="D100" s="670" t="s">
        <v>59</v>
      </c>
      <c r="E100" s="670" t="s">
        <v>471</v>
      </c>
      <c r="F100" s="671" t="s">
        <v>472</v>
      </c>
      <c r="G100" s="671" t="s">
        <v>473</v>
      </c>
      <c r="H100" s="672" t="s">
        <v>474</v>
      </c>
      <c r="I100" s="548"/>
      <c r="J100" s="548"/>
      <c r="K100" s="568" t="s">
        <v>62</v>
      </c>
      <c r="L100" s="706"/>
      <c r="M100" s="673" t="s">
        <v>117</v>
      </c>
      <c r="N100" s="551">
        <v>2</v>
      </c>
      <c r="O100" s="552" t="s">
        <v>475</v>
      </c>
      <c r="P100" s="554">
        <v>46069</v>
      </c>
      <c r="Q100" s="553">
        <v>46120</v>
      </c>
      <c r="R100" s="554" t="s">
        <v>476</v>
      </c>
      <c r="S100" s="555">
        <f ca="1">IF(R100="Aprobado con comentarios / Emitir Rev_3", NETWORKDAYS(Q100,TODAY(),Hoja1!$C$3:$C$25),0)</f>
        <v>8</v>
      </c>
      <c r="T100" s="555">
        <f ca="1">IF(R100="Revisión INN pero nos devolvieron este TTAL con la aprobación de cliente final para ellos avanzar. Aún falta resto de información para que SEH pueda atender el documento. ",NETWORKDAYS(P100,TODAY(),Hoja1!$C$3:$C$25),0)</f>
        <v>0</v>
      </c>
      <c r="U100" s="556">
        <f t="shared" si="3"/>
        <v>5</v>
      </c>
      <c r="V100" s="557" t="s">
        <v>125</v>
      </c>
      <c r="W100" s="558">
        <v>27</v>
      </c>
      <c r="X100" s="558"/>
      <c r="Y100" s="559">
        <v>45929</v>
      </c>
      <c r="Z100" s="560">
        <v>27</v>
      </c>
      <c r="AA100" s="561">
        <v>45930</v>
      </c>
      <c r="AB100" s="562">
        <f>AA100-Y100</f>
        <v>1</v>
      </c>
      <c r="AC100" s="561" t="s">
        <v>167</v>
      </c>
      <c r="AD100" s="563" t="s">
        <v>63</v>
      </c>
      <c r="AE100" s="567">
        <v>31</v>
      </c>
      <c r="AF100" s="564">
        <f>AG100-AA100</f>
        <v>1</v>
      </c>
      <c r="AG100" s="565">
        <v>45931</v>
      </c>
      <c r="AH100" s="560">
        <v>39</v>
      </c>
      <c r="AI100" s="561">
        <v>45943</v>
      </c>
      <c r="AJ100" s="562">
        <f>AI100-AG100</f>
        <v>12</v>
      </c>
      <c r="AK100" s="561" t="s">
        <v>186</v>
      </c>
      <c r="AL100" s="563">
        <v>0</v>
      </c>
      <c r="AM100" s="567">
        <v>78</v>
      </c>
      <c r="AN100" s="564"/>
      <c r="AO100" s="565">
        <v>45980</v>
      </c>
      <c r="AP100" s="560">
        <v>77</v>
      </c>
      <c r="AQ100" s="561">
        <v>46006</v>
      </c>
      <c r="AR100" s="562"/>
      <c r="AS100" s="561" t="s">
        <v>155</v>
      </c>
      <c r="AT100" s="563">
        <v>1</v>
      </c>
      <c r="AU100" s="567">
        <v>132</v>
      </c>
      <c r="AV100" s="564"/>
      <c r="AW100" s="565">
        <v>46030</v>
      </c>
      <c r="AX100" s="560">
        <v>121</v>
      </c>
      <c r="AY100" s="561">
        <v>46049</v>
      </c>
      <c r="AZ100" s="562"/>
      <c r="BA100" s="561" t="s">
        <v>187</v>
      </c>
      <c r="BB100" s="563">
        <v>2</v>
      </c>
      <c r="BC100" s="567">
        <v>177</v>
      </c>
      <c r="BD100" s="564"/>
      <c r="BE100" s="565">
        <v>46069</v>
      </c>
      <c r="BF100" s="589" t="s">
        <v>477</v>
      </c>
      <c r="BG100" s="593" t="s">
        <v>478</v>
      </c>
      <c r="BH100" s="592"/>
      <c r="BI100" s="593" t="s">
        <v>278</v>
      </c>
      <c r="BJ100" s="563"/>
      <c r="BK100" s="567"/>
      <c r="BL100" s="564"/>
      <c r="BM100" s="565"/>
      <c r="BN100" s="560"/>
      <c r="BO100" s="561"/>
      <c r="BP100" s="562"/>
      <c r="BQ100" s="561"/>
      <c r="BR100" s="563"/>
      <c r="BS100" s="567"/>
      <c r="BT100" s="564"/>
      <c r="BU100" s="565"/>
      <c r="BV100" s="560"/>
      <c r="BW100" s="561"/>
      <c r="BX100" s="562"/>
      <c r="BY100" s="561"/>
      <c r="BZ100" s="563"/>
      <c r="CA100" s="567"/>
      <c r="CB100" s="564"/>
      <c r="CC100" s="565"/>
      <c r="CD100" s="560"/>
      <c r="CE100" s="561"/>
      <c r="CF100" s="562"/>
      <c r="CG100" s="561"/>
      <c r="CH100" s="563"/>
      <c r="CI100" s="564"/>
      <c r="CJ100" s="564"/>
      <c r="CK100" s="564"/>
      <c r="CL100" s="560"/>
      <c r="CM100" s="561"/>
      <c r="CN100" s="562"/>
      <c r="CO100" s="561"/>
      <c r="CP100" s="563"/>
      <c r="CQ100" s="564"/>
      <c r="CR100" s="564"/>
      <c r="CS100" s="564"/>
      <c r="CT100" s="560"/>
      <c r="CU100" s="561"/>
      <c r="CV100" s="562"/>
      <c r="CW100" s="561"/>
      <c r="CX100" s="563"/>
      <c r="CY100" s="564"/>
      <c r="CZ100" s="564"/>
      <c r="DA100" s="564"/>
      <c r="DB100" s="560"/>
      <c r="DC100" s="561"/>
      <c r="DD100" s="562"/>
      <c r="DE100" s="561"/>
      <c r="DF100" s="563"/>
      <c r="DG100" s="564"/>
      <c r="DH100" s="564"/>
      <c r="DI100" s="564"/>
      <c r="DJ100" s="560"/>
      <c r="DK100" s="561"/>
      <c r="DL100" s="562"/>
      <c r="DM100" s="561"/>
      <c r="DN100" s="563"/>
      <c r="DO100" s="564"/>
      <c r="DP100" s="564"/>
      <c r="DQ100" s="564"/>
      <c r="DR100" s="560"/>
      <c r="DS100" s="561"/>
      <c r="DT100" s="562"/>
      <c r="DU100" s="561"/>
      <c r="DV100" s="563"/>
      <c r="DW100" s="564"/>
      <c r="DX100" s="564"/>
      <c r="DY100" s="564"/>
      <c r="DZ100" s="560"/>
      <c r="EA100" s="561"/>
      <c r="EB100" s="562"/>
      <c r="EC100" s="561"/>
      <c r="ED100" s="563"/>
      <c r="EE100" s="564"/>
      <c r="EF100" s="564"/>
      <c r="EG100" s="564"/>
      <c r="EH100" s="560"/>
      <c r="EI100" s="561"/>
      <c r="EJ100" s="562"/>
      <c r="EK100" s="561"/>
      <c r="EL100" s="563"/>
      <c r="EM100" s="564"/>
      <c r="EN100" s="564"/>
      <c r="EO100" s="564"/>
      <c r="EP100" s="560"/>
      <c r="EQ100" s="561"/>
      <c r="ER100" s="562"/>
      <c r="ES100" s="561"/>
      <c r="ET100" s="563"/>
      <c r="EU100" s="564"/>
      <c r="EV100" s="564"/>
      <c r="EW100" s="564"/>
      <c r="EX100" s="560"/>
      <c r="EY100" s="561"/>
      <c r="EZ100" s="562"/>
      <c r="FA100" s="561"/>
      <c r="FB100" s="563"/>
      <c r="FC100" s="564"/>
      <c r="FD100" s="564"/>
      <c r="FE100" s="564"/>
      <c r="FF100" s="560"/>
      <c r="FG100" s="561"/>
      <c r="FH100" s="562"/>
      <c r="FI100" s="561"/>
      <c r="FJ100" s="563"/>
      <c r="FK100" s="564"/>
      <c r="FL100" s="564"/>
      <c r="FM100" s="564"/>
      <c r="FN100" s="560"/>
      <c r="FO100" s="561"/>
      <c r="FP100" s="562"/>
      <c r="FQ100" s="561"/>
      <c r="FR100" s="563"/>
      <c r="FS100" s="564"/>
      <c r="FT100" s="564"/>
      <c r="FU100" s="564"/>
      <c r="FV100" s="560"/>
      <c r="FW100" s="566"/>
      <c r="FX100" s="566"/>
      <c r="FY100" s="566"/>
      <c r="FZ100" s="563"/>
      <c r="GA100" s="564"/>
      <c r="GB100" s="564"/>
      <c r="GC100" s="564"/>
      <c r="GD100" s="560"/>
      <c r="GE100" s="566"/>
      <c r="GF100" s="566"/>
      <c r="GG100" s="566"/>
      <c r="GH100" s="563"/>
      <c r="GI100" s="564"/>
      <c r="GJ100" s="564"/>
      <c r="GK100" s="564"/>
      <c r="GL100" s="560"/>
      <c r="GM100" s="566"/>
      <c r="GN100" s="566"/>
      <c r="GO100" s="566"/>
      <c r="GP100" s="563"/>
      <c r="GQ100" s="564"/>
      <c r="GR100" s="564"/>
      <c r="GS100" s="564"/>
      <c r="GT100" s="560"/>
      <c r="GU100" s="566"/>
      <c r="GV100" s="566"/>
      <c r="GW100" s="566"/>
      <c r="GX100" s="563"/>
      <c r="GY100" s="564"/>
      <c r="GZ100" s="564"/>
      <c r="HA100" s="590"/>
      <c r="HB100" s="560"/>
      <c r="HC100" s="566"/>
      <c r="HD100" s="566"/>
      <c r="HE100" s="566"/>
      <c r="HF100" s="563"/>
      <c r="HG100" s="564"/>
      <c r="HH100" s="564"/>
      <c r="HI100" s="590"/>
      <c r="HJ100" s="560"/>
      <c r="HK100" s="566"/>
      <c r="HL100" s="566"/>
      <c r="HM100" s="566"/>
      <c r="HN100" s="563"/>
      <c r="HO100" s="564"/>
      <c r="HP100" s="564"/>
      <c r="HQ100" s="590"/>
      <c r="HR100" s="560"/>
      <c r="HS100" s="566"/>
      <c r="HT100" s="566"/>
      <c r="HU100" s="566"/>
    </row>
    <row r="101" spans="2:229" s="506" customFormat="1" ht="61" customHeight="1" x14ac:dyDescent="0.35">
      <c r="B101" s="544">
        <v>98</v>
      </c>
      <c r="C101" s="544" t="s">
        <v>145</v>
      </c>
      <c r="D101" s="545" t="s">
        <v>68</v>
      </c>
      <c r="E101" s="545" t="s">
        <v>479</v>
      </c>
      <c r="F101" s="546" t="s">
        <v>480</v>
      </c>
      <c r="G101" s="546" t="s">
        <v>481</v>
      </c>
      <c r="H101" s="547" t="s">
        <v>482</v>
      </c>
      <c r="I101" s="548" t="s">
        <v>86</v>
      </c>
      <c r="J101" s="705" t="s">
        <v>462</v>
      </c>
      <c r="K101" s="568" t="s">
        <v>86</v>
      </c>
      <c r="L101" s="572"/>
      <c r="M101" s="569" t="s">
        <v>117</v>
      </c>
      <c r="N101" s="551">
        <v>0</v>
      </c>
      <c r="O101" s="576">
        <v>122</v>
      </c>
      <c r="P101" s="553">
        <v>46022</v>
      </c>
      <c r="Q101" s="554">
        <v>46055</v>
      </c>
      <c r="R101" s="554" t="s">
        <v>67</v>
      </c>
      <c r="S101" s="555">
        <f ca="1">IF(R101="Aprobados", NETWORKDAYS(Q101,TODAY(),Hoja1!$C$3:$C$25),0)</f>
        <v>0</v>
      </c>
      <c r="T101" s="555">
        <f ca="1">IF(R101="Revisión INN",NETWORKDAYS(P101,TODAY(),Hoja1!$C$3:$C$25),0)</f>
        <v>0</v>
      </c>
      <c r="U101" s="556">
        <f t="shared" si="3"/>
        <v>3</v>
      </c>
      <c r="V101" s="557" t="s">
        <v>125</v>
      </c>
      <c r="W101" s="558">
        <v>87</v>
      </c>
      <c r="X101" s="558"/>
      <c r="Y101" s="559">
        <v>45988</v>
      </c>
      <c r="Z101" s="560">
        <v>75</v>
      </c>
      <c r="AA101" s="561">
        <v>46002</v>
      </c>
      <c r="AB101" s="562"/>
      <c r="AC101" s="561" t="s">
        <v>162</v>
      </c>
      <c r="AD101" s="597" t="s">
        <v>63</v>
      </c>
      <c r="AE101" s="598">
        <v>105</v>
      </c>
      <c r="AF101" s="564"/>
      <c r="AG101" s="599">
        <v>46006</v>
      </c>
      <c r="AH101" s="560" t="s">
        <v>483</v>
      </c>
      <c r="AI101" s="561">
        <v>46020</v>
      </c>
      <c r="AJ101" s="562"/>
      <c r="AK101" s="561" t="s">
        <v>128</v>
      </c>
      <c r="AL101" s="563">
        <v>0</v>
      </c>
      <c r="AM101" s="567">
        <v>122</v>
      </c>
      <c r="AN101" s="564"/>
      <c r="AO101" s="565">
        <v>46022</v>
      </c>
      <c r="AP101" s="589">
        <v>129</v>
      </c>
      <c r="AQ101" s="593">
        <v>46055</v>
      </c>
      <c r="AR101" s="562"/>
      <c r="AS101" s="593" t="s">
        <v>67</v>
      </c>
      <c r="AT101" s="563"/>
      <c r="AU101" s="567"/>
      <c r="AV101" s="564"/>
      <c r="AW101" s="565"/>
      <c r="AX101" s="560"/>
      <c r="AY101" s="561"/>
      <c r="AZ101" s="562"/>
      <c r="BA101" s="561"/>
      <c r="BB101" s="563"/>
      <c r="BC101" s="567"/>
      <c r="BD101" s="564"/>
      <c r="BE101" s="565"/>
      <c r="BF101" s="560"/>
      <c r="BG101" s="561"/>
      <c r="BH101" s="562"/>
      <c r="BI101" s="561"/>
      <c r="BJ101" s="563"/>
      <c r="BK101" s="567"/>
      <c r="BL101" s="564"/>
      <c r="BM101" s="565"/>
      <c r="BN101" s="560"/>
      <c r="BO101" s="561"/>
      <c r="BP101" s="562"/>
      <c r="BQ101" s="561"/>
      <c r="BR101" s="563"/>
      <c r="BS101" s="567"/>
      <c r="BT101" s="564"/>
      <c r="BU101" s="565"/>
      <c r="BV101" s="560"/>
      <c r="BW101" s="561"/>
      <c r="BX101" s="562"/>
      <c r="BY101" s="561"/>
      <c r="BZ101" s="563"/>
      <c r="CA101" s="567"/>
      <c r="CB101" s="564"/>
      <c r="CC101" s="565"/>
      <c r="CD101" s="560"/>
      <c r="CE101" s="561"/>
      <c r="CF101" s="562"/>
      <c r="CG101" s="561"/>
      <c r="CH101" s="563"/>
      <c r="CI101" s="564"/>
      <c r="CJ101" s="564"/>
      <c r="CK101" s="564"/>
      <c r="CL101" s="560"/>
      <c r="CM101" s="561"/>
      <c r="CN101" s="562"/>
      <c r="CO101" s="561"/>
      <c r="CP101" s="563"/>
      <c r="CQ101" s="564"/>
      <c r="CR101" s="564"/>
      <c r="CS101" s="564"/>
      <c r="CT101" s="560"/>
      <c r="CU101" s="561"/>
      <c r="CV101" s="562"/>
      <c r="CW101" s="561"/>
      <c r="CX101" s="563"/>
      <c r="CY101" s="564"/>
      <c r="CZ101" s="564"/>
      <c r="DA101" s="564"/>
      <c r="DB101" s="560"/>
      <c r="DC101" s="561"/>
      <c r="DD101" s="562"/>
      <c r="DE101" s="561"/>
      <c r="DF101" s="563"/>
      <c r="DG101" s="564"/>
      <c r="DH101" s="564"/>
      <c r="DI101" s="564"/>
      <c r="DJ101" s="560"/>
      <c r="DK101" s="561"/>
      <c r="DL101" s="562"/>
      <c r="DM101" s="561"/>
      <c r="DN101" s="563"/>
      <c r="DO101" s="564"/>
      <c r="DP101" s="564"/>
      <c r="DQ101" s="564"/>
      <c r="DR101" s="560"/>
      <c r="DS101" s="561"/>
      <c r="DT101" s="562"/>
      <c r="DU101" s="561"/>
      <c r="DV101" s="563"/>
      <c r="DW101" s="564"/>
      <c r="DX101" s="564"/>
      <c r="DY101" s="564"/>
      <c r="DZ101" s="560"/>
      <c r="EA101" s="561"/>
      <c r="EB101" s="562"/>
      <c r="EC101" s="561"/>
      <c r="ED101" s="563"/>
      <c r="EE101" s="564"/>
      <c r="EF101" s="564"/>
      <c r="EG101" s="564"/>
      <c r="EH101" s="560"/>
      <c r="EI101" s="561"/>
      <c r="EJ101" s="562"/>
      <c r="EK101" s="561"/>
      <c r="EL101" s="563"/>
      <c r="EM101" s="564"/>
      <c r="EN101" s="564"/>
      <c r="EO101" s="564"/>
      <c r="EP101" s="560"/>
      <c r="EQ101" s="561"/>
      <c r="ER101" s="562"/>
      <c r="ES101" s="561"/>
      <c r="ET101" s="563"/>
      <c r="EU101" s="564"/>
      <c r="EV101" s="564"/>
      <c r="EW101" s="564"/>
      <c r="EX101" s="560"/>
      <c r="EY101" s="561"/>
      <c r="EZ101" s="562"/>
      <c r="FA101" s="561"/>
      <c r="FB101" s="563"/>
      <c r="FC101" s="564"/>
      <c r="FD101" s="564"/>
      <c r="FE101" s="564"/>
      <c r="FF101" s="560"/>
      <c r="FG101" s="561"/>
      <c r="FH101" s="562"/>
      <c r="FI101" s="561"/>
      <c r="FJ101" s="563"/>
      <c r="FK101" s="564"/>
      <c r="FL101" s="564"/>
      <c r="FM101" s="564"/>
      <c r="FN101" s="560"/>
      <c r="FO101" s="561"/>
      <c r="FP101" s="562"/>
      <c r="FQ101" s="561"/>
      <c r="FR101" s="563"/>
      <c r="FS101" s="564"/>
      <c r="FT101" s="564"/>
      <c r="FU101" s="564"/>
      <c r="FV101" s="560"/>
      <c r="FW101" s="566"/>
      <c r="FX101" s="566"/>
      <c r="FY101" s="566"/>
      <c r="FZ101" s="563"/>
      <c r="GA101" s="564"/>
      <c r="GB101" s="564"/>
      <c r="GC101" s="564"/>
      <c r="GD101" s="560"/>
      <c r="GE101" s="566"/>
      <c r="GF101" s="566"/>
      <c r="GG101" s="566"/>
      <c r="GH101" s="563"/>
      <c r="GI101" s="564"/>
      <c r="GJ101" s="564"/>
      <c r="GK101" s="564"/>
      <c r="GL101" s="560"/>
      <c r="GM101" s="566"/>
      <c r="GN101" s="566"/>
      <c r="GO101" s="566"/>
      <c r="GP101" s="563"/>
      <c r="GQ101" s="564"/>
      <c r="GR101" s="564"/>
      <c r="GS101" s="564"/>
      <c r="GT101" s="560"/>
      <c r="GU101" s="566"/>
      <c r="GV101" s="566"/>
      <c r="GW101" s="566"/>
      <c r="GX101" s="541"/>
      <c r="GY101" s="535"/>
      <c r="GZ101" s="542"/>
      <c r="HA101" s="543"/>
      <c r="HB101" s="541"/>
      <c r="HC101" s="535"/>
      <c r="HD101" s="542"/>
      <c r="HE101" s="543"/>
      <c r="HF101" s="541"/>
      <c r="HG101" s="535"/>
      <c r="HH101" s="542"/>
      <c r="HI101" s="543"/>
      <c r="HJ101" s="541"/>
      <c r="HK101" s="535"/>
      <c r="HL101" s="542"/>
      <c r="HM101" s="543"/>
      <c r="HN101" s="541"/>
      <c r="HO101" s="535"/>
      <c r="HP101" s="542"/>
      <c r="HQ101" s="543"/>
      <c r="HR101" s="541"/>
      <c r="HS101" s="535"/>
      <c r="HT101" s="542"/>
      <c r="HU101" s="543"/>
    </row>
    <row r="102" spans="2:229" s="506" customFormat="1" ht="87" customHeight="1" x14ac:dyDescent="0.35">
      <c r="B102" s="544">
        <v>99</v>
      </c>
      <c r="C102" s="544" t="s">
        <v>145</v>
      </c>
      <c r="D102" s="545" t="s">
        <v>139</v>
      </c>
      <c r="E102" s="558" t="s">
        <v>484</v>
      </c>
      <c r="F102" s="546" t="s">
        <v>485</v>
      </c>
      <c r="G102" s="546" t="s">
        <v>46</v>
      </c>
      <c r="H102" s="547" t="s">
        <v>486</v>
      </c>
      <c r="I102" s="548" t="s">
        <v>86</v>
      </c>
      <c r="J102" s="568"/>
      <c r="K102" s="568" t="s">
        <v>86</v>
      </c>
      <c r="L102" s="847" t="s">
        <v>348</v>
      </c>
      <c r="M102" s="569" t="s">
        <v>117</v>
      </c>
      <c r="N102" s="658" t="s">
        <v>349</v>
      </c>
      <c r="O102" s="552">
        <v>176</v>
      </c>
      <c r="P102" s="553">
        <v>46113</v>
      </c>
      <c r="Q102" s="553">
        <v>46118</v>
      </c>
      <c r="R102" s="554" t="s">
        <v>67</v>
      </c>
      <c r="S102" s="555">
        <f ca="1">IF(R102="Aprobado con comentarios / Emitir en Rev_0", NETWORKDAYS(Q102,TODAY(),Hoja1!$C$3:$C$25),0)</f>
        <v>0</v>
      </c>
      <c r="T102" s="555">
        <f ca="1">IF(R102="Revisión INN",NETWORKDAYS(P102,TODAY(),Hoja1!$C$3:$C$25),0)</f>
        <v>0</v>
      </c>
      <c r="U102" s="556">
        <f t="shared" si="3"/>
        <v>5</v>
      </c>
      <c r="V102" s="557" t="s">
        <v>63</v>
      </c>
      <c r="W102" s="558">
        <v>56</v>
      </c>
      <c r="X102" s="558" t="s">
        <v>62</v>
      </c>
      <c r="Y102" s="559">
        <v>45957</v>
      </c>
      <c r="Z102" s="560">
        <v>53</v>
      </c>
      <c r="AA102" s="561">
        <v>45964</v>
      </c>
      <c r="AB102" s="562"/>
      <c r="AC102" s="561" t="s">
        <v>186</v>
      </c>
      <c r="AD102" s="563">
        <v>0</v>
      </c>
      <c r="AE102" s="567">
        <v>82</v>
      </c>
      <c r="AF102" s="565"/>
      <c r="AG102" s="565">
        <v>45985</v>
      </c>
      <c r="AH102" s="560">
        <v>81</v>
      </c>
      <c r="AI102" s="561">
        <v>46009</v>
      </c>
      <c r="AJ102" s="562"/>
      <c r="AK102" s="561" t="s">
        <v>67</v>
      </c>
      <c r="AL102" s="563">
        <v>1</v>
      </c>
      <c r="AM102" s="567">
        <v>125</v>
      </c>
      <c r="AN102" s="564"/>
      <c r="AO102" s="565">
        <v>46022</v>
      </c>
      <c r="AP102" s="560">
        <v>109</v>
      </c>
      <c r="AQ102" s="561">
        <v>46041</v>
      </c>
      <c r="AR102" s="562"/>
      <c r="AS102" s="561" t="s">
        <v>133</v>
      </c>
      <c r="AT102" s="591" t="s">
        <v>184</v>
      </c>
      <c r="AU102" s="592">
        <v>147</v>
      </c>
      <c r="AV102" s="564"/>
      <c r="AW102" s="593">
        <v>46045</v>
      </c>
      <c r="AX102" s="560">
        <v>125</v>
      </c>
      <c r="AY102" s="561">
        <v>46050</v>
      </c>
      <c r="AZ102" s="562"/>
      <c r="BA102" s="561" t="s">
        <v>67</v>
      </c>
      <c r="BB102" s="563">
        <v>2</v>
      </c>
      <c r="BC102" s="567">
        <v>221</v>
      </c>
      <c r="BD102" s="564"/>
      <c r="BE102" s="565">
        <v>46094</v>
      </c>
      <c r="BF102" s="560">
        <v>172</v>
      </c>
      <c r="BG102" s="561">
        <v>46113</v>
      </c>
      <c r="BH102" s="562"/>
      <c r="BI102" s="845" t="s">
        <v>350</v>
      </c>
      <c r="BJ102" s="563" t="s">
        <v>349</v>
      </c>
      <c r="BK102" s="567">
        <v>252</v>
      </c>
      <c r="BL102" s="564"/>
      <c r="BM102" s="565">
        <v>46113</v>
      </c>
      <c r="BN102" s="589">
        <v>176</v>
      </c>
      <c r="BO102" s="593">
        <v>46118</v>
      </c>
      <c r="BP102" s="562"/>
      <c r="BQ102" s="593" t="s">
        <v>351</v>
      </c>
      <c r="BR102" s="563"/>
      <c r="BS102" s="567"/>
      <c r="BT102" s="564"/>
      <c r="BU102" s="565"/>
      <c r="BV102" s="560"/>
      <c r="BW102" s="561"/>
      <c r="BX102" s="562"/>
      <c r="BY102" s="561"/>
      <c r="BZ102" s="563"/>
      <c r="CA102" s="567"/>
      <c r="CB102" s="564"/>
      <c r="CC102" s="565"/>
      <c r="CD102" s="560"/>
      <c r="CE102" s="561"/>
      <c r="CF102" s="562"/>
      <c r="CG102" s="561"/>
      <c r="CH102" s="563"/>
      <c r="CI102" s="564"/>
      <c r="CJ102" s="564"/>
      <c r="CK102" s="564"/>
      <c r="CL102" s="560"/>
      <c r="CM102" s="561"/>
      <c r="CN102" s="562"/>
      <c r="CO102" s="561"/>
      <c r="CP102" s="563"/>
      <c r="CQ102" s="564"/>
      <c r="CR102" s="564"/>
      <c r="CS102" s="564"/>
      <c r="CT102" s="560"/>
      <c r="CU102" s="561"/>
      <c r="CV102" s="562"/>
      <c r="CW102" s="561"/>
      <c r="CX102" s="563"/>
      <c r="CY102" s="564"/>
      <c r="CZ102" s="564"/>
      <c r="DA102" s="564"/>
      <c r="DB102" s="560"/>
      <c r="DC102" s="561"/>
      <c r="DD102" s="562"/>
      <c r="DE102" s="561"/>
      <c r="DF102" s="563"/>
      <c r="DG102" s="564"/>
      <c r="DH102" s="564"/>
      <c r="DI102" s="564"/>
      <c r="DJ102" s="560"/>
      <c r="DK102" s="561"/>
      <c r="DL102" s="562"/>
      <c r="DM102" s="561"/>
      <c r="DN102" s="563"/>
      <c r="DO102" s="564"/>
      <c r="DP102" s="564"/>
      <c r="DQ102" s="564"/>
      <c r="DR102" s="560"/>
      <c r="DS102" s="561"/>
      <c r="DT102" s="562"/>
      <c r="DU102" s="561"/>
      <c r="DV102" s="563"/>
      <c r="DW102" s="564"/>
      <c r="DX102" s="564"/>
      <c r="DY102" s="564"/>
      <c r="DZ102" s="560"/>
      <c r="EA102" s="561"/>
      <c r="EB102" s="562"/>
      <c r="EC102" s="561"/>
      <c r="ED102" s="563"/>
      <c r="EE102" s="564"/>
      <c r="EF102" s="564"/>
      <c r="EG102" s="564"/>
      <c r="EH102" s="560"/>
      <c r="EI102" s="561"/>
      <c r="EJ102" s="562"/>
      <c r="EK102" s="561"/>
      <c r="EL102" s="563"/>
      <c r="EM102" s="564"/>
      <c r="EN102" s="564"/>
      <c r="EO102" s="564"/>
      <c r="EP102" s="560"/>
      <c r="EQ102" s="561"/>
      <c r="ER102" s="562"/>
      <c r="ES102" s="561"/>
      <c r="ET102" s="563"/>
      <c r="EU102" s="564"/>
      <c r="EV102" s="564"/>
      <c r="EW102" s="564"/>
      <c r="EX102" s="560"/>
      <c r="EY102" s="561"/>
      <c r="EZ102" s="562"/>
      <c r="FA102" s="561"/>
      <c r="FB102" s="563"/>
      <c r="FC102" s="564"/>
      <c r="FD102" s="564"/>
      <c r="FE102" s="564"/>
      <c r="FF102" s="560"/>
      <c r="FG102" s="561"/>
      <c r="FH102" s="562"/>
      <c r="FI102" s="561"/>
      <c r="FJ102" s="563"/>
      <c r="FK102" s="564"/>
      <c r="FL102" s="564"/>
      <c r="FM102" s="564"/>
      <c r="FN102" s="560"/>
      <c r="FO102" s="561"/>
      <c r="FP102" s="562"/>
      <c r="FQ102" s="561"/>
      <c r="FR102" s="563"/>
      <c r="FS102" s="564"/>
      <c r="FT102" s="564"/>
      <c r="FU102" s="564"/>
      <c r="FV102" s="560"/>
      <c r="FW102" s="566"/>
      <c r="FX102" s="566"/>
      <c r="FY102" s="566"/>
      <c r="FZ102" s="563"/>
      <c r="GA102" s="564"/>
      <c r="GB102" s="564"/>
      <c r="GC102" s="564"/>
      <c r="GD102" s="560"/>
      <c r="GE102" s="566"/>
      <c r="GF102" s="566"/>
      <c r="GG102" s="566"/>
      <c r="GH102" s="563"/>
      <c r="GI102" s="564"/>
      <c r="GJ102" s="564"/>
      <c r="GK102" s="564"/>
      <c r="GL102" s="560"/>
      <c r="GM102" s="566"/>
      <c r="GN102" s="566"/>
      <c r="GO102" s="566"/>
      <c r="GP102" s="563"/>
      <c r="GQ102" s="564"/>
      <c r="GR102" s="564"/>
      <c r="GS102" s="564"/>
      <c r="GT102" s="560"/>
      <c r="GU102" s="566"/>
      <c r="GV102" s="566"/>
      <c r="GW102" s="566"/>
      <c r="GX102" s="563"/>
      <c r="GY102" s="564"/>
      <c r="GZ102" s="564"/>
      <c r="HA102" s="590"/>
      <c r="HB102" s="560"/>
      <c r="HC102" s="566"/>
      <c r="HD102" s="566"/>
      <c r="HE102" s="566"/>
      <c r="HF102" s="563"/>
      <c r="HG102" s="564"/>
      <c r="HH102" s="564"/>
      <c r="HI102" s="590"/>
      <c r="HJ102" s="560"/>
      <c r="HK102" s="566"/>
      <c r="HL102" s="566"/>
      <c r="HM102" s="566"/>
      <c r="HN102" s="563"/>
      <c r="HO102" s="564"/>
      <c r="HP102" s="564"/>
      <c r="HQ102" s="590"/>
      <c r="HR102" s="560"/>
      <c r="HS102" s="566"/>
      <c r="HT102" s="566"/>
      <c r="HU102" s="566"/>
    </row>
    <row r="103" spans="2:229" s="506" customFormat="1" ht="59.15" customHeight="1" x14ac:dyDescent="0.35">
      <c r="B103" s="544">
        <v>100</v>
      </c>
      <c r="C103" s="544" t="s">
        <v>145</v>
      </c>
      <c r="D103" s="545" t="s">
        <v>139</v>
      </c>
      <c r="E103" s="545" t="s">
        <v>487</v>
      </c>
      <c r="F103" s="546" t="s">
        <v>488</v>
      </c>
      <c r="G103" s="546" t="s">
        <v>489</v>
      </c>
      <c r="H103" s="547" t="s">
        <v>490</v>
      </c>
      <c r="I103" s="548" t="s">
        <v>86</v>
      </c>
      <c r="J103" s="705" t="s">
        <v>462</v>
      </c>
      <c r="K103" s="568" t="s">
        <v>86</v>
      </c>
      <c r="L103" s="710"/>
      <c r="M103" s="569" t="s">
        <v>117</v>
      </c>
      <c r="N103" s="551">
        <v>0</v>
      </c>
      <c r="O103" s="576">
        <v>122</v>
      </c>
      <c r="P103" s="553">
        <v>46022</v>
      </c>
      <c r="Q103" s="554">
        <v>46055</v>
      </c>
      <c r="R103" s="554" t="s">
        <v>67</v>
      </c>
      <c r="S103" s="555">
        <f ca="1">IF(R103="Aprobados", NETWORKDAYS(Q103,TODAY(),Hoja1!$C$3:$C$25),0)</f>
        <v>0</v>
      </c>
      <c r="T103" s="555">
        <f ca="1">IF(R103="Revisión INN",NETWORKDAYS(P103,TODAY(),Hoja1!$C$3:$C$25),0)</f>
        <v>0</v>
      </c>
      <c r="U103" s="556">
        <f t="shared" si="3"/>
        <v>3</v>
      </c>
      <c r="V103" s="557" t="s">
        <v>125</v>
      </c>
      <c r="W103" s="558">
        <v>87</v>
      </c>
      <c r="X103" s="558"/>
      <c r="Y103" s="559">
        <v>45988</v>
      </c>
      <c r="Z103" s="560">
        <v>75</v>
      </c>
      <c r="AA103" s="561">
        <v>46002</v>
      </c>
      <c r="AB103" s="562"/>
      <c r="AC103" s="561" t="s">
        <v>162</v>
      </c>
      <c r="AD103" s="597" t="s">
        <v>63</v>
      </c>
      <c r="AE103" s="598">
        <v>105</v>
      </c>
      <c r="AF103" s="564"/>
      <c r="AG103" s="599">
        <v>46006</v>
      </c>
      <c r="AH103" s="560" t="s">
        <v>483</v>
      </c>
      <c r="AI103" s="561">
        <v>46020</v>
      </c>
      <c r="AJ103" s="562"/>
      <c r="AK103" s="561" t="s">
        <v>128</v>
      </c>
      <c r="AL103" s="563">
        <v>0</v>
      </c>
      <c r="AM103" s="567">
        <v>122</v>
      </c>
      <c r="AN103" s="564"/>
      <c r="AO103" s="565">
        <v>46022</v>
      </c>
      <c r="AP103" s="589">
        <v>129</v>
      </c>
      <c r="AQ103" s="593">
        <v>46055</v>
      </c>
      <c r="AR103" s="562"/>
      <c r="AS103" s="593" t="s">
        <v>133</v>
      </c>
      <c r="AT103" s="563"/>
      <c r="AU103" s="567"/>
      <c r="AV103" s="564"/>
      <c r="AW103" s="565"/>
      <c r="AX103" s="560"/>
      <c r="AY103" s="561"/>
      <c r="AZ103" s="562"/>
      <c r="BA103" s="561"/>
      <c r="BB103" s="563"/>
      <c r="BC103" s="567"/>
      <c r="BD103" s="564"/>
      <c r="BE103" s="565"/>
      <c r="BF103" s="560"/>
      <c r="BG103" s="561"/>
      <c r="BH103" s="562"/>
      <c r="BI103" s="561"/>
      <c r="BJ103" s="563"/>
      <c r="BK103" s="567"/>
      <c r="BL103" s="564"/>
      <c r="BM103" s="565"/>
      <c r="BN103" s="560"/>
      <c r="BO103" s="561"/>
      <c r="BP103" s="562"/>
      <c r="BQ103" s="561"/>
      <c r="BR103" s="563"/>
      <c r="BS103" s="567"/>
      <c r="BT103" s="564"/>
      <c r="BU103" s="565"/>
      <c r="BV103" s="560"/>
      <c r="BW103" s="561"/>
      <c r="BX103" s="562"/>
      <c r="BY103" s="561"/>
      <c r="BZ103" s="563"/>
      <c r="CA103" s="567"/>
      <c r="CB103" s="564"/>
      <c r="CC103" s="565"/>
      <c r="CD103" s="560"/>
      <c r="CE103" s="561"/>
      <c r="CF103" s="562"/>
      <c r="CG103" s="561"/>
      <c r="CH103" s="563"/>
      <c r="CI103" s="564"/>
      <c r="CJ103" s="564"/>
      <c r="CK103" s="564"/>
      <c r="CL103" s="560"/>
      <c r="CM103" s="561"/>
      <c r="CN103" s="562"/>
      <c r="CO103" s="561"/>
      <c r="CP103" s="563"/>
      <c r="CQ103" s="564"/>
      <c r="CR103" s="564"/>
      <c r="CS103" s="564"/>
      <c r="CT103" s="560"/>
      <c r="CU103" s="561"/>
      <c r="CV103" s="562"/>
      <c r="CW103" s="561"/>
      <c r="CX103" s="563"/>
      <c r="CY103" s="564"/>
      <c r="CZ103" s="564"/>
      <c r="DA103" s="564"/>
      <c r="DB103" s="560"/>
      <c r="DC103" s="561"/>
      <c r="DD103" s="562"/>
      <c r="DE103" s="561"/>
      <c r="DF103" s="563"/>
      <c r="DG103" s="564"/>
      <c r="DH103" s="564"/>
      <c r="DI103" s="564"/>
      <c r="DJ103" s="560"/>
      <c r="DK103" s="561"/>
      <c r="DL103" s="562"/>
      <c r="DM103" s="561"/>
      <c r="DN103" s="563"/>
      <c r="DO103" s="564"/>
      <c r="DP103" s="564"/>
      <c r="DQ103" s="564"/>
      <c r="DR103" s="560"/>
      <c r="DS103" s="561"/>
      <c r="DT103" s="562"/>
      <c r="DU103" s="561"/>
      <c r="DV103" s="563"/>
      <c r="DW103" s="564"/>
      <c r="DX103" s="564"/>
      <c r="DY103" s="564"/>
      <c r="DZ103" s="560"/>
      <c r="EA103" s="561"/>
      <c r="EB103" s="562"/>
      <c r="EC103" s="561"/>
      <c r="ED103" s="563"/>
      <c r="EE103" s="564"/>
      <c r="EF103" s="564"/>
      <c r="EG103" s="564"/>
      <c r="EH103" s="560"/>
      <c r="EI103" s="561"/>
      <c r="EJ103" s="562"/>
      <c r="EK103" s="561"/>
      <c r="EL103" s="563"/>
      <c r="EM103" s="564"/>
      <c r="EN103" s="564"/>
      <c r="EO103" s="564"/>
      <c r="EP103" s="560"/>
      <c r="EQ103" s="561"/>
      <c r="ER103" s="562"/>
      <c r="ES103" s="561"/>
      <c r="ET103" s="563"/>
      <c r="EU103" s="564"/>
      <c r="EV103" s="564"/>
      <c r="EW103" s="564"/>
      <c r="EX103" s="560"/>
      <c r="EY103" s="561"/>
      <c r="EZ103" s="562"/>
      <c r="FA103" s="561"/>
      <c r="FB103" s="563"/>
      <c r="FC103" s="564"/>
      <c r="FD103" s="564"/>
      <c r="FE103" s="564"/>
      <c r="FF103" s="560"/>
      <c r="FG103" s="561"/>
      <c r="FH103" s="562"/>
      <c r="FI103" s="561"/>
      <c r="FJ103" s="563"/>
      <c r="FK103" s="564"/>
      <c r="FL103" s="564"/>
      <c r="FM103" s="564"/>
      <c r="FN103" s="560"/>
      <c r="FO103" s="561"/>
      <c r="FP103" s="562"/>
      <c r="FQ103" s="561"/>
      <c r="FR103" s="563"/>
      <c r="FS103" s="564"/>
      <c r="FT103" s="564"/>
      <c r="FU103" s="564"/>
      <c r="FV103" s="560"/>
      <c r="FW103" s="566"/>
      <c r="FX103" s="566"/>
      <c r="FY103" s="566"/>
      <c r="FZ103" s="563"/>
      <c r="GA103" s="564"/>
      <c r="GB103" s="564"/>
      <c r="GC103" s="564"/>
      <c r="GD103" s="560"/>
      <c r="GE103" s="566"/>
      <c r="GF103" s="566"/>
      <c r="GG103" s="566"/>
      <c r="GH103" s="563"/>
      <c r="GI103" s="564"/>
      <c r="GJ103" s="564"/>
      <c r="GK103" s="564"/>
      <c r="GL103" s="560"/>
      <c r="GM103" s="566"/>
      <c r="GN103" s="566"/>
      <c r="GO103" s="566"/>
      <c r="GP103" s="563"/>
      <c r="GQ103" s="564"/>
      <c r="GR103" s="564"/>
      <c r="GS103" s="564"/>
      <c r="GT103" s="560"/>
      <c r="GU103" s="566"/>
      <c r="GV103" s="566"/>
      <c r="GW103" s="566"/>
      <c r="GX103" s="563"/>
      <c r="GY103" s="564"/>
      <c r="GZ103" s="564"/>
      <c r="HA103" s="590"/>
      <c r="HB103" s="560"/>
      <c r="HC103" s="566"/>
      <c r="HD103" s="566"/>
      <c r="HE103" s="566"/>
      <c r="HF103" s="563"/>
      <c r="HG103" s="564"/>
      <c r="HH103" s="564"/>
      <c r="HI103" s="590"/>
      <c r="HJ103" s="560"/>
      <c r="HK103" s="566"/>
      <c r="HL103" s="566"/>
      <c r="HM103" s="566"/>
      <c r="HN103" s="563"/>
      <c r="HO103" s="564"/>
      <c r="HP103" s="564"/>
      <c r="HQ103" s="590"/>
      <c r="HR103" s="560"/>
      <c r="HS103" s="566"/>
      <c r="HT103" s="566"/>
      <c r="HU103" s="566"/>
    </row>
    <row r="104" spans="2:229" s="506" customFormat="1" ht="112" customHeight="1" thickBot="1" x14ac:dyDescent="0.4">
      <c r="B104" s="544">
        <v>75</v>
      </c>
      <c r="C104" s="544" t="s">
        <v>244</v>
      </c>
      <c r="D104" s="545" t="s">
        <v>59</v>
      </c>
      <c r="E104" s="545" t="s">
        <v>491</v>
      </c>
      <c r="F104" s="546" t="s">
        <v>492</v>
      </c>
      <c r="G104" s="545" t="s">
        <v>46</v>
      </c>
      <c r="H104" s="547" t="s">
        <v>493</v>
      </c>
      <c r="I104" s="548"/>
      <c r="J104" s="548"/>
      <c r="K104" s="568">
        <f>P104+5</f>
        <v>46055</v>
      </c>
      <c r="L104" s="706"/>
      <c r="M104" s="569" t="s">
        <v>117</v>
      </c>
      <c r="N104" s="551">
        <v>2</v>
      </c>
      <c r="O104" s="552">
        <v>182</v>
      </c>
      <c r="P104" s="553">
        <v>46050</v>
      </c>
      <c r="Q104" s="553">
        <v>46121</v>
      </c>
      <c r="R104" s="554" t="s">
        <v>476</v>
      </c>
      <c r="S104" s="555">
        <f ca="1">IF(R104="Aprobado con comentarios / Emitir Rev_3", NETWORKDAYS(Q104,TODAY(),Hoja1!$C$3:$C$25),0)</f>
        <v>7</v>
      </c>
      <c r="T104" s="555">
        <f ca="1">IF(R104="Revisión INN",NETWORKDAYS(P104,TODAY(),Hoja1!$C$3:$C$25),0)</f>
        <v>0</v>
      </c>
      <c r="U104" s="556">
        <f t="shared" si="3"/>
        <v>5</v>
      </c>
      <c r="V104" s="557" t="s">
        <v>63</v>
      </c>
      <c r="W104" s="558">
        <v>11</v>
      </c>
      <c r="X104" s="558"/>
      <c r="Y104" s="559">
        <v>45904</v>
      </c>
      <c r="Z104" s="560">
        <v>14</v>
      </c>
      <c r="AA104" s="561">
        <v>45911</v>
      </c>
      <c r="AB104" s="562">
        <f>AA104-Y104</f>
        <v>7</v>
      </c>
      <c r="AC104" s="561" t="s">
        <v>88</v>
      </c>
      <c r="AD104" s="563" t="s">
        <v>65</v>
      </c>
      <c r="AE104" s="567">
        <v>45</v>
      </c>
      <c r="AF104" s="564">
        <f>AG104-AA104</f>
        <v>34</v>
      </c>
      <c r="AG104" s="565">
        <v>45945</v>
      </c>
      <c r="AH104" s="560">
        <v>47</v>
      </c>
      <c r="AI104" s="561">
        <v>45952</v>
      </c>
      <c r="AJ104" s="562">
        <f>AI104-AG104</f>
        <v>7</v>
      </c>
      <c r="AK104" s="561" t="s">
        <v>494</v>
      </c>
      <c r="AL104" s="563" t="s">
        <v>495</v>
      </c>
      <c r="AM104" s="567">
        <v>59</v>
      </c>
      <c r="AN104" s="564"/>
      <c r="AO104" s="565">
        <v>45959</v>
      </c>
      <c r="AP104" s="560">
        <v>56</v>
      </c>
      <c r="AQ104" s="561">
        <v>45965</v>
      </c>
      <c r="AR104" s="562"/>
      <c r="AS104" s="561" t="s">
        <v>186</v>
      </c>
      <c r="AT104" s="563">
        <v>0</v>
      </c>
      <c r="AU104" s="567">
        <v>73</v>
      </c>
      <c r="AV104" s="564">
        <f>AW104-AQ104</f>
        <v>13</v>
      </c>
      <c r="AW104" s="565">
        <v>45978</v>
      </c>
      <c r="AX104" s="560">
        <v>67</v>
      </c>
      <c r="AY104" s="561">
        <v>45988</v>
      </c>
      <c r="AZ104" s="562"/>
      <c r="BA104" s="561" t="s">
        <v>155</v>
      </c>
      <c r="BB104" s="563">
        <v>1</v>
      </c>
      <c r="BC104" s="567">
        <v>125</v>
      </c>
      <c r="BD104" s="564"/>
      <c r="BE104" s="565">
        <v>46022</v>
      </c>
      <c r="BF104" s="560">
        <v>109</v>
      </c>
      <c r="BG104" s="561">
        <v>46041</v>
      </c>
      <c r="BH104" s="562"/>
      <c r="BI104" s="561" t="s">
        <v>187</v>
      </c>
      <c r="BJ104" s="563">
        <v>2</v>
      </c>
      <c r="BK104" s="567">
        <v>156</v>
      </c>
      <c r="BL104" s="564"/>
      <c r="BM104" s="565">
        <v>46050</v>
      </c>
      <c r="BN104" s="560">
        <v>182</v>
      </c>
      <c r="BO104" s="561">
        <v>46121</v>
      </c>
      <c r="BP104" s="562"/>
      <c r="BQ104" s="561" t="s">
        <v>278</v>
      </c>
      <c r="BR104" s="563"/>
      <c r="BS104" s="567"/>
      <c r="BT104" s="564"/>
      <c r="BU104" s="565"/>
      <c r="BV104" s="560"/>
      <c r="BW104" s="561"/>
      <c r="BX104" s="562"/>
      <c r="BY104" s="561"/>
      <c r="BZ104" s="563"/>
      <c r="CA104" s="567"/>
      <c r="CB104" s="564"/>
      <c r="CC104" s="565"/>
      <c r="CD104" s="560"/>
      <c r="CE104" s="561"/>
      <c r="CF104" s="562"/>
      <c r="CG104" s="561"/>
      <c r="CH104" s="563"/>
      <c r="CI104" s="564"/>
      <c r="CJ104" s="564"/>
      <c r="CK104" s="564"/>
      <c r="CL104" s="560"/>
      <c r="CM104" s="561"/>
      <c r="CN104" s="562"/>
      <c r="CO104" s="561"/>
      <c r="CP104" s="563"/>
      <c r="CQ104" s="564"/>
      <c r="CR104" s="564"/>
      <c r="CS104" s="564"/>
      <c r="CT104" s="560"/>
      <c r="CU104" s="561"/>
      <c r="CV104" s="562"/>
      <c r="CW104" s="561"/>
      <c r="CX104" s="563"/>
      <c r="CY104" s="564"/>
      <c r="CZ104" s="564"/>
      <c r="DA104" s="564"/>
      <c r="DB104" s="560"/>
      <c r="DC104" s="561"/>
      <c r="DD104" s="562"/>
      <c r="DE104" s="561"/>
      <c r="DF104" s="563"/>
      <c r="DG104" s="564"/>
      <c r="DH104" s="564"/>
      <c r="DI104" s="564"/>
      <c r="DJ104" s="560"/>
      <c r="DK104" s="561"/>
      <c r="DL104" s="562"/>
      <c r="DM104" s="561"/>
      <c r="DN104" s="563"/>
      <c r="DO104" s="564"/>
      <c r="DP104" s="564"/>
      <c r="DQ104" s="564"/>
      <c r="DR104" s="560"/>
      <c r="DS104" s="561"/>
      <c r="DT104" s="562"/>
      <c r="DU104" s="561"/>
      <c r="DV104" s="563"/>
      <c r="DW104" s="564"/>
      <c r="DX104" s="564"/>
      <c r="DY104" s="564"/>
      <c r="DZ104" s="560"/>
      <c r="EA104" s="561"/>
      <c r="EB104" s="562"/>
      <c r="EC104" s="561"/>
      <c r="ED104" s="563"/>
      <c r="EE104" s="564"/>
      <c r="EF104" s="564"/>
      <c r="EG104" s="564"/>
      <c r="EH104" s="560"/>
      <c r="EI104" s="561"/>
      <c r="EJ104" s="562"/>
      <c r="EK104" s="561"/>
      <c r="EL104" s="563"/>
      <c r="EM104" s="564"/>
      <c r="EN104" s="564"/>
      <c r="EO104" s="564"/>
      <c r="EP104" s="560"/>
      <c r="EQ104" s="561"/>
      <c r="ER104" s="562"/>
      <c r="ES104" s="561"/>
      <c r="ET104" s="563"/>
      <c r="EU104" s="564"/>
      <c r="EV104" s="564"/>
      <c r="EW104" s="564"/>
      <c r="EX104" s="560"/>
      <c r="EY104" s="561"/>
      <c r="EZ104" s="562"/>
      <c r="FA104" s="561"/>
      <c r="FB104" s="563"/>
      <c r="FC104" s="564"/>
      <c r="FD104" s="564"/>
      <c r="FE104" s="564"/>
      <c r="FF104" s="560"/>
      <c r="FG104" s="561"/>
      <c r="FH104" s="562"/>
      <c r="FI104" s="561"/>
      <c r="FJ104" s="563"/>
      <c r="FK104" s="564"/>
      <c r="FL104" s="564"/>
      <c r="FM104" s="564"/>
      <c r="FN104" s="560"/>
      <c r="FO104" s="561"/>
      <c r="FP104" s="562"/>
      <c r="FQ104" s="561"/>
      <c r="FR104" s="563"/>
      <c r="FS104" s="564"/>
      <c r="FT104" s="564"/>
      <c r="FU104" s="564"/>
      <c r="FV104" s="560"/>
      <c r="FW104" s="566"/>
      <c r="FX104" s="566"/>
      <c r="FY104" s="566"/>
      <c r="FZ104" s="563"/>
      <c r="GA104" s="564"/>
      <c r="GB104" s="564"/>
      <c r="GC104" s="564"/>
      <c r="GD104" s="560"/>
      <c r="GE104" s="566"/>
      <c r="GF104" s="566"/>
      <c r="GG104" s="566"/>
      <c r="GH104" s="563"/>
      <c r="GI104" s="564"/>
      <c r="GJ104" s="564"/>
      <c r="GK104" s="564"/>
      <c r="GL104" s="560"/>
      <c r="GM104" s="566"/>
      <c r="GN104" s="566"/>
      <c r="GO104" s="566"/>
      <c r="GP104" s="563"/>
      <c r="GQ104" s="564"/>
      <c r="GR104" s="564"/>
      <c r="GS104" s="564"/>
      <c r="GT104" s="560"/>
      <c r="GU104" s="566"/>
      <c r="GV104" s="566"/>
      <c r="GW104" s="566"/>
      <c r="GX104" s="563"/>
      <c r="GY104" s="564"/>
      <c r="GZ104" s="564"/>
      <c r="HA104" s="590"/>
      <c r="HB104" s="560"/>
      <c r="HC104" s="566"/>
      <c r="HD104" s="566"/>
      <c r="HE104" s="566"/>
      <c r="HF104" s="563"/>
      <c r="HG104" s="564"/>
      <c r="HH104" s="564"/>
      <c r="HI104" s="590"/>
      <c r="HJ104" s="560"/>
      <c r="HK104" s="566"/>
      <c r="HL104" s="566"/>
      <c r="HM104" s="566"/>
      <c r="HN104" s="563"/>
      <c r="HO104" s="564"/>
      <c r="HP104" s="564"/>
      <c r="HQ104" s="590"/>
      <c r="HR104" s="560"/>
      <c r="HS104" s="566"/>
      <c r="HT104" s="566"/>
      <c r="HU104" s="566"/>
    </row>
    <row r="105" spans="2:229" s="506" customFormat="1" ht="54.65" customHeight="1" x14ac:dyDescent="0.35">
      <c r="B105" s="544">
        <v>80</v>
      </c>
      <c r="C105" s="544" t="s">
        <v>244</v>
      </c>
      <c r="D105" s="545" t="s">
        <v>68</v>
      </c>
      <c r="E105" s="545" t="s">
        <v>496</v>
      </c>
      <c r="F105" s="546" t="s">
        <v>497</v>
      </c>
      <c r="G105" s="545" t="s">
        <v>46</v>
      </c>
      <c r="H105" s="547" t="s">
        <v>498</v>
      </c>
      <c r="I105" s="548"/>
      <c r="J105" s="548"/>
      <c r="K105" s="568">
        <f>P105+5</f>
        <v>46055</v>
      </c>
      <c r="L105" s="706"/>
      <c r="M105" s="569" t="s">
        <v>117</v>
      </c>
      <c r="N105" s="551">
        <v>2</v>
      </c>
      <c r="O105" s="552">
        <v>182</v>
      </c>
      <c r="P105" s="553">
        <v>46050</v>
      </c>
      <c r="Q105" s="553">
        <v>46121</v>
      </c>
      <c r="R105" s="554" t="s">
        <v>476</v>
      </c>
      <c r="S105" s="555">
        <f ca="1">IF(R105="Aprobado con comentarios / Emitir Rev_3", NETWORKDAYS(Q105,TODAY(),Hoja1!$C$3:$C$25),0)</f>
        <v>7</v>
      </c>
      <c r="T105" s="555">
        <f ca="1">IF(R105="Revisión INN",NETWORKDAYS(P105,TODAY(),Hoja1!$C$3:$C$25),0)</f>
        <v>0</v>
      </c>
      <c r="U105" s="556">
        <f t="shared" si="3"/>
        <v>5</v>
      </c>
      <c r="V105" s="557" t="s">
        <v>63</v>
      </c>
      <c r="W105" s="558">
        <v>11</v>
      </c>
      <c r="X105" s="558"/>
      <c r="Y105" s="559">
        <v>45904</v>
      </c>
      <c r="Z105" s="560">
        <v>14</v>
      </c>
      <c r="AA105" s="561">
        <v>45911</v>
      </c>
      <c r="AB105" s="562">
        <f>AA105-Y105</f>
        <v>7</v>
      </c>
      <c r="AC105" s="561" t="s">
        <v>88</v>
      </c>
      <c r="AD105" s="563" t="s">
        <v>65</v>
      </c>
      <c r="AE105" s="567">
        <v>45</v>
      </c>
      <c r="AF105" s="564">
        <f>AG105-AA105</f>
        <v>34</v>
      </c>
      <c r="AG105" s="565">
        <v>45945</v>
      </c>
      <c r="AH105" s="560">
        <v>47</v>
      </c>
      <c r="AI105" s="561">
        <v>45952</v>
      </c>
      <c r="AJ105" s="562"/>
      <c r="AK105" s="561" t="s">
        <v>494</v>
      </c>
      <c r="AL105" s="563" t="s">
        <v>495</v>
      </c>
      <c r="AM105" s="567">
        <v>59</v>
      </c>
      <c r="AN105" s="564"/>
      <c r="AO105" s="565">
        <v>45959</v>
      </c>
      <c r="AP105" s="560">
        <v>58</v>
      </c>
      <c r="AQ105" s="561">
        <v>45966</v>
      </c>
      <c r="AR105" s="562"/>
      <c r="AS105" s="561" t="s">
        <v>276</v>
      </c>
      <c r="AT105" s="563">
        <v>0</v>
      </c>
      <c r="AU105" s="567">
        <v>73</v>
      </c>
      <c r="AV105" s="564">
        <f>AW105-AQ105</f>
        <v>12</v>
      </c>
      <c r="AW105" s="565">
        <v>45978</v>
      </c>
      <c r="AX105" s="560">
        <v>67</v>
      </c>
      <c r="AY105" s="561">
        <v>45988</v>
      </c>
      <c r="AZ105" s="562"/>
      <c r="BA105" s="561" t="s">
        <v>155</v>
      </c>
      <c r="BB105" s="563">
        <v>1</v>
      </c>
      <c r="BC105" s="567">
        <v>125</v>
      </c>
      <c r="BD105" s="564"/>
      <c r="BE105" s="565">
        <v>46022</v>
      </c>
      <c r="BF105" s="560">
        <v>109</v>
      </c>
      <c r="BG105" s="561">
        <v>46041</v>
      </c>
      <c r="BH105" s="562"/>
      <c r="BI105" s="561" t="s">
        <v>187</v>
      </c>
      <c r="BJ105" s="563">
        <v>2</v>
      </c>
      <c r="BK105" s="567">
        <v>156</v>
      </c>
      <c r="BL105" s="564"/>
      <c r="BM105" s="565">
        <v>46050</v>
      </c>
      <c r="BN105" s="560">
        <v>182</v>
      </c>
      <c r="BO105" s="561">
        <v>46121</v>
      </c>
      <c r="BP105" s="562"/>
      <c r="BQ105" s="561" t="s">
        <v>278</v>
      </c>
      <c r="BR105" s="563"/>
      <c r="BS105" s="567"/>
      <c r="BT105" s="564"/>
      <c r="BU105" s="565"/>
      <c r="BV105" s="560"/>
      <c r="BW105" s="561"/>
      <c r="BX105" s="562"/>
      <c r="BY105" s="561"/>
      <c r="BZ105" s="563"/>
      <c r="CA105" s="567"/>
      <c r="CB105" s="564"/>
      <c r="CC105" s="565"/>
      <c r="CD105" s="560"/>
      <c r="CE105" s="561"/>
      <c r="CF105" s="562"/>
      <c r="CG105" s="561"/>
      <c r="CH105" s="563"/>
      <c r="CI105" s="564"/>
      <c r="CJ105" s="564"/>
      <c r="CK105" s="564"/>
      <c r="CL105" s="560"/>
      <c r="CM105" s="561"/>
      <c r="CN105" s="562"/>
      <c r="CO105" s="561"/>
      <c r="CP105" s="563"/>
      <c r="CQ105" s="564"/>
      <c r="CR105" s="564"/>
      <c r="CS105" s="564"/>
      <c r="CT105" s="560"/>
      <c r="CU105" s="561"/>
      <c r="CV105" s="562"/>
      <c r="CW105" s="561"/>
      <c r="CX105" s="563"/>
      <c r="CY105" s="564"/>
      <c r="CZ105" s="564"/>
      <c r="DA105" s="564"/>
      <c r="DB105" s="560"/>
      <c r="DC105" s="561"/>
      <c r="DD105" s="562"/>
      <c r="DE105" s="561"/>
      <c r="DF105" s="563"/>
      <c r="DG105" s="564"/>
      <c r="DH105" s="564"/>
      <c r="DI105" s="564"/>
      <c r="DJ105" s="560"/>
      <c r="DK105" s="561"/>
      <c r="DL105" s="562"/>
      <c r="DM105" s="561"/>
      <c r="DN105" s="563"/>
      <c r="DO105" s="564"/>
      <c r="DP105" s="564"/>
      <c r="DQ105" s="564"/>
      <c r="DR105" s="560"/>
      <c r="DS105" s="561"/>
      <c r="DT105" s="562"/>
      <c r="DU105" s="561"/>
      <c r="DV105" s="563"/>
      <c r="DW105" s="564"/>
      <c r="DX105" s="564"/>
      <c r="DY105" s="564"/>
      <c r="DZ105" s="560"/>
      <c r="EA105" s="561"/>
      <c r="EB105" s="562"/>
      <c r="EC105" s="561"/>
      <c r="ED105" s="563"/>
      <c r="EE105" s="564"/>
      <c r="EF105" s="564"/>
      <c r="EG105" s="564"/>
      <c r="EH105" s="560"/>
      <c r="EI105" s="561"/>
      <c r="EJ105" s="562"/>
      <c r="EK105" s="561"/>
      <c r="EL105" s="563"/>
      <c r="EM105" s="564"/>
      <c r="EN105" s="564"/>
      <c r="EO105" s="564"/>
      <c r="EP105" s="560"/>
      <c r="EQ105" s="561"/>
      <c r="ER105" s="562"/>
      <c r="ES105" s="561"/>
      <c r="ET105" s="563"/>
      <c r="EU105" s="564"/>
      <c r="EV105" s="564"/>
      <c r="EW105" s="564"/>
      <c r="EX105" s="560"/>
      <c r="EY105" s="561"/>
      <c r="EZ105" s="562"/>
      <c r="FA105" s="561"/>
      <c r="FB105" s="563"/>
      <c r="FC105" s="564"/>
      <c r="FD105" s="564"/>
      <c r="FE105" s="564"/>
      <c r="FF105" s="560"/>
      <c r="FG105" s="561"/>
      <c r="FH105" s="562"/>
      <c r="FI105" s="561"/>
      <c r="FJ105" s="563"/>
      <c r="FK105" s="564"/>
      <c r="FL105" s="564"/>
      <c r="FM105" s="564"/>
      <c r="FN105" s="560"/>
      <c r="FO105" s="561"/>
      <c r="FP105" s="562"/>
      <c r="FQ105" s="561"/>
      <c r="FR105" s="563"/>
      <c r="FS105" s="564"/>
      <c r="FT105" s="564"/>
      <c r="FU105" s="564"/>
      <c r="FV105" s="560"/>
      <c r="FW105" s="566"/>
      <c r="FX105" s="566"/>
      <c r="FY105" s="566"/>
      <c r="FZ105" s="563"/>
      <c r="GA105" s="564"/>
      <c r="GB105" s="564"/>
      <c r="GC105" s="564"/>
      <c r="GD105" s="560"/>
      <c r="GE105" s="566"/>
      <c r="GF105" s="566"/>
      <c r="GG105" s="566"/>
      <c r="GH105" s="563"/>
      <c r="GI105" s="564"/>
      <c r="GJ105" s="564"/>
      <c r="GK105" s="564"/>
      <c r="GL105" s="560"/>
      <c r="GM105" s="566"/>
      <c r="GN105" s="566"/>
      <c r="GO105" s="566"/>
      <c r="GP105" s="563"/>
      <c r="GQ105" s="564"/>
      <c r="GR105" s="564"/>
      <c r="GS105" s="564"/>
      <c r="GT105" s="560"/>
      <c r="GU105" s="566"/>
      <c r="GV105" s="566"/>
      <c r="GW105" s="566"/>
      <c r="GX105" s="541"/>
      <c r="GY105" s="535"/>
      <c r="GZ105" s="542"/>
      <c r="HA105" s="543"/>
      <c r="HB105" s="541"/>
      <c r="HC105" s="535"/>
      <c r="HD105" s="542"/>
      <c r="HE105" s="543"/>
      <c r="HF105" s="541"/>
      <c r="HG105" s="535"/>
      <c r="HH105" s="542"/>
      <c r="HI105" s="543"/>
      <c r="HJ105" s="541"/>
      <c r="HK105" s="535"/>
      <c r="HL105" s="542"/>
      <c r="HM105" s="543"/>
      <c r="HN105" s="541"/>
      <c r="HO105" s="535"/>
      <c r="HP105" s="542"/>
      <c r="HQ105" s="543"/>
      <c r="HR105" s="541"/>
      <c r="HS105" s="535"/>
      <c r="HT105" s="542"/>
      <c r="HU105" s="543"/>
    </row>
    <row r="106" spans="2:229" s="506" customFormat="1" ht="106.5" customHeight="1" x14ac:dyDescent="0.35">
      <c r="B106" s="544">
        <v>103</v>
      </c>
      <c r="C106" s="544" t="s">
        <v>145</v>
      </c>
      <c r="D106" s="545" t="s">
        <v>59</v>
      </c>
      <c r="E106" s="545" t="s">
        <v>499</v>
      </c>
      <c r="F106" s="546" t="s">
        <v>500</v>
      </c>
      <c r="G106" s="546" t="s">
        <v>46</v>
      </c>
      <c r="H106" s="547" t="s">
        <v>501</v>
      </c>
      <c r="I106" s="546" t="s">
        <v>502</v>
      </c>
      <c r="J106" s="546">
        <v>3</v>
      </c>
      <c r="K106" s="568" t="s">
        <v>62</v>
      </c>
      <c r="L106" s="713" t="s">
        <v>503</v>
      </c>
      <c r="M106" s="569" t="s">
        <v>117</v>
      </c>
      <c r="N106" s="551">
        <v>0</v>
      </c>
      <c r="O106" s="552">
        <v>183</v>
      </c>
      <c r="P106" s="553">
        <v>46122</v>
      </c>
      <c r="Q106" s="554">
        <v>46105</v>
      </c>
      <c r="R106" s="554" t="s">
        <v>67</v>
      </c>
      <c r="S106" s="555">
        <f ca="1">IF(R106="Aprobado / Emitir Rev_0", NETWORKDAYS(Q106,TODAY(),Hoja1!$C$3:$C$25),0)</f>
        <v>0</v>
      </c>
      <c r="T106" s="555">
        <f ca="1">IF(R106="Revisión INN",NETWORKDAYS(P106,TODAY(),Hoja1!$C$3:$C$25),0)</f>
        <v>0</v>
      </c>
      <c r="U106" s="556">
        <f t="shared" si="3"/>
        <v>3</v>
      </c>
      <c r="V106" s="557" t="s">
        <v>125</v>
      </c>
      <c r="W106" s="558">
        <v>179</v>
      </c>
      <c r="X106" s="558"/>
      <c r="Y106" s="559">
        <v>46070</v>
      </c>
      <c r="Z106" s="560">
        <v>155</v>
      </c>
      <c r="AA106" s="561">
        <v>46098</v>
      </c>
      <c r="AB106" s="562"/>
      <c r="AC106" s="561" t="s">
        <v>192</v>
      </c>
      <c r="AD106" s="563" t="s">
        <v>63</v>
      </c>
      <c r="AE106" s="567">
        <v>229</v>
      </c>
      <c r="AF106" s="564"/>
      <c r="AG106" s="565">
        <v>46099</v>
      </c>
      <c r="AH106" s="560">
        <v>162</v>
      </c>
      <c r="AI106" s="561">
        <v>46105</v>
      </c>
      <c r="AJ106" s="562"/>
      <c r="AK106" s="561" t="s">
        <v>128</v>
      </c>
      <c r="AL106" s="563">
        <v>0</v>
      </c>
      <c r="AM106" s="567">
        <v>241</v>
      </c>
      <c r="AN106" s="564"/>
      <c r="AO106" s="565">
        <v>46106</v>
      </c>
      <c r="AP106" s="589">
        <v>183</v>
      </c>
      <c r="AQ106" s="593">
        <v>46122</v>
      </c>
      <c r="AR106" s="562"/>
      <c r="AS106" s="593" t="s">
        <v>67</v>
      </c>
      <c r="AT106" s="563"/>
      <c r="AU106" s="567"/>
      <c r="AV106" s="564"/>
      <c r="AW106" s="565"/>
      <c r="AX106" s="560"/>
      <c r="AY106" s="561"/>
      <c r="AZ106" s="562"/>
      <c r="BA106" s="561"/>
      <c r="BB106" s="563"/>
      <c r="BC106" s="567"/>
      <c r="BD106" s="564"/>
      <c r="BE106" s="565"/>
      <c r="BF106" s="560"/>
      <c r="BG106" s="561"/>
      <c r="BH106" s="562"/>
      <c r="BI106" s="561"/>
      <c r="BJ106" s="563"/>
      <c r="BK106" s="567"/>
      <c r="BL106" s="564"/>
      <c r="BM106" s="565"/>
      <c r="BN106" s="560"/>
      <c r="BO106" s="561"/>
      <c r="BP106" s="562"/>
      <c r="BQ106" s="561"/>
      <c r="BR106" s="563"/>
      <c r="BS106" s="567"/>
      <c r="BT106" s="564"/>
      <c r="BU106" s="565"/>
      <c r="BV106" s="560"/>
      <c r="BW106" s="561"/>
      <c r="BX106" s="562"/>
      <c r="BY106" s="561"/>
      <c r="BZ106" s="563"/>
      <c r="CA106" s="567"/>
      <c r="CB106" s="564"/>
      <c r="CC106" s="565"/>
      <c r="CD106" s="560"/>
      <c r="CE106" s="561"/>
      <c r="CF106" s="562"/>
      <c r="CG106" s="561"/>
      <c r="CH106" s="563"/>
      <c r="CI106" s="564"/>
      <c r="CJ106" s="564"/>
      <c r="CK106" s="564"/>
      <c r="CL106" s="560"/>
      <c r="CM106" s="561"/>
      <c r="CN106" s="562"/>
      <c r="CO106" s="561"/>
      <c r="CP106" s="563"/>
      <c r="CQ106" s="564"/>
      <c r="CR106" s="564"/>
      <c r="CS106" s="564"/>
      <c r="CT106" s="560"/>
      <c r="CU106" s="561"/>
      <c r="CV106" s="562"/>
      <c r="CW106" s="561"/>
      <c r="CX106" s="563"/>
      <c r="CY106" s="564"/>
      <c r="CZ106" s="564"/>
      <c r="DA106" s="564"/>
      <c r="DB106" s="560"/>
      <c r="DC106" s="561"/>
      <c r="DD106" s="562"/>
      <c r="DE106" s="561"/>
      <c r="DF106" s="563"/>
      <c r="DG106" s="564"/>
      <c r="DH106" s="564"/>
      <c r="DI106" s="564"/>
      <c r="DJ106" s="560"/>
      <c r="DK106" s="561"/>
      <c r="DL106" s="562"/>
      <c r="DM106" s="561"/>
      <c r="DN106" s="563"/>
      <c r="DO106" s="564"/>
      <c r="DP106" s="564"/>
      <c r="DQ106" s="564"/>
      <c r="DR106" s="560"/>
      <c r="DS106" s="561"/>
      <c r="DT106" s="562"/>
      <c r="DU106" s="561"/>
      <c r="DV106" s="563"/>
      <c r="DW106" s="564"/>
      <c r="DX106" s="564"/>
      <c r="DY106" s="564"/>
      <c r="DZ106" s="560"/>
      <c r="EA106" s="561"/>
      <c r="EB106" s="562"/>
      <c r="EC106" s="561"/>
      <c r="ED106" s="563"/>
      <c r="EE106" s="564"/>
      <c r="EF106" s="564"/>
      <c r="EG106" s="564"/>
      <c r="EH106" s="560"/>
      <c r="EI106" s="561"/>
      <c r="EJ106" s="562"/>
      <c r="EK106" s="561"/>
      <c r="EL106" s="563"/>
      <c r="EM106" s="564"/>
      <c r="EN106" s="564"/>
      <c r="EO106" s="564"/>
      <c r="EP106" s="560"/>
      <c r="EQ106" s="561"/>
      <c r="ER106" s="562"/>
      <c r="ES106" s="561"/>
      <c r="ET106" s="563"/>
      <c r="EU106" s="564"/>
      <c r="EV106" s="564"/>
      <c r="EW106" s="564"/>
      <c r="EX106" s="560"/>
      <c r="EY106" s="561"/>
      <c r="EZ106" s="562"/>
      <c r="FA106" s="561"/>
      <c r="FB106" s="563"/>
      <c r="FC106" s="564"/>
      <c r="FD106" s="564"/>
      <c r="FE106" s="564"/>
      <c r="FF106" s="560"/>
      <c r="FG106" s="561"/>
      <c r="FH106" s="562"/>
      <c r="FI106" s="561"/>
      <c r="FJ106" s="563"/>
      <c r="FK106" s="564"/>
      <c r="FL106" s="564"/>
      <c r="FM106" s="564"/>
      <c r="FN106" s="560"/>
      <c r="FO106" s="561"/>
      <c r="FP106" s="562"/>
      <c r="FQ106" s="561"/>
      <c r="FR106" s="563"/>
      <c r="FS106" s="564"/>
      <c r="FT106" s="564"/>
      <c r="FU106" s="564"/>
      <c r="FV106" s="560"/>
      <c r="FW106" s="566"/>
      <c r="FX106" s="566"/>
      <c r="FY106" s="566"/>
      <c r="FZ106" s="563"/>
      <c r="GA106" s="564"/>
      <c r="GB106" s="564"/>
      <c r="GC106" s="564"/>
      <c r="GD106" s="560"/>
      <c r="GE106" s="566"/>
      <c r="GF106" s="566"/>
      <c r="GG106" s="566"/>
      <c r="GH106" s="563"/>
      <c r="GI106" s="564"/>
      <c r="GJ106" s="564"/>
      <c r="GK106" s="564"/>
      <c r="GL106" s="560"/>
      <c r="GM106" s="566"/>
      <c r="GN106" s="566"/>
      <c r="GO106" s="566"/>
      <c r="GP106" s="563"/>
      <c r="GQ106" s="564"/>
      <c r="GR106" s="564"/>
      <c r="GS106" s="564"/>
      <c r="GT106" s="560"/>
      <c r="GU106" s="566"/>
      <c r="GV106" s="566"/>
      <c r="GW106" s="566"/>
      <c r="GX106" s="563"/>
      <c r="GY106" s="564"/>
      <c r="GZ106" s="564"/>
      <c r="HA106" s="590"/>
      <c r="HB106" s="560"/>
      <c r="HC106" s="566"/>
      <c r="HD106" s="566"/>
      <c r="HE106" s="566"/>
      <c r="HF106" s="563"/>
      <c r="HG106" s="564"/>
      <c r="HH106" s="564"/>
      <c r="HI106" s="590"/>
      <c r="HJ106" s="560"/>
      <c r="HK106" s="566"/>
      <c r="HL106" s="566"/>
      <c r="HM106" s="566"/>
      <c r="HN106" s="563"/>
      <c r="HO106" s="564"/>
      <c r="HP106" s="564"/>
      <c r="HQ106" s="590"/>
      <c r="HR106" s="560"/>
      <c r="HS106" s="566"/>
      <c r="HT106" s="566"/>
      <c r="HU106" s="566"/>
    </row>
    <row r="107" spans="2:229" s="506" customFormat="1" ht="228.65" customHeight="1" x14ac:dyDescent="0.35">
      <c r="B107" s="544">
        <v>104</v>
      </c>
      <c r="C107" s="544" t="s">
        <v>145</v>
      </c>
      <c r="D107" s="545" t="s">
        <v>68</v>
      </c>
      <c r="E107" s="545" t="s">
        <v>504</v>
      </c>
      <c r="F107" s="546" t="s">
        <v>505</v>
      </c>
      <c r="G107" s="546" t="s">
        <v>46</v>
      </c>
      <c r="H107" s="547" t="s">
        <v>506</v>
      </c>
      <c r="I107" s="546" t="s">
        <v>502</v>
      </c>
      <c r="J107" s="546">
        <v>3</v>
      </c>
      <c r="K107" s="568" t="s">
        <v>62</v>
      </c>
      <c r="L107" s="713" t="s">
        <v>503</v>
      </c>
      <c r="M107" s="569" t="s">
        <v>117</v>
      </c>
      <c r="N107" s="551">
        <v>0</v>
      </c>
      <c r="O107" s="552">
        <v>183</v>
      </c>
      <c r="P107" s="553">
        <v>46122</v>
      </c>
      <c r="Q107" s="554">
        <v>46105</v>
      </c>
      <c r="R107" s="554" t="s">
        <v>67</v>
      </c>
      <c r="S107" s="555">
        <f ca="1">IF(R107="Aprobado / Emitir Rev_0", NETWORKDAYS(Q107,TODAY(),Hoja1!$C$3:$C$25),0)</f>
        <v>0</v>
      </c>
      <c r="T107" s="555">
        <f ca="1">IF(R107="Revisión INN",NETWORKDAYS(P107,TODAY(),Hoja1!$C$3:$C$25),0)</f>
        <v>0</v>
      </c>
      <c r="U107" s="556">
        <f t="shared" si="3"/>
        <v>3</v>
      </c>
      <c r="V107" s="557" t="s">
        <v>125</v>
      </c>
      <c r="W107" s="558">
        <v>179</v>
      </c>
      <c r="X107" s="558"/>
      <c r="Y107" s="559">
        <v>46070</v>
      </c>
      <c r="Z107" s="560">
        <v>155</v>
      </c>
      <c r="AA107" s="561">
        <v>46098</v>
      </c>
      <c r="AB107" s="562"/>
      <c r="AC107" s="561" t="s">
        <v>192</v>
      </c>
      <c r="AD107" s="563" t="s">
        <v>63</v>
      </c>
      <c r="AE107" s="567">
        <v>229</v>
      </c>
      <c r="AF107" s="564"/>
      <c r="AG107" s="565">
        <v>46099</v>
      </c>
      <c r="AH107" s="560">
        <v>162</v>
      </c>
      <c r="AI107" s="561">
        <v>46105</v>
      </c>
      <c r="AJ107" s="562"/>
      <c r="AK107" s="561" t="s">
        <v>128</v>
      </c>
      <c r="AL107" s="563">
        <v>0</v>
      </c>
      <c r="AM107" s="567">
        <v>241</v>
      </c>
      <c r="AN107" s="564"/>
      <c r="AO107" s="565">
        <v>46106</v>
      </c>
      <c r="AP107" s="589">
        <v>183</v>
      </c>
      <c r="AQ107" s="593">
        <v>46122</v>
      </c>
      <c r="AR107" s="562"/>
      <c r="AS107" s="593" t="s">
        <v>67</v>
      </c>
      <c r="AT107" s="563"/>
      <c r="AU107" s="567"/>
      <c r="AV107" s="564"/>
      <c r="AW107" s="565"/>
      <c r="AX107" s="560"/>
      <c r="AY107" s="561"/>
      <c r="AZ107" s="562"/>
      <c r="BA107" s="561"/>
      <c r="BB107" s="563"/>
      <c r="BC107" s="567"/>
      <c r="BD107" s="564"/>
      <c r="BE107" s="565"/>
      <c r="BF107" s="560"/>
      <c r="BG107" s="561"/>
      <c r="BH107" s="562"/>
      <c r="BI107" s="561"/>
      <c r="BJ107" s="563"/>
      <c r="BK107" s="567"/>
      <c r="BL107" s="564"/>
      <c r="BM107" s="565"/>
      <c r="BN107" s="560"/>
      <c r="BO107" s="561"/>
      <c r="BP107" s="562"/>
      <c r="BQ107" s="561"/>
      <c r="BR107" s="563"/>
      <c r="BS107" s="567"/>
      <c r="BT107" s="564"/>
      <c r="BU107" s="565"/>
      <c r="BV107" s="560"/>
      <c r="BW107" s="561"/>
      <c r="BX107" s="562"/>
      <c r="BY107" s="561"/>
      <c r="BZ107" s="563"/>
      <c r="CA107" s="567"/>
      <c r="CB107" s="564"/>
      <c r="CC107" s="565"/>
      <c r="CD107" s="560"/>
      <c r="CE107" s="561"/>
      <c r="CF107" s="562"/>
      <c r="CG107" s="561"/>
      <c r="CH107" s="563"/>
      <c r="CI107" s="564"/>
      <c r="CJ107" s="564"/>
      <c r="CK107" s="564"/>
      <c r="CL107" s="560"/>
      <c r="CM107" s="561"/>
      <c r="CN107" s="562"/>
      <c r="CO107" s="561"/>
      <c r="CP107" s="563"/>
      <c r="CQ107" s="564"/>
      <c r="CR107" s="564"/>
      <c r="CS107" s="564"/>
      <c r="CT107" s="560"/>
      <c r="CU107" s="561"/>
      <c r="CV107" s="562"/>
      <c r="CW107" s="561"/>
      <c r="CX107" s="563"/>
      <c r="CY107" s="564"/>
      <c r="CZ107" s="564"/>
      <c r="DA107" s="564"/>
      <c r="DB107" s="560"/>
      <c r="DC107" s="561"/>
      <c r="DD107" s="562"/>
      <c r="DE107" s="561"/>
      <c r="DF107" s="563"/>
      <c r="DG107" s="564"/>
      <c r="DH107" s="564"/>
      <c r="DI107" s="564"/>
      <c r="DJ107" s="560"/>
      <c r="DK107" s="561"/>
      <c r="DL107" s="562"/>
      <c r="DM107" s="561"/>
      <c r="DN107" s="563"/>
      <c r="DO107" s="564"/>
      <c r="DP107" s="564"/>
      <c r="DQ107" s="564"/>
      <c r="DR107" s="560"/>
      <c r="DS107" s="561"/>
      <c r="DT107" s="562"/>
      <c r="DU107" s="561"/>
      <c r="DV107" s="563"/>
      <c r="DW107" s="564"/>
      <c r="DX107" s="564"/>
      <c r="DY107" s="564"/>
      <c r="DZ107" s="560"/>
      <c r="EA107" s="561"/>
      <c r="EB107" s="562"/>
      <c r="EC107" s="561"/>
      <c r="ED107" s="563"/>
      <c r="EE107" s="564"/>
      <c r="EF107" s="564"/>
      <c r="EG107" s="564"/>
      <c r="EH107" s="560"/>
      <c r="EI107" s="561"/>
      <c r="EJ107" s="562"/>
      <c r="EK107" s="561"/>
      <c r="EL107" s="563"/>
      <c r="EM107" s="564"/>
      <c r="EN107" s="564"/>
      <c r="EO107" s="564"/>
      <c r="EP107" s="560"/>
      <c r="EQ107" s="561"/>
      <c r="ER107" s="562"/>
      <c r="ES107" s="561"/>
      <c r="ET107" s="563"/>
      <c r="EU107" s="564"/>
      <c r="EV107" s="564"/>
      <c r="EW107" s="564"/>
      <c r="EX107" s="560"/>
      <c r="EY107" s="561"/>
      <c r="EZ107" s="562"/>
      <c r="FA107" s="561"/>
      <c r="FB107" s="563"/>
      <c r="FC107" s="564"/>
      <c r="FD107" s="564"/>
      <c r="FE107" s="564"/>
      <c r="FF107" s="560"/>
      <c r="FG107" s="561"/>
      <c r="FH107" s="562"/>
      <c r="FI107" s="561"/>
      <c r="FJ107" s="563"/>
      <c r="FK107" s="564"/>
      <c r="FL107" s="564"/>
      <c r="FM107" s="564"/>
      <c r="FN107" s="560"/>
      <c r="FO107" s="561"/>
      <c r="FP107" s="562"/>
      <c r="FQ107" s="561"/>
      <c r="FR107" s="563"/>
      <c r="FS107" s="564"/>
      <c r="FT107" s="564"/>
      <c r="FU107" s="564"/>
      <c r="FV107" s="560"/>
      <c r="FW107" s="566"/>
      <c r="FX107" s="566"/>
      <c r="FY107" s="566"/>
      <c r="FZ107" s="563"/>
      <c r="GA107" s="564"/>
      <c r="GB107" s="564"/>
      <c r="GC107" s="564"/>
      <c r="GD107" s="560"/>
      <c r="GE107" s="566"/>
      <c r="GF107" s="566"/>
      <c r="GG107" s="566"/>
      <c r="GH107" s="563"/>
      <c r="GI107" s="564"/>
      <c r="GJ107" s="564"/>
      <c r="GK107" s="564"/>
      <c r="GL107" s="560"/>
      <c r="GM107" s="566"/>
      <c r="GN107" s="566"/>
      <c r="GO107" s="566"/>
      <c r="GP107" s="563"/>
      <c r="GQ107" s="564"/>
      <c r="GR107" s="564"/>
      <c r="GS107" s="564"/>
      <c r="GT107" s="560"/>
      <c r="GU107" s="566"/>
      <c r="GV107" s="566"/>
      <c r="GW107" s="566"/>
      <c r="GX107" s="563"/>
      <c r="GY107" s="564"/>
      <c r="GZ107" s="564"/>
      <c r="HA107" s="590"/>
      <c r="HB107" s="560"/>
      <c r="HC107" s="566"/>
      <c r="HD107" s="566"/>
      <c r="HE107" s="566"/>
      <c r="HF107" s="563"/>
      <c r="HG107" s="564"/>
      <c r="HH107" s="564"/>
      <c r="HI107" s="590"/>
      <c r="HJ107" s="560"/>
      <c r="HK107" s="566"/>
      <c r="HL107" s="566"/>
      <c r="HM107" s="566"/>
      <c r="HN107" s="563"/>
      <c r="HO107" s="564"/>
      <c r="HP107" s="564"/>
      <c r="HQ107" s="590"/>
      <c r="HR107" s="560"/>
      <c r="HS107" s="566"/>
      <c r="HT107" s="566"/>
      <c r="HU107" s="566"/>
    </row>
    <row r="108" spans="2:229" s="506" customFormat="1" ht="67.5" customHeight="1" thickBot="1" x14ac:dyDescent="0.4">
      <c r="B108" s="544">
        <v>105</v>
      </c>
      <c r="C108" s="544" t="s">
        <v>145</v>
      </c>
      <c r="D108" s="545" t="s">
        <v>139</v>
      </c>
      <c r="E108" s="545" t="s">
        <v>507</v>
      </c>
      <c r="F108" s="546" t="s">
        <v>508</v>
      </c>
      <c r="G108" s="546" t="s">
        <v>46</v>
      </c>
      <c r="H108" s="547" t="s">
        <v>509</v>
      </c>
      <c r="I108" s="546" t="s">
        <v>502</v>
      </c>
      <c r="J108" s="546">
        <v>3</v>
      </c>
      <c r="K108" s="568" t="s">
        <v>62</v>
      </c>
      <c r="L108" s="713" t="s">
        <v>503</v>
      </c>
      <c r="M108" s="569" t="s">
        <v>117</v>
      </c>
      <c r="N108" s="551">
        <v>0</v>
      </c>
      <c r="O108" s="552">
        <v>183</v>
      </c>
      <c r="P108" s="553">
        <v>46122</v>
      </c>
      <c r="Q108" s="554">
        <v>46105</v>
      </c>
      <c r="R108" s="554" t="s">
        <v>67</v>
      </c>
      <c r="S108" s="555">
        <f ca="1">IF(R108="Aprobado / Emitir Rev_0", NETWORKDAYS(Q108,TODAY(),Hoja1!$C$3:$C$25),0)</f>
        <v>0</v>
      </c>
      <c r="T108" s="555">
        <f ca="1">IF(R108="Revisión INN",NETWORKDAYS(P108,TODAY(),Hoja1!$C$3:$C$25),0)</f>
        <v>0</v>
      </c>
      <c r="U108" s="556">
        <f t="shared" si="3"/>
        <v>3</v>
      </c>
      <c r="V108" s="557" t="s">
        <v>125</v>
      </c>
      <c r="W108" s="558">
        <v>179</v>
      </c>
      <c r="X108" s="558"/>
      <c r="Y108" s="559">
        <v>46070</v>
      </c>
      <c r="Z108" s="560">
        <v>155</v>
      </c>
      <c r="AA108" s="561">
        <v>46098</v>
      </c>
      <c r="AB108" s="562"/>
      <c r="AC108" s="561" t="s">
        <v>192</v>
      </c>
      <c r="AD108" s="563" t="s">
        <v>63</v>
      </c>
      <c r="AE108" s="567">
        <v>229</v>
      </c>
      <c r="AF108" s="564"/>
      <c r="AG108" s="565">
        <v>46099</v>
      </c>
      <c r="AH108" s="560">
        <v>162</v>
      </c>
      <c r="AI108" s="561">
        <v>46105</v>
      </c>
      <c r="AJ108" s="562"/>
      <c r="AK108" s="561" t="s">
        <v>128</v>
      </c>
      <c r="AL108" s="563">
        <v>0</v>
      </c>
      <c r="AM108" s="567">
        <v>241</v>
      </c>
      <c r="AN108" s="564"/>
      <c r="AO108" s="565">
        <v>46106</v>
      </c>
      <c r="AP108" s="589">
        <v>183</v>
      </c>
      <c r="AQ108" s="593">
        <v>46122</v>
      </c>
      <c r="AR108" s="562"/>
      <c r="AS108" s="593" t="s">
        <v>67</v>
      </c>
      <c r="AT108" s="563"/>
      <c r="AU108" s="567"/>
      <c r="AV108" s="564"/>
      <c r="AW108" s="565"/>
      <c r="AX108" s="560"/>
      <c r="AY108" s="561"/>
      <c r="AZ108" s="562"/>
      <c r="BA108" s="561"/>
      <c r="BB108" s="563"/>
      <c r="BC108" s="567"/>
      <c r="BD108" s="564"/>
      <c r="BE108" s="565"/>
      <c r="BF108" s="560"/>
      <c r="BG108" s="561"/>
      <c r="BH108" s="562"/>
      <c r="BI108" s="561"/>
      <c r="BJ108" s="563"/>
      <c r="BK108" s="567"/>
      <c r="BL108" s="564"/>
      <c r="BM108" s="565"/>
      <c r="BN108" s="560"/>
      <c r="BO108" s="561"/>
      <c r="BP108" s="562"/>
      <c r="BQ108" s="561"/>
      <c r="BR108" s="563"/>
      <c r="BS108" s="567"/>
      <c r="BT108" s="564"/>
      <c r="BU108" s="565"/>
      <c r="BV108" s="560"/>
      <c r="BW108" s="561"/>
      <c r="BX108" s="562"/>
      <c r="BY108" s="561"/>
      <c r="BZ108" s="563"/>
      <c r="CA108" s="567"/>
      <c r="CB108" s="564"/>
      <c r="CC108" s="565"/>
      <c r="CD108" s="560"/>
      <c r="CE108" s="561"/>
      <c r="CF108" s="562"/>
      <c r="CG108" s="561"/>
      <c r="CH108" s="563"/>
      <c r="CI108" s="564"/>
      <c r="CJ108" s="564"/>
      <c r="CK108" s="564"/>
      <c r="CL108" s="560"/>
      <c r="CM108" s="561"/>
      <c r="CN108" s="562"/>
      <c r="CO108" s="561"/>
      <c r="CP108" s="563"/>
      <c r="CQ108" s="564"/>
      <c r="CR108" s="564"/>
      <c r="CS108" s="564"/>
      <c r="CT108" s="560"/>
      <c r="CU108" s="561"/>
      <c r="CV108" s="562"/>
      <c r="CW108" s="561"/>
      <c r="CX108" s="563"/>
      <c r="CY108" s="564"/>
      <c r="CZ108" s="564"/>
      <c r="DA108" s="564"/>
      <c r="DB108" s="560"/>
      <c r="DC108" s="561"/>
      <c r="DD108" s="562"/>
      <c r="DE108" s="561"/>
      <c r="DF108" s="563"/>
      <c r="DG108" s="564"/>
      <c r="DH108" s="564"/>
      <c r="DI108" s="564"/>
      <c r="DJ108" s="560"/>
      <c r="DK108" s="561"/>
      <c r="DL108" s="562"/>
      <c r="DM108" s="561"/>
      <c r="DN108" s="563"/>
      <c r="DO108" s="564"/>
      <c r="DP108" s="564"/>
      <c r="DQ108" s="564"/>
      <c r="DR108" s="560"/>
      <c r="DS108" s="561"/>
      <c r="DT108" s="562"/>
      <c r="DU108" s="561"/>
      <c r="DV108" s="563"/>
      <c r="DW108" s="564"/>
      <c r="DX108" s="564"/>
      <c r="DY108" s="564"/>
      <c r="DZ108" s="560"/>
      <c r="EA108" s="561"/>
      <c r="EB108" s="562"/>
      <c r="EC108" s="561"/>
      <c r="ED108" s="563"/>
      <c r="EE108" s="564"/>
      <c r="EF108" s="564"/>
      <c r="EG108" s="564"/>
      <c r="EH108" s="560"/>
      <c r="EI108" s="561"/>
      <c r="EJ108" s="562"/>
      <c r="EK108" s="561"/>
      <c r="EL108" s="563"/>
      <c r="EM108" s="564"/>
      <c r="EN108" s="564"/>
      <c r="EO108" s="564"/>
      <c r="EP108" s="560"/>
      <c r="EQ108" s="561"/>
      <c r="ER108" s="562"/>
      <c r="ES108" s="561"/>
      <c r="ET108" s="563"/>
      <c r="EU108" s="564"/>
      <c r="EV108" s="564"/>
      <c r="EW108" s="564"/>
      <c r="EX108" s="560"/>
      <c r="EY108" s="561"/>
      <c r="EZ108" s="562"/>
      <c r="FA108" s="561"/>
      <c r="FB108" s="563"/>
      <c r="FC108" s="564"/>
      <c r="FD108" s="564"/>
      <c r="FE108" s="564"/>
      <c r="FF108" s="560"/>
      <c r="FG108" s="561"/>
      <c r="FH108" s="562"/>
      <c r="FI108" s="561"/>
      <c r="FJ108" s="563"/>
      <c r="FK108" s="564"/>
      <c r="FL108" s="564"/>
      <c r="FM108" s="564"/>
      <c r="FN108" s="560"/>
      <c r="FO108" s="561"/>
      <c r="FP108" s="562"/>
      <c r="FQ108" s="561"/>
      <c r="FR108" s="563"/>
      <c r="FS108" s="564"/>
      <c r="FT108" s="564"/>
      <c r="FU108" s="564"/>
      <c r="FV108" s="560"/>
      <c r="FW108" s="566"/>
      <c r="FX108" s="566"/>
      <c r="FY108" s="566"/>
      <c r="FZ108" s="563"/>
      <c r="GA108" s="564"/>
      <c r="GB108" s="564"/>
      <c r="GC108" s="564"/>
      <c r="GD108" s="560"/>
      <c r="GE108" s="566"/>
      <c r="GF108" s="566"/>
      <c r="GG108" s="566"/>
      <c r="GH108" s="563"/>
      <c r="GI108" s="564"/>
      <c r="GJ108" s="564"/>
      <c r="GK108" s="564"/>
      <c r="GL108" s="560"/>
      <c r="GM108" s="566"/>
      <c r="GN108" s="566"/>
      <c r="GO108" s="566"/>
      <c r="GP108" s="563"/>
      <c r="GQ108" s="564"/>
      <c r="GR108" s="564"/>
      <c r="GS108" s="564"/>
      <c r="GT108" s="560"/>
      <c r="GU108" s="566"/>
      <c r="GV108" s="566"/>
      <c r="GW108" s="566"/>
      <c r="GX108" s="563"/>
      <c r="GY108" s="564"/>
      <c r="GZ108" s="564"/>
      <c r="HA108" s="590"/>
      <c r="HB108" s="560"/>
      <c r="HC108" s="566"/>
      <c r="HD108" s="566"/>
      <c r="HE108" s="566"/>
      <c r="HF108" s="563"/>
      <c r="HG108" s="564"/>
      <c r="HH108" s="564"/>
      <c r="HI108" s="590"/>
      <c r="HJ108" s="560"/>
      <c r="HK108" s="566"/>
      <c r="HL108" s="566"/>
      <c r="HM108" s="566"/>
      <c r="HN108" s="563"/>
      <c r="HO108" s="564"/>
      <c r="HP108" s="564"/>
      <c r="HQ108" s="590"/>
      <c r="HR108" s="560"/>
      <c r="HS108" s="566"/>
      <c r="HT108" s="566"/>
      <c r="HU108" s="566"/>
    </row>
    <row r="109" spans="2:229" s="506" customFormat="1" ht="89.5" customHeight="1" x14ac:dyDescent="0.35">
      <c r="B109" s="544">
        <v>72</v>
      </c>
      <c r="C109" s="544" t="s">
        <v>244</v>
      </c>
      <c r="D109" s="545" t="s">
        <v>68</v>
      </c>
      <c r="E109" s="545" t="s">
        <v>510</v>
      </c>
      <c r="F109" s="546" t="s">
        <v>511</v>
      </c>
      <c r="G109" s="546" t="s">
        <v>512</v>
      </c>
      <c r="H109" s="547" t="s">
        <v>513</v>
      </c>
      <c r="I109" s="548">
        <f>Q109+5</f>
        <v>46124</v>
      </c>
      <c r="J109" s="568"/>
      <c r="K109" s="568" t="s">
        <v>62</v>
      </c>
      <c r="L109" s="549"/>
      <c r="M109" s="569" t="s">
        <v>117</v>
      </c>
      <c r="N109" s="551">
        <v>2</v>
      </c>
      <c r="O109" s="552">
        <v>258</v>
      </c>
      <c r="P109" s="553">
        <v>46122</v>
      </c>
      <c r="Q109" s="553">
        <v>46119</v>
      </c>
      <c r="R109" s="554" t="s">
        <v>151</v>
      </c>
      <c r="S109" s="555">
        <f ca="1">IF(R109="Aprobado / Emitir Rev_2", NETWORKDAYS(Q109,TODAY(),Hoja1!$C$3:$C$25),0)</f>
        <v>0</v>
      </c>
      <c r="T109" s="555">
        <f ca="1">IF(R109="Revisión INN",NETWORKDAYS(P109,TODAY(),Hoja1!$C$3:$C$25),0)</f>
        <v>6</v>
      </c>
      <c r="U109" s="556">
        <f t="shared" si="3"/>
        <v>8</v>
      </c>
      <c r="V109" s="557" t="s">
        <v>125</v>
      </c>
      <c r="W109" s="558">
        <v>28</v>
      </c>
      <c r="X109" s="558"/>
      <c r="Y109" s="559">
        <v>45929</v>
      </c>
      <c r="Z109" s="560">
        <v>30</v>
      </c>
      <c r="AA109" s="561">
        <v>45932</v>
      </c>
      <c r="AB109" s="562">
        <f>AA109-Y109</f>
        <v>3</v>
      </c>
      <c r="AC109" s="561" t="s">
        <v>167</v>
      </c>
      <c r="AD109" s="563" t="s">
        <v>63</v>
      </c>
      <c r="AE109" s="567">
        <v>34</v>
      </c>
      <c r="AF109" s="564">
        <f>AG109-AA109</f>
        <v>4</v>
      </c>
      <c r="AG109" s="565">
        <v>45936</v>
      </c>
      <c r="AH109" s="560">
        <v>54</v>
      </c>
      <c r="AI109" s="561">
        <v>45964</v>
      </c>
      <c r="AJ109" s="562">
        <f>AI109-AG109</f>
        <v>28</v>
      </c>
      <c r="AK109" s="561" t="s">
        <v>186</v>
      </c>
      <c r="AL109" s="563">
        <v>0</v>
      </c>
      <c r="AM109" s="567">
        <v>63</v>
      </c>
      <c r="AN109" s="564"/>
      <c r="AO109" s="565">
        <v>45960</v>
      </c>
      <c r="AP109" s="560">
        <v>58</v>
      </c>
      <c r="AQ109" s="561">
        <v>45966</v>
      </c>
      <c r="AR109" s="562">
        <f>AQ109-AO109</f>
        <v>6</v>
      </c>
      <c r="AS109" s="561" t="s">
        <v>67</v>
      </c>
      <c r="AT109" s="563" t="s">
        <v>200</v>
      </c>
      <c r="AU109" s="567">
        <v>66</v>
      </c>
      <c r="AV109" s="564"/>
      <c r="AW109" s="565">
        <v>45968</v>
      </c>
      <c r="AX109" s="560">
        <v>78</v>
      </c>
      <c r="AY109" s="594">
        <v>46007</v>
      </c>
      <c r="AZ109" s="560" t="s">
        <v>62</v>
      </c>
      <c r="BA109" s="560" t="s">
        <v>514</v>
      </c>
      <c r="BB109" s="563" t="s">
        <v>361</v>
      </c>
      <c r="BC109" s="567">
        <v>84</v>
      </c>
      <c r="BD109" s="564"/>
      <c r="BE109" s="565">
        <v>45987</v>
      </c>
      <c r="BF109" s="560">
        <v>79</v>
      </c>
      <c r="BG109" s="594">
        <v>46007</v>
      </c>
      <c r="BH109" s="560" t="s">
        <v>62</v>
      </c>
      <c r="BI109" s="560" t="s">
        <v>514</v>
      </c>
      <c r="BJ109" s="563" t="s">
        <v>363</v>
      </c>
      <c r="BK109" s="567">
        <v>104</v>
      </c>
      <c r="BL109" s="564"/>
      <c r="BM109" s="565">
        <v>46002</v>
      </c>
      <c r="BN109" s="560">
        <v>78</v>
      </c>
      <c r="BO109" s="561">
        <v>46007</v>
      </c>
      <c r="BP109" s="562"/>
      <c r="BQ109" s="561" t="s">
        <v>515</v>
      </c>
      <c r="BR109" s="595" t="s">
        <v>365</v>
      </c>
      <c r="BS109" s="567">
        <v>115</v>
      </c>
      <c r="BT109" s="564"/>
      <c r="BU109" s="565">
        <v>46010</v>
      </c>
      <c r="BV109" s="560">
        <v>128</v>
      </c>
      <c r="BW109" s="561">
        <v>46055</v>
      </c>
      <c r="BX109" s="562"/>
      <c r="BY109" s="561" t="s">
        <v>129</v>
      </c>
      <c r="BZ109" s="563">
        <v>1</v>
      </c>
      <c r="CA109" s="567">
        <v>215</v>
      </c>
      <c r="CB109" s="564"/>
      <c r="CC109" s="565">
        <v>46091</v>
      </c>
      <c r="CD109" s="560">
        <v>177</v>
      </c>
      <c r="CE109" s="561">
        <v>46119</v>
      </c>
      <c r="CF109" s="562"/>
      <c r="CG109" s="561" t="s">
        <v>225</v>
      </c>
      <c r="CH109" s="591">
        <v>2</v>
      </c>
      <c r="CI109" s="630">
        <v>258</v>
      </c>
      <c r="CJ109" s="564"/>
      <c r="CK109" s="631">
        <v>46122</v>
      </c>
      <c r="CL109" s="560"/>
      <c r="CM109" s="561"/>
      <c r="CN109" s="562"/>
      <c r="CO109" s="561"/>
      <c r="CP109" s="563"/>
      <c r="CQ109" s="564"/>
      <c r="CR109" s="564"/>
      <c r="CS109" s="564"/>
      <c r="CT109" s="560"/>
      <c r="CU109" s="561"/>
      <c r="CV109" s="562"/>
      <c r="CW109" s="561"/>
      <c r="CX109" s="563"/>
      <c r="CY109" s="564"/>
      <c r="CZ109" s="564"/>
      <c r="DA109" s="564"/>
      <c r="DB109" s="560"/>
      <c r="DC109" s="561"/>
      <c r="DD109" s="562"/>
      <c r="DE109" s="561"/>
      <c r="DF109" s="563"/>
      <c r="DG109" s="564"/>
      <c r="DH109" s="564"/>
      <c r="DI109" s="564"/>
      <c r="DJ109" s="560"/>
      <c r="DK109" s="561"/>
      <c r="DL109" s="562"/>
      <c r="DM109" s="561"/>
      <c r="DN109" s="563"/>
      <c r="DO109" s="564"/>
      <c r="DP109" s="564"/>
      <c r="DQ109" s="564"/>
      <c r="DR109" s="560"/>
      <c r="DS109" s="561"/>
      <c r="DT109" s="562"/>
      <c r="DU109" s="561"/>
      <c r="DV109" s="563"/>
      <c r="DW109" s="564"/>
      <c r="DX109" s="564"/>
      <c r="DY109" s="564"/>
      <c r="DZ109" s="560"/>
      <c r="EA109" s="561"/>
      <c r="EB109" s="562"/>
      <c r="EC109" s="561"/>
      <c r="ED109" s="563"/>
      <c r="EE109" s="564"/>
      <c r="EF109" s="564"/>
      <c r="EG109" s="564"/>
      <c r="EH109" s="560"/>
      <c r="EI109" s="561"/>
      <c r="EJ109" s="562"/>
      <c r="EK109" s="561"/>
      <c r="EL109" s="563"/>
      <c r="EM109" s="564"/>
      <c r="EN109" s="564"/>
      <c r="EO109" s="564"/>
      <c r="EP109" s="560"/>
      <c r="EQ109" s="561"/>
      <c r="ER109" s="562"/>
      <c r="ES109" s="561"/>
      <c r="ET109" s="563"/>
      <c r="EU109" s="564"/>
      <c r="EV109" s="564"/>
      <c r="EW109" s="564"/>
      <c r="EX109" s="560"/>
      <c r="EY109" s="561"/>
      <c r="EZ109" s="562"/>
      <c r="FA109" s="561"/>
      <c r="FB109" s="563"/>
      <c r="FC109" s="564"/>
      <c r="FD109" s="564"/>
      <c r="FE109" s="564"/>
      <c r="FF109" s="560"/>
      <c r="FG109" s="561"/>
      <c r="FH109" s="562"/>
      <c r="FI109" s="561"/>
      <c r="FJ109" s="563"/>
      <c r="FK109" s="564"/>
      <c r="FL109" s="564"/>
      <c r="FM109" s="564"/>
      <c r="FN109" s="560"/>
      <c r="FO109" s="561"/>
      <c r="FP109" s="562"/>
      <c r="FQ109" s="561"/>
      <c r="FR109" s="563"/>
      <c r="FS109" s="564"/>
      <c r="FT109" s="564"/>
      <c r="FU109" s="564"/>
      <c r="FV109" s="560"/>
      <c r="FW109" s="566"/>
      <c r="FX109" s="566"/>
      <c r="FY109" s="566"/>
      <c r="FZ109" s="563"/>
      <c r="GA109" s="564"/>
      <c r="GB109" s="564"/>
      <c r="GC109" s="564"/>
      <c r="GD109" s="560"/>
      <c r="GE109" s="566"/>
      <c r="GF109" s="566"/>
      <c r="GG109" s="566"/>
      <c r="GH109" s="563"/>
      <c r="GI109" s="564"/>
      <c r="GJ109" s="564"/>
      <c r="GK109" s="564"/>
      <c r="GL109" s="560"/>
      <c r="GM109" s="566"/>
      <c r="GN109" s="566"/>
      <c r="GO109" s="566"/>
      <c r="GP109" s="563"/>
      <c r="GQ109" s="564"/>
      <c r="GR109" s="564"/>
      <c r="GS109" s="564"/>
      <c r="GT109" s="560"/>
      <c r="GU109" s="566"/>
      <c r="GV109" s="566"/>
      <c r="GW109" s="566"/>
      <c r="GX109" s="541"/>
      <c r="GY109" s="535"/>
      <c r="GZ109" s="542"/>
      <c r="HA109" s="543"/>
      <c r="HB109" s="541"/>
      <c r="HC109" s="535"/>
      <c r="HD109" s="542"/>
      <c r="HE109" s="543"/>
      <c r="HF109" s="541"/>
      <c r="HG109" s="535"/>
      <c r="HH109" s="542"/>
      <c r="HI109" s="543"/>
      <c r="HJ109" s="541"/>
      <c r="HK109" s="535"/>
      <c r="HL109" s="542"/>
      <c r="HM109" s="543"/>
      <c r="HN109" s="541"/>
      <c r="HO109" s="535"/>
      <c r="HP109" s="542"/>
      <c r="HQ109" s="543"/>
      <c r="HR109" s="541"/>
      <c r="HS109" s="535"/>
      <c r="HT109" s="542"/>
      <c r="HU109" s="543"/>
    </row>
    <row r="110" spans="2:229" s="506" customFormat="1" ht="89.5" customHeight="1" x14ac:dyDescent="0.35">
      <c r="B110" s="544">
        <v>102</v>
      </c>
      <c r="C110" s="544" t="s">
        <v>244</v>
      </c>
      <c r="D110" s="545" t="s">
        <v>139</v>
      </c>
      <c r="E110" s="545" t="s">
        <v>516</v>
      </c>
      <c r="F110" s="546" t="s">
        <v>517</v>
      </c>
      <c r="G110" s="546" t="s">
        <v>46</v>
      </c>
      <c r="H110" s="547" t="s">
        <v>518</v>
      </c>
      <c r="I110" s="548"/>
      <c r="J110" s="548"/>
      <c r="K110" s="568">
        <f>P110+5</f>
        <v>46055</v>
      </c>
      <c r="L110" s="706"/>
      <c r="M110" s="569" t="s">
        <v>117</v>
      </c>
      <c r="N110" s="551">
        <v>2</v>
      </c>
      <c r="O110" s="552">
        <v>182</v>
      </c>
      <c r="P110" s="553">
        <v>46050</v>
      </c>
      <c r="Q110" s="553">
        <v>46121</v>
      </c>
      <c r="R110" s="554" t="s">
        <v>476</v>
      </c>
      <c r="S110" s="555">
        <f ca="1">IF(R110="Aprobado con comentarios / Emitir Rev_3", NETWORKDAYS(Q110,TODAY(),Hoja1!$C$3:$C$25),0)</f>
        <v>7</v>
      </c>
      <c r="T110" s="555">
        <f ca="1">IF(R110="Revisión INN",NETWORKDAYS(P110,TODAY(),Hoja1!$C$3:$C$25),0)</f>
        <v>0</v>
      </c>
      <c r="U110" s="556">
        <f t="shared" si="3"/>
        <v>5</v>
      </c>
      <c r="V110" s="557" t="s">
        <v>63</v>
      </c>
      <c r="W110" s="558">
        <v>11</v>
      </c>
      <c r="X110" s="558"/>
      <c r="Y110" s="559">
        <v>45904</v>
      </c>
      <c r="Z110" s="560">
        <v>14</v>
      </c>
      <c r="AA110" s="561">
        <v>45911</v>
      </c>
      <c r="AB110" s="562">
        <f>AA110-Y110</f>
        <v>7</v>
      </c>
      <c r="AC110" s="561" t="s">
        <v>88</v>
      </c>
      <c r="AD110" s="563" t="s">
        <v>65</v>
      </c>
      <c r="AE110" s="567">
        <v>45</v>
      </c>
      <c r="AF110" s="564">
        <f>AG110-AA110</f>
        <v>34</v>
      </c>
      <c r="AG110" s="565">
        <v>45945</v>
      </c>
      <c r="AH110" s="560">
        <v>47</v>
      </c>
      <c r="AI110" s="561">
        <v>45952</v>
      </c>
      <c r="AJ110" s="562">
        <f>AI110-AG110</f>
        <v>7</v>
      </c>
      <c r="AK110" s="561" t="s">
        <v>494</v>
      </c>
      <c r="AL110" s="563" t="s">
        <v>495</v>
      </c>
      <c r="AM110" s="567">
        <v>59</v>
      </c>
      <c r="AN110" s="564"/>
      <c r="AO110" s="565">
        <v>45959</v>
      </c>
      <c r="AP110" s="560">
        <v>59</v>
      </c>
      <c r="AQ110" s="561">
        <v>45971</v>
      </c>
      <c r="AR110" s="562"/>
      <c r="AS110" s="561" t="s">
        <v>168</v>
      </c>
      <c r="AT110" s="563">
        <v>0</v>
      </c>
      <c r="AU110" s="567">
        <v>73</v>
      </c>
      <c r="AV110" s="564">
        <f>AW110-AQ110</f>
        <v>7</v>
      </c>
      <c r="AW110" s="565">
        <v>45978</v>
      </c>
      <c r="AX110" s="560">
        <v>67</v>
      </c>
      <c r="AY110" s="561">
        <v>45988</v>
      </c>
      <c r="AZ110" s="562"/>
      <c r="BA110" s="561" t="s">
        <v>155</v>
      </c>
      <c r="BB110" s="563">
        <v>1</v>
      </c>
      <c r="BC110" s="567">
        <v>125</v>
      </c>
      <c r="BD110" s="564"/>
      <c r="BE110" s="565">
        <v>46022</v>
      </c>
      <c r="BF110" s="560">
        <v>109</v>
      </c>
      <c r="BG110" s="561">
        <v>46041</v>
      </c>
      <c r="BH110" s="562"/>
      <c r="BI110" s="561" t="s">
        <v>519</v>
      </c>
      <c r="BJ110" s="563">
        <v>2</v>
      </c>
      <c r="BK110" s="567">
        <v>156</v>
      </c>
      <c r="BL110" s="564"/>
      <c r="BM110" s="565">
        <v>46050</v>
      </c>
      <c r="BN110" s="560">
        <v>182</v>
      </c>
      <c r="BO110" s="561">
        <v>46121</v>
      </c>
      <c r="BP110" s="562"/>
      <c r="BQ110" s="561" t="s">
        <v>278</v>
      </c>
      <c r="BR110" s="563"/>
      <c r="BS110" s="567"/>
      <c r="BT110" s="564"/>
      <c r="BU110" s="565"/>
      <c r="BV110" s="560"/>
      <c r="BW110" s="561"/>
      <c r="BX110" s="562"/>
      <c r="BY110" s="561"/>
      <c r="BZ110" s="563"/>
      <c r="CA110" s="567"/>
      <c r="CB110" s="564"/>
      <c r="CC110" s="565"/>
      <c r="CD110" s="560"/>
      <c r="CE110" s="561"/>
      <c r="CF110" s="562"/>
      <c r="CG110" s="561"/>
      <c r="CH110" s="563"/>
      <c r="CI110" s="564"/>
      <c r="CJ110" s="564"/>
      <c r="CK110" s="564"/>
      <c r="CL110" s="560"/>
      <c r="CM110" s="561"/>
      <c r="CN110" s="562"/>
      <c r="CO110" s="561"/>
      <c r="CP110" s="563"/>
      <c r="CQ110" s="564"/>
      <c r="CR110" s="564"/>
      <c r="CS110" s="564"/>
      <c r="CT110" s="560"/>
      <c r="CU110" s="561"/>
      <c r="CV110" s="562"/>
      <c r="CW110" s="561"/>
      <c r="CX110" s="563"/>
      <c r="CY110" s="564"/>
      <c r="CZ110" s="564"/>
      <c r="DA110" s="564"/>
      <c r="DB110" s="560"/>
      <c r="DC110" s="561"/>
      <c r="DD110" s="562"/>
      <c r="DE110" s="561"/>
      <c r="DF110" s="563"/>
      <c r="DG110" s="564"/>
      <c r="DH110" s="564"/>
      <c r="DI110" s="564"/>
      <c r="DJ110" s="560"/>
      <c r="DK110" s="561"/>
      <c r="DL110" s="562"/>
      <c r="DM110" s="561"/>
      <c r="DN110" s="563"/>
      <c r="DO110" s="564"/>
      <c r="DP110" s="564"/>
      <c r="DQ110" s="564"/>
      <c r="DR110" s="560"/>
      <c r="DS110" s="561"/>
      <c r="DT110" s="562"/>
      <c r="DU110" s="561"/>
      <c r="DV110" s="563"/>
      <c r="DW110" s="564"/>
      <c r="DX110" s="564"/>
      <c r="DY110" s="564"/>
      <c r="DZ110" s="560"/>
      <c r="EA110" s="561"/>
      <c r="EB110" s="562"/>
      <c r="EC110" s="561"/>
      <c r="ED110" s="563"/>
      <c r="EE110" s="564"/>
      <c r="EF110" s="564"/>
      <c r="EG110" s="564"/>
      <c r="EH110" s="560"/>
      <c r="EI110" s="561"/>
      <c r="EJ110" s="562"/>
      <c r="EK110" s="561"/>
      <c r="EL110" s="563"/>
      <c r="EM110" s="564"/>
      <c r="EN110" s="564"/>
      <c r="EO110" s="564"/>
      <c r="EP110" s="560"/>
      <c r="EQ110" s="561"/>
      <c r="ER110" s="562"/>
      <c r="ES110" s="561"/>
      <c r="ET110" s="563"/>
      <c r="EU110" s="564"/>
      <c r="EV110" s="564"/>
      <c r="EW110" s="564"/>
      <c r="EX110" s="560"/>
      <c r="EY110" s="561"/>
      <c r="EZ110" s="562"/>
      <c r="FA110" s="561"/>
      <c r="FB110" s="563"/>
      <c r="FC110" s="564"/>
      <c r="FD110" s="564"/>
      <c r="FE110" s="564"/>
      <c r="FF110" s="560"/>
      <c r="FG110" s="561"/>
      <c r="FH110" s="562"/>
      <c r="FI110" s="561"/>
      <c r="FJ110" s="563"/>
      <c r="FK110" s="564"/>
      <c r="FL110" s="564"/>
      <c r="FM110" s="564"/>
      <c r="FN110" s="560"/>
      <c r="FO110" s="561"/>
      <c r="FP110" s="562"/>
      <c r="FQ110" s="561"/>
      <c r="FR110" s="563"/>
      <c r="FS110" s="564"/>
      <c r="FT110" s="564"/>
      <c r="FU110" s="564"/>
      <c r="FV110" s="560"/>
      <c r="FW110" s="566"/>
      <c r="FX110" s="566"/>
      <c r="FY110" s="566"/>
      <c r="FZ110" s="563"/>
      <c r="GA110" s="564"/>
      <c r="GB110" s="564"/>
      <c r="GC110" s="564"/>
      <c r="GD110" s="560"/>
      <c r="GE110" s="566"/>
      <c r="GF110" s="566"/>
      <c r="GG110" s="566"/>
      <c r="GH110" s="563"/>
      <c r="GI110" s="564"/>
      <c r="GJ110" s="564"/>
      <c r="GK110" s="564"/>
      <c r="GL110" s="560"/>
      <c r="GM110" s="566"/>
      <c r="GN110" s="566"/>
      <c r="GO110" s="566"/>
      <c r="GP110" s="563"/>
      <c r="GQ110" s="564"/>
      <c r="GR110" s="564"/>
      <c r="GS110" s="564"/>
      <c r="GT110" s="560"/>
      <c r="GU110" s="566"/>
      <c r="GV110" s="566"/>
      <c r="GW110" s="566"/>
      <c r="GX110" s="563"/>
      <c r="GY110" s="564"/>
      <c r="GZ110" s="564"/>
      <c r="HA110" s="590"/>
      <c r="HB110" s="560"/>
      <c r="HC110" s="566"/>
      <c r="HD110" s="566"/>
      <c r="HE110" s="566"/>
      <c r="HF110" s="563"/>
      <c r="HG110" s="564"/>
      <c r="HH110" s="564"/>
      <c r="HI110" s="590"/>
      <c r="HJ110" s="560"/>
      <c r="HK110" s="566"/>
      <c r="HL110" s="566"/>
      <c r="HM110" s="566"/>
      <c r="HN110" s="563"/>
      <c r="HO110" s="564"/>
      <c r="HP110" s="564"/>
      <c r="HQ110" s="590"/>
      <c r="HR110" s="560"/>
      <c r="HS110" s="566"/>
      <c r="HT110" s="566"/>
      <c r="HU110" s="566"/>
    </row>
    <row r="111" spans="2:229" s="506" customFormat="1" ht="76.5" customHeight="1" x14ac:dyDescent="0.35">
      <c r="B111" s="544">
        <v>73</v>
      </c>
      <c r="C111" s="544" t="s">
        <v>244</v>
      </c>
      <c r="D111" s="545" t="s">
        <v>139</v>
      </c>
      <c r="E111" s="545" t="s">
        <v>520</v>
      </c>
      <c r="F111" s="546" t="s">
        <v>521</v>
      </c>
      <c r="G111" s="546" t="s">
        <v>522</v>
      </c>
      <c r="H111" s="547" t="s">
        <v>523</v>
      </c>
      <c r="I111" s="548">
        <f>Q111+5</f>
        <v>46124</v>
      </c>
      <c r="J111" s="568"/>
      <c r="K111" s="568" t="s">
        <v>62</v>
      </c>
      <c r="L111" s="549"/>
      <c r="M111" s="569" t="s">
        <v>117</v>
      </c>
      <c r="N111" s="551">
        <v>2</v>
      </c>
      <c r="O111" s="552">
        <v>258</v>
      </c>
      <c r="P111" s="553">
        <v>46122</v>
      </c>
      <c r="Q111" s="553">
        <v>46119</v>
      </c>
      <c r="R111" s="554" t="s">
        <v>151</v>
      </c>
      <c r="S111" s="555">
        <f ca="1">IF(R111="Aprobado / Emitir Rev_2", NETWORKDAYS(Q111,TODAY(),Hoja1!$C$3:$C$25),0)</f>
        <v>0</v>
      </c>
      <c r="T111" s="555">
        <f ca="1">IF(R111="Revisión INN",NETWORKDAYS(P111,TODAY(),Hoja1!$C$3:$C$25),0)</f>
        <v>6</v>
      </c>
      <c r="U111" s="556">
        <f t="shared" si="3"/>
        <v>8</v>
      </c>
      <c r="V111" s="557" t="s">
        <v>125</v>
      </c>
      <c r="W111" s="558">
        <v>28</v>
      </c>
      <c r="X111" s="558"/>
      <c r="Y111" s="559">
        <v>45929</v>
      </c>
      <c r="Z111" s="560">
        <v>30</v>
      </c>
      <c r="AA111" s="561">
        <v>45932</v>
      </c>
      <c r="AB111" s="562">
        <f>AA111-Y111</f>
        <v>3</v>
      </c>
      <c r="AC111" s="561" t="s">
        <v>167</v>
      </c>
      <c r="AD111" s="563" t="s">
        <v>63</v>
      </c>
      <c r="AE111" s="567">
        <v>34</v>
      </c>
      <c r="AF111" s="564">
        <f>AG111-AA111</f>
        <v>4</v>
      </c>
      <c r="AG111" s="565">
        <v>45936</v>
      </c>
      <c r="AH111" s="560">
        <v>54</v>
      </c>
      <c r="AI111" s="561">
        <v>45964</v>
      </c>
      <c r="AJ111" s="562">
        <f>AI111-AG111</f>
        <v>28</v>
      </c>
      <c r="AK111" s="561" t="s">
        <v>186</v>
      </c>
      <c r="AL111" s="563">
        <v>0</v>
      </c>
      <c r="AM111" s="567">
        <v>63</v>
      </c>
      <c r="AN111" s="564"/>
      <c r="AO111" s="565">
        <v>45960</v>
      </c>
      <c r="AP111" s="560">
        <v>58</v>
      </c>
      <c r="AQ111" s="561">
        <v>45966</v>
      </c>
      <c r="AR111" s="562">
        <f>AQ111-AO111</f>
        <v>6</v>
      </c>
      <c r="AS111" s="561" t="s">
        <v>67</v>
      </c>
      <c r="AT111" s="563" t="s">
        <v>200</v>
      </c>
      <c r="AU111" s="567">
        <v>66</v>
      </c>
      <c r="AV111" s="564"/>
      <c r="AW111" s="565">
        <v>45968</v>
      </c>
      <c r="AX111" s="560">
        <v>78</v>
      </c>
      <c r="AY111" s="594">
        <v>46007</v>
      </c>
      <c r="AZ111" s="560" t="s">
        <v>62</v>
      </c>
      <c r="BA111" s="560" t="s">
        <v>514</v>
      </c>
      <c r="BB111" s="563" t="s">
        <v>361</v>
      </c>
      <c r="BC111" s="567">
        <v>84</v>
      </c>
      <c r="BD111" s="564"/>
      <c r="BE111" s="565">
        <v>45987</v>
      </c>
      <c r="BF111" s="560" t="s">
        <v>524</v>
      </c>
      <c r="BG111" s="594">
        <v>46007</v>
      </c>
      <c r="BH111" s="560" t="s">
        <v>62</v>
      </c>
      <c r="BI111" s="560" t="s">
        <v>296</v>
      </c>
      <c r="BJ111" s="563" t="s">
        <v>363</v>
      </c>
      <c r="BK111" s="567">
        <v>104</v>
      </c>
      <c r="BL111" s="564"/>
      <c r="BM111" s="565">
        <v>46002</v>
      </c>
      <c r="BN111" s="560">
        <v>78</v>
      </c>
      <c r="BO111" s="561">
        <v>46007</v>
      </c>
      <c r="BP111" s="562"/>
      <c r="BQ111" s="561" t="s">
        <v>515</v>
      </c>
      <c r="BR111" s="595" t="s">
        <v>365</v>
      </c>
      <c r="BS111" s="567">
        <v>115</v>
      </c>
      <c r="BT111" s="564"/>
      <c r="BU111" s="565">
        <v>46010</v>
      </c>
      <c r="BV111" s="560">
        <v>128</v>
      </c>
      <c r="BW111" s="561">
        <v>46055</v>
      </c>
      <c r="BX111" s="562"/>
      <c r="BY111" s="561" t="s">
        <v>129</v>
      </c>
      <c r="BZ111" s="563">
        <v>1</v>
      </c>
      <c r="CA111" s="567">
        <v>221</v>
      </c>
      <c r="CB111" s="564"/>
      <c r="CC111" s="565">
        <v>46094</v>
      </c>
      <c r="CD111" s="560">
        <v>177</v>
      </c>
      <c r="CE111" s="561">
        <v>46119</v>
      </c>
      <c r="CF111" s="562"/>
      <c r="CG111" s="561" t="s">
        <v>225</v>
      </c>
      <c r="CH111" s="591">
        <v>2</v>
      </c>
      <c r="CI111" s="630">
        <v>258</v>
      </c>
      <c r="CJ111" s="564"/>
      <c r="CK111" s="631">
        <v>46122</v>
      </c>
      <c r="CL111" s="560"/>
      <c r="CM111" s="561"/>
      <c r="CN111" s="562"/>
      <c r="CO111" s="561"/>
      <c r="CP111" s="563"/>
      <c r="CQ111" s="564"/>
      <c r="CR111" s="564"/>
      <c r="CS111" s="564"/>
      <c r="CT111" s="560"/>
      <c r="CU111" s="561"/>
      <c r="CV111" s="562"/>
      <c r="CW111" s="561"/>
      <c r="CX111" s="563"/>
      <c r="CY111" s="564"/>
      <c r="CZ111" s="564"/>
      <c r="DA111" s="564"/>
      <c r="DB111" s="560"/>
      <c r="DC111" s="561"/>
      <c r="DD111" s="562"/>
      <c r="DE111" s="561"/>
      <c r="DF111" s="563"/>
      <c r="DG111" s="564"/>
      <c r="DH111" s="564"/>
      <c r="DI111" s="564"/>
      <c r="DJ111" s="560"/>
      <c r="DK111" s="561"/>
      <c r="DL111" s="562"/>
      <c r="DM111" s="561"/>
      <c r="DN111" s="563"/>
      <c r="DO111" s="564"/>
      <c r="DP111" s="564"/>
      <c r="DQ111" s="564"/>
      <c r="DR111" s="560"/>
      <c r="DS111" s="561"/>
      <c r="DT111" s="562"/>
      <c r="DU111" s="561"/>
      <c r="DV111" s="563"/>
      <c r="DW111" s="564"/>
      <c r="DX111" s="564"/>
      <c r="DY111" s="564"/>
      <c r="DZ111" s="560"/>
      <c r="EA111" s="561"/>
      <c r="EB111" s="562"/>
      <c r="EC111" s="561"/>
      <c r="ED111" s="563"/>
      <c r="EE111" s="564"/>
      <c r="EF111" s="564"/>
      <c r="EG111" s="564"/>
      <c r="EH111" s="560"/>
      <c r="EI111" s="561"/>
      <c r="EJ111" s="562"/>
      <c r="EK111" s="561"/>
      <c r="EL111" s="563"/>
      <c r="EM111" s="564"/>
      <c r="EN111" s="564"/>
      <c r="EO111" s="564"/>
      <c r="EP111" s="560"/>
      <c r="EQ111" s="561"/>
      <c r="ER111" s="562"/>
      <c r="ES111" s="561"/>
      <c r="ET111" s="563"/>
      <c r="EU111" s="564"/>
      <c r="EV111" s="564"/>
      <c r="EW111" s="564"/>
      <c r="EX111" s="560"/>
      <c r="EY111" s="561"/>
      <c r="EZ111" s="562"/>
      <c r="FA111" s="561"/>
      <c r="FB111" s="563"/>
      <c r="FC111" s="564"/>
      <c r="FD111" s="564"/>
      <c r="FE111" s="564"/>
      <c r="FF111" s="560"/>
      <c r="FG111" s="561"/>
      <c r="FH111" s="562"/>
      <c r="FI111" s="561"/>
      <c r="FJ111" s="563"/>
      <c r="FK111" s="564"/>
      <c r="FL111" s="564"/>
      <c r="FM111" s="564"/>
      <c r="FN111" s="560"/>
      <c r="FO111" s="561"/>
      <c r="FP111" s="562"/>
      <c r="FQ111" s="561"/>
      <c r="FR111" s="563"/>
      <c r="FS111" s="564"/>
      <c r="FT111" s="564"/>
      <c r="FU111" s="564"/>
      <c r="FV111" s="560"/>
      <c r="FW111" s="566"/>
      <c r="FX111" s="566"/>
      <c r="FY111" s="566"/>
      <c r="FZ111" s="563"/>
      <c r="GA111" s="564"/>
      <c r="GB111" s="564"/>
      <c r="GC111" s="564"/>
      <c r="GD111" s="560"/>
      <c r="GE111" s="566"/>
      <c r="GF111" s="566"/>
      <c r="GG111" s="566"/>
      <c r="GH111" s="563"/>
      <c r="GI111" s="564"/>
      <c r="GJ111" s="564"/>
      <c r="GK111" s="564"/>
      <c r="GL111" s="560"/>
      <c r="GM111" s="566"/>
      <c r="GN111" s="566"/>
      <c r="GO111" s="566"/>
      <c r="GP111" s="563"/>
      <c r="GQ111" s="564"/>
      <c r="GR111" s="564"/>
      <c r="GS111" s="564"/>
      <c r="GT111" s="560"/>
      <c r="GU111" s="566"/>
      <c r="GV111" s="566"/>
      <c r="GW111" s="566"/>
      <c r="GX111" s="563"/>
      <c r="GY111" s="564"/>
      <c r="GZ111" s="564"/>
      <c r="HA111" s="590"/>
      <c r="HB111" s="560"/>
      <c r="HC111" s="566"/>
      <c r="HD111" s="566"/>
      <c r="HE111" s="566"/>
      <c r="HF111" s="563"/>
      <c r="HG111" s="564"/>
      <c r="HH111" s="564"/>
      <c r="HI111" s="590"/>
      <c r="HJ111" s="560"/>
      <c r="HK111" s="566"/>
      <c r="HL111" s="566"/>
      <c r="HM111" s="566"/>
      <c r="HN111" s="563"/>
      <c r="HO111" s="564"/>
      <c r="HP111" s="564"/>
      <c r="HQ111" s="590"/>
      <c r="HR111" s="560"/>
      <c r="HS111" s="566"/>
      <c r="HT111" s="566"/>
      <c r="HU111" s="566"/>
    </row>
    <row r="112" spans="2:229" s="506" customFormat="1" ht="89.5" customHeight="1" thickBot="1" x14ac:dyDescent="0.4">
      <c r="B112" s="544">
        <v>43</v>
      </c>
      <c r="C112" s="544" t="s">
        <v>46</v>
      </c>
      <c r="D112" s="545" t="s">
        <v>44</v>
      </c>
      <c r="E112" s="558" t="s">
        <v>525</v>
      </c>
      <c r="F112" s="546" t="s">
        <v>526</v>
      </c>
      <c r="G112" s="546" t="s">
        <v>527</v>
      </c>
      <c r="H112" s="547" t="s">
        <v>528</v>
      </c>
      <c r="I112" s="548">
        <f>Q112+5</f>
        <v>46130</v>
      </c>
      <c r="J112" s="705">
        <v>3</v>
      </c>
      <c r="K112" s="568" t="s">
        <v>62</v>
      </c>
      <c r="L112" s="548"/>
      <c r="M112" s="569" t="s">
        <v>117</v>
      </c>
      <c r="N112" s="551" t="s">
        <v>63</v>
      </c>
      <c r="O112" s="552">
        <v>185</v>
      </c>
      <c r="P112" s="553">
        <v>46065</v>
      </c>
      <c r="Q112" s="553">
        <v>46125</v>
      </c>
      <c r="R112" s="554" t="s">
        <v>161</v>
      </c>
      <c r="S112" s="555">
        <f ca="1">IF(R112="Aprobado / Emitir Rev_0", NETWORKDAYS(Q112,TODAY(),Hoja1!$C$3:$C$25),0)</f>
        <v>5</v>
      </c>
      <c r="T112" s="555">
        <f ca="1">IF(R112="Revisión INN",NETWORKDAYS(P112,TODAY(),Hoja1!$C$3:$C$25),0)</f>
        <v>0</v>
      </c>
      <c r="U112" s="556">
        <f t="shared" si="3"/>
        <v>2</v>
      </c>
      <c r="V112" s="557" t="s">
        <v>125</v>
      </c>
      <c r="W112" s="558">
        <v>107</v>
      </c>
      <c r="X112" s="558"/>
      <c r="Y112" s="559">
        <v>46006</v>
      </c>
      <c r="Z112" s="560">
        <v>111</v>
      </c>
      <c r="AA112" s="561">
        <v>46041</v>
      </c>
      <c r="AB112" s="562"/>
      <c r="AC112" s="561" t="s">
        <v>162</v>
      </c>
      <c r="AD112" s="563" t="s">
        <v>63</v>
      </c>
      <c r="AE112" s="567">
        <v>173</v>
      </c>
      <c r="AF112" s="564"/>
      <c r="AG112" s="565">
        <v>46065</v>
      </c>
      <c r="AH112" s="589">
        <v>185</v>
      </c>
      <c r="AI112" s="593">
        <v>46125</v>
      </c>
      <c r="AJ112" s="562"/>
      <c r="AK112" s="593" t="s">
        <v>128</v>
      </c>
      <c r="AL112" s="563"/>
      <c r="AM112" s="567"/>
      <c r="AN112" s="564"/>
      <c r="AO112" s="565"/>
      <c r="AP112" s="560"/>
      <c r="AQ112" s="561"/>
      <c r="AR112" s="562"/>
      <c r="AS112" s="561"/>
      <c r="AT112" s="563"/>
      <c r="AU112" s="567"/>
      <c r="AV112" s="564"/>
      <c r="AW112" s="565"/>
      <c r="AX112" s="560"/>
      <c r="AY112" s="561"/>
      <c r="AZ112" s="562"/>
      <c r="BA112" s="561"/>
      <c r="BB112" s="563"/>
      <c r="BC112" s="567"/>
      <c r="BD112" s="564"/>
      <c r="BE112" s="565"/>
      <c r="BF112" s="560"/>
      <c r="BG112" s="561"/>
      <c r="BH112" s="562"/>
      <c r="BI112" s="561"/>
      <c r="BJ112" s="563"/>
      <c r="BK112" s="567"/>
      <c r="BL112" s="564"/>
      <c r="BM112" s="565"/>
      <c r="BN112" s="560"/>
      <c r="BO112" s="561"/>
      <c r="BP112" s="562"/>
      <c r="BQ112" s="561"/>
      <c r="BR112" s="563"/>
      <c r="BS112" s="567"/>
      <c r="BT112" s="564"/>
      <c r="BU112" s="565"/>
      <c r="BV112" s="560"/>
      <c r="BW112" s="561"/>
      <c r="BX112" s="562"/>
      <c r="BY112" s="561"/>
      <c r="BZ112" s="563"/>
      <c r="CA112" s="567"/>
      <c r="CB112" s="564"/>
      <c r="CC112" s="565"/>
      <c r="CD112" s="560"/>
      <c r="CE112" s="561"/>
      <c r="CF112" s="562"/>
      <c r="CG112" s="561"/>
      <c r="CH112" s="563"/>
      <c r="CI112" s="564"/>
      <c r="CJ112" s="564"/>
      <c r="CK112" s="564"/>
      <c r="CL112" s="560"/>
      <c r="CM112" s="561"/>
      <c r="CN112" s="562"/>
      <c r="CO112" s="561"/>
      <c r="CP112" s="563"/>
      <c r="CQ112" s="564"/>
      <c r="CR112" s="564"/>
      <c r="CS112" s="564"/>
      <c r="CT112" s="560"/>
      <c r="CU112" s="561"/>
      <c r="CV112" s="562"/>
      <c r="CW112" s="561"/>
      <c r="CX112" s="563"/>
      <c r="CY112" s="564"/>
      <c r="CZ112" s="564"/>
      <c r="DA112" s="564"/>
      <c r="DB112" s="560"/>
      <c r="DC112" s="561"/>
      <c r="DD112" s="562"/>
      <c r="DE112" s="561"/>
      <c r="DF112" s="563"/>
      <c r="DG112" s="564"/>
      <c r="DH112" s="564"/>
      <c r="DI112" s="564"/>
      <c r="DJ112" s="560"/>
      <c r="DK112" s="561"/>
      <c r="DL112" s="562"/>
      <c r="DM112" s="561"/>
      <c r="DN112" s="563"/>
      <c r="DO112" s="564"/>
      <c r="DP112" s="564"/>
      <c r="DQ112" s="564"/>
      <c r="DR112" s="560"/>
      <c r="DS112" s="561"/>
      <c r="DT112" s="562"/>
      <c r="DU112" s="561"/>
      <c r="DV112" s="563"/>
      <c r="DW112" s="564"/>
      <c r="DX112" s="564"/>
      <c r="DY112" s="564"/>
      <c r="DZ112" s="560"/>
      <c r="EA112" s="561"/>
      <c r="EB112" s="562"/>
      <c r="EC112" s="561"/>
      <c r="ED112" s="563"/>
      <c r="EE112" s="564"/>
      <c r="EF112" s="564"/>
      <c r="EG112" s="564"/>
      <c r="EH112" s="560"/>
      <c r="EI112" s="561"/>
      <c r="EJ112" s="562"/>
      <c r="EK112" s="561"/>
      <c r="EL112" s="563"/>
      <c r="EM112" s="564"/>
      <c r="EN112" s="564"/>
      <c r="EO112" s="564"/>
      <c r="EP112" s="560"/>
      <c r="EQ112" s="561"/>
      <c r="ER112" s="562"/>
      <c r="ES112" s="561"/>
      <c r="ET112" s="563"/>
      <c r="EU112" s="564"/>
      <c r="EV112" s="564"/>
      <c r="EW112" s="564"/>
      <c r="EX112" s="560"/>
      <c r="EY112" s="561"/>
      <c r="EZ112" s="562"/>
      <c r="FA112" s="561"/>
      <c r="FB112" s="563"/>
      <c r="FC112" s="564"/>
      <c r="FD112" s="564"/>
      <c r="FE112" s="564"/>
      <c r="FF112" s="560"/>
      <c r="FG112" s="561"/>
      <c r="FH112" s="562"/>
      <c r="FI112" s="561"/>
      <c r="FJ112" s="563"/>
      <c r="FK112" s="564"/>
      <c r="FL112" s="564"/>
      <c r="FM112" s="564"/>
      <c r="FN112" s="560"/>
      <c r="FO112" s="561"/>
      <c r="FP112" s="562"/>
      <c r="FQ112" s="561"/>
      <c r="FR112" s="563"/>
      <c r="FS112" s="564"/>
      <c r="FT112" s="564"/>
      <c r="FU112" s="564"/>
      <c r="FV112" s="560"/>
      <c r="FW112" s="566"/>
      <c r="FX112" s="566"/>
      <c r="FY112" s="566"/>
      <c r="FZ112" s="563"/>
      <c r="GA112" s="564"/>
      <c r="GB112" s="564"/>
      <c r="GC112" s="564"/>
      <c r="GD112" s="560"/>
      <c r="GE112" s="566"/>
      <c r="GF112" s="566"/>
      <c r="GG112" s="566"/>
      <c r="GH112" s="563"/>
      <c r="GI112" s="564"/>
      <c r="GJ112" s="564"/>
      <c r="GK112" s="564"/>
      <c r="GL112" s="560"/>
      <c r="GM112" s="566"/>
      <c r="GN112" s="566"/>
      <c r="GO112" s="566"/>
      <c r="GP112" s="563"/>
      <c r="GQ112" s="564"/>
      <c r="GR112" s="564"/>
      <c r="GS112" s="564"/>
      <c r="GT112" s="560"/>
      <c r="GU112" s="566"/>
      <c r="GV112" s="566"/>
      <c r="GW112" s="566"/>
      <c r="GX112" s="563"/>
      <c r="GY112" s="564"/>
      <c r="GZ112" s="564"/>
      <c r="HA112" s="590"/>
      <c r="HB112" s="560"/>
      <c r="HC112" s="566"/>
      <c r="HD112" s="566"/>
      <c r="HE112" s="566"/>
      <c r="HF112" s="563"/>
      <c r="HG112" s="564"/>
      <c r="HH112" s="564"/>
      <c r="HI112" s="590"/>
      <c r="HJ112" s="560"/>
      <c r="HK112" s="566"/>
      <c r="HL112" s="566"/>
      <c r="HM112" s="566"/>
      <c r="HN112" s="563"/>
      <c r="HO112" s="564"/>
      <c r="HP112" s="564"/>
      <c r="HQ112" s="590"/>
      <c r="HR112" s="560"/>
      <c r="HS112" s="566"/>
      <c r="HT112" s="566"/>
      <c r="HU112" s="566"/>
    </row>
    <row r="113" spans="2:229" s="506" customFormat="1" ht="106" customHeight="1" x14ac:dyDescent="0.35">
      <c r="B113" s="544">
        <v>71</v>
      </c>
      <c r="C113" s="544" t="s">
        <v>244</v>
      </c>
      <c r="D113" s="545" t="s">
        <v>59</v>
      </c>
      <c r="E113" s="545" t="s">
        <v>529</v>
      </c>
      <c r="F113" s="546" t="s">
        <v>530</v>
      </c>
      <c r="G113" s="546" t="s">
        <v>531</v>
      </c>
      <c r="H113" s="547" t="s">
        <v>532</v>
      </c>
      <c r="I113" s="548">
        <f>Q113+5</f>
        <v>46110</v>
      </c>
      <c r="J113" s="568"/>
      <c r="K113" s="568" t="s">
        <v>62</v>
      </c>
      <c r="L113" s="549"/>
      <c r="M113" s="569" t="s">
        <v>117</v>
      </c>
      <c r="N113" s="551">
        <v>2</v>
      </c>
      <c r="O113" s="552">
        <v>260</v>
      </c>
      <c r="P113" s="553">
        <v>46125</v>
      </c>
      <c r="Q113" s="553">
        <v>46105</v>
      </c>
      <c r="R113" s="554" t="s">
        <v>151</v>
      </c>
      <c r="S113" s="555">
        <f ca="1">IF(R113="Aprobado con comentarios / Emitir Rev_2", NETWORKDAYS(Q113,TODAY(),Hoja1!$C$3:$C$25),0)</f>
        <v>0</v>
      </c>
      <c r="T113" s="555">
        <f ca="1">IF(R113="Revisión INN",NETWORKDAYS(P113,TODAY(),Hoja1!$C$3:$C$25),0)</f>
        <v>5</v>
      </c>
      <c r="U113" s="556">
        <f t="shared" si="3"/>
        <v>8</v>
      </c>
      <c r="V113" s="557" t="s">
        <v>125</v>
      </c>
      <c r="W113" s="558">
        <v>28</v>
      </c>
      <c r="X113" s="558"/>
      <c r="Y113" s="559">
        <v>45929</v>
      </c>
      <c r="Z113" s="560">
        <v>30</v>
      </c>
      <c r="AA113" s="561">
        <v>45932</v>
      </c>
      <c r="AB113" s="562">
        <f>AA113-Y113</f>
        <v>3</v>
      </c>
      <c r="AC113" s="561" t="s">
        <v>167</v>
      </c>
      <c r="AD113" s="563" t="s">
        <v>63</v>
      </c>
      <c r="AE113" s="564">
        <v>34</v>
      </c>
      <c r="AF113" s="564">
        <f>AG113-AA113</f>
        <v>4</v>
      </c>
      <c r="AG113" s="565">
        <v>45936</v>
      </c>
      <c r="AH113" s="560">
        <v>54</v>
      </c>
      <c r="AI113" s="561">
        <v>45964</v>
      </c>
      <c r="AJ113" s="562">
        <f>AI113-AG113</f>
        <v>28</v>
      </c>
      <c r="AK113" s="561" t="s">
        <v>186</v>
      </c>
      <c r="AL113" s="563">
        <v>0</v>
      </c>
      <c r="AM113" s="564">
        <v>63</v>
      </c>
      <c r="AN113" s="564"/>
      <c r="AO113" s="565">
        <v>45960</v>
      </c>
      <c r="AP113" s="560">
        <v>58</v>
      </c>
      <c r="AQ113" s="561">
        <v>45966</v>
      </c>
      <c r="AR113" s="562">
        <f>AQ113-AO113</f>
        <v>6</v>
      </c>
      <c r="AS113" s="561" t="s">
        <v>67</v>
      </c>
      <c r="AT113" s="563" t="s">
        <v>200</v>
      </c>
      <c r="AU113" s="564">
        <v>66</v>
      </c>
      <c r="AV113" s="564"/>
      <c r="AW113" s="565">
        <v>45968</v>
      </c>
      <c r="AX113" s="560">
        <v>78</v>
      </c>
      <c r="AY113" s="594">
        <v>46007</v>
      </c>
      <c r="AZ113" s="560" t="s">
        <v>62</v>
      </c>
      <c r="BA113" s="560" t="s">
        <v>514</v>
      </c>
      <c r="BB113" s="563" t="s">
        <v>361</v>
      </c>
      <c r="BC113" s="564">
        <v>84</v>
      </c>
      <c r="BD113" s="564"/>
      <c r="BE113" s="565">
        <v>45987</v>
      </c>
      <c r="BF113" s="560" t="s">
        <v>524</v>
      </c>
      <c r="BG113" s="594">
        <v>46007</v>
      </c>
      <c r="BH113" s="560" t="s">
        <v>62</v>
      </c>
      <c r="BI113" s="560" t="s">
        <v>514</v>
      </c>
      <c r="BJ113" s="563" t="s">
        <v>363</v>
      </c>
      <c r="BK113" s="564">
        <v>104</v>
      </c>
      <c r="BL113" s="564"/>
      <c r="BM113" s="565">
        <v>46002</v>
      </c>
      <c r="BN113" s="560">
        <v>78</v>
      </c>
      <c r="BO113" s="561">
        <v>46007</v>
      </c>
      <c r="BP113" s="562"/>
      <c r="BQ113" s="561" t="s">
        <v>515</v>
      </c>
      <c r="BR113" s="595" t="s">
        <v>365</v>
      </c>
      <c r="BS113" s="564">
        <v>115</v>
      </c>
      <c r="BT113" s="564"/>
      <c r="BU113" s="565">
        <v>46010</v>
      </c>
      <c r="BV113" s="560">
        <v>128</v>
      </c>
      <c r="BW113" s="561">
        <v>46055</v>
      </c>
      <c r="BX113" s="562"/>
      <c r="BY113" s="561" t="s">
        <v>129</v>
      </c>
      <c r="BZ113" s="563">
        <v>1</v>
      </c>
      <c r="CA113" s="564">
        <v>208</v>
      </c>
      <c r="CB113" s="564"/>
      <c r="CC113" s="565">
        <v>46086</v>
      </c>
      <c r="CD113" s="560">
        <v>164</v>
      </c>
      <c r="CE113" s="561">
        <v>46105</v>
      </c>
      <c r="CF113" s="592"/>
      <c r="CG113" s="561" t="s">
        <v>187</v>
      </c>
      <c r="CH113" s="563">
        <v>2</v>
      </c>
      <c r="CI113" s="564">
        <v>258</v>
      </c>
      <c r="CJ113" s="564"/>
      <c r="CK113" s="590">
        <v>46122</v>
      </c>
      <c r="CL113" s="769"/>
      <c r="CM113" s="770"/>
      <c r="CN113" s="562"/>
      <c r="CO113" s="770"/>
      <c r="CP113" s="591">
        <v>2</v>
      </c>
      <c r="CQ113" s="630">
        <v>260</v>
      </c>
      <c r="CR113" s="564"/>
      <c r="CS113" s="631">
        <v>46125</v>
      </c>
      <c r="CT113" s="560"/>
      <c r="CU113" s="561"/>
      <c r="CV113" s="562"/>
      <c r="CW113" s="561"/>
      <c r="CX113" s="563"/>
      <c r="CY113" s="564"/>
      <c r="CZ113" s="564"/>
      <c r="DA113" s="564"/>
      <c r="DB113" s="560"/>
      <c r="DC113" s="561"/>
      <c r="DD113" s="562"/>
      <c r="DE113" s="561"/>
      <c r="DF113" s="563"/>
      <c r="DG113" s="564"/>
      <c r="DH113" s="564"/>
      <c r="DI113" s="564"/>
      <c r="DJ113" s="560"/>
      <c r="DK113" s="561"/>
      <c r="DL113" s="562"/>
      <c r="DM113" s="561"/>
      <c r="DN113" s="563"/>
      <c r="DO113" s="564"/>
      <c r="DP113" s="564"/>
      <c r="DQ113" s="564"/>
      <c r="DR113" s="560"/>
      <c r="DS113" s="561"/>
      <c r="DT113" s="562"/>
      <c r="DU113" s="561"/>
      <c r="DV113" s="563"/>
      <c r="DW113" s="564"/>
      <c r="DX113" s="564"/>
      <c r="DY113" s="564"/>
      <c r="DZ113" s="560"/>
      <c r="EA113" s="561"/>
      <c r="EB113" s="562"/>
      <c r="EC113" s="561"/>
      <c r="ED113" s="563"/>
      <c r="EE113" s="564"/>
      <c r="EF113" s="564"/>
      <c r="EG113" s="564"/>
      <c r="EH113" s="560"/>
      <c r="EI113" s="561"/>
      <c r="EJ113" s="562"/>
      <c r="EK113" s="561"/>
      <c r="EL113" s="563"/>
      <c r="EM113" s="564"/>
      <c r="EN113" s="564"/>
      <c r="EO113" s="564"/>
      <c r="EP113" s="560"/>
      <c r="EQ113" s="561"/>
      <c r="ER113" s="562"/>
      <c r="ES113" s="561"/>
      <c r="ET113" s="563"/>
      <c r="EU113" s="564"/>
      <c r="EV113" s="564"/>
      <c r="EW113" s="564"/>
      <c r="EX113" s="560"/>
      <c r="EY113" s="561"/>
      <c r="EZ113" s="562"/>
      <c r="FA113" s="561"/>
      <c r="FB113" s="563"/>
      <c r="FC113" s="564"/>
      <c r="FD113" s="564"/>
      <c r="FE113" s="564"/>
      <c r="FF113" s="560"/>
      <c r="FG113" s="561"/>
      <c r="FH113" s="562"/>
      <c r="FI113" s="561"/>
      <c r="FJ113" s="563"/>
      <c r="FK113" s="564"/>
      <c r="FL113" s="564"/>
      <c r="FM113" s="564"/>
      <c r="FN113" s="560"/>
      <c r="FO113" s="561"/>
      <c r="FP113" s="562"/>
      <c r="FQ113" s="561"/>
      <c r="FR113" s="563"/>
      <c r="FS113" s="564"/>
      <c r="FT113" s="564"/>
      <c r="FU113" s="564"/>
      <c r="FV113" s="560"/>
      <c r="FW113" s="566"/>
      <c r="FX113" s="566"/>
      <c r="FY113" s="566"/>
      <c r="FZ113" s="563"/>
      <c r="GA113" s="564"/>
      <c r="GB113" s="564"/>
      <c r="GC113" s="564"/>
      <c r="GD113" s="560"/>
      <c r="GE113" s="566"/>
      <c r="GF113" s="566"/>
      <c r="GG113" s="566"/>
      <c r="GH113" s="563"/>
      <c r="GI113" s="564"/>
      <c r="GJ113" s="564"/>
      <c r="GK113" s="564"/>
      <c r="GL113" s="560"/>
      <c r="GM113" s="566"/>
      <c r="GN113" s="566"/>
      <c r="GO113" s="566"/>
      <c r="GP113" s="563"/>
      <c r="GQ113" s="564"/>
      <c r="GR113" s="564"/>
      <c r="GS113" s="564"/>
      <c r="GT113" s="560"/>
      <c r="GU113" s="566"/>
      <c r="GV113" s="566"/>
      <c r="GW113" s="566"/>
      <c r="GX113" s="541"/>
      <c r="GY113" s="535"/>
      <c r="GZ113" s="542"/>
      <c r="HA113" s="543"/>
      <c r="HB113" s="541"/>
      <c r="HC113" s="535"/>
      <c r="HD113" s="542"/>
      <c r="HE113" s="543"/>
      <c r="HF113" s="541"/>
      <c r="HG113" s="535"/>
      <c r="HH113" s="542"/>
      <c r="HI113" s="543"/>
      <c r="HJ113" s="541"/>
      <c r="HK113" s="535"/>
      <c r="HL113" s="542"/>
      <c r="HM113" s="543"/>
      <c r="HN113" s="541"/>
      <c r="HO113" s="535"/>
      <c r="HP113" s="542"/>
      <c r="HQ113" s="543"/>
      <c r="HR113" s="541"/>
      <c r="HS113" s="535"/>
      <c r="HT113" s="542"/>
      <c r="HU113" s="543"/>
    </row>
    <row r="114" spans="2:229" s="506" customFormat="1" ht="67" customHeight="1" x14ac:dyDescent="0.35">
      <c r="B114" s="544">
        <v>109</v>
      </c>
      <c r="C114" s="544" t="s">
        <v>145</v>
      </c>
      <c r="D114" s="545" t="s">
        <v>44</v>
      </c>
      <c r="E114" s="545" t="s">
        <v>533</v>
      </c>
      <c r="F114" s="546" t="s">
        <v>534</v>
      </c>
      <c r="G114" s="546" t="s">
        <v>46</v>
      </c>
      <c r="H114" s="547" t="s">
        <v>535</v>
      </c>
      <c r="I114" s="548">
        <v>46080</v>
      </c>
      <c r="J114" s="705">
        <v>3</v>
      </c>
      <c r="K114" s="568" t="s">
        <v>62</v>
      </c>
      <c r="L114" s="710"/>
      <c r="M114" s="569" t="s">
        <v>123</v>
      </c>
      <c r="N114" s="551" t="s">
        <v>63</v>
      </c>
      <c r="O114" s="552">
        <v>187</v>
      </c>
      <c r="P114" s="553">
        <v>46080</v>
      </c>
      <c r="Q114" s="554">
        <v>46125</v>
      </c>
      <c r="R114" s="554" t="s">
        <v>191</v>
      </c>
      <c r="S114" s="555">
        <f ca="1">IF(R114="Aprobado con comentarios / Emitir Rev_0", NETWORKDAYS(Q114,TODAY(),Hoja1!$C$3:$C$25),0)</f>
        <v>5</v>
      </c>
      <c r="T114" s="555">
        <f ca="1">IF(R114="Revisión INN",NETWORKDAYS(P114,TODAY(),Hoja1!$C$3:$C$25),0)</f>
        <v>0</v>
      </c>
      <c r="U114" s="556">
        <f t="shared" ref="U114:U145" si="4">ROUNDUP(((COUNTA(V114:GW114)/4)/2),0)</f>
        <v>1</v>
      </c>
      <c r="V114" s="557" t="s">
        <v>63</v>
      </c>
      <c r="W114" s="558">
        <v>200</v>
      </c>
      <c r="X114" s="558"/>
      <c r="Y114" s="559">
        <v>46080</v>
      </c>
      <c r="Z114" s="589">
        <v>187</v>
      </c>
      <c r="AA114" s="593">
        <v>46125</v>
      </c>
      <c r="AB114" s="562"/>
      <c r="AC114" s="593" t="s">
        <v>191</v>
      </c>
      <c r="AD114" s="563"/>
      <c r="AE114" s="567"/>
      <c r="AF114" s="564"/>
      <c r="AG114" s="565"/>
      <c r="AH114" s="560"/>
      <c r="AI114" s="561"/>
      <c r="AJ114" s="562"/>
      <c r="AK114" s="561"/>
      <c r="AL114" s="563"/>
      <c r="AM114" s="567"/>
      <c r="AN114" s="564"/>
      <c r="AO114" s="565"/>
      <c r="AP114" s="560"/>
      <c r="AQ114" s="561"/>
      <c r="AR114" s="562"/>
      <c r="AS114" s="561"/>
      <c r="AT114" s="563"/>
      <c r="AU114" s="567"/>
      <c r="AV114" s="564"/>
      <c r="AW114" s="565"/>
      <c r="AX114" s="560"/>
      <c r="AY114" s="561"/>
      <c r="AZ114" s="562"/>
      <c r="BA114" s="561"/>
      <c r="BB114" s="563"/>
      <c r="BC114" s="567"/>
      <c r="BD114" s="564"/>
      <c r="BE114" s="565"/>
      <c r="BF114" s="560"/>
      <c r="BG114" s="561"/>
      <c r="BH114" s="562"/>
      <c r="BI114" s="561"/>
      <c r="BJ114" s="563"/>
      <c r="BK114" s="567"/>
      <c r="BL114" s="564"/>
      <c r="BM114" s="565"/>
      <c r="BN114" s="560"/>
      <c r="BO114" s="561"/>
      <c r="BP114" s="562"/>
      <c r="BQ114" s="561"/>
      <c r="BR114" s="563"/>
      <c r="BS114" s="567"/>
      <c r="BT114" s="564"/>
      <c r="BU114" s="565"/>
      <c r="BV114" s="560"/>
      <c r="BW114" s="561"/>
      <c r="BX114" s="562"/>
      <c r="BY114" s="561"/>
      <c r="BZ114" s="563"/>
      <c r="CA114" s="567"/>
      <c r="CB114" s="564"/>
      <c r="CC114" s="565"/>
      <c r="CD114" s="560"/>
      <c r="CE114" s="561"/>
      <c r="CF114" s="562"/>
      <c r="CG114" s="561"/>
      <c r="CH114" s="563"/>
      <c r="CI114" s="564"/>
      <c r="CJ114" s="564"/>
      <c r="CK114" s="564"/>
      <c r="CL114" s="560"/>
      <c r="CM114" s="561"/>
      <c r="CN114" s="562"/>
      <c r="CO114" s="561"/>
      <c r="CP114" s="563"/>
      <c r="CQ114" s="564"/>
      <c r="CR114" s="564"/>
      <c r="CS114" s="564"/>
      <c r="CT114" s="560"/>
      <c r="CU114" s="561"/>
      <c r="CV114" s="562"/>
      <c r="CW114" s="561"/>
      <c r="CX114" s="563"/>
      <c r="CY114" s="564"/>
      <c r="CZ114" s="564"/>
      <c r="DA114" s="564"/>
      <c r="DB114" s="560"/>
      <c r="DC114" s="561"/>
      <c r="DD114" s="562"/>
      <c r="DE114" s="561"/>
      <c r="DF114" s="563"/>
      <c r="DG114" s="564"/>
      <c r="DH114" s="564"/>
      <c r="DI114" s="564"/>
      <c r="DJ114" s="560"/>
      <c r="DK114" s="561"/>
      <c r="DL114" s="562"/>
      <c r="DM114" s="561"/>
      <c r="DN114" s="563"/>
      <c r="DO114" s="564"/>
      <c r="DP114" s="564"/>
      <c r="DQ114" s="564"/>
      <c r="DR114" s="560"/>
      <c r="DS114" s="561"/>
      <c r="DT114" s="562"/>
      <c r="DU114" s="561"/>
      <c r="DV114" s="563"/>
      <c r="DW114" s="564"/>
      <c r="DX114" s="564"/>
      <c r="DY114" s="564"/>
      <c r="DZ114" s="560"/>
      <c r="EA114" s="561"/>
      <c r="EB114" s="562"/>
      <c r="EC114" s="561"/>
      <c r="ED114" s="563"/>
      <c r="EE114" s="564"/>
      <c r="EF114" s="564"/>
      <c r="EG114" s="564"/>
      <c r="EH114" s="560"/>
      <c r="EI114" s="561"/>
      <c r="EJ114" s="562"/>
      <c r="EK114" s="561"/>
      <c r="EL114" s="563"/>
      <c r="EM114" s="564"/>
      <c r="EN114" s="564"/>
      <c r="EO114" s="564"/>
      <c r="EP114" s="560"/>
      <c r="EQ114" s="561"/>
      <c r="ER114" s="562"/>
      <c r="ES114" s="561"/>
      <c r="ET114" s="563"/>
      <c r="EU114" s="564"/>
      <c r="EV114" s="564"/>
      <c r="EW114" s="564"/>
      <c r="EX114" s="560"/>
      <c r="EY114" s="561"/>
      <c r="EZ114" s="562"/>
      <c r="FA114" s="561"/>
      <c r="FB114" s="563"/>
      <c r="FC114" s="564"/>
      <c r="FD114" s="564"/>
      <c r="FE114" s="564"/>
      <c r="FF114" s="560"/>
      <c r="FG114" s="561"/>
      <c r="FH114" s="562"/>
      <c r="FI114" s="561"/>
      <c r="FJ114" s="563"/>
      <c r="FK114" s="564"/>
      <c r="FL114" s="564"/>
      <c r="FM114" s="564"/>
      <c r="FN114" s="560"/>
      <c r="FO114" s="561"/>
      <c r="FP114" s="562"/>
      <c r="FQ114" s="561"/>
      <c r="FR114" s="563"/>
      <c r="FS114" s="564"/>
      <c r="FT114" s="564"/>
      <c r="FU114" s="564"/>
      <c r="FV114" s="560"/>
      <c r="FW114" s="566"/>
      <c r="FX114" s="566"/>
      <c r="FY114" s="566"/>
      <c r="FZ114" s="563"/>
      <c r="GA114" s="564"/>
      <c r="GB114" s="564"/>
      <c r="GC114" s="564"/>
      <c r="GD114" s="560"/>
      <c r="GE114" s="566"/>
      <c r="GF114" s="566"/>
      <c r="GG114" s="566"/>
      <c r="GH114" s="563"/>
      <c r="GI114" s="564"/>
      <c r="GJ114" s="564"/>
      <c r="GK114" s="564"/>
      <c r="GL114" s="560"/>
      <c r="GM114" s="566"/>
      <c r="GN114" s="566"/>
      <c r="GO114" s="566"/>
      <c r="GP114" s="563"/>
      <c r="GQ114" s="564"/>
      <c r="GR114" s="564"/>
      <c r="GS114" s="564"/>
      <c r="GT114" s="560"/>
      <c r="GU114" s="566"/>
      <c r="GV114" s="566"/>
      <c r="GW114" s="566"/>
      <c r="GX114" s="563"/>
      <c r="GY114" s="564"/>
      <c r="GZ114" s="564"/>
      <c r="HA114" s="590"/>
      <c r="HB114" s="560"/>
      <c r="HC114" s="566"/>
      <c r="HD114" s="566"/>
      <c r="HE114" s="566"/>
      <c r="HF114" s="563"/>
      <c r="HG114" s="564"/>
      <c r="HH114" s="564"/>
      <c r="HI114" s="590"/>
      <c r="HJ114" s="560"/>
      <c r="HK114" s="566"/>
      <c r="HL114" s="566"/>
      <c r="HM114" s="566"/>
      <c r="HN114" s="563"/>
      <c r="HO114" s="564"/>
      <c r="HP114" s="564"/>
      <c r="HQ114" s="590"/>
      <c r="HR114" s="560"/>
      <c r="HS114" s="566"/>
      <c r="HT114" s="566"/>
      <c r="HU114" s="566"/>
    </row>
    <row r="115" spans="2:229" s="506" customFormat="1" ht="106" customHeight="1" x14ac:dyDescent="0.35">
      <c r="B115" s="544">
        <v>159</v>
      </c>
      <c r="C115" s="544" t="s">
        <v>145</v>
      </c>
      <c r="D115" s="545" t="s">
        <v>44</v>
      </c>
      <c r="E115" s="546" t="s">
        <v>536</v>
      </c>
      <c r="F115" s="546" t="s">
        <v>537</v>
      </c>
      <c r="G115" s="546" t="s">
        <v>538</v>
      </c>
      <c r="H115" s="547" t="s">
        <v>539</v>
      </c>
      <c r="I115" s="548" t="s">
        <v>86</v>
      </c>
      <c r="J115" s="568"/>
      <c r="K115" s="568" t="s">
        <v>86</v>
      </c>
      <c r="L115" s="549"/>
      <c r="M115" s="569" t="s">
        <v>117</v>
      </c>
      <c r="N115" s="551">
        <v>4</v>
      </c>
      <c r="O115" s="576">
        <v>261</v>
      </c>
      <c r="P115" s="553">
        <v>46126</v>
      </c>
      <c r="Q115" s="553">
        <v>46125</v>
      </c>
      <c r="R115" s="554" t="s">
        <v>151</v>
      </c>
      <c r="S115" s="555">
        <f ca="1">IF(R115="Aprobado con comentarios / Emitir Rev_4", NETWORKDAYS(Q115,TODAY(),Hoja1!$C$3:$C$25),0)</f>
        <v>0</v>
      </c>
      <c r="T115" s="555">
        <f ca="1">IF(R115="Revisión INN",NETWORKDAYS(P115,TODAY(),Hoja1!$C$3:$C$25),0)</f>
        <v>4</v>
      </c>
      <c r="U115" s="556">
        <f t="shared" si="4"/>
        <v>6</v>
      </c>
      <c r="V115" s="557" t="s">
        <v>125</v>
      </c>
      <c r="W115" s="558">
        <v>28</v>
      </c>
      <c r="X115" s="558"/>
      <c r="Y115" s="559">
        <v>45929</v>
      </c>
      <c r="Z115" s="560">
        <v>30</v>
      </c>
      <c r="AA115" s="561">
        <v>45932</v>
      </c>
      <c r="AB115" s="562">
        <f>AA115-Y115</f>
        <v>3</v>
      </c>
      <c r="AC115" s="561" t="s">
        <v>167</v>
      </c>
      <c r="AD115" s="563" t="s">
        <v>63</v>
      </c>
      <c r="AE115" s="567">
        <v>33</v>
      </c>
      <c r="AF115" s="564">
        <f>AG115-AA115</f>
        <v>1</v>
      </c>
      <c r="AG115" s="565">
        <v>45933</v>
      </c>
      <c r="AH115" s="560">
        <v>55</v>
      </c>
      <c r="AI115" s="561">
        <v>45964</v>
      </c>
      <c r="AJ115" s="562"/>
      <c r="AK115" s="561" t="s">
        <v>186</v>
      </c>
      <c r="AL115" s="563">
        <v>0</v>
      </c>
      <c r="AM115" s="567">
        <v>63</v>
      </c>
      <c r="AN115" s="564"/>
      <c r="AO115" s="565">
        <v>45960</v>
      </c>
      <c r="AP115" s="560" t="s">
        <v>540</v>
      </c>
      <c r="AQ115" s="561" t="s">
        <v>541</v>
      </c>
      <c r="AR115" s="562"/>
      <c r="AS115" s="561" t="s">
        <v>541</v>
      </c>
      <c r="AT115" s="563">
        <v>1</v>
      </c>
      <c r="AU115" s="567">
        <v>109</v>
      </c>
      <c r="AV115" s="564"/>
      <c r="AW115" s="565">
        <v>46007</v>
      </c>
      <c r="AX115" s="560">
        <v>79</v>
      </c>
      <c r="AY115" s="561">
        <v>46007</v>
      </c>
      <c r="AZ115" s="562"/>
      <c r="BA115" s="561" t="s">
        <v>187</v>
      </c>
      <c r="BB115" s="563">
        <v>2</v>
      </c>
      <c r="BC115" s="567">
        <v>131</v>
      </c>
      <c r="BD115" s="564"/>
      <c r="BE115" s="565">
        <v>46030</v>
      </c>
      <c r="BF115" s="560" t="s">
        <v>393</v>
      </c>
      <c r="BG115" s="561">
        <v>46031</v>
      </c>
      <c r="BH115" s="562"/>
      <c r="BI115" s="562" t="s">
        <v>67</v>
      </c>
      <c r="BJ115" s="563">
        <v>3</v>
      </c>
      <c r="BK115" s="567">
        <v>178</v>
      </c>
      <c r="BL115" s="564"/>
      <c r="BM115" s="565">
        <v>46070</v>
      </c>
      <c r="BN115" s="560">
        <v>186</v>
      </c>
      <c r="BO115" s="561">
        <v>46125</v>
      </c>
      <c r="BP115" s="562"/>
      <c r="BQ115" s="655" t="s">
        <v>542</v>
      </c>
      <c r="BR115" s="591">
        <v>4</v>
      </c>
      <c r="BS115" s="592">
        <v>261</v>
      </c>
      <c r="BT115" s="564"/>
      <c r="BU115" s="593">
        <v>46126</v>
      </c>
      <c r="BV115" s="560"/>
      <c r="BW115" s="561"/>
      <c r="BX115" s="562"/>
      <c r="BY115" s="561"/>
      <c r="BZ115" s="563"/>
      <c r="CA115" s="567"/>
      <c r="CB115" s="564"/>
      <c r="CC115" s="565"/>
      <c r="CD115" s="560"/>
      <c r="CE115" s="561"/>
      <c r="CF115" s="562"/>
      <c r="CG115" s="561"/>
      <c r="CH115" s="563"/>
      <c r="CI115" s="564"/>
      <c r="CJ115" s="564"/>
      <c r="CK115" s="564"/>
      <c r="CL115" s="560"/>
      <c r="CM115" s="561"/>
      <c r="CN115" s="562"/>
      <c r="CO115" s="561"/>
      <c r="CP115" s="563"/>
      <c r="CQ115" s="564"/>
      <c r="CR115" s="564"/>
      <c r="CS115" s="564"/>
      <c r="CT115" s="560"/>
      <c r="CU115" s="561"/>
      <c r="CV115" s="562"/>
      <c r="CW115" s="561"/>
      <c r="CX115" s="563"/>
      <c r="CY115" s="564"/>
      <c r="CZ115" s="564"/>
      <c r="DA115" s="564"/>
      <c r="DB115" s="560"/>
      <c r="DC115" s="561"/>
      <c r="DD115" s="562"/>
      <c r="DE115" s="561"/>
      <c r="DF115" s="563"/>
      <c r="DG115" s="564"/>
      <c r="DH115" s="564"/>
      <c r="DI115" s="564"/>
      <c r="DJ115" s="560"/>
      <c r="DK115" s="561"/>
      <c r="DL115" s="562"/>
      <c r="DM115" s="561"/>
      <c r="DN115" s="563"/>
      <c r="DO115" s="564"/>
      <c r="DP115" s="564"/>
      <c r="DQ115" s="564"/>
      <c r="DR115" s="560"/>
      <c r="DS115" s="561"/>
      <c r="DT115" s="562"/>
      <c r="DU115" s="561"/>
      <c r="DV115" s="563"/>
      <c r="DW115" s="564"/>
      <c r="DX115" s="564"/>
      <c r="DY115" s="564"/>
      <c r="DZ115" s="560"/>
      <c r="EA115" s="561"/>
      <c r="EB115" s="562"/>
      <c r="EC115" s="561"/>
      <c r="ED115" s="563"/>
      <c r="EE115" s="564"/>
      <c r="EF115" s="564"/>
      <c r="EG115" s="564"/>
      <c r="EH115" s="560"/>
      <c r="EI115" s="561"/>
      <c r="EJ115" s="562"/>
      <c r="EK115" s="561"/>
      <c r="EL115" s="563"/>
      <c r="EM115" s="564"/>
      <c r="EN115" s="564"/>
      <c r="EO115" s="564"/>
      <c r="EP115" s="560"/>
      <c r="EQ115" s="561"/>
      <c r="ER115" s="562"/>
      <c r="ES115" s="561"/>
      <c r="ET115" s="563"/>
      <c r="EU115" s="564"/>
      <c r="EV115" s="564"/>
      <c r="EW115" s="564"/>
      <c r="EX115" s="560"/>
      <c r="EY115" s="561"/>
      <c r="EZ115" s="562"/>
      <c r="FA115" s="561"/>
      <c r="FB115" s="563"/>
      <c r="FC115" s="564"/>
      <c r="FD115" s="564"/>
      <c r="FE115" s="564"/>
      <c r="FF115" s="560"/>
      <c r="FG115" s="561"/>
      <c r="FH115" s="562"/>
      <c r="FI115" s="561"/>
      <c r="FJ115" s="563"/>
      <c r="FK115" s="564"/>
      <c r="FL115" s="564"/>
      <c r="FM115" s="564"/>
      <c r="FN115" s="560"/>
      <c r="FO115" s="561"/>
      <c r="FP115" s="562"/>
      <c r="FQ115" s="561"/>
      <c r="FR115" s="563"/>
      <c r="FS115" s="564"/>
      <c r="FT115" s="564"/>
      <c r="FU115" s="564"/>
      <c r="FV115" s="560"/>
      <c r="FW115" s="566"/>
      <c r="FX115" s="566"/>
      <c r="FY115" s="566"/>
      <c r="FZ115" s="563"/>
      <c r="GA115" s="564"/>
      <c r="GB115" s="564"/>
      <c r="GC115" s="564"/>
      <c r="GD115" s="560"/>
      <c r="GE115" s="566"/>
      <c r="GF115" s="566"/>
      <c r="GG115" s="566"/>
      <c r="GH115" s="563"/>
      <c r="GI115" s="564"/>
      <c r="GJ115" s="564"/>
      <c r="GK115" s="564"/>
      <c r="GL115" s="560"/>
      <c r="GM115" s="566"/>
      <c r="GN115" s="566"/>
      <c r="GO115" s="566"/>
      <c r="GP115" s="563"/>
      <c r="GQ115" s="564"/>
      <c r="GR115" s="564"/>
      <c r="GS115" s="564"/>
      <c r="GT115" s="560"/>
      <c r="GU115" s="566"/>
      <c r="GV115" s="566"/>
      <c r="GW115" s="566"/>
      <c r="GX115" s="563"/>
      <c r="GY115" s="564"/>
      <c r="GZ115" s="564"/>
      <c r="HA115" s="590"/>
      <c r="HB115" s="560"/>
      <c r="HC115" s="566"/>
      <c r="HD115" s="566"/>
      <c r="HE115" s="566"/>
      <c r="HF115" s="563"/>
      <c r="HG115" s="564"/>
      <c r="HH115" s="564"/>
      <c r="HI115" s="590"/>
      <c r="HJ115" s="560"/>
      <c r="HK115" s="566"/>
      <c r="HL115" s="566"/>
      <c r="HM115" s="566"/>
      <c r="HN115" s="563"/>
      <c r="HO115" s="564"/>
      <c r="HP115" s="564"/>
      <c r="HQ115" s="590"/>
      <c r="HR115" s="560"/>
      <c r="HS115" s="566"/>
      <c r="HT115" s="566"/>
      <c r="HU115" s="566"/>
    </row>
    <row r="116" spans="2:229" s="506" customFormat="1" ht="69.650000000000006" customHeight="1" thickBot="1" x14ac:dyDescent="0.4">
      <c r="B116" s="544">
        <v>113</v>
      </c>
      <c r="C116" s="544" t="s">
        <v>145</v>
      </c>
      <c r="D116" s="545" t="s">
        <v>59</v>
      </c>
      <c r="E116" s="545" t="s">
        <v>543</v>
      </c>
      <c r="F116" s="546" t="s">
        <v>544</v>
      </c>
      <c r="G116" s="546" t="s">
        <v>545</v>
      </c>
      <c r="H116" s="547" t="s">
        <v>546</v>
      </c>
      <c r="I116" s="548" t="s">
        <v>448</v>
      </c>
      <c r="J116" s="705">
        <v>3</v>
      </c>
      <c r="K116" s="568" t="s">
        <v>62</v>
      </c>
      <c r="L116" s="572"/>
      <c r="M116" s="569" t="s">
        <v>87</v>
      </c>
      <c r="N116" s="551"/>
      <c r="O116" s="552"/>
      <c r="P116" s="553"/>
      <c r="Q116" s="554"/>
      <c r="R116" s="554" t="s">
        <v>450</v>
      </c>
      <c r="S116" s="555">
        <f ca="1">IF(R116="Aprobado con comentarios / Emitir en Rev_0", NETWORKDAYS(Q116,TODAY(),Hoja1!$C$3:$C$25),0)</f>
        <v>0</v>
      </c>
      <c r="T116" s="555">
        <f ca="1">IF(R116="Revisión INN",NETWORKDAYS(P116,TODAY(),Hoja1!$C$3:$C$25),0)</f>
        <v>0</v>
      </c>
      <c r="U116" s="556">
        <f t="shared" si="4"/>
        <v>0</v>
      </c>
      <c r="V116" s="557"/>
      <c r="W116" s="558"/>
      <c r="X116" s="558"/>
      <c r="Y116" s="559"/>
      <c r="Z116" s="560"/>
      <c r="AA116" s="561"/>
      <c r="AB116" s="562"/>
      <c r="AC116" s="561"/>
      <c r="AD116" s="563"/>
      <c r="AE116" s="567"/>
      <c r="AF116" s="564"/>
      <c r="AG116" s="565"/>
      <c r="AH116" s="560"/>
      <c r="AI116" s="561"/>
      <c r="AJ116" s="562"/>
      <c r="AK116" s="561"/>
      <c r="AL116" s="563"/>
      <c r="AM116" s="567"/>
      <c r="AN116" s="564"/>
      <c r="AO116" s="565"/>
      <c r="AP116" s="560"/>
      <c r="AQ116" s="561"/>
      <c r="AR116" s="562"/>
      <c r="AS116" s="561"/>
      <c r="AT116" s="563"/>
      <c r="AU116" s="567"/>
      <c r="AV116" s="564"/>
      <c r="AW116" s="565"/>
      <c r="AX116" s="560"/>
      <c r="AY116" s="561"/>
      <c r="AZ116" s="562"/>
      <c r="BA116" s="561"/>
      <c r="BB116" s="563"/>
      <c r="BC116" s="567"/>
      <c r="BD116" s="564"/>
      <c r="BE116" s="565"/>
      <c r="BF116" s="560"/>
      <c r="BG116" s="561"/>
      <c r="BH116" s="562"/>
      <c r="BI116" s="561"/>
      <c r="BJ116" s="563"/>
      <c r="BK116" s="567"/>
      <c r="BL116" s="564"/>
      <c r="BM116" s="565"/>
      <c r="BN116" s="560"/>
      <c r="BO116" s="561"/>
      <c r="BP116" s="562"/>
      <c r="BQ116" s="561"/>
      <c r="BR116" s="563"/>
      <c r="BS116" s="567"/>
      <c r="BT116" s="564"/>
      <c r="BU116" s="565"/>
      <c r="BV116" s="560"/>
      <c r="BW116" s="561"/>
      <c r="BX116" s="562"/>
      <c r="BY116" s="561"/>
      <c r="BZ116" s="563"/>
      <c r="CA116" s="567"/>
      <c r="CB116" s="564"/>
      <c r="CC116" s="565"/>
      <c r="CD116" s="560"/>
      <c r="CE116" s="561"/>
      <c r="CF116" s="562"/>
      <c r="CG116" s="561"/>
      <c r="CH116" s="563"/>
      <c r="CI116" s="564"/>
      <c r="CJ116" s="564"/>
      <c r="CK116" s="564"/>
      <c r="CL116" s="560"/>
      <c r="CM116" s="561"/>
      <c r="CN116" s="562"/>
      <c r="CO116" s="561"/>
      <c r="CP116" s="563"/>
      <c r="CQ116" s="564"/>
      <c r="CR116" s="564"/>
      <c r="CS116" s="564"/>
      <c r="CT116" s="560"/>
      <c r="CU116" s="561"/>
      <c r="CV116" s="562"/>
      <c r="CW116" s="561"/>
      <c r="CX116" s="563"/>
      <c r="CY116" s="564"/>
      <c r="CZ116" s="564"/>
      <c r="DA116" s="564"/>
      <c r="DB116" s="560"/>
      <c r="DC116" s="561"/>
      <c r="DD116" s="562"/>
      <c r="DE116" s="561"/>
      <c r="DF116" s="563"/>
      <c r="DG116" s="564"/>
      <c r="DH116" s="564"/>
      <c r="DI116" s="564"/>
      <c r="DJ116" s="560"/>
      <c r="DK116" s="561"/>
      <c r="DL116" s="562"/>
      <c r="DM116" s="561"/>
      <c r="DN116" s="563"/>
      <c r="DO116" s="564"/>
      <c r="DP116" s="564"/>
      <c r="DQ116" s="564"/>
      <c r="DR116" s="560"/>
      <c r="DS116" s="561"/>
      <c r="DT116" s="562"/>
      <c r="DU116" s="561"/>
      <c r="DV116" s="563"/>
      <c r="DW116" s="564"/>
      <c r="DX116" s="564"/>
      <c r="DY116" s="564"/>
      <c r="DZ116" s="560"/>
      <c r="EA116" s="561"/>
      <c r="EB116" s="562"/>
      <c r="EC116" s="561"/>
      <c r="ED116" s="563"/>
      <c r="EE116" s="564"/>
      <c r="EF116" s="564"/>
      <c r="EG116" s="564"/>
      <c r="EH116" s="560"/>
      <c r="EI116" s="561"/>
      <c r="EJ116" s="562"/>
      <c r="EK116" s="561"/>
      <c r="EL116" s="563"/>
      <c r="EM116" s="564"/>
      <c r="EN116" s="564"/>
      <c r="EO116" s="564"/>
      <c r="EP116" s="560"/>
      <c r="EQ116" s="561"/>
      <c r="ER116" s="562"/>
      <c r="ES116" s="561"/>
      <c r="ET116" s="563"/>
      <c r="EU116" s="564"/>
      <c r="EV116" s="564"/>
      <c r="EW116" s="564"/>
      <c r="EX116" s="560"/>
      <c r="EY116" s="561"/>
      <c r="EZ116" s="562"/>
      <c r="FA116" s="561"/>
      <c r="FB116" s="563"/>
      <c r="FC116" s="564"/>
      <c r="FD116" s="564"/>
      <c r="FE116" s="564"/>
      <c r="FF116" s="560"/>
      <c r="FG116" s="561"/>
      <c r="FH116" s="562"/>
      <c r="FI116" s="561"/>
      <c r="FJ116" s="563"/>
      <c r="FK116" s="564"/>
      <c r="FL116" s="564"/>
      <c r="FM116" s="564"/>
      <c r="FN116" s="560"/>
      <c r="FO116" s="561"/>
      <c r="FP116" s="562"/>
      <c r="FQ116" s="561"/>
      <c r="FR116" s="563"/>
      <c r="FS116" s="564"/>
      <c r="FT116" s="564"/>
      <c r="FU116" s="564"/>
      <c r="FV116" s="560"/>
      <c r="FW116" s="566"/>
      <c r="FX116" s="566"/>
      <c r="FY116" s="566"/>
      <c r="FZ116" s="563"/>
      <c r="GA116" s="564"/>
      <c r="GB116" s="564"/>
      <c r="GC116" s="564"/>
      <c r="GD116" s="560"/>
      <c r="GE116" s="566"/>
      <c r="GF116" s="566"/>
      <c r="GG116" s="566"/>
      <c r="GH116" s="563"/>
      <c r="GI116" s="564"/>
      <c r="GJ116" s="564"/>
      <c r="GK116" s="564"/>
      <c r="GL116" s="560"/>
      <c r="GM116" s="566"/>
      <c r="GN116" s="566"/>
      <c r="GO116" s="566"/>
      <c r="GP116" s="563"/>
      <c r="GQ116" s="564"/>
      <c r="GR116" s="564"/>
      <c r="GS116" s="564"/>
      <c r="GT116" s="560"/>
      <c r="GU116" s="566"/>
      <c r="GV116" s="566"/>
      <c r="GW116" s="566"/>
      <c r="GX116" s="563"/>
      <c r="GY116" s="564"/>
      <c r="GZ116" s="564"/>
      <c r="HA116" s="590"/>
      <c r="HB116" s="560"/>
      <c r="HC116" s="566"/>
      <c r="HD116" s="566"/>
      <c r="HE116" s="566"/>
      <c r="HF116" s="563"/>
      <c r="HG116" s="564"/>
      <c r="HH116" s="564"/>
      <c r="HI116" s="590"/>
      <c r="HJ116" s="560"/>
      <c r="HK116" s="566"/>
      <c r="HL116" s="566"/>
      <c r="HM116" s="566"/>
      <c r="HN116" s="563"/>
      <c r="HO116" s="564"/>
      <c r="HP116" s="564"/>
      <c r="HQ116" s="590"/>
      <c r="HR116" s="560"/>
      <c r="HS116" s="566"/>
      <c r="HT116" s="566"/>
      <c r="HU116" s="566"/>
    </row>
    <row r="117" spans="2:229" s="506" customFormat="1" ht="77.150000000000006" customHeight="1" x14ac:dyDescent="0.35">
      <c r="B117" s="544">
        <v>114</v>
      </c>
      <c r="C117" s="544" t="s">
        <v>145</v>
      </c>
      <c r="D117" s="545" t="s">
        <v>68</v>
      </c>
      <c r="E117" s="545" t="s">
        <v>547</v>
      </c>
      <c r="F117" s="546" t="s">
        <v>548</v>
      </c>
      <c r="G117" s="546" t="s">
        <v>549</v>
      </c>
      <c r="H117" s="547" t="s">
        <v>550</v>
      </c>
      <c r="I117" s="548" t="s">
        <v>448</v>
      </c>
      <c r="J117" s="705">
        <v>3</v>
      </c>
      <c r="K117" s="568" t="s">
        <v>62</v>
      </c>
      <c r="L117" s="572"/>
      <c r="M117" s="569" t="s">
        <v>87</v>
      </c>
      <c r="N117" s="551"/>
      <c r="O117" s="552"/>
      <c r="P117" s="553"/>
      <c r="Q117" s="554"/>
      <c r="R117" s="554" t="s">
        <v>450</v>
      </c>
      <c r="S117" s="555">
        <f ca="1">IF(R117="Aprobado con comentarios / Emitir en Rev_0", NETWORKDAYS(Q117,TODAY(),Hoja1!$C$3:$C$25),0)</f>
        <v>0</v>
      </c>
      <c r="T117" s="555">
        <f ca="1">IF(R117="Revisión INN",NETWORKDAYS(P117,TODAY(),Hoja1!$C$3:$C$25),0)</f>
        <v>0</v>
      </c>
      <c r="U117" s="556">
        <f t="shared" si="4"/>
        <v>0</v>
      </c>
      <c r="V117" s="557"/>
      <c r="W117" s="558"/>
      <c r="X117" s="558"/>
      <c r="Y117" s="559"/>
      <c r="Z117" s="560"/>
      <c r="AA117" s="561"/>
      <c r="AB117" s="562"/>
      <c r="AC117" s="561"/>
      <c r="AD117" s="563"/>
      <c r="AE117" s="567"/>
      <c r="AF117" s="564"/>
      <c r="AG117" s="565"/>
      <c r="AH117" s="560"/>
      <c r="AI117" s="561"/>
      <c r="AJ117" s="562"/>
      <c r="AK117" s="561"/>
      <c r="AL117" s="563"/>
      <c r="AM117" s="567"/>
      <c r="AN117" s="564"/>
      <c r="AO117" s="565"/>
      <c r="AP117" s="560"/>
      <c r="AQ117" s="561"/>
      <c r="AR117" s="562"/>
      <c r="AS117" s="561"/>
      <c r="AT117" s="563"/>
      <c r="AU117" s="567"/>
      <c r="AV117" s="564"/>
      <c r="AW117" s="565"/>
      <c r="AX117" s="560"/>
      <c r="AY117" s="561"/>
      <c r="AZ117" s="562"/>
      <c r="BA117" s="561"/>
      <c r="BB117" s="563"/>
      <c r="BC117" s="567"/>
      <c r="BD117" s="564"/>
      <c r="BE117" s="565"/>
      <c r="BF117" s="560"/>
      <c r="BG117" s="561"/>
      <c r="BH117" s="562"/>
      <c r="BI117" s="561"/>
      <c r="BJ117" s="563"/>
      <c r="BK117" s="567"/>
      <c r="BL117" s="564"/>
      <c r="BM117" s="565"/>
      <c r="BN117" s="560"/>
      <c r="BO117" s="561"/>
      <c r="BP117" s="562"/>
      <c r="BQ117" s="561"/>
      <c r="BR117" s="563"/>
      <c r="BS117" s="567"/>
      <c r="BT117" s="564"/>
      <c r="BU117" s="565"/>
      <c r="BV117" s="560"/>
      <c r="BW117" s="561"/>
      <c r="BX117" s="562"/>
      <c r="BY117" s="561"/>
      <c r="BZ117" s="563"/>
      <c r="CA117" s="567"/>
      <c r="CB117" s="564"/>
      <c r="CC117" s="565"/>
      <c r="CD117" s="560"/>
      <c r="CE117" s="561"/>
      <c r="CF117" s="562"/>
      <c r="CG117" s="561"/>
      <c r="CH117" s="563"/>
      <c r="CI117" s="564"/>
      <c r="CJ117" s="564"/>
      <c r="CK117" s="564"/>
      <c r="CL117" s="560"/>
      <c r="CM117" s="561"/>
      <c r="CN117" s="562"/>
      <c r="CO117" s="561"/>
      <c r="CP117" s="563"/>
      <c r="CQ117" s="564"/>
      <c r="CR117" s="564"/>
      <c r="CS117" s="564"/>
      <c r="CT117" s="560"/>
      <c r="CU117" s="561"/>
      <c r="CV117" s="562"/>
      <c r="CW117" s="561"/>
      <c r="CX117" s="563"/>
      <c r="CY117" s="564"/>
      <c r="CZ117" s="564"/>
      <c r="DA117" s="564"/>
      <c r="DB117" s="560"/>
      <c r="DC117" s="561"/>
      <c r="DD117" s="562"/>
      <c r="DE117" s="561"/>
      <c r="DF117" s="563"/>
      <c r="DG117" s="564"/>
      <c r="DH117" s="564"/>
      <c r="DI117" s="564"/>
      <c r="DJ117" s="560"/>
      <c r="DK117" s="561"/>
      <c r="DL117" s="562"/>
      <c r="DM117" s="561"/>
      <c r="DN117" s="563"/>
      <c r="DO117" s="564"/>
      <c r="DP117" s="564"/>
      <c r="DQ117" s="564"/>
      <c r="DR117" s="560"/>
      <c r="DS117" s="561"/>
      <c r="DT117" s="562"/>
      <c r="DU117" s="561"/>
      <c r="DV117" s="563"/>
      <c r="DW117" s="564"/>
      <c r="DX117" s="564"/>
      <c r="DY117" s="564"/>
      <c r="DZ117" s="560"/>
      <c r="EA117" s="561"/>
      <c r="EB117" s="562"/>
      <c r="EC117" s="561"/>
      <c r="ED117" s="563"/>
      <c r="EE117" s="564"/>
      <c r="EF117" s="564"/>
      <c r="EG117" s="564"/>
      <c r="EH117" s="560"/>
      <c r="EI117" s="561"/>
      <c r="EJ117" s="562"/>
      <c r="EK117" s="561"/>
      <c r="EL117" s="563"/>
      <c r="EM117" s="564"/>
      <c r="EN117" s="564"/>
      <c r="EO117" s="564"/>
      <c r="EP117" s="560"/>
      <c r="EQ117" s="561"/>
      <c r="ER117" s="562"/>
      <c r="ES117" s="561"/>
      <c r="ET117" s="563"/>
      <c r="EU117" s="564"/>
      <c r="EV117" s="564"/>
      <c r="EW117" s="564"/>
      <c r="EX117" s="560"/>
      <c r="EY117" s="561"/>
      <c r="EZ117" s="562"/>
      <c r="FA117" s="561"/>
      <c r="FB117" s="563"/>
      <c r="FC117" s="564"/>
      <c r="FD117" s="564"/>
      <c r="FE117" s="564"/>
      <c r="FF117" s="560"/>
      <c r="FG117" s="561"/>
      <c r="FH117" s="562"/>
      <c r="FI117" s="561"/>
      <c r="FJ117" s="563"/>
      <c r="FK117" s="564"/>
      <c r="FL117" s="564"/>
      <c r="FM117" s="564"/>
      <c r="FN117" s="560"/>
      <c r="FO117" s="561"/>
      <c r="FP117" s="562"/>
      <c r="FQ117" s="561"/>
      <c r="FR117" s="563"/>
      <c r="FS117" s="564"/>
      <c r="FT117" s="564"/>
      <c r="FU117" s="564"/>
      <c r="FV117" s="560"/>
      <c r="FW117" s="566"/>
      <c r="FX117" s="566"/>
      <c r="FY117" s="566"/>
      <c r="FZ117" s="563"/>
      <c r="GA117" s="564"/>
      <c r="GB117" s="564"/>
      <c r="GC117" s="564"/>
      <c r="GD117" s="560"/>
      <c r="GE117" s="566"/>
      <c r="GF117" s="566"/>
      <c r="GG117" s="566"/>
      <c r="GH117" s="563"/>
      <c r="GI117" s="564"/>
      <c r="GJ117" s="564"/>
      <c r="GK117" s="564"/>
      <c r="GL117" s="560"/>
      <c r="GM117" s="566"/>
      <c r="GN117" s="566"/>
      <c r="GO117" s="566"/>
      <c r="GP117" s="563"/>
      <c r="GQ117" s="564"/>
      <c r="GR117" s="564"/>
      <c r="GS117" s="564"/>
      <c r="GT117" s="560"/>
      <c r="GU117" s="566"/>
      <c r="GV117" s="566"/>
      <c r="GW117" s="566"/>
      <c r="GX117" s="541"/>
      <c r="GY117" s="535"/>
      <c r="GZ117" s="542"/>
      <c r="HA117" s="543"/>
      <c r="HB117" s="541"/>
      <c r="HC117" s="535"/>
      <c r="HD117" s="542"/>
      <c r="HE117" s="543"/>
      <c r="HF117" s="541"/>
      <c r="HG117" s="535"/>
      <c r="HH117" s="542"/>
      <c r="HI117" s="543"/>
      <c r="HJ117" s="541"/>
      <c r="HK117" s="535"/>
      <c r="HL117" s="542"/>
      <c r="HM117" s="543"/>
      <c r="HN117" s="541"/>
      <c r="HO117" s="535"/>
      <c r="HP117" s="542"/>
      <c r="HQ117" s="543"/>
      <c r="HR117" s="541"/>
      <c r="HS117" s="535"/>
      <c r="HT117" s="542"/>
      <c r="HU117" s="543"/>
    </row>
    <row r="118" spans="2:229" s="506" customFormat="1" ht="11.5" customHeight="1" x14ac:dyDescent="0.35">
      <c r="B118" s="544">
        <v>115</v>
      </c>
      <c r="C118" s="544" t="s">
        <v>145</v>
      </c>
      <c r="D118" s="545" t="s">
        <v>139</v>
      </c>
      <c r="E118" s="545" t="s">
        <v>551</v>
      </c>
      <c r="F118" s="546" t="s">
        <v>552</v>
      </c>
      <c r="G118" s="546" t="s">
        <v>553</v>
      </c>
      <c r="H118" s="547" t="s">
        <v>554</v>
      </c>
      <c r="I118" s="548" t="s">
        <v>448</v>
      </c>
      <c r="J118" s="705">
        <v>3</v>
      </c>
      <c r="K118" s="568" t="s">
        <v>62</v>
      </c>
      <c r="L118" s="572"/>
      <c r="M118" s="569" t="s">
        <v>87</v>
      </c>
      <c r="N118" s="551"/>
      <c r="O118" s="552"/>
      <c r="P118" s="553"/>
      <c r="Q118" s="554"/>
      <c r="R118" s="554" t="s">
        <v>450</v>
      </c>
      <c r="S118" s="555">
        <f ca="1">IF(R118="Aprobado con comentarios / Emitir en Rev_0", NETWORKDAYS(Q118,TODAY(),Hoja1!$C$3:$C$25),0)</f>
        <v>0</v>
      </c>
      <c r="T118" s="555">
        <f ca="1">IF(R118="Revisión INN",NETWORKDAYS(P118,TODAY(),Hoja1!$C$3:$C$25),0)</f>
        <v>0</v>
      </c>
      <c r="U118" s="556">
        <f t="shared" si="4"/>
        <v>0</v>
      </c>
      <c r="V118" s="557"/>
      <c r="W118" s="558"/>
      <c r="X118" s="558"/>
      <c r="Y118" s="559"/>
      <c r="Z118" s="560"/>
      <c r="AA118" s="561"/>
      <c r="AB118" s="562"/>
      <c r="AC118" s="561"/>
      <c r="AD118" s="563"/>
      <c r="AE118" s="567"/>
      <c r="AF118" s="564"/>
      <c r="AG118" s="565"/>
      <c r="AH118" s="560"/>
      <c r="AI118" s="561"/>
      <c r="AJ118" s="562"/>
      <c r="AK118" s="561"/>
      <c r="AL118" s="563"/>
      <c r="AM118" s="567"/>
      <c r="AN118" s="564"/>
      <c r="AO118" s="565"/>
      <c r="AP118" s="560"/>
      <c r="AQ118" s="561"/>
      <c r="AR118" s="562"/>
      <c r="AS118" s="561"/>
      <c r="AT118" s="563"/>
      <c r="AU118" s="567"/>
      <c r="AV118" s="564"/>
      <c r="AW118" s="565"/>
      <c r="AX118" s="560"/>
      <c r="AY118" s="561"/>
      <c r="AZ118" s="562"/>
      <c r="BA118" s="561"/>
      <c r="BB118" s="563"/>
      <c r="BC118" s="567"/>
      <c r="BD118" s="564"/>
      <c r="BE118" s="565"/>
      <c r="BF118" s="560"/>
      <c r="BG118" s="561"/>
      <c r="BH118" s="562"/>
      <c r="BI118" s="561"/>
      <c r="BJ118" s="563"/>
      <c r="BK118" s="567"/>
      <c r="BL118" s="564"/>
      <c r="BM118" s="565"/>
      <c r="BN118" s="560"/>
      <c r="BO118" s="561"/>
      <c r="BP118" s="562"/>
      <c r="BQ118" s="561"/>
      <c r="BR118" s="563"/>
      <c r="BS118" s="567"/>
      <c r="BT118" s="564"/>
      <c r="BU118" s="565"/>
      <c r="BV118" s="560"/>
      <c r="BW118" s="561"/>
      <c r="BX118" s="562"/>
      <c r="BY118" s="561"/>
      <c r="BZ118" s="563"/>
      <c r="CA118" s="567"/>
      <c r="CB118" s="564"/>
      <c r="CC118" s="565"/>
      <c r="CD118" s="560"/>
      <c r="CE118" s="561"/>
      <c r="CF118" s="562"/>
      <c r="CG118" s="561"/>
      <c r="CH118" s="563"/>
      <c r="CI118" s="564"/>
      <c r="CJ118" s="564"/>
      <c r="CK118" s="564"/>
      <c r="CL118" s="560"/>
      <c r="CM118" s="561"/>
      <c r="CN118" s="562"/>
      <c r="CO118" s="561"/>
      <c r="CP118" s="563"/>
      <c r="CQ118" s="564"/>
      <c r="CR118" s="564"/>
      <c r="CS118" s="564"/>
      <c r="CT118" s="560"/>
      <c r="CU118" s="561"/>
      <c r="CV118" s="562"/>
      <c r="CW118" s="561"/>
      <c r="CX118" s="563"/>
      <c r="CY118" s="564"/>
      <c r="CZ118" s="564"/>
      <c r="DA118" s="564"/>
      <c r="DB118" s="560"/>
      <c r="DC118" s="561"/>
      <c r="DD118" s="562"/>
      <c r="DE118" s="561"/>
      <c r="DF118" s="563"/>
      <c r="DG118" s="564"/>
      <c r="DH118" s="564"/>
      <c r="DI118" s="564"/>
      <c r="DJ118" s="560"/>
      <c r="DK118" s="561"/>
      <c r="DL118" s="562"/>
      <c r="DM118" s="561"/>
      <c r="DN118" s="563"/>
      <c r="DO118" s="564"/>
      <c r="DP118" s="564"/>
      <c r="DQ118" s="564"/>
      <c r="DR118" s="560"/>
      <c r="DS118" s="561"/>
      <c r="DT118" s="562"/>
      <c r="DU118" s="561"/>
      <c r="DV118" s="563"/>
      <c r="DW118" s="564"/>
      <c r="DX118" s="564"/>
      <c r="DY118" s="564"/>
      <c r="DZ118" s="560"/>
      <c r="EA118" s="561"/>
      <c r="EB118" s="562"/>
      <c r="EC118" s="561"/>
      <c r="ED118" s="563"/>
      <c r="EE118" s="564"/>
      <c r="EF118" s="564"/>
      <c r="EG118" s="564"/>
      <c r="EH118" s="560"/>
      <c r="EI118" s="561"/>
      <c r="EJ118" s="562"/>
      <c r="EK118" s="561"/>
      <c r="EL118" s="563"/>
      <c r="EM118" s="564"/>
      <c r="EN118" s="564"/>
      <c r="EO118" s="564"/>
      <c r="EP118" s="560"/>
      <c r="EQ118" s="561"/>
      <c r="ER118" s="562"/>
      <c r="ES118" s="561"/>
      <c r="ET118" s="563"/>
      <c r="EU118" s="564"/>
      <c r="EV118" s="564"/>
      <c r="EW118" s="564"/>
      <c r="EX118" s="560"/>
      <c r="EY118" s="561"/>
      <c r="EZ118" s="562"/>
      <c r="FA118" s="561"/>
      <c r="FB118" s="563"/>
      <c r="FC118" s="564"/>
      <c r="FD118" s="564"/>
      <c r="FE118" s="564"/>
      <c r="FF118" s="560"/>
      <c r="FG118" s="561"/>
      <c r="FH118" s="562"/>
      <c r="FI118" s="561"/>
      <c r="FJ118" s="563"/>
      <c r="FK118" s="564"/>
      <c r="FL118" s="564"/>
      <c r="FM118" s="564"/>
      <c r="FN118" s="560"/>
      <c r="FO118" s="561"/>
      <c r="FP118" s="562"/>
      <c r="FQ118" s="561"/>
      <c r="FR118" s="563"/>
      <c r="FS118" s="564"/>
      <c r="FT118" s="564"/>
      <c r="FU118" s="564"/>
      <c r="FV118" s="560"/>
      <c r="FW118" s="566"/>
      <c r="FX118" s="566"/>
      <c r="FY118" s="566"/>
      <c r="FZ118" s="563"/>
      <c r="GA118" s="564"/>
      <c r="GB118" s="564"/>
      <c r="GC118" s="564"/>
      <c r="GD118" s="560"/>
      <c r="GE118" s="566"/>
      <c r="GF118" s="566"/>
      <c r="GG118" s="566"/>
      <c r="GH118" s="563"/>
      <c r="GI118" s="564"/>
      <c r="GJ118" s="564"/>
      <c r="GK118" s="564"/>
      <c r="GL118" s="560"/>
      <c r="GM118" s="566"/>
      <c r="GN118" s="566"/>
      <c r="GO118" s="566"/>
      <c r="GP118" s="563"/>
      <c r="GQ118" s="564"/>
      <c r="GR118" s="564"/>
      <c r="GS118" s="564"/>
      <c r="GT118" s="560"/>
      <c r="GU118" s="566"/>
      <c r="GV118" s="566"/>
      <c r="GW118" s="566"/>
      <c r="GX118" s="563"/>
      <c r="GY118" s="564"/>
      <c r="GZ118" s="564"/>
      <c r="HA118" s="590"/>
      <c r="HB118" s="560"/>
      <c r="HC118" s="566"/>
      <c r="HD118" s="566"/>
      <c r="HE118" s="566"/>
      <c r="HF118" s="563"/>
      <c r="HG118" s="564"/>
      <c r="HH118" s="564"/>
      <c r="HI118" s="590"/>
      <c r="HJ118" s="560"/>
      <c r="HK118" s="566"/>
      <c r="HL118" s="566"/>
      <c r="HM118" s="566"/>
      <c r="HN118" s="563"/>
      <c r="HO118" s="564"/>
      <c r="HP118" s="564"/>
      <c r="HQ118" s="590"/>
      <c r="HR118" s="560"/>
      <c r="HS118" s="566"/>
      <c r="HT118" s="566"/>
      <c r="HU118" s="566"/>
    </row>
    <row r="119" spans="2:229" s="506" customFormat="1" ht="56.5" customHeight="1" x14ac:dyDescent="0.35">
      <c r="B119" s="544">
        <v>116</v>
      </c>
      <c r="C119" s="544" t="s">
        <v>145</v>
      </c>
      <c r="D119" s="545" t="s">
        <v>44</v>
      </c>
      <c r="E119" s="545" t="s">
        <v>555</v>
      </c>
      <c r="F119" s="546" t="s">
        <v>556</v>
      </c>
      <c r="G119" s="546" t="s">
        <v>557</v>
      </c>
      <c r="H119" s="547" t="s">
        <v>558</v>
      </c>
      <c r="I119" s="548" t="s">
        <v>559</v>
      </c>
      <c r="J119" s="705">
        <v>3</v>
      </c>
      <c r="K119" s="568" t="s">
        <v>62</v>
      </c>
      <c r="L119" s="547" t="s">
        <v>560</v>
      </c>
      <c r="M119" s="569" t="s">
        <v>48</v>
      </c>
      <c r="N119" s="551"/>
      <c r="O119" s="552"/>
      <c r="P119" s="553"/>
      <c r="Q119" s="554"/>
      <c r="R119" s="554" t="s">
        <v>561</v>
      </c>
      <c r="S119" s="555">
        <f ca="1">IF(R119="Aprobado con comentarios / Emitir en Rev_0", NETWORKDAYS(Q119,TODAY(),Hoja1!$C$3:$C$25),0)</f>
        <v>0</v>
      </c>
      <c r="T119" s="555">
        <f ca="1">IF(R119="Revisión INN",NETWORKDAYS(P119,TODAY(),Hoja1!$C$3:$C$25),0)</f>
        <v>0</v>
      </c>
      <c r="U119" s="556">
        <f t="shared" si="4"/>
        <v>0</v>
      </c>
      <c r="V119" s="557"/>
      <c r="W119" s="558"/>
      <c r="X119" s="558"/>
      <c r="Y119" s="559"/>
      <c r="Z119" s="560"/>
      <c r="AA119" s="561"/>
      <c r="AB119" s="562"/>
      <c r="AC119" s="561"/>
      <c r="AD119" s="563"/>
      <c r="AE119" s="567"/>
      <c r="AF119" s="564"/>
      <c r="AG119" s="565"/>
      <c r="AH119" s="560"/>
      <c r="AI119" s="561"/>
      <c r="AJ119" s="562"/>
      <c r="AK119" s="561"/>
      <c r="AL119" s="563"/>
      <c r="AM119" s="567"/>
      <c r="AN119" s="564"/>
      <c r="AO119" s="565"/>
      <c r="AP119" s="560"/>
      <c r="AQ119" s="561"/>
      <c r="AR119" s="562"/>
      <c r="AS119" s="561"/>
      <c r="AT119" s="563"/>
      <c r="AU119" s="567"/>
      <c r="AV119" s="564"/>
      <c r="AW119" s="565"/>
      <c r="AX119" s="560"/>
      <c r="AY119" s="561"/>
      <c r="AZ119" s="562"/>
      <c r="BA119" s="561"/>
      <c r="BB119" s="563"/>
      <c r="BC119" s="567"/>
      <c r="BD119" s="564"/>
      <c r="BE119" s="565"/>
      <c r="BF119" s="560"/>
      <c r="BG119" s="561"/>
      <c r="BH119" s="562"/>
      <c r="BI119" s="561"/>
      <c r="BJ119" s="563"/>
      <c r="BK119" s="567"/>
      <c r="BL119" s="564"/>
      <c r="BM119" s="565"/>
      <c r="BN119" s="560"/>
      <c r="BO119" s="561"/>
      <c r="BP119" s="562"/>
      <c r="BQ119" s="561"/>
      <c r="BR119" s="563"/>
      <c r="BS119" s="567"/>
      <c r="BT119" s="564"/>
      <c r="BU119" s="565"/>
      <c r="BV119" s="560"/>
      <c r="BW119" s="561"/>
      <c r="BX119" s="562"/>
      <c r="BY119" s="561"/>
      <c r="BZ119" s="563"/>
      <c r="CA119" s="567"/>
      <c r="CB119" s="564"/>
      <c r="CC119" s="565"/>
      <c r="CD119" s="560"/>
      <c r="CE119" s="561"/>
      <c r="CF119" s="562"/>
      <c r="CG119" s="561"/>
      <c r="CH119" s="563"/>
      <c r="CI119" s="564"/>
      <c r="CJ119" s="564"/>
      <c r="CK119" s="564"/>
      <c r="CL119" s="560"/>
      <c r="CM119" s="561"/>
      <c r="CN119" s="562"/>
      <c r="CO119" s="561"/>
      <c r="CP119" s="563"/>
      <c r="CQ119" s="564"/>
      <c r="CR119" s="564"/>
      <c r="CS119" s="564"/>
      <c r="CT119" s="560"/>
      <c r="CU119" s="561"/>
      <c r="CV119" s="562"/>
      <c r="CW119" s="561"/>
      <c r="CX119" s="563"/>
      <c r="CY119" s="564"/>
      <c r="CZ119" s="564"/>
      <c r="DA119" s="564"/>
      <c r="DB119" s="560"/>
      <c r="DC119" s="561"/>
      <c r="DD119" s="562"/>
      <c r="DE119" s="561"/>
      <c r="DF119" s="563"/>
      <c r="DG119" s="564"/>
      <c r="DH119" s="564"/>
      <c r="DI119" s="564"/>
      <c r="DJ119" s="560"/>
      <c r="DK119" s="561"/>
      <c r="DL119" s="562"/>
      <c r="DM119" s="561"/>
      <c r="DN119" s="563"/>
      <c r="DO119" s="564"/>
      <c r="DP119" s="564"/>
      <c r="DQ119" s="564"/>
      <c r="DR119" s="560"/>
      <c r="DS119" s="561"/>
      <c r="DT119" s="562"/>
      <c r="DU119" s="561"/>
      <c r="DV119" s="563"/>
      <c r="DW119" s="564"/>
      <c r="DX119" s="564"/>
      <c r="DY119" s="564"/>
      <c r="DZ119" s="560"/>
      <c r="EA119" s="561"/>
      <c r="EB119" s="562"/>
      <c r="EC119" s="561"/>
      <c r="ED119" s="563"/>
      <c r="EE119" s="564"/>
      <c r="EF119" s="564"/>
      <c r="EG119" s="564"/>
      <c r="EH119" s="560"/>
      <c r="EI119" s="561"/>
      <c r="EJ119" s="562"/>
      <c r="EK119" s="561"/>
      <c r="EL119" s="563"/>
      <c r="EM119" s="564"/>
      <c r="EN119" s="564"/>
      <c r="EO119" s="564"/>
      <c r="EP119" s="560"/>
      <c r="EQ119" s="561"/>
      <c r="ER119" s="562"/>
      <c r="ES119" s="561"/>
      <c r="ET119" s="563"/>
      <c r="EU119" s="564"/>
      <c r="EV119" s="564"/>
      <c r="EW119" s="564"/>
      <c r="EX119" s="560"/>
      <c r="EY119" s="561"/>
      <c r="EZ119" s="562"/>
      <c r="FA119" s="561"/>
      <c r="FB119" s="563"/>
      <c r="FC119" s="564"/>
      <c r="FD119" s="564"/>
      <c r="FE119" s="564"/>
      <c r="FF119" s="560"/>
      <c r="FG119" s="561"/>
      <c r="FH119" s="562"/>
      <c r="FI119" s="561"/>
      <c r="FJ119" s="563"/>
      <c r="FK119" s="564"/>
      <c r="FL119" s="564"/>
      <c r="FM119" s="564"/>
      <c r="FN119" s="560"/>
      <c r="FO119" s="561"/>
      <c r="FP119" s="562"/>
      <c r="FQ119" s="561"/>
      <c r="FR119" s="563"/>
      <c r="FS119" s="564"/>
      <c r="FT119" s="564"/>
      <c r="FU119" s="564"/>
      <c r="FV119" s="560"/>
      <c r="FW119" s="566"/>
      <c r="FX119" s="566"/>
      <c r="FY119" s="566"/>
      <c r="FZ119" s="563"/>
      <c r="GA119" s="564"/>
      <c r="GB119" s="564"/>
      <c r="GC119" s="564"/>
      <c r="GD119" s="560"/>
      <c r="GE119" s="566"/>
      <c r="GF119" s="566"/>
      <c r="GG119" s="566"/>
      <c r="GH119" s="563"/>
      <c r="GI119" s="564"/>
      <c r="GJ119" s="564"/>
      <c r="GK119" s="564"/>
      <c r="GL119" s="560"/>
      <c r="GM119" s="566"/>
      <c r="GN119" s="566"/>
      <c r="GO119" s="566"/>
      <c r="GP119" s="563"/>
      <c r="GQ119" s="564"/>
      <c r="GR119" s="564"/>
      <c r="GS119" s="564"/>
      <c r="GT119" s="560"/>
      <c r="GU119" s="566"/>
      <c r="GV119" s="566"/>
      <c r="GW119" s="566"/>
      <c r="GX119" s="563"/>
      <c r="GY119" s="564"/>
      <c r="GZ119" s="564"/>
      <c r="HA119" s="590"/>
      <c r="HB119" s="560"/>
      <c r="HC119" s="566"/>
      <c r="HD119" s="566"/>
      <c r="HE119" s="566"/>
      <c r="HF119" s="563"/>
      <c r="HG119" s="564"/>
      <c r="HH119" s="564"/>
      <c r="HI119" s="590"/>
      <c r="HJ119" s="560"/>
      <c r="HK119" s="566"/>
      <c r="HL119" s="566"/>
      <c r="HM119" s="566"/>
      <c r="HN119" s="563"/>
      <c r="HO119" s="564"/>
      <c r="HP119" s="564"/>
      <c r="HQ119" s="590"/>
      <c r="HR119" s="560"/>
      <c r="HS119" s="566"/>
      <c r="HT119" s="566"/>
      <c r="HU119" s="566"/>
    </row>
    <row r="120" spans="2:229" s="506" customFormat="1" ht="56.5" customHeight="1" thickBot="1" x14ac:dyDescent="0.4">
      <c r="B120" s="544">
        <v>108</v>
      </c>
      <c r="C120" s="544" t="s">
        <v>244</v>
      </c>
      <c r="D120" s="545" t="s">
        <v>68</v>
      </c>
      <c r="E120" s="545" t="s">
        <v>562</v>
      </c>
      <c r="F120" s="546" t="s">
        <v>563</v>
      </c>
      <c r="G120" s="546" t="s">
        <v>564</v>
      </c>
      <c r="H120" s="547" t="s">
        <v>565</v>
      </c>
      <c r="I120" s="548"/>
      <c r="J120" s="548"/>
      <c r="K120" s="568" t="s">
        <v>62</v>
      </c>
      <c r="L120" s="706" t="s">
        <v>566</v>
      </c>
      <c r="M120" s="569" t="s">
        <v>117</v>
      </c>
      <c r="N120" s="551">
        <v>3</v>
      </c>
      <c r="O120" s="552">
        <v>256</v>
      </c>
      <c r="P120" s="553">
        <v>46121</v>
      </c>
      <c r="Q120" s="553">
        <v>46111</v>
      </c>
      <c r="R120" s="554" t="s">
        <v>151</v>
      </c>
      <c r="S120" s="555">
        <f ca="1">IF(R120="Aprobado con comentarios / Emitir Rev_3", NETWORKDAYS(Q120,TODAY(),Hoja1!$C$3:$C$25),0)</f>
        <v>0</v>
      </c>
      <c r="T120" s="555">
        <f ca="1">IF(R120="Revisión INN",NETWORKDAYS(P120,TODAY(),Hoja1!$C$3:$C$25),0)</f>
        <v>7</v>
      </c>
      <c r="U120" s="556">
        <f t="shared" si="4"/>
        <v>5</v>
      </c>
      <c r="V120" s="557" t="s">
        <v>125</v>
      </c>
      <c r="W120" s="558">
        <v>27</v>
      </c>
      <c r="X120" s="558"/>
      <c r="Y120" s="559">
        <v>45929</v>
      </c>
      <c r="Z120" s="560">
        <v>27</v>
      </c>
      <c r="AA120" s="561">
        <v>45930</v>
      </c>
      <c r="AB120" s="562">
        <f>AA120-Y120</f>
        <v>1</v>
      </c>
      <c r="AC120" s="561" t="s">
        <v>167</v>
      </c>
      <c r="AD120" s="563" t="s">
        <v>63</v>
      </c>
      <c r="AE120" s="567">
        <v>31</v>
      </c>
      <c r="AF120" s="564">
        <f>AG120-AA120</f>
        <v>1</v>
      </c>
      <c r="AG120" s="565">
        <v>45931</v>
      </c>
      <c r="AH120" s="560">
        <v>39</v>
      </c>
      <c r="AI120" s="561">
        <v>45943</v>
      </c>
      <c r="AJ120" s="562">
        <f>AI120-AG120</f>
        <v>12</v>
      </c>
      <c r="AK120" s="561" t="s">
        <v>186</v>
      </c>
      <c r="AL120" s="563">
        <v>0</v>
      </c>
      <c r="AM120" s="567">
        <v>72</v>
      </c>
      <c r="AN120" s="564"/>
      <c r="AO120" s="565">
        <v>45974</v>
      </c>
      <c r="AP120" s="560">
        <v>77</v>
      </c>
      <c r="AQ120" s="561">
        <v>46006</v>
      </c>
      <c r="AR120" s="562"/>
      <c r="AS120" s="561" t="s">
        <v>155</v>
      </c>
      <c r="AT120" s="563">
        <v>1</v>
      </c>
      <c r="AU120" s="567">
        <v>129</v>
      </c>
      <c r="AV120" s="564"/>
      <c r="AW120" s="565">
        <v>46029</v>
      </c>
      <c r="AX120" s="560">
        <v>121</v>
      </c>
      <c r="AY120" s="561">
        <v>46049</v>
      </c>
      <c r="AZ120" s="562"/>
      <c r="BA120" s="561" t="s">
        <v>187</v>
      </c>
      <c r="BB120" s="563">
        <v>2</v>
      </c>
      <c r="BC120" s="567">
        <v>182</v>
      </c>
      <c r="BD120" s="564"/>
      <c r="BE120" s="565">
        <v>46071</v>
      </c>
      <c r="BF120" s="560" t="s">
        <v>567</v>
      </c>
      <c r="BG120" s="561" t="s">
        <v>568</v>
      </c>
      <c r="BH120" s="562"/>
      <c r="BI120" s="561" t="s">
        <v>278</v>
      </c>
      <c r="BJ120" s="591">
        <v>3</v>
      </c>
      <c r="BK120" s="592">
        <v>256</v>
      </c>
      <c r="BL120" s="564"/>
      <c r="BM120" s="593">
        <v>46121</v>
      </c>
      <c r="BN120" s="560"/>
      <c r="BO120" s="561"/>
      <c r="BP120" s="562"/>
      <c r="BQ120" s="561"/>
      <c r="BR120" s="563"/>
      <c r="BS120" s="567"/>
      <c r="BT120" s="564"/>
      <c r="BU120" s="565"/>
      <c r="BV120" s="560"/>
      <c r="BW120" s="561"/>
      <c r="BX120" s="562"/>
      <c r="BY120" s="561"/>
      <c r="BZ120" s="563"/>
      <c r="CA120" s="567"/>
      <c r="CB120" s="564"/>
      <c r="CC120" s="565"/>
      <c r="CD120" s="560"/>
      <c r="CE120" s="561"/>
      <c r="CF120" s="562"/>
      <c r="CG120" s="561"/>
      <c r="CH120" s="563"/>
      <c r="CI120" s="564"/>
      <c r="CJ120" s="564"/>
      <c r="CK120" s="564"/>
      <c r="CL120" s="560"/>
      <c r="CM120" s="561"/>
      <c r="CN120" s="562"/>
      <c r="CO120" s="561"/>
      <c r="CP120" s="563"/>
      <c r="CQ120" s="564"/>
      <c r="CR120" s="564"/>
      <c r="CS120" s="564"/>
      <c r="CT120" s="560"/>
      <c r="CU120" s="561"/>
      <c r="CV120" s="562"/>
      <c r="CW120" s="561"/>
      <c r="CX120" s="563"/>
      <c r="CY120" s="564"/>
      <c r="CZ120" s="564"/>
      <c r="DA120" s="564"/>
      <c r="DB120" s="560"/>
      <c r="DC120" s="561"/>
      <c r="DD120" s="562"/>
      <c r="DE120" s="561"/>
      <c r="DF120" s="563"/>
      <c r="DG120" s="564"/>
      <c r="DH120" s="564"/>
      <c r="DI120" s="564"/>
      <c r="DJ120" s="560"/>
      <c r="DK120" s="561"/>
      <c r="DL120" s="562"/>
      <c r="DM120" s="561"/>
      <c r="DN120" s="563"/>
      <c r="DO120" s="564"/>
      <c r="DP120" s="564"/>
      <c r="DQ120" s="564"/>
      <c r="DR120" s="560"/>
      <c r="DS120" s="561"/>
      <c r="DT120" s="562"/>
      <c r="DU120" s="561"/>
      <c r="DV120" s="563"/>
      <c r="DW120" s="564"/>
      <c r="DX120" s="564"/>
      <c r="DY120" s="564"/>
      <c r="DZ120" s="560"/>
      <c r="EA120" s="561"/>
      <c r="EB120" s="562"/>
      <c r="EC120" s="561"/>
      <c r="ED120" s="563"/>
      <c r="EE120" s="564"/>
      <c r="EF120" s="564"/>
      <c r="EG120" s="564"/>
      <c r="EH120" s="560"/>
      <c r="EI120" s="561"/>
      <c r="EJ120" s="562"/>
      <c r="EK120" s="561"/>
      <c r="EL120" s="563"/>
      <c r="EM120" s="564"/>
      <c r="EN120" s="564"/>
      <c r="EO120" s="564"/>
      <c r="EP120" s="560"/>
      <c r="EQ120" s="561"/>
      <c r="ER120" s="562"/>
      <c r="ES120" s="561"/>
      <c r="ET120" s="563"/>
      <c r="EU120" s="564"/>
      <c r="EV120" s="564"/>
      <c r="EW120" s="564"/>
      <c r="EX120" s="560"/>
      <c r="EY120" s="561"/>
      <c r="EZ120" s="562"/>
      <c r="FA120" s="561"/>
      <c r="FB120" s="563"/>
      <c r="FC120" s="564"/>
      <c r="FD120" s="564"/>
      <c r="FE120" s="564"/>
      <c r="FF120" s="560"/>
      <c r="FG120" s="561"/>
      <c r="FH120" s="562"/>
      <c r="FI120" s="561"/>
      <c r="FJ120" s="563"/>
      <c r="FK120" s="564"/>
      <c r="FL120" s="564"/>
      <c r="FM120" s="564"/>
      <c r="FN120" s="560"/>
      <c r="FO120" s="561"/>
      <c r="FP120" s="562"/>
      <c r="FQ120" s="561"/>
      <c r="FR120" s="563"/>
      <c r="FS120" s="564"/>
      <c r="FT120" s="564"/>
      <c r="FU120" s="564"/>
      <c r="FV120" s="560"/>
      <c r="FW120" s="566"/>
      <c r="FX120" s="566"/>
      <c r="FY120" s="566"/>
      <c r="FZ120" s="563"/>
      <c r="GA120" s="564"/>
      <c r="GB120" s="564"/>
      <c r="GC120" s="564"/>
      <c r="GD120" s="560"/>
      <c r="GE120" s="566"/>
      <c r="GF120" s="566"/>
      <c r="GG120" s="566"/>
      <c r="GH120" s="563"/>
      <c r="GI120" s="564"/>
      <c r="GJ120" s="564"/>
      <c r="GK120" s="564"/>
      <c r="GL120" s="560"/>
      <c r="GM120" s="566"/>
      <c r="GN120" s="566"/>
      <c r="GO120" s="566"/>
      <c r="GP120" s="563"/>
      <c r="GQ120" s="564"/>
      <c r="GR120" s="564"/>
      <c r="GS120" s="564"/>
      <c r="GT120" s="560"/>
      <c r="GU120" s="566"/>
      <c r="GV120" s="566"/>
      <c r="GW120" s="566"/>
      <c r="GX120" s="563"/>
      <c r="GY120" s="564"/>
      <c r="GZ120" s="564"/>
      <c r="HA120" s="590"/>
      <c r="HB120" s="560"/>
      <c r="HC120" s="566"/>
      <c r="HD120" s="566"/>
      <c r="HE120" s="566"/>
      <c r="HF120" s="563"/>
      <c r="HG120" s="564"/>
      <c r="HH120" s="564"/>
      <c r="HI120" s="590"/>
      <c r="HJ120" s="560"/>
      <c r="HK120" s="566"/>
      <c r="HL120" s="566"/>
      <c r="HM120" s="566"/>
      <c r="HN120" s="563"/>
      <c r="HO120" s="564"/>
      <c r="HP120" s="564"/>
      <c r="HQ120" s="590"/>
      <c r="HR120" s="560"/>
      <c r="HS120" s="566"/>
      <c r="HT120" s="566"/>
      <c r="HU120" s="566"/>
    </row>
    <row r="121" spans="2:229" s="506" customFormat="1" ht="56.5" customHeight="1" x14ac:dyDescent="0.35">
      <c r="B121" s="544">
        <v>44</v>
      </c>
      <c r="C121" s="544" t="s">
        <v>46</v>
      </c>
      <c r="D121" s="545" t="s">
        <v>44</v>
      </c>
      <c r="E121" s="558" t="s">
        <v>569</v>
      </c>
      <c r="F121" s="546" t="s">
        <v>570</v>
      </c>
      <c r="G121" s="546" t="s">
        <v>571</v>
      </c>
      <c r="H121" s="547" t="s">
        <v>572</v>
      </c>
      <c r="I121" s="548">
        <f>Q121+5</f>
        <v>46130</v>
      </c>
      <c r="J121" s="705">
        <v>3</v>
      </c>
      <c r="K121" s="568" t="s">
        <v>62</v>
      </c>
      <c r="L121" s="548"/>
      <c r="M121" s="569" t="s">
        <v>117</v>
      </c>
      <c r="N121" s="551" t="s">
        <v>63</v>
      </c>
      <c r="O121" s="552">
        <v>185</v>
      </c>
      <c r="P121" s="553">
        <v>46065</v>
      </c>
      <c r="Q121" s="553">
        <v>46125</v>
      </c>
      <c r="R121" s="554" t="s">
        <v>161</v>
      </c>
      <c r="S121" s="555">
        <f ca="1">IF(R121="Aprobado / Emitir Rev_0", NETWORKDAYS(Q121,TODAY(),Hoja1!$C$3:$C$25),0)</f>
        <v>5</v>
      </c>
      <c r="T121" s="555">
        <f ca="1">IF(R121="Revisión INN",NETWORKDAYS(P121,TODAY(),Hoja1!$C$3:$C$25),0)</f>
        <v>0</v>
      </c>
      <c r="U121" s="556">
        <f t="shared" si="4"/>
        <v>2</v>
      </c>
      <c r="V121" s="557" t="s">
        <v>125</v>
      </c>
      <c r="W121" s="558">
        <v>107</v>
      </c>
      <c r="X121" s="558"/>
      <c r="Y121" s="559">
        <v>46006</v>
      </c>
      <c r="Z121" s="560">
        <v>111</v>
      </c>
      <c r="AA121" s="561">
        <v>46041</v>
      </c>
      <c r="AB121" s="562"/>
      <c r="AC121" s="561" t="s">
        <v>162</v>
      </c>
      <c r="AD121" s="563" t="s">
        <v>63</v>
      </c>
      <c r="AE121" s="567">
        <v>173</v>
      </c>
      <c r="AF121" s="564"/>
      <c r="AG121" s="565">
        <v>46065</v>
      </c>
      <c r="AH121" s="589">
        <v>185</v>
      </c>
      <c r="AI121" s="593">
        <v>46125</v>
      </c>
      <c r="AJ121" s="562"/>
      <c r="AK121" s="593" t="s">
        <v>128</v>
      </c>
      <c r="AL121" s="563"/>
      <c r="AM121" s="567"/>
      <c r="AN121" s="564"/>
      <c r="AO121" s="565"/>
      <c r="AP121" s="560"/>
      <c r="AQ121" s="561"/>
      <c r="AR121" s="562"/>
      <c r="AS121" s="561"/>
      <c r="AT121" s="563"/>
      <c r="AU121" s="567"/>
      <c r="AV121" s="564"/>
      <c r="AW121" s="565"/>
      <c r="AX121" s="560"/>
      <c r="AY121" s="561"/>
      <c r="AZ121" s="562"/>
      <c r="BA121" s="561"/>
      <c r="BB121" s="563"/>
      <c r="BC121" s="567"/>
      <c r="BD121" s="564"/>
      <c r="BE121" s="565"/>
      <c r="BF121" s="560"/>
      <c r="BG121" s="561"/>
      <c r="BH121" s="562"/>
      <c r="BI121" s="561"/>
      <c r="BJ121" s="563"/>
      <c r="BK121" s="567"/>
      <c r="BL121" s="564"/>
      <c r="BM121" s="565"/>
      <c r="BN121" s="560"/>
      <c r="BO121" s="561"/>
      <c r="BP121" s="562"/>
      <c r="BQ121" s="561"/>
      <c r="BR121" s="563"/>
      <c r="BS121" s="567"/>
      <c r="BT121" s="564"/>
      <c r="BU121" s="565"/>
      <c r="BV121" s="560"/>
      <c r="BW121" s="561"/>
      <c r="BX121" s="562"/>
      <c r="BY121" s="561"/>
      <c r="BZ121" s="563"/>
      <c r="CA121" s="567"/>
      <c r="CB121" s="564"/>
      <c r="CC121" s="565"/>
      <c r="CD121" s="560"/>
      <c r="CE121" s="561"/>
      <c r="CF121" s="562"/>
      <c r="CG121" s="561"/>
      <c r="CH121" s="563"/>
      <c r="CI121" s="564"/>
      <c r="CJ121" s="564"/>
      <c r="CK121" s="564"/>
      <c r="CL121" s="560"/>
      <c r="CM121" s="561"/>
      <c r="CN121" s="562"/>
      <c r="CO121" s="561"/>
      <c r="CP121" s="563"/>
      <c r="CQ121" s="564"/>
      <c r="CR121" s="564"/>
      <c r="CS121" s="564"/>
      <c r="CT121" s="560"/>
      <c r="CU121" s="561"/>
      <c r="CV121" s="562"/>
      <c r="CW121" s="561"/>
      <c r="CX121" s="563"/>
      <c r="CY121" s="564"/>
      <c r="CZ121" s="564"/>
      <c r="DA121" s="564"/>
      <c r="DB121" s="560"/>
      <c r="DC121" s="561"/>
      <c r="DD121" s="562"/>
      <c r="DE121" s="561"/>
      <c r="DF121" s="563"/>
      <c r="DG121" s="564"/>
      <c r="DH121" s="564"/>
      <c r="DI121" s="564"/>
      <c r="DJ121" s="560"/>
      <c r="DK121" s="561"/>
      <c r="DL121" s="562"/>
      <c r="DM121" s="561"/>
      <c r="DN121" s="563"/>
      <c r="DO121" s="564"/>
      <c r="DP121" s="564"/>
      <c r="DQ121" s="564"/>
      <c r="DR121" s="560"/>
      <c r="DS121" s="561"/>
      <c r="DT121" s="562"/>
      <c r="DU121" s="561"/>
      <c r="DV121" s="563"/>
      <c r="DW121" s="564"/>
      <c r="DX121" s="564"/>
      <c r="DY121" s="564"/>
      <c r="DZ121" s="560"/>
      <c r="EA121" s="561"/>
      <c r="EB121" s="562"/>
      <c r="EC121" s="561"/>
      <c r="ED121" s="563"/>
      <c r="EE121" s="564"/>
      <c r="EF121" s="564"/>
      <c r="EG121" s="564"/>
      <c r="EH121" s="560"/>
      <c r="EI121" s="561"/>
      <c r="EJ121" s="562"/>
      <c r="EK121" s="561"/>
      <c r="EL121" s="563"/>
      <c r="EM121" s="564"/>
      <c r="EN121" s="564"/>
      <c r="EO121" s="564"/>
      <c r="EP121" s="560"/>
      <c r="EQ121" s="561"/>
      <c r="ER121" s="562"/>
      <c r="ES121" s="561"/>
      <c r="ET121" s="563"/>
      <c r="EU121" s="564"/>
      <c r="EV121" s="564"/>
      <c r="EW121" s="564"/>
      <c r="EX121" s="560"/>
      <c r="EY121" s="561"/>
      <c r="EZ121" s="562"/>
      <c r="FA121" s="561"/>
      <c r="FB121" s="563"/>
      <c r="FC121" s="564"/>
      <c r="FD121" s="564"/>
      <c r="FE121" s="564"/>
      <c r="FF121" s="560"/>
      <c r="FG121" s="561"/>
      <c r="FH121" s="562"/>
      <c r="FI121" s="561"/>
      <c r="FJ121" s="563"/>
      <c r="FK121" s="564"/>
      <c r="FL121" s="564"/>
      <c r="FM121" s="564"/>
      <c r="FN121" s="560"/>
      <c r="FO121" s="561"/>
      <c r="FP121" s="562"/>
      <c r="FQ121" s="561"/>
      <c r="FR121" s="563"/>
      <c r="FS121" s="564"/>
      <c r="FT121" s="564"/>
      <c r="FU121" s="564"/>
      <c r="FV121" s="560"/>
      <c r="FW121" s="566"/>
      <c r="FX121" s="566"/>
      <c r="FY121" s="566"/>
      <c r="FZ121" s="563"/>
      <c r="GA121" s="564"/>
      <c r="GB121" s="564"/>
      <c r="GC121" s="564"/>
      <c r="GD121" s="560"/>
      <c r="GE121" s="566"/>
      <c r="GF121" s="566"/>
      <c r="GG121" s="566"/>
      <c r="GH121" s="563"/>
      <c r="GI121" s="564"/>
      <c r="GJ121" s="564"/>
      <c r="GK121" s="564"/>
      <c r="GL121" s="560"/>
      <c r="GM121" s="566"/>
      <c r="GN121" s="566"/>
      <c r="GO121" s="566"/>
      <c r="GP121" s="563"/>
      <c r="GQ121" s="564"/>
      <c r="GR121" s="564"/>
      <c r="GS121" s="564"/>
      <c r="GT121" s="560"/>
      <c r="GU121" s="566"/>
      <c r="GV121" s="566"/>
      <c r="GW121" s="566"/>
      <c r="GX121" s="541"/>
      <c r="GY121" s="535"/>
      <c r="GZ121" s="542"/>
      <c r="HA121" s="543"/>
      <c r="HB121" s="541"/>
      <c r="HC121" s="535"/>
      <c r="HD121" s="542"/>
      <c r="HE121" s="543"/>
      <c r="HF121" s="541"/>
      <c r="HG121" s="535"/>
      <c r="HH121" s="542"/>
      <c r="HI121" s="543"/>
      <c r="HJ121" s="541"/>
      <c r="HK121" s="535"/>
      <c r="HL121" s="542"/>
      <c r="HM121" s="543"/>
      <c r="HN121" s="541"/>
      <c r="HO121" s="535"/>
      <c r="HP121" s="542"/>
      <c r="HQ121" s="543"/>
      <c r="HR121" s="541"/>
      <c r="HS121" s="535"/>
      <c r="HT121" s="542"/>
      <c r="HU121" s="543"/>
    </row>
    <row r="122" spans="2:229" s="506" customFormat="1" ht="50.15" customHeight="1" x14ac:dyDescent="0.35">
      <c r="B122" s="544">
        <v>37</v>
      </c>
      <c r="C122" s="544" t="s">
        <v>145</v>
      </c>
      <c r="D122" s="545" t="s">
        <v>44</v>
      </c>
      <c r="E122" s="545" t="s">
        <v>573</v>
      </c>
      <c r="F122" s="546" t="s">
        <v>574</v>
      </c>
      <c r="G122" s="546" t="s">
        <v>575</v>
      </c>
      <c r="H122" s="547" t="s">
        <v>576</v>
      </c>
      <c r="I122" s="548">
        <f>Q122+5</f>
        <v>46130</v>
      </c>
      <c r="J122" s="705">
        <v>3</v>
      </c>
      <c r="K122" s="568" t="s">
        <v>62</v>
      </c>
      <c r="L122" s="710"/>
      <c r="M122" s="569" t="s">
        <v>117</v>
      </c>
      <c r="N122" s="551" t="s">
        <v>63</v>
      </c>
      <c r="O122" s="552">
        <v>185</v>
      </c>
      <c r="P122" s="553">
        <v>46065</v>
      </c>
      <c r="Q122" s="554">
        <v>46125</v>
      </c>
      <c r="R122" s="554" t="s">
        <v>577</v>
      </c>
      <c r="S122" s="555">
        <f ca="1">IF(R122="Aprobado / Emitir Rev_0", NETWORKDAYS(Q122,TODAY(),Hoja1!$C$3:$C$25),0)</f>
        <v>5</v>
      </c>
      <c r="T122" s="555">
        <f ca="1">IF(R122="Revisión INN",NETWORKDAYS(P122,TODAY(),Hoja1!$C$3:$C$25),0)</f>
        <v>0</v>
      </c>
      <c r="U122" s="556">
        <f t="shared" si="4"/>
        <v>2</v>
      </c>
      <c r="V122" s="557" t="s">
        <v>125</v>
      </c>
      <c r="W122" s="558">
        <v>103</v>
      </c>
      <c r="X122" s="558"/>
      <c r="Y122" s="559">
        <v>46002</v>
      </c>
      <c r="Z122" s="560">
        <v>111</v>
      </c>
      <c r="AA122" s="561">
        <v>46041</v>
      </c>
      <c r="AB122" s="562"/>
      <c r="AC122" s="561" t="s">
        <v>162</v>
      </c>
      <c r="AD122" s="563" t="s">
        <v>63</v>
      </c>
      <c r="AE122" s="567">
        <v>173</v>
      </c>
      <c r="AF122" s="564"/>
      <c r="AG122" s="565">
        <v>46065</v>
      </c>
      <c r="AH122" s="589">
        <v>185</v>
      </c>
      <c r="AI122" s="593">
        <v>46125</v>
      </c>
      <c r="AJ122" s="562"/>
      <c r="AK122" s="593" t="s">
        <v>128</v>
      </c>
      <c r="AL122" s="563"/>
      <c r="AM122" s="567"/>
      <c r="AN122" s="564"/>
      <c r="AO122" s="565"/>
      <c r="AP122" s="560"/>
      <c r="AQ122" s="561"/>
      <c r="AR122" s="562"/>
      <c r="AS122" s="561"/>
      <c r="AT122" s="563"/>
      <c r="AU122" s="567"/>
      <c r="AV122" s="564"/>
      <c r="AW122" s="565"/>
      <c r="AX122" s="560"/>
      <c r="AY122" s="561"/>
      <c r="AZ122" s="562"/>
      <c r="BA122" s="561"/>
      <c r="BB122" s="563"/>
      <c r="BC122" s="567"/>
      <c r="BD122" s="564"/>
      <c r="BE122" s="565"/>
      <c r="BF122" s="560"/>
      <c r="BG122" s="561"/>
      <c r="BH122" s="562"/>
      <c r="BI122" s="561"/>
      <c r="BJ122" s="563"/>
      <c r="BK122" s="567"/>
      <c r="BL122" s="564"/>
      <c r="BM122" s="565"/>
      <c r="BN122" s="560"/>
      <c r="BO122" s="561"/>
      <c r="BP122" s="562"/>
      <c r="BQ122" s="561"/>
      <c r="BR122" s="563"/>
      <c r="BS122" s="567"/>
      <c r="BT122" s="564"/>
      <c r="BU122" s="565"/>
      <c r="BV122" s="560"/>
      <c r="BW122" s="561"/>
      <c r="BX122" s="562"/>
      <c r="BY122" s="561"/>
      <c r="BZ122" s="563"/>
      <c r="CA122" s="567"/>
      <c r="CB122" s="564"/>
      <c r="CC122" s="565"/>
      <c r="CD122" s="560"/>
      <c r="CE122" s="561"/>
      <c r="CF122" s="562"/>
      <c r="CG122" s="561"/>
      <c r="CH122" s="563"/>
      <c r="CI122" s="564"/>
      <c r="CJ122" s="564"/>
      <c r="CK122" s="564"/>
      <c r="CL122" s="560"/>
      <c r="CM122" s="561"/>
      <c r="CN122" s="562"/>
      <c r="CO122" s="561"/>
      <c r="CP122" s="563"/>
      <c r="CQ122" s="564"/>
      <c r="CR122" s="564"/>
      <c r="CS122" s="564"/>
      <c r="CT122" s="560"/>
      <c r="CU122" s="561"/>
      <c r="CV122" s="562"/>
      <c r="CW122" s="561"/>
      <c r="CX122" s="563"/>
      <c r="CY122" s="564"/>
      <c r="CZ122" s="564"/>
      <c r="DA122" s="564"/>
      <c r="DB122" s="560"/>
      <c r="DC122" s="561"/>
      <c r="DD122" s="562"/>
      <c r="DE122" s="561"/>
      <c r="DF122" s="563"/>
      <c r="DG122" s="564"/>
      <c r="DH122" s="564"/>
      <c r="DI122" s="564"/>
      <c r="DJ122" s="560"/>
      <c r="DK122" s="561"/>
      <c r="DL122" s="562"/>
      <c r="DM122" s="561"/>
      <c r="DN122" s="563"/>
      <c r="DO122" s="564"/>
      <c r="DP122" s="564"/>
      <c r="DQ122" s="564"/>
      <c r="DR122" s="560"/>
      <c r="DS122" s="561"/>
      <c r="DT122" s="562"/>
      <c r="DU122" s="561"/>
      <c r="DV122" s="563"/>
      <c r="DW122" s="564"/>
      <c r="DX122" s="564"/>
      <c r="DY122" s="564"/>
      <c r="DZ122" s="560"/>
      <c r="EA122" s="561"/>
      <c r="EB122" s="562"/>
      <c r="EC122" s="561"/>
      <c r="ED122" s="563"/>
      <c r="EE122" s="564"/>
      <c r="EF122" s="564"/>
      <c r="EG122" s="564"/>
      <c r="EH122" s="560"/>
      <c r="EI122" s="561"/>
      <c r="EJ122" s="562"/>
      <c r="EK122" s="561"/>
      <c r="EL122" s="563"/>
      <c r="EM122" s="564"/>
      <c r="EN122" s="564"/>
      <c r="EO122" s="564"/>
      <c r="EP122" s="560"/>
      <c r="EQ122" s="561"/>
      <c r="ER122" s="562"/>
      <c r="ES122" s="561"/>
      <c r="ET122" s="563"/>
      <c r="EU122" s="564"/>
      <c r="EV122" s="564"/>
      <c r="EW122" s="564"/>
      <c r="EX122" s="560"/>
      <c r="EY122" s="561"/>
      <c r="EZ122" s="562"/>
      <c r="FA122" s="561"/>
      <c r="FB122" s="563"/>
      <c r="FC122" s="564"/>
      <c r="FD122" s="564"/>
      <c r="FE122" s="564"/>
      <c r="FF122" s="560"/>
      <c r="FG122" s="561"/>
      <c r="FH122" s="562"/>
      <c r="FI122" s="561"/>
      <c r="FJ122" s="563"/>
      <c r="FK122" s="564"/>
      <c r="FL122" s="564"/>
      <c r="FM122" s="564"/>
      <c r="FN122" s="560"/>
      <c r="FO122" s="561"/>
      <c r="FP122" s="562"/>
      <c r="FQ122" s="561"/>
      <c r="FR122" s="563"/>
      <c r="FS122" s="564"/>
      <c r="FT122" s="564"/>
      <c r="FU122" s="564"/>
      <c r="FV122" s="560"/>
      <c r="FW122" s="566"/>
      <c r="FX122" s="566"/>
      <c r="FY122" s="566"/>
      <c r="FZ122" s="563"/>
      <c r="GA122" s="564"/>
      <c r="GB122" s="564"/>
      <c r="GC122" s="564"/>
      <c r="GD122" s="560"/>
      <c r="GE122" s="566"/>
      <c r="GF122" s="566"/>
      <c r="GG122" s="566"/>
      <c r="GH122" s="563"/>
      <c r="GI122" s="564"/>
      <c r="GJ122" s="564"/>
      <c r="GK122" s="564"/>
      <c r="GL122" s="560"/>
      <c r="GM122" s="566"/>
      <c r="GN122" s="566"/>
      <c r="GO122" s="566"/>
      <c r="GP122" s="563"/>
      <c r="GQ122" s="564"/>
      <c r="GR122" s="564"/>
      <c r="GS122" s="564"/>
      <c r="GT122" s="560"/>
      <c r="GU122" s="566"/>
      <c r="GV122" s="566"/>
      <c r="GW122" s="566"/>
      <c r="GX122" s="563"/>
      <c r="GY122" s="564"/>
      <c r="GZ122" s="564"/>
      <c r="HA122" s="590"/>
      <c r="HB122" s="560"/>
      <c r="HC122" s="566"/>
      <c r="HD122" s="566"/>
      <c r="HE122" s="566"/>
      <c r="HF122" s="563"/>
      <c r="HG122" s="564"/>
      <c r="HH122" s="564"/>
      <c r="HI122" s="590"/>
      <c r="HJ122" s="560"/>
      <c r="HK122" s="566"/>
      <c r="HL122" s="566"/>
      <c r="HM122" s="566"/>
      <c r="HN122" s="563"/>
      <c r="HO122" s="564"/>
      <c r="HP122" s="564"/>
      <c r="HQ122" s="590"/>
      <c r="HR122" s="560"/>
      <c r="HS122" s="566"/>
      <c r="HT122" s="566"/>
      <c r="HU122" s="566"/>
    </row>
    <row r="123" spans="2:229" s="506" customFormat="1" ht="50.15" customHeight="1" x14ac:dyDescent="0.35">
      <c r="B123" s="544">
        <v>120</v>
      </c>
      <c r="C123" s="544"/>
      <c r="D123" s="545" t="s">
        <v>372</v>
      </c>
      <c r="E123" s="545" t="s">
        <v>578</v>
      </c>
      <c r="F123" s="546" t="s">
        <v>579</v>
      </c>
      <c r="G123" s="546" t="s">
        <v>46</v>
      </c>
      <c r="H123" s="547" t="s">
        <v>580</v>
      </c>
      <c r="I123" s="548">
        <f>Q123+5</f>
        <v>46123</v>
      </c>
      <c r="J123" s="572"/>
      <c r="K123" s="568" t="s">
        <v>62</v>
      </c>
      <c r="L123" s="572"/>
      <c r="M123" s="569" t="s">
        <v>117</v>
      </c>
      <c r="N123" s="551">
        <v>2</v>
      </c>
      <c r="O123" s="552">
        <v>175</v>
      </c>
      <c r="P123" s="553">
        <v>46106</v>
      </c>
      <c r="Q123" s="554">
        <v>46118</v>
      </c>
      <c r="R123" s="554" t="s">
        <v>67</v>
      </c>
      <c r="S123" s="555">
        <f ca="1">IF(R123="Aprobado con comentarios / Emitir Rev_1", NETWORKDAYS(Q123,TODAY(),Hoja1!$C$3:$C$25),0)</f>
        <v>0</v>
      </c>
      <c r="T123" s="555">
        <f ca="1">IF(R123="Revisión INN",NETWORKDAYS(P123,TODAY(),Hoja1!$C$3:$C$25),0)</f>
        <v>0</v>
      </c>
      <c r="U123" s="556">
        <f t="shared" si="4"/>
        <v>6</v>
      </c>
      <c r="V123" s="557" t="s">
        <v>125</v>
      </c>
      <c r="W123" s="558">
        <v>127</v>
      </c>
      <c r="X123" s="558"/>
      <c r="Y123" s="559">
        <v>46028</v>
      </c>
      <c r="Z123" s="578">
        <v>111</v>
      </c>
      <c r="AA123" s="565">
        <v>46041</v>
      </c>
      <c r="AB123" s="562"/>
      <c r="AC123" s="565" t="s">
        <v>162</v>
      </c>
      <c r="AD123" s="563" t="s">
        <v>63</v>
      </c>
      <c r="AE123" s="567">
        <v>145</v>
      </c>
      <c r="AF123" s="564"/>
      <c r="AG123" s="565">
        <v>46044</v>
      </c>
      <c r="AH123" s="560">
        <v>129</v>
      </c>
      <c r="AI123" s="561">
        <v>46055</v>
      </c>
      <c r="AJ123" s="562"/>
      <c r="AK123" s="561" t="s">
        <v>186</v>
      </c>
      <c r="AL123" s="563">
        <v>0</v>
      </c>
      <c r="AM123" s="567">
        <v>163</v>
      </c>
      <c r="AN123" s="564"/>
      <c r="AO123" s="565">
        <v>46056</v>
      </c>
      <c r="AP123" s="560">
        <v>131</v>
      </c>
      <c r="AQ123" s="561">
        <v>46057</v>
      </c>
      <c r="AR123" s="562"/>
      <c r="AS123" s="561" t="s">
        <v>155</v>
      </c>
      <c r="AT123" s="563">
        <v>1</v>
      </c>
      <c r="AU123" s="567">
        <v>181</v>
      </c>
      <c r="AV123" s="564"/>
      <c r="AW123" s="565">
        <v>46071</v>
      </c>
      <c r="AX123" s="560" t="s">
        <v>62</v>
      </c>
      <c r="AY123" s="561" t="s">
        <v>62</v>
      </c>
      <c r="AZ123" s="562" t="s">
        <v>62</v>
      </c>
      <c r="BA123" s="561" t="s">
        <v>225</v>
      </c>
      <c r="BB123" s="563" t="s">
        <v>184</v>
      </c>
      <c r="BC123" s="567">
        <v>214</v>
      </c>
      <c r="BD123" s="564"/>
      <c r="BE123" s="565">
        <v>46090</v>
      </c>
      <c r="BF123" s="560" t="s">
        <v>62</v>
      </c>
      <c r="BG123" s="561" t="s">
        <v>62</v>
      </c>
      <c r="BH123" s="562"/>
      <c r="BI123" s="561" t="s">
        <v>62</v>
      </c>
      <c r="BJ123" s="563" t="s">
        <v>222</v>
      </c>
      <c r="BK123" s="567">
        <v>221</v>
      </c>
      <c r="BL123" s="564"/>
      <c r="BM123" s="565">
        <v>46094</v>
      </c>
      <c r="BN123" s="560">
        <v>168</v>
      </c>
      <c r="BO123" s="561">
        <v>46111</v>
      </c>
      <c r="BP123" s="562"/>
      <c r="BQ123" s="561" t="s">
        <v>225</v>
      </c>
      <c r="BR123" s="563">
        <v>2</v>
      </c>
      <c r="BS123" s="567">
        <v>240</v>
      </c>
      <c r="BT123" s="564"/>
      <c r="BU123" s="565">
        <v>46106</v>
      </c>
      <c r="BV123" s="589">
        <v>175</v>
      </c>
      <c r="BW123" s="593">
        <v>46118</v>
      </c>
      <c r="BX123" s="562"/>
      <c r="BY123" s="593" t="s">
        <v>67</v>
      </c>
      <c r="BZ123" s="563"/>
      <c r="CA123" s="567"/>
      <c r="CB123" s="564"/>
      <c r="CC123" s="565"/>
      <c r="CD123" s="560"/>
      <c r="CE123" s="561"/>
      <c r="CF123" s="562"/>
      <c r="CG123" s="561"/>
      <c r="CH123" s="563"/>
      <c r="CI123" s="564"/>
      <c r="CJ123" s="564"/>
      <c r="CK123" s="564"/>
      <c r="CL123" s="560"/>
      <c r="CM123" s="561"/>
      <c r="CN123" s="562"/>
      <c r="CO123" s="561"/>
      <c r="CP123" s="563"/>
      <c r="CQ123" s="564"/>
      <c r="CR123" s="564"/>
      <c r="CS123" s="564"/>
      <c r="CT123" s="560"/>
      <c r="CU123" s="561"/>
      <c r="CV123" s="562"/>
      <c r="CW123" s="561"/>
      <c r="CX123" s="563"/>
      <c r="CY123" s="564"/>
      <c r="CZ123" s="564"/>
      <c r="DA123" s="564"/>
      <c r="DB123" s="560"/>
      <c r="DC123" s="561"/>
      <c r="DD123" s="562"/>
      <c r="DE123" s="561"/>
      <c r="DF123" s="563"/>
      <c r="DG123" s="564"/>
      <c r="DH123" s="564"/>
      <c r="DI123" s="564"/>
      <c r="DJ123" s="560"/>
      <c r="DK123" s="561"/>
      <c r="DL123" s="562"/>
      <c r="DM123" s="561"/>
      <c r="DN123" s="563"/>
      <c r="DO123" s="564"/>
      <c r="DP123" s="564"/>
      <c r="DQ123" s="564"/>
      <c r="DR123" s="560"/>
      <c r="DS123" s="561"/>
      <c r="DT123" s="562"/>
      <c r="DU123" s="561"/>
      <c r="DV123" s="563"/>
      <c r="DW123" s="564"/>
      <c r="DX123" s="564"/>
      <c r="DY123" s="564"/>
      <c r="DZ123" s="560"/>
      <c r="EA123" s="561"/>
      <c r="EB123" s="562"/>
      <c r="EC123" s="561"/>
      <c r="ED123" s="563"/>
      <c r="EE123" s="564"/>
      <c r="EF123" s="564"/>
      <c r="EG123" s="564"/>
      <c r="EH123" s="560"/>
      <c r="EI123" s="561"/>
      <c r="EJ123" s="562"/>
      <c r="EK123" s="561"/>
      <c r="EL123" s="563"/>
      <c r="EM123" s="564"/>
      <c r="EN123" s="564"/>
      <c r="EO123" s="564"/>
      <c r="EP123" s="560"/>
      <c r="EQ123" s="561"/>
      <c r="ER123" s="562"/>
      <c r="ES123" s="561"/>
      <c r="ET123" s="563"/>
      <c r="EU123" s="564"/>
      <c r="EV123" s="564"/>
      <c r="EW123" s="564"/>
      <c r="EX123" s="560"/>
      <c r="EY123" s="561"/>
      <c r="EZ123" s="562"/>
      <c r="FA123" s="561"/>
      <c r="FB123" s="563"/>
      <c r="FC123" s="564"/>
      <c r="FD123" s="564"/>
      <c r="FE123" s="564"/>
      <c r="FF123" s="560"/>
      <c r="FG123" s="561"/>
      <c r="FH123" s="562"/>
      <c r="FI123" s="561"/>
      <c r="FJ123" s="563"/>
      <c r="FK123" s="564"/>
      <c r="FL123" s="564"/>
      <c r="FM123" s="564"/>
      <c r="FN123" s="560"/>
      <c r="FO123" s="561"/>
      <c r="FP123" s="562"/>
      <c r="FQ123" s="561"/>
      <c r="FR123" s="563"/>
      <c r="FS123" s="564"/>
      <c r="FT123" s="564"/>
      <c r="FU123" s="564"/>
      <c r="FV123" s="560"/>
      <c r="FW123" s="566"/>
      <c r="FX123" s="566"/>
      <c r="FY123" s="566"/>
      <c r="FZ123" s="563"/>
      <c r="GA123" s="564"/>
      <c r="GB123" s="564"/>
      <c r="GC123" s="564"/>
      <c r="GD123" s="560"/>
      <c r="GE123" s="566"/>
      <c r="GF123" s="566"/>
      <c r="GG123" s="566"/>
      <c r="GH123" s="563"/>
      <c r="GI123" s="564"/>
      <c r="GJ123" s="564"/>
      <c r="GK123" s="564"/>
      <c r="GL123" s="560"/>
      <c r="GM123" s="566"/>
      <c r="GN123" s="566"/>
      <c r="GO123" s="566"/>
      <c r="GP123" s="563"/>
      <c r="GQ123" s="564"/>
      <c r="GR123" s="564"/>
      <c r="GS123" s="564"/>
      <c r="GT123" s="560"/>
      <c r="GU123" s="566"/>
      <c r="GV123" s="566"/>
      <c r="GW123" s="566"/>
      <c r="GX123" s="563"/>
      <c r="GY123" s="564"/>
      <c r="GZ123" s="564"/>
      <c r="HA123" s="590"/>
      <c r="HB123" s="560"/>
      <c r="HC123" s="566"/>
      <c r="HD123" s="566"/>
      <c r="HE123" s="566"/>
      <c r="HF123" s="563"/>
      <c r="HG123" s="564"/>
      <c r="HH123" s="564"/>
      <c r="HI123" s="590"/>
      <c r="HJ123" s="560"/>
      <c r="HK123" s="566"/>
      <c r="HL123" s="566"/>
      <c r="HM123" s="566"/>
      <c r="HN123" s="563"/>
      <c r="HO123" s="564"/>
      <c r="HP123" s="564"/>
      <c r="HQ123" s="590"/>
      <c r="HR123" s="560"/>
      <c r="HS123" s="566"/>
      <c r="HT123" s="566"/>
      <c r="HU123" s="566"/>
    </row>
    <row r="124" spans="2:229" s="506" customFormat="1" ht="87" customHeight="1" thickBot="1" x14ac:dyDescent="0.4">
      <c r="B124" s="544">
        <v>121</v>
      </c>
      <c r="C124" s="544"/>
      <c r="D124" s="545" t="s">
        <v>44</v>
      </c>
      <c r="E124" s="545" t="s">
        <v>581</v>
      </c>
      <c r="F124" s="546" t="s">
        <v>46</v>
      </c>
      <c r="G124" s="545" t="s">
        <v>46</v>
      </c>
      <c r="H124" s="547" t="s">
        <v>582</v>
      </c>
      <c r="I124" s="549"/>
      <c r="J124" s="549"/>
      <c r="K124" s="549"/>
      <c r="L124" s="549"/>
      <c r="M124" s="569" t="s">
        <v>583</v>
      </c>
      <c r="N124" s="551">
        <v>1</v>
      </c>
      <c r="O124" s="552">
        <v>131</v>
      </c>
      <c r="P124" s="553">
        <v>46030</v>
      </c>
      <c r="Q124" s="553">
        <v>46015</v>
      </c>
      <c r="R124" s="554" t="s">
        <v>151</v>
      </c>
      <c r="S124" s="555">
        <f ca="1">IF(R124="Aprobado con comentarios / Emitir en Rev_0", NETWORKDAYS(Q124,TODAY(),Hoja1!$C$3:$C$25),0)</f>
        <v>0</v>
      </c>
      <c r="T124" s="555">
        <f ca="1">IF(R124="Revisión INN",NETWORKDAYS(P124,TODAY(),Hoja1!$C$3:$C$25),0)</f>
        <v>71</v>
      </c>
      <c r="U124" s="556">
        <f t="shared" si="4"/>
        <v>2</v>
      </c>
      <c r="V124" s="557">
        <v>0</v>
      </c>
      <c r="W124" s="558">
        <v>116</v>
      </c>
      <c r="X124" s="558"/>
      <c r="Y124" s="559">
        <v>46013</v>
      </c>
      <c r="Z124" s="560">
        <v>90</v>
      </c>
      <c r="AA124" s="561">
        <v>46015</v>
      </c>
      <c r="AB124" s="562"/>
      <c r="AC124" s="561" t="s">
        <v>584</v>
      </c>
      <c r="AD124" s="591">
        <v>1</v>
      </c>
      <c r="AE124" s="592">
        <v>131</v>
      </c>
      <c r="AF124" s="564"/>
      <c r="AG124" s="593">
        <v>46030</v>
      </c>
      <c r="AH124" s="560"/>
      <c r="AI124" s="561"/>
      <c r="AJ124" s="562"/>
      <c r="AK124" s="561"/>
      <c r="AL124" s="563"/>
      <c r="AM124" s="567"/>
      <c r="AN124" s="564"/>
      <c r="AO124" s="565"/>
      <c r="AP124" s="560"/>
      <c r="AQ124" s="561"/>
      <c r="AR124" s="562"/>
      <c r="AS124" s="561"/>
      <c r="AT124" s="563"/>
      <c r="AU124" s="567"/>
      <c r="AV124" s="564"/>
      <c r="AW124" s="565"/>
      <c r="AX124" s="560"/>
      <c r="AY124" s="561"/>
      <c r="AZ124" s="562"/>
      <c r="BA124" s="561"/>
      <c r="BB124" s="563"/>
      <c r="BC124" s="567"/>
      <c r="BD124" s="564"/>
      <c r="BE124" s="565"/>
      <c r="BF124" s="560"/>
      <c r="BG124" s="561"/>
      <c r="BH124" s="562"/>
      <c r="BI124" s="561"/>
      <c r="BJ124" s="563"/>
      <c r="BK124" s="567"/>
      <c r="BL124" s="564"/>
      <c r="BM124" s="565"/>
      <c r="BN124" s="560"/>
      <c r="BO124" s="561"/>
      <c r="BP124" s="562"/>
      <c r="BQ124" s="561"/>
      <c r="BR124" s="563"/>
      <c r="BS124" s="567"/>
      <c r="BT124" s="564"/>
      <c r="BU124" s="565"/>
      <c r="BV124" s="560"/>
      <c r="BW124" s="561"/>
      <c r="BX124" s="562"/>
      <c r="BY124" s="561"/>
      <c r="BZ124" s="563"/>
      <c r="CA124" s="567"/>
      <c r="CB124" s="564"/>
      <c r="CC124" s="565"/>
      <c r="CD124" s="560"/>
      <c r="CE124" s="561"/>
      <c r="CF124" s="562"/>
      <c r="CG124" s="561"/>
      <c r="CH124" s="563"/>
      <c r="CI124" s="564"/>
      <c r="CJ124" s="564"/>
      <c r="CK124" s="564"/>
      <c r="CL124" s="560"/>
      <c r="CM124" s="561"/>
      <c r="CN124" s="562"/>
      <c r="CO124" s="561"/>
      <c r="CP124" s="563"/>
      <c r="CQ124" s="564"/>
      <c r="CR124" s="564"/>
      <c r="CS124" s="564"/>
      <c r="CT124" s="560"/>
      <c r="CU124" s="561"/>
      <c r="CV124" s="562"/>
      <c r="CW124" s="561"/>
      <c r="CX124" s="563"/>
      <c r="CY124" s="564"/>
      <c r="CZ124" s="564"/>
      <c r="DA124" s="564"/>
      <c r="DB124" s="560"/>
      <c r="DC124" s="561"/>
      <c r="DD124" s="562"/>
      <c r="DE124" s="561"/>
      <c r="DF124" s="563"/>
      <c r="DG124" s="564"/>
      <c r="DH124" s="564"/>
      <c r="DI124" s="564"/>
      <c r="DJ124" s="560"/>
      <c r="DK124" s="561"/>
      <c r="DL124" s="562"/>
      <c r="DM124" s="561"/>
      <c r="DN124" s="563"/>
      <c r="DO124" s="564"/>
      <c r="DP124" s="564"/>
      <c r="DQ124" s="564"/>
      <c r="DR124" s="560"/>
      <c r="DS124" s="561"/>
      <c r="DT124" s="562"/>
      <c r="DU124" s="561"/>
      <c r="DV124" s="563"/>
      <c r="DW124" s="564"/>
      <c r="DX124" s="564"/>
      <c r="DY124" s="564"/>
      <c r="DZ124" s="560"/>
      <c r="EA124" s="561"/>
      <c r="EB124" s="562"/>
      <c r="EC124" s="561"/>
      <c r="ED124" s="563"/>
      <c r="EE124" s="564"/>
      <c r="EF124" s="564"/>
      <c r="EG124" s="564"/>
      <c r="EH124" s="560"/>
      <c r="EI124" s="561"/>
      <c r="EJ124" s="562"/>
      <c r="EK124" s="561"/>
      <c r="EL124" s="563"/>
      <c r="EM124" s="564"/>
      <c r="EN124" s="564"/>
      <c r="EO124" s="564"/>
      <c r="EP124" s="560"/>
      <c r="EQ124" s="561"/>
      <c r="ER124" s="562"/>
      <c r="ES124" s="561"/>
      <c r="ET124" s="563"/>
      <c r="EU124" s="564"/>
      <c r="EV124" s="564"/>
      <c r="EW124" s="564"/>
      <c r="EX124" s="560"/>
      <c r="EY124" s="561"/>
      <c r="EZ124" s="562"/>
      <c r="FA124" s="561"/>
      <c r="FB124" s="563"/>
      <c r="FC124" s="564"/>
      <c r="FD124" s="564"/>
      <c r="FE124" s="564"/>
      <c r="FF124" s="560"/>
      <c r="FG124" s="561"/>
      <c r="FH124" s="562"/>
      <c r="FI124" s="561"/>
      <c r="FJ124" s="563"/>
      <c r="FK124" s="564"/>
      <c r="FL124" s="564"/>
      <c r="FM124" s="564"/>
      <c r="FN124" s="560"/>
      <c r="FO124" s="561"/>
      <c r="FP124" s="562"/>
      <c r="FQ124" s="561"/>
      <c r="FR124" s="563"/>
      <c r="FS124" s="564"/>
      <c r="FT124" s="564"/>
      <c r="FU124" s="564"/>
      <c r="FV124" s="560"/>
      <c r="FW124" s="566"/>
      <c r="FX124" s="566"/>
      <c r="FY124" s="566"/>
      <c r="FZ124" s="563"/>
      <c r="GA124" s="564"/>
      <c r="GB124" s="564"/>
      <c r="GC124" s="564"/>
      <c r="GD124" s="560"/>
      <c r="GE124" s="566"/>
      <c r="GF124" s="566"/>
      <c r="GG124" s="566"/>
      <c r="GH124" s="563"/>
      <c r="GI124" s="564"/>
      <c r="GJ124" s="564"/>
      <c r="GK124" s="564"/>
      <c r="GL124" s="560"/>
      <c r="GM124" s="566"/>
      <c r="GN124" s="566"/>
      <c r="GO124" s="566"/>
      <c r="GP124" s="563"/>
      <c r="GQ124" s="564"/>
      <c r="GR124" s="564"/>
      <c r="GS124" s="564"/>
      <c r="GT124" s="560"/>
      <c r="GU124" s="566"/>
      <c r="GV124" s="566"/>
      <c r="GW124" s="566"/>
      <c r="GX124" s="563"/>
      <c r="GY124" s="564"/>
      <c r="GZ124" s="564"/>
      <c r="HA124" s="590"/>
      <c r="HB124" s="560"/>
      <c r="HC124" s="566"/>
      <c r="HD124" s="566"/>
      <c r="HE124" s="566"/>
      <c r="HF124" s="563"/>
      <c r="HG124" s="564"/>
      <c r="HH124" s="564"/>
      <c r="HI124" s="590"/>
      <c r="HJ124" s="560"/>
      <c r="HK124" s="566"/>
      <c r="HL124" s="566"/>
      <c r="HM124" s="566"/>
      <c r="HN124" s="563"/>
      <c r="HO124" s="564"/>
      <c r="HP124" s="564"/>
      <c r="HQ124" s="590"/>
      <c r="HR124" s="560"/>
      <c r="HS124" s="566"/>
      <c r="HT124" s="566"/>
      <c r="HU124" s="566"/>
    </row>
    <row r="125" spans="2:229" s="506" customFormat="1" ht="102" customHeight="1" x14ac:dyDescent="0.35">
      <c r="B125" s="544">
        <v>40</v>
      </c>
      <c r="C125" s="544" t="s">
        <v>46</v>
      </c>
      <c r="D125" s="545" t="s">
        <v>44</v>
      </c>
      <c r="E125" s="670" t="s">
        <v>585</v>
      </c>
      <c r="F125" s="671" t="s">
        <v>586</v>
      </c>
      <c r="G125" s="671" t="s">
        <v>587</v>
      </c>
      <c r="H125" s="672" t="s">
        <v>588</v>
      </c>
      <c r="I125" s="568" t="s">
        <v>62</v>
      </c>
      <c r="J125" s="568"/>
      <c r="K125" s="568"/>
      <c r="L125" s="711" t="s">
        <v>589</v>
      </c>
      <c r="M125" s="673" t="s">
        <v>123</v>
      </c>
      <c r="N125" s="841">
        <v>2</v>
      </c>
      <c r="O125" s="576">
        <v>187</v>
      </c>
      <c r="P125" s="553">
        <v>46087</v>
      </c>
      <c r="Q125" s="553">
        <v>46125</v>
      </c>
      <c r="R125" s="554" t="s">
        <v>590</v>
      </c>
      <c r="S125" s="555">
        <f ca="1">IF(R125="Rechazado / Reemitir Rev_2", NETWORKDAYS(Q125,TODAY(),Hoja1!$C$3:$C$25),0)</f>
        <v>5</v>
      </c>
      <c r="T125" s="555">
        <f ca="1">IF(R125="Revisión INN",NETWORKDAYS(P125,TODAY(),Hoja1!$C$3:$C$25),0)</f>
        <v>0</v>
      </c>
      <c r="U125" s="556">
        <f t="shared" si="4"/>
        <v>5</v>
      </c>
      <c r="V125" s="557" t="s">
        <v>63</v>
      </c>
      <c r="W125" s="558">
        <v>26</v>
      </c>
      <c r="X125" s="558"/>
      <c r="Y125" s="559">
        <v>45926</v>
      </c>
      <c r="Z125" s="560">
        <v>35</v>
      </c>
      <c r="AA125" s="561">
        <v>45938</v>
      </c>
      <c r="AB125" s="562"/>
      <c r="AC125" s="561" t="s">
        <v>186</v>
      </c>
      <c r="AD125" s="563">
        <v>0</v>
      </c>
      <c r="AE125" s="567">
        <v>42</v>
      </c>
      <c r="AF125" s="564">
        <f>AG125-AA125</f>
        <v>6</v>
      </c>
      <c r="AG125" s="565">
        <v>45944</v>
      </c>
      <c r="AH125" s="560">
        <v>43</v>
      </c>
      <c r="AI125" s="561">
        <v>45946</v>
      </c>
      <c r="AJ125" s="562">
        <f>AI125-AG125</f>
        <v>2</v>
      </c>
      <c r="AK125" s="561" t="s">
        <v>591</v>
      </c>
      <c r="AL125" s="563">
        <v>0</v>
      </c>
      <c r="AM125" s="567">
        <v>49</v>
      </c>
      <c r="AN125" s="564">
        <f>AO125-AI125</f>
        <v>4</v>
      </c>
      <c r="AO125" s="565">
        <v>45950</v>
      </c>
      <c r="AP125" s="560">
        <v>62</v>
      </c>
      <c r="AQ125" s="561">
        <v>45974</v>
      </c>
      <c r="AR125" s="562"/>
      <c r="AS125" s="561" t="s">
        <v>67</v>
      </c>
      <c r="AT125" s="563">
        <v>1</v>
      </c>
      <c r="AU125" s="567">
        <v>106</v>
      </c>
      <c r="AV125" s="564"/>
      <c r="AW125" s="565">
        <v>45976</v>
      </c>
      <c r="AX125" s="560">
        <v>119</v>
      </c>
      <c r="AY125" s="561">
        <v>46048</v>
      </c>
      <c r="AZ125" s="562"/>
      <c r="BA125" s="561" t="s">
        <v>67</v>
      </c>
      <c r="BB125" s="563">
        <v>2</v>
      </c>
      <c r="BC125" s="567">
        <v>158</v>
      </c>
      <c r="BD125" s="564"/>
      <c r="BE125" s="565">
        <v>46051</v>
      </c>
      <c r="BF125" s="560">
        <v>141</v>
      </c>
      <c r="BG125" s="561">
        <v>46079</v>
      </c>
      <c r="BH125" s="562"/>
      <c r="BI125" s="655" t="s">
        <v>590</v>
      </c>
      <c r="BJ125" s="563" t="s">
        <v>592</v>
      </c>
      <c r="BK125" s="567">
        <v>213</v>
      </c>
      <c r="BL125" s="564"/>
      <c r="BM125" s="565">
        <v>46087</v>
      </c>
      <c r="BN125" s="589">
        <v>187</v>
      </c>
      <c r="BO125" s="593">
        <v>46125</v>
      </c>
      <c r="BP125" s="562"/>
      <c r="BQ125" s="861" t="s">
        <v>590</v>
      </c>
      <c r="BR125" s="563"/>
      <c r="BS125" s="567"/>
      <c r="BT125" s="564"/>
      <c r="BU125" s="565"/>
      <c r="BV125" s="560"/>
      <c r="BW125" s="561"/>
      <c r="BX125" s="562"/>
      <c r="BY125" s="561"/>
      <c r="BZ125" s="563"/>
      <c r="CA125" s="567"/>
      <c r="CB125" s="564"/>
      <c r="CC125" s="565"/>
      <c r="CD125" s="560"/>
      <c r="CE125" s="561"/>
      <c r="CF125" s="562"/>
      <c r="CG125" s="561"/>
      <c r="CH125" s="563"/>
      <c r="CI125" s="564"/>
      <c r="CJ125" s="564"/>
      <c r="CK125" s="564"/>
      <c r="CL125" s="560"/>
      <c r="CM125" s="561"/>
      <c r="CN125" s="562"/>
      <c r="CO125" s="561"/>
      <c r="CP125" s="563"/>
      <c r="CQ125" s="564"/>
      <c r="CR125" s="564"/>
      <c r="CS125" s="564"/>
      <c r="CT125" s="560"/>
      <c r="CU125" s="561"/>
      <c r="CV125" s="562"/>
      <c r="CW125" s="561"/>
      <c r="CX125" s="563"/>
      <c r="CY125" s="564"/>
      <c r="CZ125" s="564"/>
      <c r="DA125" s="564"/>
      <c r="DB125" s="560"/>
      <c r="DC125" s="561"/>
      <c r="DD125" s="562"/>
      <c r="DE125" s="561"/>
      <c r="DF125" s="563"/>
      <c r="DG125" s="564"/>
      <c r="DH125" s="564"/>
      <c r="DI125" s="564"/>
      <c r="DJ125" s="560"/>
      <c r="DK125" s="561"/>
      <c r="DL125" s="562"/>
      <c r="DM125" s="561"/>
      <c r="DN125" s="563"/>
      <c r="DO125" s="564"/>
      <c r="DP125" s="564"/>
      <c r="DQ125" s="564"/>
      <c r="DR125" s="560"/>
      <c r="DS125" s="561"/>
      <c r="DT125" s="562"/>
      <c r="DU125" s="561"/>
      <c r="DV125" s="563"/>
      <c r="DW125" s="564"/>
      <c r="DX125" s="564"/>
      <c r="DY125" s="564"/>
      <c r="DZ125" s="560"/>
      <c r="EA125" s="561"/>
      <c r="EB125" s="562"/>
      <c r="EC125" s="561"/>
      <c r="ED125" s="563"/>
      <c r="EE125" s="564"/>
      <c r="EF125" s="564"/>
      <c r="EG125" s="564"/>
      <c r="EH125" s="560"/>
      <c r="EI125" s="561"/>
      <c r="EJ125" s="562"/>
      <c r="EK125" s="561"/>
      <c r="EL125" s="563"/>
      <c r="EM125" s="564"/>
      <c r="EN125" s="564"/>
      <c r="EO125" s="564"/>
      <c r="EP125" s="560"/>
      <c r="EQ125" s="561"/>
      <c r="ER125" s="562"/>
      <c r="ES125" s="561"/>
      <c r="ET125" s="563"/>
      <c r="EU125" s="564"/>
      <c r="EV125" s="564"/>
      <c r="EW125" s="564"/>
      <c r="EX125" s="560"/>
      <c r="EY125" s="561"/>
      <c r="EZ125" s="562"/>
      <c r="FA125" s="561"/>
      <c r="FB125" s="563"/>
      <c r="FC125" s="564"/>
      <c r="FD125" s="564"/>
      <c r="FE125" s="564"/>
      <c r="FF125" s="560"/>
      <c r="FG125" s="561"/>
      <c r="FH125" s="562"/>
      <c r="FI125" s="561"/>
      <c r="FJ125" s="563"/>
      <c r="FK125" s="564"/>
      <c r="FL125" s="564"/>
      <c r="FM125" s="564"/>
      <c r="FN125" s="560"/>
      <c r="FO125" s="561"/>
      <c r="FP125" s="562"/>
      <c r="FQ125" s="561"/>
      <c r="FR125" s="563"/>
      <c r="FS125" s="564"/>
      <c r="FT125" s="564"/>
      <c r="FU125" s="564"/>
      <c r="FV125" s="560"/>
      <c r="FW125" s="566"/>
      <c r="FX125" s="566"/>
      <c r="FY125" s="566"/>
      <c r="FZ125" s="563"/>
      <c r="GA125" s="564"/>
      <c r="GB125" s="564"/>
      <c r="GC125" s="564"/>
      <c r="GD125" s="560"/>
      <c r="GE125" s="566"/>
      <c r="GF125" s="566"/>
      <c r="GG125" s="566"/>
      <c r="GH125" s="563"/>
      <c r="GI125" s="564"/>
      <c r="GJ125" s="564"/>
      <c r="GK125" s="564"/>
      <c r="GL125" s="560"/>
      <c r="GM125" s="566"/>
      <c r="GN125" s="566"/>
      <c r="GO125" s="566"/>
      <c r="GP125" s="563"/>
      <c r="GQ125" s="564"/>
      <c r="GR125" s="564"/>
      <c r="GS125" s="564"/>
      <c r="GT125" s="560"/>
      <c r="GU125" s="566"/>
      <c r="GV125" s="566"/>
      <c r="GW125" s="566"/>
      <c r="GX125" s="541"/>
      <c r="GY125" s="535"/>
      <c r="GZ125" s="542"/>
      <c r="HA125" s="543"/>
      <c r="HB125" s="541"/>
      <c r="HC125" s="535"/>
      <c r="HD125" s="542"/>
      <c r="HE125" s="543"/>
      <c r="HF125" s="541"/>
      <c r="HG125" s="535"/>
      <c r="HH125" s="542"/>
      <c r="HI125" s="543"/>
      <c r="HJ125" s="541"/>
      <c r="HK125" s="535"/>
      <c r="HL125" s="542"/>
      <c r="HM125" s="543"/>
      <c r="HN125" s="541"/>
      <c r="HO125" s="535"/>
      <c r="HP125" s="542"/>
      <c r="HQ125" s="543"/>
      <c r="HR125" s="541"/>
      <c r="HS125" s="535"/>
      <c r="HT125" s="542"/>
      <c r="HU125" s="543"/>
    </row>
    <row r="126" spans="2:229" s="506" customFormat="1" ht="87" customHeight="1" x14ac:dyDescent="0.35">
      <c r="B126" s="544">
        <v>123</v>
      </c>
      <c r="C126" s="544"/>
      <c r="D126" s="545" t="s">
        <v>44</v>
      </c>
      <c r="E126" s="545" t="s">
        <v>593</v>
      </c>
      <c r="F126" s="546" t="s">
        <v>46</v>
      </c>
      <c r="G126" s="546" t="s">
        <v>46</v>
      </c>
      <c r="H126" s="547" t="s">
        <v>594</v>
      </c>
      <c r="I126" s="548"/>
      <c r="J126" s="548"/>
      <c r="K126" s="568"/>
      <c r="L126" s="572"/>
      <c r="M126" s="569" t="s">
        <v>48</v>
      </c>
      <c r="N126" s="551">
        <v>0</v>
      </c>
      <c r="O126" s="552">
        <v>83</v>
      </c>
      <c r="P126" s="553">
        <v>45986</v>
      </c>
      <c r="Q126" s="554"/>
      <c r="R126" s="554" t="s">
        <v>49</v>
      </c>
      <c r="S126" s="555">
        <f ca="1">IF(R126="Aprobado con comentarios / Emitir en Rev_0", NETWORKDAYS(Q126,TODAY(),Hoja1!$C$3:$C$25),0)</f>
        <v>0</v>
      </c>
      <c r="T126" s="555">
        <f ca="1">IF(R126="Revisión INN",NETWORKDAYS(P126,TODAY(),Hoja1!$C$3:$C$25),0)</f>
        <v>0</v>
      </c>
      <c r="U126" s="556">
        <f t="shared" si="4"/>
        <v>1</v>
      </c>
      <c r="V126" s="557">
        <v>0</v>
      </c>
      <c r="W126" s="558">
        <v>83</v>
      </c>
      <c r="X126" s="558"/>
      <c r="Y126" s="559">
        <v>45986</v>
      </c>
      <c r="Z126" s="560"/>
      <c r="AA126" s="561"/>
      <c r="AB126" s="562"/>
      <c r="AC126" s="561"/>
      <c r="AD126" s="563"/>
      <c r="AE126" s="567"/>
      <c r="AF126" s="564"/>
      <c r="AG126" s="565"/>
      <c r="AH126" s="560"/>
      <c r="AI126" s="561"/>
      <c r="AJ126" s="562"/>
      <c r="AK126" s="561"/>
      <c r="AL126" s="563"/>
      <c r="AM126" s="567"/>
      <c r="AN126" s="564"/>
      <c r="AO126" s="565"/>
      <c r="AP126" s="560"/>
      <c r="AQ126" s="561"/>
      <c r="AR126" s="562"/>
      <c r="AS126" s="561"/>
      <c r="AT126" s="563"/>
      <c r="AU126" s="567"/>
      <c r="AV126" s="564"/>
      <c r="AW126" s="565"/>
      <c r="AX126" s="560"/>
      <c r="AY126" s="561"/>
      <c r="AZ126" s="562"/>
      <c r="BA126" s="561"/>
      <c r="BB126" s="563"/>
      <c r="BC126" s="567"/>
      <c r="BD126" s="564"/>
      <c r="BE126" s="565"/>
      <c r="BF126" s="560"/>
      <c r="BG126" s="561"/>
      <c r="BH126" s="562"/>
      <c r="BI126" s="561"/>
      <c r="BJ126" s="563"/>
      <c r="BK126" s="567"/>
      <c r="BL126" s="564"/>
      <c r="BM126" s="565"/>
      <c r="BN126" s="560"/>
      <c r="BO126" s="561"/>
      <c r="BP126" s="562"/>
      <c r="BQ126" s="561"/>
      <c r="BR126" s="563"/>
      <c r="BS126" s="567"/>
      <c r="BT126" s="564"/>
      <c r="BU126" s="565"/>
      <c r="BV126" s="560"/>
      <c r="BW126" s="561"/>
      <c r="BX126" s="562"/>
      <c r="BY126" s="561"/>
      <c r="BZ126" s="563"/>
      <c r="CA126" s="567"/>
      <c r="CB126" s="564"/>
      <c r="CC126" s="565"/>
      <c r="CD126" s="560"/>
      <c r="CE126" s="561"/>
      <c r="CF126" s="562"/>
      <c r="CG126" s="561"/>
      <c r="CH126" s="563"/>
      <c r="CI126" s="564"/>
      <c r="CJ126" s="564"/>
      <c r="CK126" s="564"/>
      <c r="CL126" s="560"/>
      <c r="CM126" s="561"/>
      <c r="CN126" s="562"/>
      <c r="CO126" s="561"/>
      <c r="CP126" s="563"/>
      <c r="CQ126" s="564"/>
      <c r="CR126" s="564"/>
      <c r="CS126" s="564"/>
      <c r="CT126" s="560"/>
      <c r="CU126" s="561"/>
      <c r="CV126" s="562"/>
      <c r="CW126" s="561"/>
      <c r="CX126" s="563"/>
      <c r="CY126" s="564"/>
      <c r="CZ126" s="564"/>
      <c r="DA126" s="564"/>
      <c r="DB126" s="560"/>
      <c r="DC126" s="561"/>
      <c r="DD126" s="562"/>
      <c r="DE126" s="561"/>
      <c r="DF126" s="563"/>
      <c r="DG126" s="564"/>
      <c r="DH126" s="564"/>
      <c r="DI126" s="564"/>
      <c r="DJ126" s="560"/>
      <c r="DK126" s="561"/>
      <c r="DL126" s="562"/>
      <c r="DM126" s="561"/>
      <c r="DN126" s="563"/>
      <c r="DO126" s="564"/>
      <c r="DP126" s="564"/>
      <c r="DQ126" s="564"/>
      <c r="DR126" s="560"/>
      <c r="DS126" s="561"/>
      <c r="DT126" s="562"/>
      <c r="DU126" s="561"/>
      <c r="DV126" s="563"/>
      <c r="DW126" s="564"/>
      <c r="DX126" s="564"/>
      <c r="DY126" s="564"/>
      <c r="DZ126" s="560"/>
      <c r="EA126" s="561"/>
      <c r="EB126" s="562"/>
      <c r="EC126" s="561"/>
      <c r="ED126" s="563"/>
      <c r="EE126" s="564"/>
      <c r="EF126" s="564"/>
      <c r="EG126" s="564"/>
      <c r="EH126" s="560"/>
      <c r="EI126" s="561"/>
      <c r="EJ126" s="562"/>
      <c r="EK126" s="561"/>
      <c r="EL126" s="563"/>
      <c r="EM126" s="564"/>
      <c r="EN126" s="564"/>
      <c r="EO126" s="564"/>
      <c r="EP126" s="560"/>
      <c r="EQ126" s="561"/>
      <c r="ER126" s="562"/>
      <c r="ES126" s="561"/>
      <c r="ET126" s="563"/>
      <c r="EU126" s="564"/>
      <c r="EV126" s="564"/>
      <c r="EW126" s="564"/>
      <c r="EX126" s="560"/>
      <c r="EY126" s="561"/>
      <c r="EZ126" s="562"/>
      <c r="FA126" s="561"/>
      <c r="FB126" s="563"/>
      <c r="FC126" s="564"/>
      <c r="FD126" s="564"/>
      <c r="FE126" s="564"/>
      <c r="FF126" s="560"/>
      <c r="FG126" s="561"/>
      <c r="FH126" s="562"/>
      <c r="FI126" s="561"/>
      <c r="FJ126" s="563"/>
      <c r="FK126" s="564"/>
      <c r="FL126" s="564"/>
      <c r="FM126" s="564"/>
      <c r="FN126" s="560"/>
      <c r="FO126" s="561"/>
      <c r="FP126" s="562"/>
      <c r="FQ126" s="561"/>
      <c r="FR126" s="563"/>
      <c r="FS126" s="564"/>
      <c r="FT126" s="564"/>
      <c r="FU126" s="564"/>
      <c r="FV126" s="560"/>
      <c r="FW126" s="566"/>
      <c r="FX126" s="566"/>
      <c r="FY126" s="566"/>
      <c r="FZ126" s="563"/>
      <c r="GA126" s="564"/>
      <c r="GB126" s="564"/>
      <c r="GC126" s="564"/>
      <c r="GD126" s="560"/>
      <c r="GE126" s="566"/>
      <c r="GF126" s="566"/>
      <c r="GG126" s="566"/>
      <c r="GH126" s="563"/>
      <c r="GI126" s="564"/>
      <c r="GJ126" s="564"/>
      <c r="GK126" s="564"/>
      <c r="GL126" s="560"/>
      <c r="GM126" s="566"/>
      <c r="GN126" s="566"/>
      <c r="GO126" s="566"/>
      <c r="GP126" s="563"/>
      <c r="GQ126" s="564"/>
      <c r="GR126" s="564"/>
      <c r="GS126" s="564"/>
      <c r="GT126" s="560"/>
      <c r="GU126" s="566"/>
      <c r="GV126" s="566"/>
      <c r="GW126" s="566"/>
      <c r="GX126" s="563"/>
      <c r="GY126" s="564"/>
      <c r="GZ126" s="564"/>
      <c r="HA126" s="590"/>
      <c r="HB126" s="560"/>
      <c r="HC126" s="566"/>
      <c r="HD126" s="566"/>
      <c r="HE126" s="566"/>
      <c r="HF126" s="563"/>
      <c r="HG126" s="564"/>
      <c r="HH126" s="564"/>
      <c r="HI126" s="590"/>
      <c r="HJ126" s="560"/>
      <c r="HK126" s="566"/>
      <c r="HL126" s="566"/>
      <c r="HM126" s="566"/>
      <c r="HN126" s="563"/>
      <c r="HO126" s="564"/>
      <c r="HP126" s="564"/>
      <c r="HQ126" s="590"/>
      <c r="HR126" s="560"/>
      <c r="HS126" s="566"/>
      <c r="HT126" s="566"/>
      <c r="HU126" s="566"/>
    </row>
    <row r="127" spans="2:229" s="506" customFormat="1" ht="106" customHeight="1" x14ac:dyDescent="0.35">
      <c r="B127" s="544">
        <v>124</v>
      </c>
      <c r="C127" s="544"/>
      <c r="D127" s="545" t="s">
        <v>44</v>
      </c>
      <c r="E127" s="546" t="s">
        <v>595</v>
      </c>
      <c r="F127" s="545" t="s">
        <v>46</v>
      </c>
      <c r="G127" s="546" t="s">
        <v>46</v>
      </c>
      <c r="H127" s="704" t="s">
        <v>596</v>
      </c>
      <c r="I127" s="549" t="s">
        <v>46</v>
      </c>
      <c r="J127" s="548"/>
      <c r="K127" s="549"/>
      <c r="L127" s="549"/>
      <c r="M127" s="550" t="s">
        <v>48</v>
      </c>
      <c r="N127" s="551">
        <v>0</v>
      </c>
      <c r="O127" s="552">
        <v>77</v>
      </c>
      <c r="P127" s="553">
        <v>45980</v>
      </c>
      <c r="Q127" s="553"/>
      <c r="R127" s="554" t="s">
        <v>73</v>
      </c>
      <c r="S127" s="555">
        <f ca="1">IF(R127="Aprobado con comentarios / Emitir en Rev_0", NETWORKDAYS(Q127,TODAY(),Hoja1!$C$3:$C$25),0)</f>
        <v>0</v>
      </c>
      <c r="T127" s="555">
        <f ca="1">IF(R127="Revisión INN",NETWORKDAYS(P127,TODAY(),Hoja1!$C$3:$C$25),0)</f>
        <v>0</v>
      </c>
      <c r="U127" s="556">
        <f t="shared" si="4"/>
        <v>1</v>
      </c>
      <c r="V127" s="557">
        <v>0</v>
      </c>
      <c r="W127" s="558">
        <v>77</v>
      </c>
      <c r="X127" s="558"/>
      <c r="Y127" s="559">
        <v>45980</v>
      </c>
      <c r="Z127" s="560"/>
      <c r="AA127" s="561"/>
      <c r="AB127" s="562"/>
      <c r="AC127" s="561"/>
      <c r="AD127" s="563"/>
      <c r="AE127" s="567"/>
      <c r="AF127" s="564"/>
      <c r="AG127" s="565"/>
      <c r="AH127" s="560"/>
      <c r="AI127" s="561"/>
      <c r="AJ127" s="562"/>
      <c r="AK127" s="561"/>
      <c r="AL127" s="563"/>
      <c r="AM127" s="567"/>
      <c r="AN127" s="564"/>
      <c r="AO127" s="565"/>
      <c r="AP127" s="560"/>
      <c r="AQ127" s="561"/>
      <c r="AR127" s="562"/>
      <c r="AS127" s="561"/>
      <c r="AT127" s="563"/>
      <c r="AU127" s="567"/>
      <c r="AV127" s="564"/>
      <c r="AW127" s="565"/>
      <c r="AX127" s="560"/>
      <c r="AY127" s="561"/>
      <c r="AZ127" s="562"/>
      <c r="BA127" s="561"/>
      <c r="BB127" s="563"/>
      <c r="BC127" s="567"/>
      <c r="BD127" s="564"/>
      <c r="BE127" s="565"/>
      <c r="BF127" s="560"/>
      <c r="BG127" s="561"/>
      <c r="BH127" s="562"/>
      <c r="BI127" s="561"/>
      <c r="BJ127" s="563"/>
      <c r="BK127" s="567"/>
      <c r="BL127" s="564"/>
      <c r="BM127" s="565"/>
      <c r="BN127" s="560"/>
      <c r="BO127" s="561"/>
      <c r="BP127" s="562"/>
      <c r="BQ127" s="561"/>
      <c r="BR127" s="563"/>
      <c r="BS127" s="567"/>
      <c r="BT127" s="564"/>
      <c r="BU127" s="565"/>
      <c r="BV127" s="560"/>
      <c r="BW127" s="561"/>
      <c r="BX127" s="562"/>
      <c r="BY127" s="561"/>
      <c r="BZ127" s="563"/>
      <c r="CA127" s="567"/>
      <c r="CB127" s="564"/>
      <c r="CC127" s="565"/>
      <c r="CD127" s="560"/>
      <c r="CE127" s="561"/>
      <c r="CF127" s="562"/>
      <c r="CG127" s="561"/>
      <c r="CH127" s="563"/>
      <c r="CI127" s="564"/>
      <c r="CJ127" s="564"/>
      <c r="CK127" s="564"/>
      <c r="CL127" s="560"/>
      <c r="CM127" s="561"/>
      <c r="CN127" s="562"/>
      <c r="CO127" s="561"/>
      <c r="CP127" s="563"/>
      <c r="CQ127" s="564"/>
      <c r="CR127" s="564"/>
      <c r="CS127" s="564"/>
      <c r="CT127" s="560"/>
      <c r="CU127" s="561"/>
      <c r="CV127" s="562"/>
      <c r="CW127" s="561"/>
      <c r="CX127" s="563"/>
      <c r="CY127" s="564"/>
      <c r="CZ127" s="564"/>
      <c r="DA127" s="564"/>
      <c r="DB127" s="560"/>
      <c r="DC127" s="561"/>
      <c r="DD127" s="562"/>
      <c r="DE127" s="561"/>
      <c r="DF127" s="563"/>
      <c r="DG127" s="564"/>
      <c r="DH127" s="564"/>
      <c r="DI127" s="564"/>
      <c r="DJ127" s="560"/>
      <c r="DK127" s="561"/>
      <c r="DL127" s="562"/>
      <c r="DM127" s="561"/>
      <c r="DN127" s="563"/>
      <c r="DO127" s="564"/>
      <c r="DP127" s="564"/>
      <c r="DQ127" s="564"/>
      <c r="DR127" s="560"/>
      <c r="DS127" s="561"/>
      <c r="DT127" s="562"/>
      <c r="DU127" s="561"/>
      <c r="DV127" s="563"/>
      <c r="DW127" s="564"/>
      <c r="DX127" s="564"/>
      <c r="DY127" s="564"/>
      <c r="DZ127" s="560"/>
      <c r="EA127" s="561"/>
      <c r="EB127" s="562"/>
      <c r="EC127" s="561"/>
      <c r="ED127" s="563"/>
      <c r="EE127" s="564"/>
      <c r="EF127" s="564"/>
      <c r="EG127" s="564"/>
      <c r="EH127" s="560"/>
      <c r="EI127" s="561"/>
      <c r="EJ127" s="562"/>
      <c r="EK127" s="561"/>
      <c r="EL127" s="563"/>
      <c r="EM127" s="564"/>
      <c r="EN127" s="564"/>
      <c r="EO127" s="564"/>
      <c r="EP127" s="560"/>
      <c r="EQ127" s="561"/>
      <c r="ER127" s="562"/>
      <c r="ES127" s="561"/>
      <c r="ET127" s="563"/>
      <c r="EU127" s="564"/>
      <c r="EV127" s="564"/>
      <c r="EW127" s="564"/>
      <c r="EX127" s="560"/>
      <c r="EY127" s="561"/>
      <c r="EZ127" s="562"/>
      <c r="FA127" s="561"/>
      <c r="FB127" s="563"/>
      <c r="FC127" s="564"/>
      <c r="FD127" s="564"/>
      <c r="FE127" s="564"/>
      <c r="FF127" s="560"/>
      <c r="FG127" s="561"/>
      <c r="FH127" s="562"/>
      <c r="FI127" s="561"/>
      <c r="FJ127" s="563"/>
      <c r="FK127" s="564"/>
      <c r="FL127" s="564"/>
      <c r="FM127" s="564"/>
      <c r="FN127" s="560"/>
      <c r="FO127" s="561"/>
      <c r="FP127" s="562"/>
      <c r="FQ127" s="561"/>
      <c r="FR127" s="563"/>
      <c r="FS127" s="564"/>
      <c r="FT127" s="564"/>
      <c r="FU127" s="564"/>
      <c r="FV127" s="560"/>
      <c r="FW127" s="566"/>
      <c r="FX127" s="566"/>
      <c r="FY127" s="566"/>
      <c r="FZ127" s="563"/>
      <c r="GA127" s="564"/>
      <c r="GB127" s="564"/>
      <c r="GC127" s="564"/>
      <c r="GD127" s="560"/>
      <c r="GE127" s="566"/>
      <c r="GF127" s="566"/>
      <c r="GG127" s="566"/>
      <c r="GH127" s="563"/>
      <c r="GI127" s="564"/>
      <c r="GJ127" s="564"/>
      <c r="GK127" s="564"/>
      <c r="GL127" s="560"/>
      <c r="GM127" s="566"/>
      <c r="GN127" s="566"/>
      <c r="GO127" s="566"/>
      <c r="GP127" s="563"/>
      <c r="GQ127" s="564"/>
      <c r="GR127" s="564"/>
      <c r="GS127" s="564"/>
      <c r="GT127" s="560"/>
      <c r="GU127" s="566"/>
      <c r="GV127" s="566"/>
      <c r="GW127" s="566"/>
      <c r="GX127" s="563"/>
      <c r="GY127" s="564"/>
      <c r="GZ127" s="564"/>
      <c r="HA127" s="590"/>
      <c r="HB127" s="560"/>
      <c r="HC127" s="566"/>
      <c r="HD127" s="566"/>
      <c r="HE127" s="566"/>
      <c r="HF127" s="563"/>
      <c r="HG127" s="564"/>
      <c r="HH127" s="564"/>
      <c r="HI127" s="590"/>
      <c r="HJ127" s="560"/>
      <c r="HK127" s="566"/>
      <c r="HL127" s="566"/>
      <c r="HM127" s="566"/>
      <c r="HN127" s="563"/>
      <c r="HO127" s="564"/>
      <c r="HP127" s="564"/>
      <c r="HQ127" s="590"/>
      <c r="HR127" s="560"/>
      <c r="HS127" s="566"/>
      <c r="HT127" s="566"/>
      <c r="HU127" s="566"/>
    </row>
    <row r="128" spans="2:229" s="506" customFormat="1" ht="87" customHeight="1" thickBot="1" x14ac:dyDescent="0.4">
      <c r="B128" s="544">
        <v>125</v>
      </c>
      <c r="C128" s="544"/>
      <c r="D128" s="545" t="s">
        <v>44</v>
      </c>
      <c r="E128" s="546" t="s">
        <v>597</v>
      </c>
      <c r="F128" s="545" t="s">
        <v>46</v>
      </c>
      <c r="G128" s="546" t="s">
        <v>46</v>
      </c>
      <c r="H128" s="704" t="s">
        <v>598</v>
      </c>
      <c r="I128" s="549" t="s">
        <v>46</v>
      </c>
      <c r="J128" s="705"/>
      <c r="K128" s="568"/>
      <c r="L128" s="548"/>
      <c r="M128" s="550" t="s">
        <v>48</v>
      </c>
      <c r="N128" s="551">
        <v>0</v>
      </c>
      <c r="O128" s="552">
        <v>83</v>
      </c>
      <c r="P128" s="553">
        <v>45986</v>
      </c>
      <c r="Q128" s="553" t="s">
        <v>62</v>
      </c>
      <c r="R128" s="554" t="s">
        <v>49</v>
      </c>
      <c r="S128" s="555">
        <f ca="1">IF(R128="Aprobado con comentarios / Emitir en Rev_0", NETWORKDAYS(Q128,TODAY(),Hoja1!$C$3:$C$25),0)</f>
        <v>0</v>
      </c>
      <c r="T128" s="555">
        <f ca="1">IF(R128="Revisión INN",NETWORKDAYS(P128,TODAY(),Hoja1!$C$3:$C$25),0)</f>
        <v>0</v>
      </c>
      <c r="U128" s="556">
        <f t="shared" si="4"/>
        <v>1</v>
      </c>
      <c r="V128" s="557">
        <v>0</v>
      </c>
      <c r="W128" s="558">
        <v>83</v>
      </c>
      <c r="X128" s="558"/>
      <c r="Y128" s="559">
        <v>45986</v>
      </c>
      <c r="Z128" s="560"/>
      <c r="AA128" s="561"/>
      <c r="AB128" s="562"/>
      <c r="AC128" s="561"/>
      <c r="AD128" s="563"/>
      <c r="AE128" s="567"/>
      <c r="AF128" s="564"/>
      <c r="AG128" s="565"/>
      <c r="AH128" s="560"/>
      <c r="AI128" s="561"/>
      <c r="AJ128" s="562"/>
      <c r="AK128" s="561"/>
      <c r="AL128" s="563"/>
      <c r="AM128" s="567"/>
      <c r="AN128" s="564"/>
      <c r="AO128" s="565"/>
      <c r="AP128" s="560"/>
      <c r="AQ128" s="561"/>
      <c r="AR128" s="562"/>
      <c r="AS128" s="561"/>
      <c r="AT128" s="563"/>
      <c r="AU128" s="567"/>
      <c r="AV128" s="564"/>
      <c r="AW128" s="565"/>
      <c r="AX128" s="560"/>
      <c r="AY128" s="561"/>
      <c r="AZ128" s="562"/>
      <c r="BA128" s="561"/>
      <c r="BB128" s="563"/>
      <c r="BC128" s="567"/>
      <c r="BD128" s="564"/>
      <c r="BE128" s="565"/>
      <c r="BF128" s="560"/>
      <c r="BG128" s="561"/>
      <c r="BH128" s="562"/>
      <c r="BI128" s="561"/>
      <c r="BJ128" s="563"/>
      <c r="BK128" s="567"/>
      <c r="BL128" s="564"/>
      <c r="BM128" s="565"/>
      <c r="BN128" s="560"/>
      <c r="BO128" s="561"/>
      <c r="BP128" s="562"/>
      <c r="BQ128" s="561"/>
      <c r="BR128" s="563"/>
      <c r="BS128" s="567"/>
      <c r="BT128" s="564"/>
      <c r="BU128" s="565"/>
      <c r="BV128" s="560"/>
      <c r="BW128" s="561"/>
      <c r="BX128" s="562"/>
      <c r="BY128" s="561"/>
      <c r="BZ128" s="563"/>
      <c r="CA128" s="567"/>
      <c r="CB128" s="564"/>
      <c r="CC128" s="565"/>
      <c r="CD128" s="560"/>
      <c r="CE128" s="561"/>
      <c r="CF128" s="562"/>
      <c r="CG128" s="561"/>
      <c r="CH128" s="563"/>
      <c r="CI128" s="564"/>
      <c r="CJ128" s="564"/>
      <c r="CK128" s="564"/>
      <c r="CL128" s="560"/>
      <c r="CM128" s="561"/>
      <c r="CN128" s="562"/>
      <c r="CO128" s="561"/>
      <c r="CP128" s="563"/>
      <c r="CQ128" s="564"/>
      <c r="CR128" s="564"/>
      <c r="CS128" s="564"/>
      <c r="CT128" s="560"/>
      <c r="CU128" s="561"/>
      <c r="CV128" s="562"/>
      <c r="CW128" s="561"/>
      <c r="CX128" s="563"/>
      <c r="CY128" s="564"/>
      <c r="CZ128" s="564"/>
      <c r="DA128" s="564"/>
      <c r="DB128" s="560"/>
      <c r="DC128" s="561"/>
      <c r="DD128" s="562"/>
      <c r="DE128" s="561"/>
      <c r="DF128" s="563"/>
      <c r="DG128" s="564"/>
      <c r="DH128" s="564"/>
      <c r="DI128" s="564"/>
      <c r="DJ128" s="560"/>
      <c r="DK128" s="561"/>
      <c r="DL128" s="562"/>
      <c r="DM128" s="561"/>
      <c r="DN128" s="563"/>
      <c r="DO128" s="564"/>
      <c r="DP128" s="564"/>
      <c r="DQ128" s="564"/>
      <c r="DR128" s="560"/>
      <c r="DS128" s="561"/>
      <c r="DT128" s="562"/>
      <c r="DU128" s="561"/>
      <c r="DV128" s="563"/>
      <c r="DW128" s="564"/>
      <c r="DX128" s="564"/>
      <c r="DY128" s="564"/>
      <c r="DZ128" s="560"/>
      <c r="EA128" s="561"/>
      <c r="EB128" s="562"/>
      <c r="EC128" s="561"/>
      <c r="ED128" s="563"/>
      <c r="EE128" s="564"/>
      <c r="EF128" s="564"/>
      <c r="EG128" s="564"/>
      <c r="EH128" s="560"/>
      <c r="EI128" s="561"/>
      <c r="EJ128" s="562"/>
      <c r="EK128" s="561"/>
      <c r="EL128" s="563"/>
      <c r="EM128" s="564"/>
      <c r="EN128" s="564"/>
      <c r="EO128" s="564"/>
      <c r="EP128" s="560"/>
      <c r="EQ128" s="561"/>
      <c r="ER128" s="562"/>
      <c r="ES128" s="561"/>
      <c r="ET128" s="563"/>
      <c r="EU128" s="564"/>
      <c r="EV128" s="564"/>
      <c r="EW128" s="564"/>
      <c r="EX128" s="560"/>
      <c r="EY128" s="561"/>
      <c r="EZ128" s="562"/>
      <c r="FA128" s="561"/>
      <c r="FB128" s="563"/>
      <c r="FC128" s="564"/>
      <c r="FD128" s="564"/>
      <c r="FE128" s="564"/>
      <c r="FF128" s="560"/>
      <c r="FG128" s="561"/>
      <c r="FH128" s="562"/>
      <c r="FI128" s="561"/>
      <c r="FJ128" s="563"/>
      <c r="FK128" s="564"/>
      <c r="FL128" s="564"/>
      <c r="FM128" s="564"/>
      <c r="FN128" s="560"/>
      <c r="FO128" s="561"/>
      <c r="FP128" s="562"/>
      <c r="FQ128" s="561"/>
      <c r="FR128" s="563"/>
      <c r="FS128" s="564"/>
      <c r="FT128" s="564"/>
      <c r="FU128" s="564"/>
      <c r="FV128" s="560"/>
      <c r="FW128" s="566"/>
      <c r="FX128" s="566"/>
      <c r="FY128" s="566"/>
      <c r="FZ128" s="563"/>
      <c r="GA128" s="564"/>
      <c r="GB128" s="564"/>
      <c r="GC128" s="564"/>
      <c r="GD128" s="560"/>
      <c r="GE128" s="566"/>
      <c r="GF128" s="566"/>
      <c r="GG128" s="566"/>
      <c r="GH128" s="563"/>
      <c r="GI128" s="564"/>
      <c r="GJ128" s="564"/>
      <c r="GK128" s="564"/>
      <c r="GL128" s="560"/>
      <c r="GM128" s="566"/>
      <c r="GN128" s="566"/>
      <c r="GO128" s="566"/>
      <c r="GP128" s="563"/>
      <c r="GQ128" s="564"/>
      <c r="GR128" s="564"/>
      <c r="GS128" s="564"/>
      <c r="GT128" s="560"/>
      <c r="GU128" s="566"/>
      <c r="GV128" s="566"/>
      <c r="GW128" s="566"/>
      <c r="GX128" s="563"/>
      <c r="GY128" s="564"/>
      <c r="GZ128" s="564"/>
      <c r="HA128" s="590"/>
      <c r="HB128" s="560"/>
      <c r="HC128" s="566"/>
      <c r="HD128" s="566"/>
      <c r="HE128" s="566"/>
      <c r="HF128" s="563"/>
      <c r="HG128" s="564"/>
      <c r="HH128" s="564"/>
      <c r="HI128" s="590"/>
      <c r="HJ128" s="560"/>
      <c r="HK128" s="566"/>
      <c r="HL128" s="566"/>
      <c r="HM128" s="566"/>
      <c r="HN128" s="563"/>
      <c r="HO128" s="564"/>
      <c r="HP128" s="564"/>
      <c r="HQ128" s="590"/>
      <c r="HR128" s="560"/>
      <c r="HS128" s="566"/>
      <c r="HT128" s="566"/>
      <c r="HU128" s="566"/>
    </row>
    <row r="129" spans="2:229" s="506" customFormat="1" ht="87" customHeight="1" x14ac:dyDescent="0.35">
      <c r="B129" s="544">
        <v>126</v>
      </c>
      <c r="C129" s="544" t="s">
        <v>46</v>
      </c>
      <c r="D129" s="545" t="s">
        <v>44</v>
      </c>
      <c r="E129" s="546" t="s">
        <v>599</v>
      </c>
      <c r="F129" s="546" t="s">
        <v>46</v>
      </c>
      <c r="G129" s="545" t="s">
        <v>46</v>
      </c>
      <c r="H129" s="547" t="s">
        <v>600</v>
      </c>
      <c r="I129" s="548" t="s">
        <v>46</v>
      </c>
      <c r="J129" s="548"/>
      <c r="K129" s="549" t="s">
        <v>46</v>
      </c>
      <c r="L129" s="549" t="s">
        <v>46</v>
      </c>
      <c r="M129" s="569" t="s">
        <v>102</v>
      </c>
      <c r="N129" s="551">
        <v>0</v>
      </c>
      <c r="O129" s="552">
        <v>41</v>
      </c>
      <c r="P129" s="553">
        <v>45944</v>
      </c>
      <c r="Q129" s="553"/>
      <c r="R129" s="554" t="s">
        <v>73</v>
      </c>
      <c r="S129" s="555">
        <f ca="1">IF(R129="Aprobado con comentarios / Emitir Rev_B", NETWORKDAYS(Q129,TODAY(),Hoja1!$C$3:$C$25),0)</f>
        <v>0</v>
      </c>
      <c r="T129" s="555">
        <f ca="1">IF(R129="Revisión INN",NETWORKDAYS(P129,TODAY(),Hoja1!$C$3:$C$25),0)</f>
        <v>0</v>
      </c>
      <c r="U129" s="556">
        <f t="shared" si="4"/>
        <v>1</v>
      </c>
      <c r="V129" s="557">
        <v>0</v>
      </c>
      <c r="W129" s="558">
        <v>41</v>
      </c>
      <c r="X129" s="558"/>
      <c r="Y129" s="559">
        <v>45944</v>
      </c>
      <c r="Z129" s="560"/>
      <c r="AA129" s="561"/>
      <c r="AB129" s="562"/>
      <c r="AC129" s="561"/>
      <c r="AD129" s="563"/>
      <c r="AE129" s="567"/>
      <c r="AF129" s="564"/>
      <c r="AG129" s="565"/>
      <c r="AH129" s="560"/>
      <c r="AI129" s="561"/>
      <c r="AJ129" s="562"/>
      <c r="AK129" s="561"/>
      <c r="AL129" s="563"/>
      <c r="AM129" s="567"/>
      <c r="AN129" s="564"/>
      <c r="AO129" s="565"/>
      <c r="AP129" s="560"/>
      <c r="AQ129" s="561"/>
      <c r="AR129" s="562"/>
      <c r="AS129" s="561"/>
      <c r="AT129" s="563"/>
      <c r="AU129" s="567"/>
      <c r="AV129" s="564"/>
      <c r="AW129" s="565"/>
      <c r="AX129" s="560"/>
      <c r="AY129" s="561"/>
      <c r="AZ129" s="562"/>
      <c r="BA129" s="561"/>
      <c r="BB129" s="563"/>
      <c r="BC129" s="567"/>
      <c r="BD129" s="564"/>
      <c r="BE129" s="565"/>
      <c r="BF129" s="560"/>
      <c r="BG129" s="561"/>
      <c r="BH129" s="562"/>
      <c r="BI129" s="561"/>
      <c r="BJ129" s="563"/>
      <c r="BK129" s="567"/>
      <c r="BL129" s="564"/>
      <c r="BM129" s="565"/>
      <c r="BN129" s="560"/>
      <c r="BO129" s="561"/>
      <c r="BP129" s="562"/>
      <c r="BQ129" s="561"/>
      <c r="BR129" s="563"/>
      <c r="BS129" s="567"/>
      <c r="BT129" s="564"/>
      <c r="BU129" s="565"/>
      <c r="BV129" s="560"/>
      <c r="BW129" s="561"/>
      <c r="BX129" s="562"/>
      <c r="BY129" s="561"/>
      <c r="BZ129" s="563"/>
      <c r="CA129" s="567"/>
      <c r="CB129" s="564"/>
      <c r="CC129" s="565"/>
      <c r="CD129" s="560"/>
      <c r="CE129" s="561"/>
      <c r="CF129" s="562"/>
      <c r="CG129" s="561"/>
      <c r="CH129" s="563"/>
      <c r="CI129" s="564"/>
      <c r="CJ129" s="564"/>
      <c r="CK129" s="564"/>
      <c r="CL129" s="560"/>
      <c r="CM129" s="561"/>
      <c r="CN129" s="562"/>
      <c r="CO129" s="561"/>
      <c r="CP129" s="563"/>
      <c r="CQ129" s="564"/>
      <c r="CR129" s="564"/>
      <c r="CS129" s="564"/>
      <c r="CT129" s="560"/>
      <c r="CU129" s="561"/>
      <c r="CV129" s="562"/>
      <c r="CW129" s="561"/>
      <c r="CX129" s="563"/>
      <c r="CY129" s="564"/>
      <c r="CZ129" s="564"/>
      <c r="DA129" s="564"/>
      <c r="DB129" s="560"/>
      <c r="DC129" s="561"/>
      <c r="DD129" s="562"/>
      <c r="DE129" s="561"/>
      <c r="DF129" s="563"/>
      <c r="DG129" s="564"/>
      <c r="DH129" s="564"/>
      <c r="DI129" s="564"/>
      <c r="DJ129" s="560"/>
      <c r="DK129" s="561"/>
      <c r="DL129" s="562"/>
      <c r="DM129" s="561"/>
      <c r="DN129" s="563"/>
      <c r="DO129" s="564"/>
      <c r="DP129" s="564"/>
      <c r="DQ129" s="564"/>
      <c r="DR129" s="560"/>
      <c r="DS129" s="561"/>
      <c r="DT129" s="562"/>
      <c r="DU129" s="561"/>
      <c r="DV129" s="563"/>
      <c r="DW129" s="564"/>
      <c r="DX129" s="564"/>
      <c r="DY129" s="564"/>
      <c r="DZ129" s="560"/>
      <c r="EA129" s="561"/>
      <c r="EB129" s="562"/>
      <c r="EC129" s="561"/>
      <c r="ED129" s="563"/>
      <c r="EE129" s="564"/>
      <c r="EF129" s="564"/>
      <c r="EG129" s="564"/>
      <c r="EH129" s="560"/>
      <c r="EI129" s="561"/>
      <c r="EJ129" s="562"/>
      <c r="EK129" s="561"/>
      <c r="EL129" s="563"/>
      <c r="EM129" s="564"/>
      <c r="EN129" s="564"/>
      <c r="EO129" s="564"/>
      <c r="EP129" s="560"/>
      <c r="EQ129" s="561"/>
      <c r="ER129" s="562"/>
      <c r="ES129" s="561"/>
      <c r="ET129" s="563"/>
      <c r="EU129" s="564"/>
      <c r="EV129" s="564"/>
      <c r="EW129" s="564"/>
      <c r="EX129" s="560"/>
      <c r="EY129" s="561"/>
      <c r="EZ129" s="562"/>
      <c r="FA129" s="561"/>
      <c r="FB129" s="563"/>
      <c r="FC129" s="564"/>
      <c r="FD129" s="564"/>
      <c r="FE129" s="564"/>
      <c r="FF129" s="560"/>
      <c r="FG129" s="561"/>
      <c r="FH129" s="562"/>
      <c r="FI129" s="561"/>
      <c r="FJ129" s="563"/>
      <c r="FK129" s="564"/>
      <c r="FL129" s="564"/>
      <c r="FM129" s="564"/>
      <c r="FN129" s="560"/>
      <c r="FO129" s="561"/>
      <c r="FP129" s="562"/>
      <c r="FQ129" s="561"/>
      <c r="FR129" s="563"/>
      <c r="FS129" s="564"/>
      <c r="FT129" s="564"/>
      <c r="FU129" s="564"/>
      <c r="FV129" s="560"/>
      <c r="FW129" s="566"/>
      <c r="FX129" s="566"/>
      <c r="FY129" s="566"/>
      <c r="FZ129" s="563"/>
      <c r="GA129" s="564"/>
      <c r="GB129" s="564"/>
      <c r="GC129" s="564"/>
      <c r="GD129" s="560"/>
      <c r="GE129" s="566"/>
      <c r="GF129" s="566"/>
      <c r="GG129" s="566"/>
      <c r="GH129" s="563"/>
      <c r="GI129" s="564"/>
      <c r="GJ129" s="564"/>
      <c r="GK129" s="564"/>
      <c r="GL129" s="560"/>
      <c r="GM129" s="566"/>
      <c r="GN129" s="566"/>
      <c r="GO129" s="566"/>
      <c r="GP129" s="563"/>
      <c r="GQ129" s="564"/>
      <c r="GR129" s="564"/>
      <c r="GS129" s="564"/>
      <c r="GT129" s="560"/>
      <c r="GU129" s="566"/>
      <c r="GV129" s="566"/>
      <c r="GW129" s="566"/>
      <c r="GX129" s="541"/>
      <c r="GY129" s="535"/>
      <c r="GZ129" s="542"/>
      <c r="HA129" s="543"/>
      <c r="HB129" s="541"/>
      <c r="HC129" s="535"/>
      <c r="HD129" s="542"/>
      <c r="HE129" s="543"/>
      <c r="HF129" s="541"/>
      <c r="HG129" s="535"/>
      <c r="HH129" s="542"/>
      <c r="HI129" s="543"/>
      <c r="HJ129" s="541"/>
      <c r="HK129" s="535"/>
      <c r="HL129" s="542"/>
      <c r="HM129" s="543"/>
      <c r="HN129" s="541"/>
      <c r="HO129" s="535"/>
      <c r="HP129" s="542"/>
      <c r="HQ129" s="543"/>
      <c r="HR129" s="541"/>
      <c r="HS129" s="535"/>
      <c r="HT129" s="542"/>
      <c r="HU129" s="543"/>
    </row>
    <row r="130" spans="2:229" s="506" customFormat="1" ht="87" customHeight="1" x14ac:dyDescent="0.35">
      <c r="B130" s="544">
        <v>127</v>
      </c>
      <c r="C130" s="544"/>
      <c r="D130" s="545" t="s">
        <v>44</v>
      </c>
      <c r="E130" s="546" t="s">
        <v>601</v>
      </c>
      <c r="F130" s="545" t="s">
        <v>46</v>
      </c>
      <c r="G130" s="546" t="s">
        <v>46</v>
      </c>
      <c r="H130" s="704" t="s">
        <v>602</v>
      </c>
      <c r="I130" s="549"/>
      <c r="J130" s="548"/>
      <c r="K130" s="549"/>
      <c r="L130" s="549"/>
      <c r="M130" s="550" t="s">
        <v>48</v>
      </c>
      <c r="N130" s="551">
        <v>0</v>
      </c>
      <c r="O130" s="552">
        <v>92</v>
      </c>
      <c r="P130" s="553">
        <v>45993</v>
      </c>
      <c r="Q130" s="553"/>
      <c r="R130" s="554" t="s">
        <v>49</v>
      </c>
      <c r="S130" s="555">
        <f ca="1">IF(R130="Aprobado con comentarios / Emitir en Rev_0", NETWORKDAYS(Q130,TODAY(),Hoja1!$C$3:$C$25),0)</f>
        <v>0</v>
      </c>
      <c r="T130" s="555">
        <f ca="1">IF(R130="Revisión INN",NETWORKDAYS(P130,TODAY(),Hoja1!$C$3:$C$25),0)</f>
        <v>0</v>
      </c>
      <c r="U130" s="556">
        <f t="shared" si="4"/>
        <v>1</v>
      </c>
      <c r="V130" s="557">
        <v>0</v>
      </c>
      <c r="W130" s="558">
        <v>92</v>
      </c>
      <c r="X130" s="567" t="s">
        <v>62</v>
      </c>
      <c r="Y130" s="559">
        <v>45993</v>
      </c>
      <c r="Z130" s="560"/>
      <c r="AA130" s="561"/>
      <c r="AB130" s="562"/>
      <c r="AC130" s="561"/>
      <c r="AD130" s="563"/>
      <c r="AE130" s="567"/>
      <c r="AF130" s="564"/>
      <c r="AG130" s="565"/>
      <c r="AH130" s="560"/>
      <c r="AI130" s="561"/>
      <c r="AJ130" s="562"/>
      <c r="AK130" s="561"/>
      <c r="AL130" s="563"/>
      <c r="AM130" s="567"/>
      <c r="AN130" s="564"/>
      <c r="AO130" s="565"/>
      <c r="AP130" s="560"/>
      <c r="AQ130" s="561"/>
      <c r="AR130" s="562"/>
      <c r="AS130" s="561"/>
      <c r="AT130" s="563"/>
      <c r="AU130" s="567"/>
      <c r="AV130" s="564"/>
      <c r="AW130" s="565"/>
      <c r="AX130" s="560"/>
      <c r="AY130" s="561"/>
      <c r="AZ130" s="562"/>
      <c r="BA130" s="561"/>
      <c r="BB130" s="563"/>
      <c r="BC130" s="567"/>
      <c r="BD130" s="564"/>
      <c r="BE130" s="565"/>
      <c r="BF130" s="560"/>
      <c r="BG130" s="561"/>
      <c r="BH130" s="562"/>
      <c r="BI130" s="561"/>
      <c r="BJ130" s="563"/>
      <c r="BK130" s="567"/>
      <c r="BL130" s="564"/>
      <c r="BM130" s="565"/>
      <c r="BN130" s="560"/>
      <c r="BO130" s="561"/>
      <c r="BP130" s="562"/>
      <c r="BQ130" s="561"/>
      <c r="BR130" s="563"/>
      <c r="BS130" s="567"/>
      <c r="BT130" s="564"/>
      <c r="BU130" s="565"/>
      <c r="BV130" s="560"/>
      <c r="BW130" s="561"/>
      <c r="BX130" s="562"/>
      <c r="BY130" s="561"/>
      <c r="BZ130" s="563"/>
      <c r="CA130" s="567"/>
      <c r="CB130" s="564"/>
      <c r="CC130" s="565"/>
      <c r="CD130" s="560"/>
      <c r="CE130" s="561"/>
      <c r="CF130" s="562"/>
      <c r="CG130" s="561"/>
      <c r="CH130" s="563"/>
      <c r="CI130" s="564"/>
      <c r="CJ130" s="564"/>
      <c r="CK130" s="564"/>
      <c r="CL130" s="560"/>
      <c r="CM130" s="561"/>
      <c r="CN130" s="562"/>
      <c r="CO130" s="561"/>
      <c r="CP130" s="563"/>
      <c r="CQ130" s="564"/>
      <c r="CR130" s="564"/>
      <c r="CS130" s="564"/>
      <c r="CT130" s="560"/>
      <c r="CU130" s="561"/>
      <c r="CV130" s="562"/>
      <c r="CW130" s="561"/>
      <c r="CX130" s="563"/>
      <c r="CY130" s="564"/>
      <c r="CZ130" s="564"/>
      <c r="DA130" s="564"/>
      <c r="DB130" s="560"/>
      <c r="DC130" s="561"/>
      <c r="DD130" s="562"/>
      <c r="DE130" s="561"/>
      <c r="DF130" s="563"/>
      <c r="DG130" s="564"/>
      <c r="DH130" s="564"/>
      <c r="DI130" s="564"/>
      <c r="DJ130" s="560"/>
      <c r="DK130" s="561"/>
      <c r="DL130" s="562"/>
      <c r="DM130" s="561"/>
      <c r="DN130" s="563"/>
      <c r="DO130" s="564"/>
      <c r="DP130" s="564"/>
      <c r="DQ130" s="564"/>
      <c r="DR130" s="560"/>
      <c r="DS130" s="561"/>
      <c r="DT130" s="562"/>
      <c r="DU130" s="561"/>
      <c r="DV130" s="563"/>
      <c r="DW130" s="564"/>
      <c r="DX130" s="564"/>
      <c r="DY130" s="564"/>
      <c r="DZ130" s="560"/>
      <c r="EA130" s="561"/>
      <c r="EB130" s="562"/>
      <c r="EC130" s="561"/>
      <c r="ED130" s="563"/>
      <c r="EE130" s="564"/>
      <c r="EF130" s="564"/>
      <c r="EG130" s="564"/>
      <c r="EH130" s="560"/>
      <c r="EI130" s="561"/>
      <c r="EJ130" s="562"/>
      <c r="EK130" s="561"/>
      <c r="EL130" s="563"/>
      <c r="EM130" s="564"/>
      <c r="EN130" s="564"/>
      <c r="EO130" s="564"/>
      <c r="EP130" s="560"/>
      <c r="EQ130" s="561"/>
      <c r="ER130" s="562"/>
      <c r="ES130" s="561"/>
      <c r="ET130" s="563"/>
      <c r="EU130" s="564"/>
      <c r="EV130" s="564"/>
      <c r="EW130" s="564"/>
      <c r="EX130" s="560"/>
      <c r="EY130" s="561"/>
      <c r="EZ130" s="562"/>
      <c r="FA130" s="561"/>
      <c r="FB130" s="563"/>
      <c r="FC130" s="564"/>
      <c r="FD130" s="564"/>
      <c r="FE130" s="564"/>
      <c r="FF130" s="560"/>
      <c r="FG130" s="561"/>
      <c r="FH130" s="562"/>
      <c r="FI130" s="561"/>
      <c r="FJ130" s="563"/>
      <c r="FK130" s="564"/>
      <c r="FL130" s="564"/>
      <c r="FM130" s="564"/>
      <c r="FN130" s="560"/>
      <c r="FO130" s="561"/>
      <c r="FP130" s="562"/>
      <c r="FQ130" s="561"/>
      <c r="FR130" s="563"/>
      <c r="FS130" s="564"/>
      <c r="FT130" s="564"/>
      <c r="FU130" s="564"/>
      <c r="FV130" s="560"/>
      <c r="FW130" s="566"/>
      <c r="FX130" s="566"/>
      <c r="FY130" s="566"/>
      <c r="FZ130" s="563"/>
      <c r="GA130" s="564"/>
      <c r="GB130" s="564"/>
      <c r="GC130" s="564"/>
      <c r="GD130" s="560"/>
      <c r="GE130" s="566"/>
      <c r="GF130" s="566"/>
      <c r="GG130" s="566"/>
      <c r="GH130" s="563"/>
      <c r="GI130" s="564"/>
      <c r="GJ130" s="564"/>
      <c r="GK130" s="564"/>
      <c r="GL130" s="560"/>
      <c r="GM130" s="566"/>
      <c r="GN130" s="566"/>
      <c r="GO130" s="566"/>
      <c r="GP130" s="563"/>
      <c r="GQ130" s="564"/>
      <c r="GR130" s="564"/>
      <c r="GS130" s="564"/>
      <c r="GT130" s="560"/>
      <c r="GU130" s="566"/>
      <c r="GV130" s="566"/>
      <c r="GW130" s="566"/>
      <c r="GX130" s="563"/>
      <c r="GY130" s="564"/>
      <c r="GZ130" s="564"/>
      <c r="HA130" s="590"/>
      <c r="HB130" s="560"/>
      <c r="HC130" s="566"/>
      <c r="HD130" s="566"/>
      <c r="HE130" s="566"/>
      <c r="HF130" s="563"/>
      <c r="HG130" s="564"/>
      <c r="HH130" s="564"/>
      <c r="HI130" s="590"/>
      <c r="HJ130" s="560"/>
      <c r="HK130" s="566"/>
      <c r="HL130" s="566"/>
      <c r="HM130" s="566"/>
      <c r="HN130" s="563"/>
      <c r="HO130" s="564"/>
      <c r="HP130" s="564"/>
      <c r="HQ130" s="590"/>
      <c r="HR130" s="560"/>
      <c r="HS130" s="566"/>
      <c r="HT130" s="566"/>
      <c r="HU130" s="566"/>
    </row>
    <row r="131" spans="2:229" s="506" customFormat="1" ht="87" customHeight="1" x14ac:dyDescent="0.35">
      <c r="B131" s="544">
        <v>128</v>
      </c>
      <c r="C131" s="544"/>
      <c r="D131" s="545" t="s">
        <v>44</v>
      </c>
      <c r="E131" s="546" t="s">
        <v>603</v>
      </c>
      <c r="F131" s="545" t="s">
        <v>46</v>
      </c>
      <c r="G131" s="546" t="s">
        <v>46</v>
      </c>
      <c r="H131" s="704" t="s">
        <v>604</v>
      </c>
      <c r="I131" s="548"/>
      <c r="J131" s="548"/>
      <c r="K131" s="568"/>
      <c r="L131" s="572"/>
      <c r="M131" s="550" t="s">
        <v>48</v>
      </c>
      <c r="N131" s="551">
        <v>0</v>
      </c>
      <c r="O131" s="552">
        <v>102</v>
      </c>
      <c r="P131" s="553">
        <v>46000</v>
      </c>
      <c r="Q131" s="554"/>
      <c r="R131" s="554" t="s">
        <v>73</v>
      </c>
      <c r="S131" s="555">
        <f ca="1">IF(R131="Aprobado con comentarios / Emitir en Rev_0", NETWORKDAYS(Q131,TODAY(),Hoja1!$C$3:$C$25),0)</f>
        <v>0</v>
      </c>
      <c r="T131" s="555">
        <f ca="1">IF(R131="Revisión INN",NETWORKDAYS(P131,TODAY(),Hoja1!$C$3:$C$25),0)</f>
        <v>0</v>
      </c>
      <c r="U131" s="556">
        <f t="shared" si="4"/>
        <v>1</v>
      </c>
      <c r="V131" s="557">
        <v>0</v>
      </c>
      <c r="W131" s="558">
        <v>102</v>
      </c>
      <c r="X131" s="567"/>
      <c r="Y131" s="559">
        <v>46000</v>
      </c>
      <c r="Z131" s="560"/>
      <c r="AA131" s="561"/>
      <c r="AB131" s="562"/>
      <c r="AC131" s="561"/>
      <c r="AD131" s="563"/>
      <c r="AE131" s="567"/>
      <c r="AF131" s="564"/>
      <c r="AG131" s="565"/>
      <c r="AH131" s="560"/>
      <c r="AI131" s="561"/>
      <c r="AJ131" s="562"/>
      <c r="AK131" s="561"/>
      <c r="AL131" s="563"/>
      <c r="AM131" s="567"/>
      <c r="AN131" s="564"/>
      <c r="AO131" s="565"/>
      <c r="AP131" s="560"/>
      <c r="AQ131" s="561"/>
      <c r="AR131" s="562"/>
      <c r="AS131" s="561"/>
      <c r="AT131" s="563"/>
      <c r="AU131" s="567"/>
      <c r="AV131" s="564"/>
      <c r="AW131" s="565"/>
      <c r="AX131" s="560"/>
      <c r="AY131" s="561"/>
      <c r="AZ131" s="562"/>
      <c r="BA131" s="561"/>
      <c r="BB131" s="563"/>
      <c r="BC131" s="567"/>
      <c r="BD131" s="564"/>
      <c r="BE131" s="565"/>
      <c r="BF131" s="560"/>
      <c r="BG131" s="561"/>
      <c r="BH131" s="562"/>
      <c r="BI131" s="561"/>
      <c r="BJ131" s="563"/>
      <c r="BK131" s="567"/>
      <c r="BL131" s="564"/>
      <c r="BM131" s="565"/>
      <c r="BN131" s="560"/>
      <c r="BO131" s="561"/>
      <c r="BP131" s="562"/>
      <c r="BQ131" s="561"/>
      <c r="BR131" s="563"/>
      <c r="BS131" s="567"/>
      <c r="BT131" s="564"/>
      <c r="BU131" s="565"/>
      <c r="BV131" s="560"/>
      <c r="BW131" s="561"/>
      <c r="BX131" s="562"/>
      <c r="BY131" s="561"/>
      <c r="BZ131" s="563"/>
      <c r="CA131" s="567"/>
      <c r="CB131" s="564"/>
      <c r="CC131" s="565"/>
      <c r="CD131" s="560"/>
      <c r="CE131" s="561"/>
      <c r="CF131" s="562"/>
      <c r="CG131" s="561"/>
      <c r="CH131" s="563"/>
      <c r="CI131" s="564"/>
      <c r="CJ131" s="564"/>
      <c r="CK131" s="564"/>
      <c r="CL131" s="560"/>
      <c r="CM131" s="561"/>
      <c r="CN131" s="562"/>
      <c r="CO131" s="561"/>
      <c r="CP131" s="563"/>
      <c r="CQ131" s="564"/>
      <c r="CR131" s="564"/>
      <c r="CS131" s="564"/>
      <c r="CT131" s="560"/>
      <c r="CU131" s="561"/>
      <c r="CV131" s="562"/>
      <c r="CW131" s="561"/>
      <c r="CX131" s="563"/>
      <c r="CY131" s="564"/>
      <c r="CZ131" s="564"/>
      <c r="DA131" s="564"/>
      <c r="DB131" s="560"/>
      <c r="DC131" s="561"/>
      <c r="DD131" s="562"/>
      <c r="DE131" s="561"/>
      <c r="DF131" s="563"/>
      <c r="DG131" s="564"/>
      <c r="DH131" s="564"/>
      <c r="DI131" s="564"/>
      <c r="DJ131" s="560"/>
      <c r="DK131" s="561"/>
      <c r="DL131" s="562"/>
      <c r="DM131" s="561"/>
      <c r="DN131" s="563"/>
      <c r="DO131" s="564"/>
      <c r="DP131" s="564"/>
      <c r="DQ131" s="564"/>
      <c r="DR131" s="560"/>
      <c r="DS131" s="561"/>
      <c r="DT131" s="562"/>
      <c r="DU131" s="561"/>
      <c r="DV131" s="563"/>
      <c r="DW131" s="564"/>
      <c r="DX131" s="564"/>
      <c r="DY131" s="564"/>
      <c r="DZ131" s="560"/>
      <c r="EA131" s="561"/>
      <c r="EB131" s="562"/>
      <c r="EC131" s="561"/>
      <c r="ED131" s="563"/>
      <c r="EE131" s="564"/>
      <c r="EF131" s="564"/>
      <c r="EG131" s="564"/>
      <c r="EH131" s="560"/>
      <c r="EI131" s="561"/>
      <c r="EJ131" s="562"/>
      <c r="EK131" s="561"/>
      <c r="EL131" s="563"/>
      <c r="EM131" s="564"/>
      <c r="EN131" s="564"/>
      <c r="EO131" s="564"/>
      <c r="EP131" s="560"/>
      <c r="EQ131" s="561"/>
      <c r="ER131" s="562"/>
      <c r="ES131" s="561"/>
      <c r="ET131" s="563"/>
      <c r="EU131" s="564"/>
      <c r="EV131" s="564"/>
      <c r="EW131" s="564"/>
      <c r="EX131" s="560"/>
      <c r="EY131" s="561"/>
      <c r="EZ131" s="562"/>
      <c r="FA131" s="561"/>
      <c r="FB131" s="563"/>
      <c r="FC131" s="564"/>
      <c r="FD131" s="564"/>
      <c r="FE131" s="564"/>
      <c r="FF131" s="560"/>
      <c r="FG131" s="561"/>
      <c r="FH131" s="562"/>
      <c r="FI131" s="561"/>
      <c r="FJ131" s="563"/>
      <c r="FK131" s="564"/>
      <c r="FL131" s="564"/>
      <c r="FM131" s="564"/>
      <c r="FN131" s="560"/>
      <c r="FO131" s="561"/>
      <c r="FP131" s="562"/>
      <c r="FQ131" s="561"/>
      <c r="FR131" s="563"/>
      <c r="FS131" s="564"/>
      <c r="FT131" s="564"/>
      <c r="FU131" s="564"/>
      <c r="FV131" s="560"/>
      <c r="FW131" s="566"/>
      <c r="FX131" s="566"/>
      <c r="FY131" s="566"/>
      <c r="FZ131" s="563"/>
      <c r="GA131" s="564"/>
      <c r="GB131" s="564"/>
      <c r="GC131" s="564"/>
      <c r="GD131" s="560"/>
      <c r="GE131" s="566"/>
      <c r="GF131" s="566"/>
      <c r="GG131" s="566"/>
      <c r="GH131" s="563"/>
      <c r="GI131" s="564"/>
      <c r="GJ131" s="564"/>
      <c r="GK131" s="564"/>
      <c r="GL131" s="560"/>
      <c r="GM131" s="566"/>
      <c r="GN131" s="566"/>
      <c r="GO131" s="566"/>
      <c r="GP131" s="563"/>
      <c r="GQ131" s="564"/>
      <c r="GR131" s="564"/>
      <c r="GS131" s="564"/>
      <c r="GT131" s="560"/>
      <c r="GU131" s="566"/>
      <c r="GV131" s="566"/>
      <c r="GW131" s="566"/>
      <c r="GX131" s="563"/>
      <c r="GY131" s="564"/>
      <c r="GZ131" s="564"/>
      <c r="HA131" s="590"/>
      <c r="HB131" s="560"/>
      <c r="HC131" s="566"/>
      <c r="HD131" s="566"/>
      <c r="HE131" s="566"/>
      <c r="HF131" s="563"/>
      <c r="HG131" s="564"/>
      <c r="HH131" s="564"/>
      <c r="HI131" s="590"/>
      <c r="HJ131" s="560"/>
      <c r="HK131" s="566"/>
      <c r="HL131" s="566"/>
      <c r="HM131" s="566"/>
      <c r="HN131" s="563"/>
      <c r="HO131" s="564"/>
      <c r="HP131" s="564"/>
      <c r="HQ131" s="590"/>
      <c r="HR131" s="560"/>
      <c r="HS131" s="566"/>
      <c r="HT131" s="566"/>
      <c r="HU131" s="566"/>
    </row>
    <row r="132" spans="2:229" s="506" customFormat="1" ht="87" customHeight="1" thickBot="1" x14ac:dyDescent="0.4">
      <c r="B132" s="544">
        <v>129</v>
      </c>
      <c r="C132" s="544"/>
      <c r="D132" s="545" t="s">
        <v>44</v>
      </c>
      <c r="E132" s="545" t="s">
        <v>605</v>
      </c>
      <c r="F132" s="546" t="s">
        <v>46</v>
      </c>
      <c r="G132" s="546" t="s">
        <v>46</v>
      </c>
      <c r="H132" s="547" t="s">
        <v>606</v>
      </c>
      <c r="I132" s="548"/>
      <c r="J132" s="548"/>
      <c r="K132" s="568"/>
      <c r="L132" s="572"/>
      <c r="M132" s="569" t="s">
        <v>48</v>
      </c>
      <c r="N132" s="551">
        <v>0</v>
      </c>
      <c r="O132" s="552">
        <v>92</v>
      </c>
      <c r="P132" s="553">
        <v>45993</v>
      </c>
      <c r="Q132" s="554"/>
      <c r="R132" s="554" t="s">
        <v>49</v>
      </c>
      <c r="S132" s="555">
        <f ca="1">IF(R132="Aprobado con comentarios / Emitir en Rev_0", NETWORKDAYS(Q132,TODAY(),Hoja1!$C$3:$C$25),0)</f>
        <v>0</v>
      </c>
      <c r="T132" s="555">
        <f ca="1">IF(R132="Revisión INN",NETWORKDAYS(P132,TODAY(),Hoja1!$C$3:$C$25),0)</f>
        <v>0</v>
      </c>
      <c r="U132" s="556">
        <f t="shared" si="4"/>
        <v>1</v>
      </c>
      <c r="V132" s="557">
        <v>0</v>
      </c>
      <c r="W132" s="558">
        <v>92</v>
      </c>
      <c r="X132" s="567" t="s">
        <v>62</v>
      </c>
      <c r="Y132" s="559">
        <v>45993</v>
      </c>
      <c r="Z132" s="560"/>
      <c r="AA132" s="561"/>
      <c r="AB132" s="562"/>
      <c r="AC132" s="561"/>
      <c r="AD132" s="563"/>
      <c r="AE132" s="567"/>
      <c r="AF132" s="564"/>
      <c r="AG132" s="565"/>
      <c r="AH132" s="560"/>
      <c r="AI132" s="561"/>
      <c r="AJ132" s="562"/>
      <c r="AK132" s="561"/>
      <c r="AL132" s="563"/>
      <c r="AM132" s="567"/>
      <c r="AN132" s="564"/>
      <c r="AO132" s="565"/>
      <c r="AP132" s="560"/>
      <c r="AQ132" s="561"/>
      <c r="AR132" s="562"/>
      <c r="AS132" s="561"/>
      <c r="AT132" s="563"/>
      <c r="AU132" s="567"/>
      <c r="AV132" s="564"/>
      <c r="AW132" s="565"/>
      <c r="AX132" s="560"/>
      <c r="AY132" s="561"/>
      <c r="AZ132" s="562"/>
      <c r="BA132" s="561"/>
      <c r="BB132" s="563"/>
      <c r="BC132" s="567"/>
      <c r="BD132" s="564"/>
      <c r="BE132" s="565"/>
      <c r="BF132" s="560"/>
      <c r="BG132" s="561"/>
      <c r="BH132" s="562"/>
      <c r="BI132" s="561"/>
      <c r="BJ132" s="563"/>
      <c r="BK132" s="567"/>
      <c r="BL132" s="564"/>
      <c r="BM132" s="565"/>
      <c r="BN132" s="560"/>
      <c r="BO132" s="561"/>
      <c r="BP132" s="562"/>
      <c r="BQ132" s="561"/>
      <c r="BR132" s="563"/>
      <c r="BS132" s="567"/>
      <c r="BT132" s="564"/>
      <c r="BU132" s="565"/>
      <c r="BV132" s="560"/>
      <c r="BW132" s="561"/>
      <c r="BX132" s="562"/>
      <c r="BY132" s="561"/>
      <c r="BZ132" s="563"/>
      <c r="CA132" s="567"/>
      <c r="CB132" s="564"/>
      <c r="CC132" s="565"/>
      <c r="CD132" s="560"/>
      <c r="CE132" s="561"/>
      <c r="CF132" s="562"/>
      <c r="CG132" s="561"/>
      <c r="CH132" s="563"/>
      <c r="CI132" s="564"/>
      <c r="CJ132" s="564"/>
      <c r="CK132" s="564"/>
      <c r="CL132" s="560"/>
      <c r="CM132" s="561"/>
      <c r="CN132" s="562"/>
      <c r="CO132" s="561"/>
      <c r="CP132" s="563"/>
      <c r="CQ132" s="564"/>
      <c r="CR132" s="564"/>
      <c r="CS132" s="564"/>
      <c r="CT132" s="560"/>
      <c r="CU132" s="561"/>
      <c r="CV132" s="562"/>
      <c r="CW132" s="561"/>
      <c r="CX132" s="563"/>
      <c r="CY132" s="564"/>
      <c r="CZ132" s="564"/>
      <c r="DA132" s="564"/>
      <c r="DB132" s="560"/>
      <c r="DC132" s="561"/>
      <c r="DD132" s="562"/>
      <c r="DE132" s="561"/>
      <c r="DF132" s="563"/>
      <c r="DG132" s="564"/>
      <c r="DH132" s="564"/>
      <c r="DI132" s="564"/>
      <c r="DJ132" s="560"/>
      <c r="DK132" s="561"/>
      <c r="DL132" s="562"/>
      <c r="DM132" s="561"/>
      <c r="DN132" s="563"/>
      <c r="DO132" s="564"/>
      <c r="DP132" s="564"/>
      <c r="DQ132" s="564"/>
      <c r="DR132" s="560"/>
      <c r="DS132" s="561"/>
      <c r="DT132" s="562"/>
      <c r="DU132" s="561"/>
      <c r="DV132" s="563"/>
      <c r="DW132" s="564"/>
      <c r="DX132" s="564"/>
      <c r="DY132" s="564"/>
      <c r="DZ132" s="560"/>
      <c r="EA132" s="561"/>
      <c r="EB132" s="562"/>
      <c r="EC132" s="561"/>
      <c r="ED132" s="563"/>
      <c r="EE132" s="564"/>
      <c r="EF132" s="564"/>
      <c r="EG132" s="564"/>
      <c r="EH132" s="560"/>
      <c r="EI132" s="561"/>
      <c r="EJ132" s="562"/>
      <c r="EK132" s="561"/>
      <c r="EL132" s="563"/>
      <c r="EM132" s="564"/>
      <c r="EN132" s="564"/>
      <c r="EO132" s="564"/>
      <c r="EP132" s="560"/>
      <c r="EQ132" s="561"/>
      <c r="ER132" s="562"/>
      <c r="ES132" s="561"/>
      <c r="ET132" s="563"/>
      <c r="EU132" s="564"/>
      <c r="EV132" s="564"/>
      <c r="EW132" s="564"/>
      <c r="EX132" s="560"/>
      <c r="EY132" s="561"/>
      <c r="EZ132" s="562"/>
      <c r="FA132" s="561"/>
      <c r="FB132" s="563"/>
      <c r="FC132" s="564"/>
      <c r="FD132" s="564"/>
      <c r="FE132" s="564"/>
      <c r="FF132" s="560"/>
      <c r="FG132" s="561"/>
      <c r="FH132" s="562"/>
      <c r="FI132" s="561"/>
      <c r="FJ132" s="563"/>
      <c r="FK132" s="564"/>
      <c r="FL132" s="564"/>
      <c r="FM132" s="564"/>
      <c r="FN132" s="560"/>
      <c r="FO132" s="561"/>
      <c r="FP132" s="562"/>
      <c r="FQ132" s="561"/>
      <c r="FR132" s="563"/>
      <c r="FS132" s="564"/>
      <c r="FT132" s="564"/>
      <c r="FU132" s="564"/>
      <c r="FV132" s="560"/>
      <c r="FW132" s="566"/>
      <c r="FX132" s="566"/>
      <c r="FY132" s="566"/>
      <c r="FZ132" s="563"/>
      <c r="GA132" s="564"/>
      <c r="GB132" s="564"/>
      <c r="GC132" s="564"/>
      <c r="GD132" s="560"/>
      <c r="GE132" s="566"/>
      <c r="GF132" s="566"/>
      <c r="GG132" s="566"/>
      <c r="GH132" s="563"/>
      <c r="GI132" s="564"/>
      <c r="GJ132" s="564"/>
      <c r="GK132" s="564"/>
      <c r="GL132" s="560"/>
      <c r="GM132" s="566"/>
      <c r="GN132" s="566"/>
      <c r="GO132" s="566"/>
      <c r="GP132" s="563"/>
      <c r="GQ132" s="564"/>
      <c r="GR132" s="564"/>
      <c r="GS132" s="564"/>
      <c r="GT132" s="560"/>
      <c r="GU132" s="566"/>
      <c r="GV132" s="566"/>
      <c r="GW132" s="566"/>
      <c r="GX132" s="563"/>
      <c r="GY132" s="564"/>
      <c r="GZ132" s="564"/>
      <c r="HA132" s="590"/>
      <c r="HB132" s="560"/>
      <c r="HC132" s="566"/>
      <c r="HD132" s="566"/>
      <c r="HE132" s="566"/>
      <c r="HF132" s="563"/>
      <c r="HG132" s="564"/>
      <c r="HH132" s="564"/>
      <c r="HI132" s="590"/>
      <c r="HJ132" s="560"/>
      <c r="HK132" s="566"/>
      <c r="HL132" s="566"/>
      <c r="HM132" s="566"/>
      <c r="HN132" s="563"/>
      <c r="HO132" s="564"/>
      <c r="HP132" s="564"/>
      <c r="HQ132" s="590"/>
      <c r="HR132" s="560"/>
      <c r="HS132" s="566"/>
      <c r="HT132" s="566"/>
      <c r="HU132" s="566"/>
    </row>
    <row r="133" spans="2:229" s="506" customFormat="1" ht="89.5" customHeight="1" x14ac:dyDescent="0.35">
      <c r="B133" s="544">
        <v>130</v>
      </c>
      <c r="C133" s="544"/>
      <c r="D133" s="545" t="s">
        <v>44</v>
      </c>
      <c r="E133" s="545" t="s">
        <v>607</v>
      </c>
      <c r="F133" s="546" t="s">
        <v>46</v>
      </c>
      <c r="G133" s="546" t="s">
        <v>46</v>
      </c>
      <c r="H133" s="547" t="s">
        <v>608</v>
      </c>
      <c r="I133" s="549"/>
      <c r="J133" s="549"/>
      <c r="K133" s="568"/>
      <c r="L133" s="549"/>
      <c r="M133" s="569" t="s">
        <v>48</v>
      </c>
      <c r="N133" s="551">
        <v>0</v>
      </c>
      <c r="O133" s="552">
        <v>102</v>
      </c>
      <c r="P133" s="553">
        <v>46000</v>
      </c>
      <c r="Q133" s="553"/>
      <c r="R133" s="554" t="s">
        <v>73</v>
      </c>
      <c r="S133" s="555">
        <f ca="1">IF(R133="Aprobado con comentarios / Emitir en Rev_0", NETWORKDAYS(Q133,TODAY(),Hoja1!$C$3:$C$25),0)</f>
        <v>0</v>
      </c>
      <c r="T133" s="555">
        <f ca="1">IF(R133="Revisión INN",NETWORKDAYS(P133,TODAY(),Hoja1!$C$3:$C$25),0)</f>
        <v>0</v>
      </c>
      <c r="U133" s="556">
        <f t="shared" si="4"/>
        <v>1</v>
      </c>
      <c r="V133" s="557">
        <v>0</v>
      </c>
      <c r="W133" s="558">
        <v>102</v>
      </c>
      <c r="X133" s="567"/>
      <c r="Y133" s="559">
        <v>46000</v>
      </c>
      <c r="Z133" s="560"/>
      <c r="AA133" s="561"/>
      <c r="AB133" s="562"/>
      <c r="AC133" s="561"/>
      <c r="AD133" s="563"/>
      <c r="AE133" s="567"/>
      <c r="AF133" s="564"/>
      <c r="AG133" s="565"/>
      <c r="AH133" s="560"/>
      <c r="AI133" s="561"/>
      <c r="AJ133" s="562"/>
      <c r="AK133" s="561"/>
      <c r="AL133" s="563"/>
      <c r="AM133" s="567"/>
      <c r="AN133" s="564"/>
      <c r="AO133" s="565"/>
      <c r="AP133" s="560"/>
      <c r="AQ133" s="561"/>
      <c r="AR133" s="562"/>
      <c r="AS133" s="561"/>
      <c r="AT133" s="563"/>
      <c r="AU133" s="567"/>
      <c r="AV133" s="564"/>
      <c r="AW133" s="565"/>
      <c r="AX133" s="560"/>
      <c r="AY133" s="561"/>
      <c r="AZ133" s="562"/>
      <c r="BA133" s="561"/>
      <c r="BB133" s="563"/>
      <c r="BC133" s="567"/>
      <c r="BD133" s="564"/>
      <c r="BE133" s="565"/>
      <c r="BF133" s="560"/>
      <c r="BG133" s="560"/>
      <c r="BH133" s="560"/>
      <c r="BI133" s="560"/>
      <c r="BJ133" s="563"/>
      <c r="BK133" s="567"/>
      <c r="BL133" s="564"/>
      <c r="BM133" s="565"/>
      <c r="BN133" s="560"/>
      <c r="BO133" s="561"/>
      <c r="BP133" s="562"/>
      <c r="BQ133" s="561"/>
      <c r="BR133" s="563"/>
      <c r="BS133" s="567"/>
      <c r="BT133" s="564"/>
      <c r="BU133" s="565"/>
      <c r="BV133" s="560"/>
      <c r="BW133" s="561"/>
      <c r="BX133" s="562"/>
      <c r="BY133" s="561"/>
      <c r="BZ133" s="563"/>
      <c r="CA133" s="567"/>
      <c r="CB133" s="564"/>
      <c r="CC133" s="565"/>
      <c r="CD133" s="560"/>
      <c r="CE133" s="561"/>
      <c r="CF133" s="562"/>
      <c r="CG133" s="561"/>
      <c r="CH133" s="563"/>
      <c r="CI133" s="564"/>
      <c r="CJ133" s="564"/>
      <c r="CK133" s="590"/>
      <c r="CL133" s="560"/>
      <c r="CM133" s="561"/>
      <c r="CN133" s="562"/>
      <c r="CO133" s="561"/>
      <c r="CP133" s="563"/>
      <c r="CQ133" s="564"/>
      <c r="CR133" s="564"/>
      <c r="CS133" s="564"/>
      <c r="CT133" s="560"/>
      <c r="CU133" s="561"/>
      <c r="CV133" s="562"/>
      <c r="CW133" s="561"/>
      <c r="CX133" s="563"/>
      <c r="CY133" s="564"/>
      <c r="CZ133" s="564"/>
      <c r="DA133" s="564"/>
      <c r="DB133" s="560"/>
      <c r="DC133" s="561"/>
      <c r="DD133" s="562"/>
      <c r="DE133" s="561"/>
      <c r="DF133" s="563"/>
      <c r="DG133" s="564"/>
      <c r="DH133" s="564"/>
      <c r="DI133" s="564"/>
      <c r="DJ133" s="560"/>
      <c r="DK133" s="561"/>
      <c r="DL133" s="562"/>
      <c r="DM133" s="561"/>
      <c r="DN133" s="563"/>
      <c r="DO133" s="564"/>
      <c r="DP133" s="564"/>
      <c r="DQ133" s="564"/>
      <c r="DR133" s="560"/>
      <c r="DS133" s="561"/>
      <c r="DT133" s="562"/>
      <c r="DU133" s="561"/>
      <c r="DV133" s="563"/>
      <c r="DW133" s="564"/>
      <c r="DX133" s="564"/>
      <c r="DY133" s="564"/>
      <c r="DZ133" s="560"/>
      <c r="EA133" s="561"/>
      <c r="EB133" s="562"/>
      <c r="EC133" s="561"/>
      <c r="ED133" s="563"/>
      <c r="EE133" s="564"/>
      <c r="EF133" s="564"/>
      <c r="EG133" s="564"/>
      <c r="EH133" s="560"/>
      <c r="EI133" s="561"/>
      <c r="EJ133" s="562"/>
      <c r="EK133" s="561"/>
      <c r="EL133" s="563"/>
      <c r="EM133" s="564"/>
      <c r="EN133" s="564"/>
      <c r="EO133" s="564"/>
      <c r="EP133" s="560"/>
      <c r="EQ133" s="561"/>
      <c r="ER133" s="562"/>
      <c r="ES133" s="561"/>
      <c r="ET133" s="563"/>
      <c r="EU133" s="564"/>
      <c r="EV133" s="564"/>
      <c r="EW133" s="564"/>
      <c r="EX133" s="560"/>
      <c r="EY133" s="561"/>
      <c r="EZ133" s="562"/>
      <c r="FA133" s="561"/>
      <c r="FB133" s="563"/>
      <c r="FC133" s="564"/>
      <c r="FD133" s="564"/>
      <c r="FE133" s="564"/>
      <c r="FF133" s="560"/>
      <c r="FG133" s="561"/>
      <c r="FH133" s="562"/>
      <c r="FI133" s="561"/>
      <c r="FJ133" s="563"/>
      <c r="FK133" s="564"/>
      <c r="FL133" s="564"/>
      <c r="FM133" s="564"/>
      <c r="FN133" s="560"/>
      <c r="FO133" s="561"/>
      <c r="FP133" s="562"/>
      <c r="FQ133" s="561"/>
      <c r="FR133" s="563"/>
      <c r="FS133" s="564"/>
      <c r="FT133" s="564"/>
      <c r="FU133" s="564"/>
      <c r="FV133" s="560"/>
      <c r="FW133" s="566"/>
      <c r="FX133" s="566"/>
      <c r="FY133" s="566"/>
      <c r="FZ133" s="563"/>
      <c r="GA133" s="564"/>
      <c r="GB133" s="564"/>
      <c r="GC133" s="564"/>
      <c r="GD133" s="560"/>
      <c r="GE133" s="566"/>
      <c r="GF133" s="566"/>
      <c r="GG133" s="566"/>
      <c r="GH133" s="563"/>
      <c r="GI133" s="564"/>
      <c r="GJ133" s="564"/>
      <c r="GK133" s="564"/>
      <c r="GL133" s="560"/>
      <c r="GM133" s="566"/>
      <c r="GN133" s="566"/>
      <c r="GO133" s="566"/>
      <c r="GP133" s="563"/>
      <c r="GQ133" s="564"/>
      <c r="GR133" s="564"/>
      <c r="GS133" s="564"/>
      <c r="GT133" s="560"/>
      <c r="GU133" s="566"/>
      <c r="GV133" s="566"/>
      <c r="GW133" s="566"/>
      <c r="GX133" s="541"/>
      <c r="GY133" s="535"/>
      <c r="GZ133" s="542"/>
      <c r="HA133" s="543"/>
      <c r="HB133" s="541"/>
      <c r="HC133" s="535"/>
      <c r="HD133" s="542"/>
      <c r="HE133" s="543"/>
      <c r="HF133" s="541"/>
      <c r="HG133" s="535"/>
      <c r="HH133" s="542"/>
      <c r="HI133" s="543"/>
      <c r="HJ133" s="541"/>
      <c r="HK133" s="535"/>
      <c r="HL133" s="542"/>
      <c r="HM133" s="543"/>
      <c r="HN133" s="541"/>
      <c r="HO133" s="535"/>
      <c r="HP133" s="542"/>
      <c r="HQ133" s="543"/>
      <c r="HR133" s="541"/>
      <c r="HS133" s="535"/>
      <c r="HT133" s="542"/>
      <c r="HU133" s="543"/>
    </row>
    <row r="134" spans="2:229" s="506" customFormat="1" ht="89.5" customHeight="1" x14ac:dyDescent="0.35">
      <c r="B134" s="544">
        <v>131</v>
      </c>
      <c r="C134" s="544"/>
      <c r="D134" s="544" t="s">
        <v>44</v>
      </c>
      <c r="E134" s="546" t="s">
        <v>50</v>
      </c>
      <c r="F134" s="546" t="s">
        <v>46</v>
      </c>
      <c r="G134" s="545" t="s">
        <v>46</v>
      </c>
      <c r="H134" s="547" t="s">
        <v>609</v>
      </c>
      <c r="I134" s="548"/>
      <c r="J134" s="548"/>
      <c r="K134" s="568"/>
      <c r="L134" s="572"/>
      <c r="M134" s="569" t="s">
        <v>48</v>
      </c>
      <c r="N134" s="551">
        <v>0</v>
      </c>
      <c r="O134" s="552">
        <v>92</v>
      </c>
      <c r="P134" s="553">
        <v>45993</v>
      </c>
      <c r="Q134" s="554"/>
      <c r="R134" s="554" t="s">
        <v>73</v>
      </c>
      <c r="S134" s="555">
        <f ca="1">IF(R134="Aprobado con comentarios / Emitir en Rev_0", NETWORKDAYS(Q134,TODAY(),Hoja1!$C$3:$C$25),0)</f>
        <v>0</v>
      </c>
      <c r="T134" s="555">
        <f ca="1">IF(R134="Revisión INN",NETWORKDAYS(P134,TODAY(),Hoja1!$C$3:$C$25),0)</f>
        <v>0</v>
      </c>
      <c r="U134" s="556">
        <f t="shared" si="4"/>
        <v>1</v>
      </c>
      <c r="V134" s="557">
        <v>0</v>
      </c>
      <c r="W134" s="558">
        <v>92</v>
      </c>
      <c r="X134" s="567" t="s">
        <v>62</v>
      </c>
      <c r="Y134" s="559">
        <v>45993</v>
      </c>
      <c r="Z134" s="560"/>
      <c r="AA134" s="561"/>
      <c r="AB134" s="562"/>
      <c r="AC134" s="561"/>
      <c r="AD134" s="563"/>
      <c r="AE134" s="567"/>
      <c r="AF134" s="564"/>
      <c r="AG134" s="565"/>
      <c r="AH134" s="560"/>
      <c r="AI134" s="561"/>
      <c r="AJ134" s="562"/>
      <c r="AK134" s="561"/>
      <c r="AL134" s="563"/>
      <c r="AM134" s="567"/>
      <c r="AN134" s="564"/>
      <c r="AO134" s="565"/>
      <c r="AP134" s="560"/>
      <c r="AQ134" s="561"/>
      <c r="AR134" s="562"/>
      <c r="AS134" s="561"/>
      <c r="AT134" s="563"/>
      <c r="AU134" s="567"/>
      <c r="AV134" s="564"/>
      <c r="AW134" s="565"/>
      <c r="AX134" s="560"/>
      <c r="AY134" s="561"/>
      <c r="AZ134" s="562"/>
      <c r="BA134" s="561"/>
      <c r="BB134" s="563"/>
      <c r="BC134" s="567"/>
      <c r="BD134" s="564"/>
      <c r="BE134" s="565"/>
      <c r="BF134" s="560"/>
      <c r="BG134" s="561"/>
      <c r="BH134" s="562"/>
      <c r="BI134" s="561"/>
      <c r="BJ134" s="563"/>
      <c r="BK134" s="567"/>
      <c r="BL134" s="564"/>
      <c r="BM134" s="565"/>
      <c r="BN134" s="560"/>
      <c r="BO134" s="561"/>
      <c r="BP134" s="562"/>
      <c r="BQ134" s="561"/>
      <c r="BR134" s="563"/>
      <c r="BS134" s="567"/>
      <c r="BT134" s="564"/>
      <c r="BU134" s="565"/>
      <c r="BV134" s="560"/>
      <c r="BW134" s="561"/>
      <c r="BX134" s="562"/>
      <c r="BY134" s="561"/>
      <c r="BZ134" s="563"/>
      <c r="CA134" s="567"/>
      <c r="CB134" s="564"/>
      <c r="CC134" s="565"/>
      <c r="CD134" s="560"/>
      <c r="CE134" s="561"/>
      <c r="CF134" s="562"/>
      <c r="CG134" s="561"/>
      <c r="CH134" s="563"/>
      <c r="CI134" s="564"/>
      <c r="CJ134" s="564"/>
      <c r="CK134" s="564"/>
      <c r="CL134" s="560"/>
      <c r="CM134" s="561"/>
      <c r="CN134" s="562"/>
      <c r="CO134" s="561"/>
      <c r="CP134" s="563"/>
      <c r="CQ134" s="564"/>
      <c r="CR134" s="564"/>
      <c r="CS134" s="564"/>
      <c r="CT134" s="560"/>
      <c r="CU134" s="561"/>
      <c r="CV134" s="562"/>
      <c r="CW134" s="561"/>
      <c r="CX134" s="563"/>
      <c r="CY134" s="564"/>
      <c r="CZ134" s="564"/>
      <c r="DA134" s="564"/>
      <c r="DB134" s="560"/>
      <c r="DC134" s="561"/>
      <c r="DD134" s="562"/>
      <c r="DE134" s="561"/>
      <c r="DF134" s="563"/>
      <c r="DG134" s="564"/>
      <c r="DH134" s="564"/>
      <c r="DI134" s="564"/>
      <c r="DJ134" s="560"/>
      <c r="DK134" s="561"/>
      <c r="DL134" s="562"/>
      <c r="DM134" s="561"/>
      <c r="DN134" s="563"/>
      <c r="DO134" s="564"/>
      <c r="DP134" s="564"/>
      <c r="DQ134" s="564"/>
      <c r="DR134" s="560"/>
      <c r="DS134" s="561"/>
      <c r="DT134" s="562"/>
      <c r="DU134" s="561"/>
      <c r="DV134" s="563"/>
      <c r="DW134" s="564"/>
      <c r="DX134" s="564"/>
      <c r="DY134" s="564"/>
      <c r="DZ134" s="560"/>
      <c r="EA134" s="561"/>
      <c r="EB134" s="562"/>
      <c r="EC134" s="561"/>
      <c r="ED134" s="563"/>
      <c r="EE134" s="564"/>
      <c r="EF134" s="564"/>
      <c r="EG134" s="564"/>
      <c r="EH134" s="560"/>
      <c r="EI134" s="561"/>
      <c r="EJ134" s="562"/>
      <c r="EK134" s="561"/>
      <c r="EL134" s="563"/>
      <c r="EM134" s="564"/>
      <c r="EN134" s="564"/>
      <c r="EO134" s="564"/>
      <c r="EP134" s="560"/>
      <c r="EQ134" s="561"/>
      <c r="ER134" s="562"/>
      <c r="ES134" s="561"/>
      <c r="ET134" s="563"/>
      <c r="EU134" s="564"/>
      <c r="EV134" s="564"/>
      <c r="EW134" s="564"/>
      <c r="EX134" s="560"/>
      <c r="EY134" s="561"/>
      <c r="EZ134" s="562"/>
      <c r="FA134" s="561"/>
      <c r="FB134" s="563"/>
      <c r="FC134" s="564"/>
      <c r="FD134" s="564"/>
      <c r="FE134" s="564"/>
      <c r="FF134" s="560"/>
      <c r="FG134" s="561"/>
      <c r="FH134" s="562"/>
      <c r="FI134" s="561"/>
      <c r="FJ134" s="563"/>
      <c r="FK134" s="564"/>
      <c r="FL134" s="564"/>
      <c r="FM134" s="564"/>
      <c r="FN134" s="560"/>
      <c r="FO134" s="561"/>
      <c r="FP134" s="562"/>
      <c r="FQ134" s="561"/>
      <c r="FR134" s="563"/>
      <c r="FS134" s="564"/>
      <c r="FT134" s="564"/>
      <c r="FU134" s="564"/>
      <c r="FV134" s="560"/>
      <c r="FW134" s="566"/>
      <c r="FX134" s="566"/>
      <c r="FY134" s="566"/>
      <c r="FZ134" s="563"/>
      <c r="GA134" s="564"/>
      <c r="GB134" s="564"/>
      <c r="GC134" s="564"/>
      <c r="GD134" s="560"/>
      <c r="GE134" s="566"/>
      <c r="GF134" s="566"/>
      <c r="GG134" s="566"/>
      <c r="GH134" s="563"/>
      <c r="GI134" s="564"/>
      <c r="GJ134" s="564"/>
      <c r="GK134" s="564"/>
      <c r="GL134" s="560"/>
      <c r="GM134" s="566"/>
      <c r="GN134" s="566"/>
      <c r="GO134" s="566"/>
      <c r="GP134" s="563"/>
      <c r="GQ134" s="564"/>
      <c r="GR134" s="564"/>
      <c r="GS134" s="564"/>
      <c r="GT134" s="560"/>
      <c r="GU134" s="566"/>
      <c r="GV134" s="566"/>
      <c r="GW134" s="566"/>
      <c r="GX134" s="563"/>
      <c r="GY134" s="564"/>
      <c r="GZ134" s="564"/>
      <c r="HA134" s="590"/>
      <c r="HB134" s="560"/>
      <c r="HC134" s="566"/>
      <c r="HD134" s="566"/>
      <c r="HE134" s="566"/>
      <c r="HF134" s="563"/>
      <c r="HG134" s="564"/>
      <c r="HH134" s="564"/>
      <c r="HI134" s="590"/>
      <c r="HJ134" s="560"/>
      <c r="HK134" s="566"/>
      <c r="HL134" s="566"/>
      <c r="HM134" s="566"/>
      <c r="HN134" s="563"/>
      <c r="HO134" s="564"/>
      <c r="HP134" s="564"/>
      <c r="HQ134" s="590"/>
      <c r="HR134" s="560"/>
      <c r="HS134" s="566"/>
      <c r="HT134" s="566"/>
      <c r="HU134" s="566"/>
    </row>
    <row r="135" spans="2:229" s="506" customFormat="1" ht="87" customHeight="1" x14ac:dyDescent="0.35">
      <c r="B135" s="544">
        <v>132</v>
      </c>
      <c r="C135" s="544"/>
      <c r="D135" s="545" t="s">
        <v>44</v>
      </c>
      <c r="E135" s="546" t="s">
        <v>610</v>
      </c>
      <c r="F135" s="545" t="s">
        <v>46</v>
      </c>
      <c r="G135" s="546" t="s">
        <v>46</v>
      </c>
      <c r="H135" s="704" t="s">
        <v>611</v>
      </c>
      <c r="I135" s="548"/>
      <c r="J135" s="548"/>
      <c r="K135" s="568"/>
      <c r="L135" s="572"/>
      <c r="M135" s="550" t="s">
        <v>48</v>
      </c>
      <c r="N135" s="551">
        <v>0</v>
      </c>
      <c r="O135" s="552">
        <v>86</v>
      </c>
      <c r="P135" s="553">
        <v>46008</v>
      </c>
      <c r="Q135" s="554"/>
      <c r="R135" s="554" t="s">
        <v>73</v>
      </c>
      <c r="S135" s="555">
        <f ca="1">IF(R135="Aprobado con comentarios / Emitir en Rev_0", NETWORKDAYS(Q135,TODAY(),Hoja1!$C$3:$C$25),0)</f>
        <v>0</v>
      </c>
      <c r="T135" s="555">
        <f ca="1">IF(R135="Revisión INN",NETWORKDAYS(P135,TODAY(),Hoja1!$C$3:$C$25),0)</f>
        <v>0</v>
      </c>
      <c r="U135" s="556">
        <f t="shared" si="4"/>
        <v>1</v>
      </c>
      <c r="V135" s="557">
        <v>0</v>
      </c>
      <c r="W135" s="558">
        <v>86</v>
      </c>
      <c r="X135" s="567"/>
      <c r="Y135" s="559">
        <v>46008</v>
      </c>
      <c r="Z135" s="560"/>
      <c r="AA135" s="561"/>
      <c r="AB135" s="562"/>
      <c r="AC135" s="561"/>
      <c r="AD135" s="563"/>
      <c r="AE135" s="567"/>
      <c r="AF135" s="564"/>
      <c r="AG135" s="565"/>
      <c r="AH135" s="560"/>
      <c r="AI135" s="561"/>
      <c r="AJ135" s="562"/>
      <c r="AK135" s="561"/>
      <c r="AL135" s="563"/>
      <c r="AM135" s="567"/>
      <c r="AN135" s="564"/>
      <c r="AO135" s="565"/>
      <c r="AP135" s="560"/>
      <c r="AQ135" s="561"/>
      <c r="AR135" s="562"/>
      <c r="AS135" s="561"/>
      <c r="AT135" s="563"/>
      <c r="AU135" s="567"/>
      <c r="AV135" s="564"/>
      <c r="AW135" s="565"/>
      <c r="AX135" s="560"/>
      <c r="AY135" s="561"/>
      <c r="AZ135" s="562"/>
      <c r="BA135" s="561"/>
      <c r="BB135" s="563"/>
      <c r="BC135" s="567"/>
      <c r="BD135" s="564"/>
      <c r="BE135" s="565"/>
      <c r="BF135" s="560"/>
      <c r="BG135" s="561"/>
      <c r="BH135" s="562"/>
      <c r="BI135" s="561"/>
      <c r="BJ135" s="563"/>
      <c r="BK135" s="567"/>
      <c r="BL135" s="564"/>
      <c r="BM135" s="565"/>
      <c r="BN135" s="560"/>
      <c r="BO135" s="561"/>
      <c r="BP135" s="562"/>
      <c r="BQ135" s="561"/>
      <c r="BR135" s="563"/>
      <c r="BS135" s="567"/>
      <c r="BT135" s="564"/>
      <c r="BU135" s="565"/>
      <c r="BV135" s="560"/>
      <c r="BW135" s="561"/>
      <c r="BX135" s="562"/>
      <c r="BY135" s="561"/>
      <c r="BZ135" s="563"/>
      <c r="CA135" s="567"/>
      <c r="CB135" s="564"/>
      <c r="CC135" s="565"/>
      <c r="CD135" s="560"/>
      <c r="CE135" s="561"/>
      <c r="CF135" s="562"/>
      <c r="CG135" s="561"/>
      <c r="CH135" s="563"/>
      <c r="CI135" s="564"/>
      <c r="CJ135" s="564"/>
      <c r="CK135" s="564"/>
      <c r="CL135" s="560"/>
      <c r="CM135" s="561"/>
      <c r="CN135" s="562"/>
      <c r="CO135" s="561"/>
      <c r="CP135" s="563"/>
      <c r="CQ135" s="564"/>
      <c r="CR135" s="564"/>
      <c r="CS135" s="564"/>
      <c r="CT135" s="560"/>
      <c r="CU135" s="561"/>
      <c r="CV135" s="562"/>
      <c r="CW135" s="561"/>
      <c r="CX135" s="563"/>
      <c r="CY135" s="564"/>
      <c r="CZ135" s="564"/>
      <c r="DA135" s="564"/>
      <c r="DB135" s="560"/>
      <c r="DC135" s="561"/>
      <c r="DD135" s="562"/>
      <c r="DE135" s="561"/>
      <c r="DF135" s="563"/>
      <c r="DG135" s="564"/>
      <c r="DH135" s="564"/>
      <c r="DI135" s="564"/>
      <c r="DJ135" s="560"/>
      <c r="DK135" s="561"/>
      <c r="DL135" s="562"/>
      <c r="DM135" s="561"/>
      <c r="DN135" s="563"/>
      <c r="DO135" s="564"/>
      <c r="DP135" s="564"/>
      <c r="DQ135" s="564"/>
      <c r="DR135" s="560"/>
      <c r="DS135" s="561"/>
      <c r="DT135" s="562"/>
      <c r="DU135" s="561"/>
      <c r="DV135" s="563"/>
      <c r="DW135" s="564"/>
      <c r="DX135" s="564"/>
      <c r="DY135" s="564"/>
      <c r="DZ135" s="560"/>
      <c r="EA135" s="561"/>
      <c r="EB135" s="562"/>
      <c r="EC135" s="561"/>
      <c r="ED135" s="563"/>
      <c r="EE135" s="564"/>
      <c r="EF135" s="564"/>
      <c r="EG135" s="564"/>
      <c r="EH135" s="560"/>
      <c r="EI135" s="561"/>
      <c r="EJ135" s="562"/>
      <c r="EK135" s="561"/>
      <c r="EL135" s="563"/>
      <c r="EM135" s="564"/>
      <c r="EN135" s="564"/>
      <c r="EO135" s="564"/>
      <c r="EP135" s="560"/>
      <c r="EQ135" s="561"/>
      <c r="ER135" s="562"/>
      <c r="ES135" s="561"/>
      <c r="ET135" s="563"/>
      <c r="EU135" s="564"/>
      <c r="EV135" s="564"/>
      <c r="EW135" s="564"/>
      <c r="EX135" s="560"/>
      <c r="EY135" s="561"/>
      <c r="EZ135" s="562"/>
      <c r="FA135" s="561"/>
      <c r="FB135" s="563"/>
      <c r="FC135" s="564"/>
      <c r="FD135" s="564"/>
      <c r="FE135" s="564"/>
      <c r="FF135" s="560"/>
      <c r="FG135" s="561"/>
      <c r="FH135" s="562"/>
      <c r="FI135" s="561"/>
      <c r="FJ135" s="563"/>
      <c r="FK135" s="564"/>
      <c r="FL135" s="564"/>
      <c r="FM135" s="564"/>
      <c r="FN135" s="560"/>
      <c r="FO135" s="561"/>
      <c r="FP135" s="562"/>
      <c r="FQ135" s="561"/>
      <c r="FR135" s="563"/>
      <c r="FS135" s="564"/>
      <c r="FT135" s="564"/>
      <c r="FU135" s="564"/>
      <c r="FV135" s="560"/>
      <c r="FW135" s="566"/>
      <c r="FX135" s="566"/>
      <c r="FY135" s="566"/>
      <c r="FZ135" s="563"/>
      <c r="GA135" s="564"/>
      <c r="GB135" s="564"/>
      <c r="GC135" s="564"/>
      <c r="GD135" s="560"/>
      <c r="GE135" s="566"/>
      <c r="GF135" s="566"/>
      <c r="GG135" s="566"/>
      <c r="GH135" s="563"/>
      <c r="GI135" s="564"/>
      <c r="GJ135" s="564"/>
      <c r="GK135" s="564"/>
      <c r="GL135" s="560"/>
      <c r="GM135" s="566"/>
      <c r="GN135" s="566"/>
      <c r="GO135" s="566"/>
      <c r="GP135" s="563"/>
      <c r="GQ135" s="564"/>
      <c r="GR135" s="564"/>
      <c r="GS135" s="564"/>
      <c r="GT135" s="560"/>
      <c r="GU135" s="566"/>
      <c r="GV135" s="566"/>
      <c r="GW135" s="566"/>
      <c r="GX135" s="563"/>
      <c r="GY135" s="564"/>
      <c r="GZ135" s="564"/>
      <c r="HA135" s="590"/>
      <c r="HB135" s="560"/>
      <c r="HC135" s="566"/>
      <c r="HD135" s="566"/>
      <c r="HE135" s="566"/>
      <c r="HF135" s="563"/>
      <c r="HG135" s="564"/>
      <c r="HH135" s="564"/>
      <c r="HI135" s="590"/>
      <c r="HJ135" s="560"/>
      <c r="HK135" s="566"/>
      <c r="HL135" s="566"/>
      <c r="HM135" s="566"/>
      <c r="HN135" s="563"/>
      <c r="HO135" s="564"/>
      <c r="HP135" s="564"/>
      <c r="HQ135" s="590"/>
      <c r="HR135" s="560"/>
      <c r="HS135" s="566"/>
      <c r="HT135" s="566"/>
      <c r="HU135" s="566"/>
    </row>
    <row r="136" spans="2:229" s="506" customFormat="1" ht="120" customHeight="1" thickBot="1" x14ac:dyDescent="0.4">
      <c r="B136" s="544">
        <v>133</v>
      </c>
      <c r="C136" s="544"/>
      <c r="D136" s="545" t="s">
        <v>44</v>
      </c>
      <c r="E136" s="546" t="s">
        <v>612</v>
      </c>
      <c r="F136" s="545" t="s">
        <v>46</v>
      </c>
      <c r="G136" s="546" t="s">
        <v>46</v>
      </c>
      <c r="H136" s="704" t="s">
        <v>613</v>
      </c>
      <c r="I136" s="548"/>
      <c r="J136" s="548"/>
      <c r="K136" s="568"/>
      <c r="L136" s="572"/>
      <c r="M136" s="550" t="s">
        <v>48</v>
      </c>
      <c r="N136" s="551">
        <v>0</v>
      </c>
      <c r="O136" s="552">
        <v>118</v>
      </c>
      <c r="P136" s="553">
        <v>46015</v>
      </c>
      <c r="Q136" s="554"/>
      <c r="R136" s="554" t="s">
        <v>73</v>
      </c>
      <c r="S136" s="555">
        <f ca="1">IF(R136="Aprobado con comentarios / Emitir en Rev_0", NETWORKDAYS(Q136,TODAY(),Hoja1!$C$3:$C$25),0)</f>
        <v>0</v>
      </c>
      <c r="T136" s="555">
        <f ca="1">IF(R136="Revisión INN",NETWORKDAYS(P136,TODAY(),Hoja1!$C$3:$C$25),0)</f>
        <v>0</v>
      </c>
      <c r="U136" s="556">
        <f t="shared" si="4"/>
        <v>1</v>
      </c>
      <c r="V136" s="557">
        <v>0</v>
      </c>
      <c r="W136" s="558">
        <v>118</v>
      </c>
      <c r="X136" s="567"/>
      <c r="Y136" s="559">
        <v>46015</v>
      </c>
      <c r="Z136" s="560"/>
      <c r="AA136" s="561"/>
      <c r="AB136" s="562"/>
      <c r="AC136" s="561"/>
      <c r="AD136" s="563"/>
      <c r="AE136" s="567"/>
      <c r="AF136" s="564"/>
      <c r="AG136" s="565"/>
      <c r="AH136" s="560"/>
      <c r="AI136" s="561"/>
      <c r="AJ136" s="562"/>
      <c r="AK136" s="561"/>
      <c r="AL136" s="563"/>
      <c r="AM136" s="567"/>
      <c r="AN136" s="564"/>
      <c r="AO136" s="565"/>
      <c r="AP136" s="560"/>
      <c r="AQ136" s="561"/>
      <c r="AR136" s="562"/>
      <c r="AS136" s="561"/>
      <c r="AT136" s="563"/>
      <c r="AU136" s="567"/>
      <c r="AV136" s="564"/>
      <c r="AW136" s="565"/>
      <c r="AX136" s="560"/>
      <c r="AY136" s="561"/>
      <c r="AZ136" s="562"/>
      <c r="BA136" s="561"/>
      <c r="BB136" s="563"/>
      <c r="BC136" s="567"/>
      <c r="BD136" s="564"/>
      <c r="BE136" s="565"/>
      <c r="BF136" s="560"/>
      <c r="BG136" s="561"/>
      <c r="BH136" s="562"/>
      <c r="BI136" s="561"/>
      <c r="BJ136" s="563"/>
      <c r="BK136" s="567"/>
      <c r="BL136" s="564"/>
      <c r="BM136" s="565"/>
      <c r="BN136" s="560"/>
      <c r="BO136" s="561"/>
      <c r="BP136" s="562"/>
      <c r="BQ136" s="561"/>
      <c r="BR136" s="563"/>
      <c r="BS136" s="567"/>
      <c r="BT136" s="564"/>
      <c r="BU136" s="565"/>
      <c r="BV136" s="560"/>
      <c r="BW136" s="561"/>
      <c r="BX136" s="562"/>
      <c r="BY136" s="561"/>
      <c r="BZ136" s="563"/>
      <c r="CA136" s="567"/>
      <c r="CB136" s="564"/>
      <c r="CC136" s="565"/>
      <c r="CD136" s="560"/>
      <c r="CE136" s="561"/>
      <c r="CF136" s="562"/>
      <c r="CG136" s="561"/>
      <c r="CH136" s="563"/>
      <c r="CI136" s="564"/>
      <c r="CJ136" s="564"/>
      <c r="CK136" s="564"/>
      <c r="CL136" s="560"/>
      <c r="CM136" s="561"/>
      <c r="CN136" s="562"/>
      <c r="CO136" s="561"/>
      <c r="CP136" s="563"/>
      <c r="CQ136" s="564"/>
      <c r="CR136" s="564"/>
      <c r="CS136" s="564"/>
      <c r="CT136" s="560"/>
      <c r="CU136" s="561"/>
      <c r="CV136" s="562"/>
      <c r="CW136" s="561"/>
      <c r="CX136" s="563"/>
      <c r="CY136" s="564"/>
      <c r="CZ136" s="564"/>
      <c r="DA136" s="564"/>
      <c r="DB136" s="560"/>
      <c r="DC136" s="561"/>
      <c r="DD136" s="562"/>
      <c r="DE136" s="561"/>
      <c r="DF136" s="563"/>
      <c r="DG136" s="564"/>
      <c r="DH136" s="564"/>
      <c r="DI136" s="564"/>
      <c r="DJ136" s="560"/>
      <c r="DK136" s="561"/>
      <c r="DL136" s="562"/>
      <c r="DM136" s="561"/>
      <c r="DN136" s="563"/>
      <c r="DO136" s="564"/>
      <c r="DP136" s="564"/>
      <c r="DQ136" s="564"/>
      <c r="DR136" s="560"/>
      <c r="DS136" s="561"/>
      <c r="DT136" s="562"/>
      <c r="DU136" s="561"/>
      <c r="DV136" s="563"/>
      <c r="DW136" s="564"/>
      <c r="DX136" s="564"/>
      <c r="DY136" s="564"/>
      <c r="DZ136" s="560"/>
      <c r="EA136" s="561"/>
      <c r="EB136" s="562"/>
      <c r="EC136" s="561"/>
      <c r="ED136" s="563"/>
      <c r="EE136" s="564"/>
      <c r="EF136" s="564"/>
      <c r="EG136" s="564"/>
      <c r="EH136" s="560"/>
      <c r="EI136" s="561"/>
      <c r="EJ136" s="562"/>
      <c r="EK136" s="561"/>
      <c r="EL136" s="563"/>
      <c r="EM136" s="564"/>
      <c r="EN136" s="564"/>
      <c r="EO136" s="564"/>
      <c r="EP136" s="560"/>
      <c r="EQ136" s="561"/>
      <c r="ER136" s="562"/>
      <c r="ES136" s="561"/>
      <c r="ET136" s="563"/>
      <c r="EU136" s="564"/>
      <c r="EV136" s="564"/>
      <c r="EW136" s="564"/>
      <c r="EX136" s="560"/>
      <c r="EY136" s="561"/>
      <c r="EZ136" s="562"/>
      <c r="FA136" s="561"/>
      <c r="FB136" s="563"/>
      <c r="FC136" s="564"/>
      <c r="FD136" s="564"/>
      <c r="FE136" s="564"/>
      <c r="FF136" s="560"/>
      <c r="FG136" s="561"/>
      <c r="FH136" s="562"/>
      <c r="FI136" s="561"/>
      <c r="FJ136" s="563"/>
      <c r="FK136" s="564"/>
      <c r="FL136" s="564"/>
      <c r="FM136" s="564"/>
      <c r="FN136" s="560"/>
      <c r="FO136" s="561"/>
      <c r="FP136" s="562"/>
      <c r="FQ136" s="561"/>
      <c r="FR136" s="563"/>
      <c r="FS136" s="564"/>
      <c r="FT136" s="564"/>
      <c r="FU136" s="564"/>
      <c r="FV136" s="560"/>
      <c r="FW136" s="566"/>
      <c r="FX136" s="566"/>
      <c r="FY136" s="566"/>
      <c r="FZ136" s="563"/>
      <c r="GA136" s="564"/>
      <c r="GB136" s="564"/>
      <c r="GC136" s="564"/>
      <c r="GD136" s="560"/>
      <c r="GE136" s="566"/>
      <c r="GF136" s="566"/>
      <c r="GG136" s="566"/>
      <c r="GH136" s="563"/>
      <c r="GI136" s="564"/>
      <c r="GJ136" s="564"/>
      <c r="GK136" s="564"/>
      <c r="GL136" s="560"/>
      <c r="GM136" s="566"/>
      <c r="GN136" s="566"/>
      <c r="GO136" s="566"/>
      <c r="GP136" s="563"/>
      <c r="GQ136" s="564"/>
      <c r="GR136" s="564"/>
      <c r="GS136" s="564"/>
      <c r="GT136" s="560"/>
      <c r="GU136" s="566"/>
      <c r="GV136" s="566"/>
      <c r="GW136" s="566"/>
      <c r="GX136" s="563"/>
      <c r="GY136" s="564"/>
      <c r="GZ136" s="564"/>
      <c r="HA136" s="590"/>
      <c r="HB136" s="560"/>
      <c r="HC136" s="566"/>
      <c r="HD136" s="566"/>
      <c r="HE136" s="566"/>
      <c r="HF136" s="563"/>
      <c r="HG136" s="564"/>
      <c r="HH136" s="564"/>
      <c r="HI136" s="590"/>
      <c r="HJ136" s="560"/>
      <c r="HK136" s="566"/>
      <c r="HL136" s="566"/>
      <c r="HM136" s="566"/>
      <c r="HN136" s="563"/>
      <c r="HO136" s="564"/>
      <c r="HP136" s="564"/>
      <c r="HQ136" s="590"/>
      <c r="HR136" s="560"/>
      <c r="HS136" s="566"/>
      <c r="HT136" s="566"/>
      <c r="HU136" s="566"/>
    </row>
    <row r="137" spans="2:229" s="506" customFormat="1" ht="59.15" customHeight="1" x14ac:dyDescent="0.35">
      <c r="B137" s="544">
        <v>134</v>
      </c>
      <c r="C137" s="544"/>
      <c r="D137" s="545"/>
      <c r="E137" s="546" t="s">
        <v>614</v>
      </c>
      <c r="F137" s="545" t="s">
        <v>46</v>
      </c>
      <c r="G137" s="546" t="s">
        <v>46</v>
      </c>
      <c r="H137" s="704" t="s">
        <v>615</v>
      </c>
      <c r="I137" s="548"/>
      <c r="J137" s="548"/>
      <c r="K137" s="568"/>
      <c r="L137" s="572"/>
      <c r="M137" s="550" t="s">
        <v>48</v>
      </c>
      <c r="N137" s="551">
        <v>0</v>
      </c>
      <c r="O137" s="552">
        <v>126</v>
      </c>
      <c r="P137" s="553">
        <v>46022</v>
      </c>
      <c r="Q137" s="554"/>
      <c r="R137" s="554" t="s">
        <v>73</v>
      </c>
      <c r="S137" s="555">
        <f ca="1">IF(R137="Aprobado con comentarios / Emitir en Rev_0", NETWORKDAYS(Q137,TODAY(),Hoja1!$C$3:$C$25),0)</f>
        <v>0</v>
      </c>
      <c r="T137" s="555">
        <f ca="1">IF(R137="Revisión INN",NETWORKDAYS(P137,TODAY(),Hoja1!$C$3:$C$25),0)</f>
        <v>0</v>
      </c>
      <c r="U137" s="556">
        <f t="shared" si="4"/>
        <v>1</v>
      </c>
      <c r="V137" s="557">
        <v>0</v>
      </c>
      <c r="W137" s="558">
        <v>126</v>
      </c>
      <c r="X137" s="567"/>
      <c r="Y137" s="559">
        <v>46021</v>
      </c>
      <c r="Z137" s="560"/>
      <c r="AA137" s="561"/>
      <c r="AB137" s="562"/>
      <c r="AC137" s="561"/>
      <c r="AD137" s="563"/>
      <c r="AE137" s="567"/>
      <c r="AF137" s="564"/>
      <c r="AG137" s="565"/>
      <c r="AH137" s="560"/>
      <c r="AI137" s="561"/>
      <c r="AJ137" s="562"/>
      <c r="AK137" s="561"/>
      <c r="AL137" s="563"/>
      <c r="AM137" s="567"/>
      <c r="AN137" s="564"/>
      <c r="AO137" s="565"/>
      <c r="AP137" s="560"/>
      <c r="AQ137" s="561"/>
      <c r="AR137" s="562"/>
      <c r="AS137" s="561"/>
      <c r="AT137" s="563"/>
      <c r="AU137" s="567"/>
      <c r="AV137" s="564"/>
      <c r="AW137" s="565"/>
      <c r="AX137" s="560"/>
      <c r="AY137" s="561"/>
      <c r="AZ137" s="562"/>
      <c r="BA137" s="561"/>
      <c r="BB137" s="563"/>
      <c r="BC137" s="567"/>
      <c r="BD137" s="564"/>
      <c r="BE137" s="565"/>
      <c r="BF137" s="560"/>
      <c r="BG137" s="561"/>
      <c r="BH137" s="562"/>
      <c r="BI137" s="561"/>
      <c r="BJ137" s="563"/>
      <c r="BK137" s="567"/>
      <c r="BL137" s="564"/>
      <c r="BM137" s="565"/>
      <c r="BN137" s="560"/>
      <c r="BO137" s="561"/>
      <c r="BP137" s="562"/>
      <c r="BQ137" s="561"/>
      <c r="BR137" s="563"/>
      <c r="BS137" s="567"/>
      <c r="BT137" s="564"/>
      <c r="BU137" s="565"/>
      <c r="BV137" s="560"/>
      <c r="BW137" s="561"/>
      <c r="BX137" s="562"/>
      <c r="BY137" s="561"/>
      <c r="BZ137" s="563"/>
      <c r="CA137" s="567"/>
      <c r="CB137" s="564"/>
      <c r="CC137" s="565"/>
      <c r="CD137" s="560"/>
      <c r="CE137" s="561"/>
      <c r="CF137" s="562"/>
      <c r="CG137" s="561"/>
      <c r="CH137" s="563"/>
      <c r="CI137" s="564"/>
      <c r="CJ137" s="564"/>
      <c r="CK137" s="564"/>
      <c r="CL137" s="560"/>
      <c r="CM137" s="561"/>
      <c r="CN137" s="562"/>
      <c r="CO137" s="561"/>
      <c r="CP137" s="563"/>
      <c r="CQ137" s="564"/>
      <c r="CR137" s="564"/>
      <c r="CS137" s="564"/>
      <c r="CT137" s="560"/>
      <c r="CU137" s="561"/>
      <c r="CV137" s="562"/>
      <c r="CW137" s="561"/>
      <c r="CX137" s="563"/>
      <c r="CY137" s="564"/>
      <c r="CZ137" s="564"/>
      <c r="DA137" s="564"/>
      <c r="DB137" s="560"/>
      <c r="DC137" s="561"/>
      <c r="DD137" s="562"/>
      <c r="DE137" s="561"/>
      <c r="DF137" s="563"/>
      <c r="DG137" s="564"/>
      <c r="DH137" s="564"/>
      <c r="DI137" s="564"/>
      <c r="DJ137" s="560"/>
      <c r="DK137" s="561"/>
      <c r="DL137" s="562"/>
      <c r="DM137" s="561"/>
      <c r="DN137" s="563"/>
      <c r="DO137" s="564"/>
      <c r="DP137" s="564"/>
      <c r="DQ137" s="564"/>
      <c r="DR137" s="560"/>
      <c r="DS137" s="561"/>
      <c r="DT137" s="562"/>
      <c r="DU137" s="561"/>
      <c r="DV137" s="563"/>
      <c r="DW137" s="564"/>
      <c r="DX137" s="564"/>
      <c r="DY137" s="564"/>
      <c r="DZ137" s="560"/>
      <c r="EA137" s="561"/>
      <c r="EB137" s="562"/>
      <c r="EC137" s="561"/>
      <c r="ED137" s="563"/>
      <c r="EE137" s="564"/>
      <c r="EF137" s="564"/>
      <c r="EG137" s="564"/>
      <c r="EH137" s="560"/>
      <c r="EI137" s="561"/>
      <c r="EJ137" s="562"/>
      <c r="EK137" s="561"/>
      <c r="EL137" s="563"/>
      <c r="EM137" s="564"/>
      <c r="EN137" s="564"/>
      <c r="EO137" s="564"/>
      <c r="EP137" s="560"/>
      <c r="EQ137" s="561"/>
      <c r="ER137" s="562"/>
      <c r="ES137" s="561"/>
      <c r="ET137" s="563"/>
      <c r="EU137" s="564"/>
      <c r="EV137" s="564"/>
      <c r="EW137" s="564"/>
      <c r="EX137" s="560"/>
      <c r="EY137" s="561"/>
      <c r="EZ137" s="562"/>
      <c r="FA137" s="561"/>
      <c r="FB137" s="563"/>
      <c r="FC137" s="564"/>
      <c r="FD137" s="564"/>
      <c r="FE137" s="564"/>
      <c r="FF137" s="560"/>
      <c r="FG137" s="561"/>
      <c r="FH137" s="562"/>
      <c r="FI137" s="561"/>
      <c r="FJ137" s="563"/>
      <c r="FK137" s="564"/>
      <c r="FL137" s="564"/>
      <c r="FM137" s="564"/>
      <c r="FN137" s="560"/>
      <c r="FO137" s="561"/>
      <c r="FP137" s="562"/>
      <c r="FQ137" s="561"/>
      <c r="FR137" s="563"/>
      <c r="FS137" s="564"/>
      <c r="FT137" s="564"/>
      <c r="FU137" s="564"/>
      <c r="FV137" s="560"/>
      <c r="FW137" s="566"/>
      <c r="FX137" s="566"/>
      <c r="FY137" s="566"/>
      <c r="FZ137" s="563"/>
      <c r="GA137" s="564"/>
      <c r="GB137" s="564"/>
      <c r="GC137" s="564"/>
      <c r="GD137" s="560"/>
      <c r="GE137" s="566"/>
      <c r="GF137" s="566"/>
      <c r="GG137" s="566"/>
      <c r="GH137" s="563"/>
      <c r="GI137" s="564"/>
      <c r="GJ137" s="564"/>
      <c r="GK137" s="564"/>
      <c r="GL137" s="560"/>
      <c r="GM137" s="566"/>
      <c r="GN137" s="566"/>
      <c r="GO137" s="566"/>
      <c r="GP137" s="563"/>
      <c r="GQ137" s="564"/>
      <c r="GR137" s="564"/>
      <c r="GS137" s="564"/>
      <c r="GT137" s="560"/>
      <c r="GU137" s="566"/>
      <c r="GV137" s="566"/>
      <c r="GW137" s="566"/>
      <c r="GX137" s="541"/>
      <c r="GY137" s="535"/>
      <c r="GZ137" s="542"/>
      <c r="HA137" s="543"/>
      <c r="HB137" s="541"/>
      <c r="HC137" s="535"/>
      <c r="HD137" s="542"/>
      <c r="HE137" s="543"/>
      <c r="HF137" s="541"/>
      <c r="HG137" s="535"/>
      <c r="HH137" s="542"/>
      <c r="HI137" s="543"/>
      <c r="HJ137" s="541"/>
      <c r="HK137" s="535"/>
      <c r="HL137" s="542"/>
      <c r="HM137" s="543"/>
      <c r="HN137" s="541"/>
      <c r="HO137" s="535"/>
      <c r="HP137" s="542"/>
      <c r="HQ137" s="543"/>
      <c r="HR137" s="541"/>
      <c r="HS137" s="535"/>
      <c r="HT137" s="542"/>
      <c r="HU137" s="543"/>
    </row>
    <row r="138" spans="2:229" s="506" customFormat="1" ht="14.5" x14ac:dyDescent="0.35">
      <c r="B138" s="544">
        <v>135</v>
      </c>
      <c r="C138" s="544"/>
      <c r="D138" s="544" t="s">
        <v>44</v>
      </c>
      <c r="E138" s="546" t="s">
        <v>616</v>
      </c>
      <c r="F138" s="545" t="s">
        <v>46</v>
      </c>
      <c r="G138" s="546" t="s">
        <v>46</v>
      </c>
      <c r="H138" s="704" t="s">
        <v>617</v>
      </c>
      <c r="I138" s="548"/>
      <c r="J138" s="548"/>
      <c r="K138" s="568"/>
      <c r="L138" s="572"/>
      <c r="M138" s="550" t="s">
        <v>48</v>
      </c>
      <c r="N138" s="551">
        <v>0</v>
      </c>
      <c r="O138" s="552">
        <v>128</v>
      </c>
      <c r="P138" s="553">
        <v>46028</v>
      </c>
      <c r="Q138" s="554"/>
      <c r="R138" s="554" t="s">
        <v>73</v>
      </c>
      <c r="S138" s="555"/>
      <c r="T138" s="555"/>
      <c r="U138" s="556">
        <f t="shared" si="4"/>
        <v>1</v>
      </c>
      <c r="V138" s="557">
        <v>0</v>
      </c>
      <c r="W138" s="558">
        <v>128</v>
      </c>
      <c r="X138" s="567"/>
      <c r="Y138" s="559">
        <v>46028</v>
      </c>
      <c r="Z138" s="560"/>
      <c r="AA138" s="561"/>
      <c r="AB138" s="562"/>
      <c r="AC138" s="561"/>
      <c r="AD138" s="563"/>
      <c r="AE138" s="567"/>
      <c r="AF138" s="564"/>
      <c r="AG138" s="565"/>
      <c r="AH138" s="560"/>
      <c r="AI138" s="561"/>
      <c r="AJ138" s="562"/>
      <c r="AK138" s="561"/>
      <c r="AL138" s="563"/>
      <c r="AM138" s="567"/>
      <c r="AN138" s="564"/>
      <c r="AO138" s="565"/>
      <c r="AP138" s="560"/>
      <c r="AQ138" s="561"/>
      <c r="AR138" s="562"/>
      <c r="AS138" s="561"/>
      <c r="AT138" s="563"/>
      <c r="AU138" s="567"/>
      <c r="AV138" s="564"/>
      <c r="AW138" s="565"/>
      <c r="AX138" s="560"/>
      <c r="AY138" s="561"/>
      <c r="AZ138" s="562"/>
      <c r="BA138" s="561"/>
      <c r="BB138" s="563"/>
      <c r="BC138" s="567"/>
      <c r="BD138" s="564"/>
      <c r="BE138" s="565"/>
      <c r="BF138" s="560"/>
      <c r="BG138" s="561"/>
      <c r="BH138" s="562"/>
      <c r="BI138" s="561"/>
      <c r="BJ138" s="563"/>
      <c r="BK138" s="567"/>
      <c r="BL138" s="564"/>
      <c r="BM138" s="565"/>
      <c r="BN138" s="560"/>
      <c r="BO138" s="561"/>
      <c r="BP138" s="562"/>
      <c r="BQ138" s="561"/>
      <c r="BR138" s="563"/>
      <c r="BS138" s="567"/>
      <c r="BT138" s="564"/>
      <c r="BU138" s="565"/>
      <c r="BV138" s="560"/>
      <c r="BW138" s="561"/>
      <c r="BX138" s="562"/>
      <c r="BY138" s="561"/>
      <c r="BZ138" s="563"/>
      <c r="CA138" s="567"/>
      <c r="CB138" s="564"/>
      <c r="CC138" s="565"/>
      <c r="CD138" s="560"/>
      <c r="CE138" s="561"/>
      <c r="CF138" s="562"/>
      <c r="CG138" s="561"/>
      <c r="CH138" s="563"/>
      <c r="CI138" s="564"/>
      <c r="CJ138" s="564"/>
      <c r="CK138" s="564"/>
      <c r="CL138" s="560"/>
      <c r="CM138" s="561"/>
      <c r="CN138" s="562"/>
      <c r="CO138" s="561"/>
      <c r="CP138" s="563"/>
      <c r="CQ138" s="564"/>
      <c r="CR138" s="564"/>
      <c r="CS138" s="564"/>
      <c r="CT138" s="560"/>
      <c r="CU138" s="561"/>
      <c r="CV138" s="562"/>
      <c r="CW138" s="561"/>
      <c r="CX138" s="563"/>
      <c r="CY138" s="564"/>
      <c r="CZ138" s="564"/>
      <c r="DA138" s="564"/>
      <c r="DB138" s="560"/>
      <c r="DC138" s="561"/>
      <c r="DD138" s="562"/>
      <c r="DE138" s="561"/>
      <c r="DF138" s="563"/>
      <c r="DG138" s="564"/>
      <c r="DH138" s="564"/>
      <c r="DI138" s="564"/>
      <c r="DJ138" s="560"/>
      <c r="DK138" s="561"/>
      <c r="DL138" s="562"/>
      <c r="DM138" s="561"/>
      <c r="DN138" s="563"/>
      <c r="DO138" s="564"/>
      <c r="DP138" s="564"/>
      <c r="DQ138" s="564"/>
      <c r="DR138" s="560"/>
      <c r="DS138" s="561"/>
      <c r="DT138" s="562"/>
      <c r="DU138" s="561"/>
      <c r="DV138" s="563"/>
      <c r="DW138" s="564"/>
      <c r="DX138" s="564"/>
      <c r="DY138" s="564"/>
      <c r="DZ138" s="560"/>
      <c r="EA138" s="561"/>
      <c r="EB138" s="562"/>
      <c r="EC138" s="561"/>
      <c r="ED138" s="563"/>
      <c r="EE138" s="564"/>
      <c r="EF138" s="564"/>
      <c r="EG138" s="564"/>
      <c r="EH138" s="560"/>
      <c r="EI138" s="561"/>
      <c r="EJ138" s="562"/>
      <c r="EK138" s="561"/>
      <c r="EL138" s="563"/>
      <c r="EM138" s="564"/>
      <c r="EN138" s="564"/>
      <c r="EO138" s="564"/>
      <c r="EP138" s="560"/>
      <c r="EQ138" s="561"/>
      <c r="ER138" s="562"/>
      <c r="ES138" s="561"/>
      <c r="ET138" s="563"/>
      <c r="EU138" s="564"/>
      <c r="EV138" s="564"/>
      <c r="EW138" s="564"/>
      <c r="EX138" s="560"/>
      <c r="EY138" s="561"/>
      <c r="EZ138" s="562"/>
      <c r="FA138" s="561"/>
      <c r="FB138" s="563"/>
      <c r="FC138" s="564"/>
      <c r="FD138" s="564"/>
      <c r="FE138" s="564"/>
      <c r="FF138" s="560"/>
      <c r="FG138" s="561"/>
      <c r="FH138" s="562"/>
      <c r="FI138" s="561"/>
      <c r="FJ138" s="563"/>
      <c r="FK138" s="564"/>
      <c r="FL138" s="564"/>
      <c r="FM138" s="564"/>
      <c r="FN138" s="560"/>
      <c r="FO138" s="561"/>
      <c r="FP138" s="562"/>
      <c r="FQ138" s="561"/>
      <c r="FR138" s="563"/>
      <c r="FS138" s="564"/>
      <c r="FT138" s="564"/>
      <c r="FU138" s="564"/>
      <c r="FV138" s="560"/>
      <c r="FW138" s="566"/>
      <c r="FX138" s="566"/>
      <c r="FY138" s="566"/>
      <c r="FZ138" s="563"/>
      <c r="GA138" s="564"/>
      <c r="GB138" s="564"/>
      <c r="GC138" s="564"/>
      <c r="GD138" s="560"/>
      <c r="GE138" s="566"/>
      <c r="GF138" s="566"/>
      <c r="GG138" s="566"/>
      <c r="GH138" s="563"/>
      <c r="GI138" s="564"/>
      <c r="GJ138" s="564"/>
      <c r="GK138" s="564"/>
      <c r="GL138" s="560"/>
      <c r="GM138" s="566"/>
      <c r="GN138" s="566"/>
      <c r="GO138" s="566"/>
      <c r="GP138" s="563"/>
      <c r="GQ138" s="564"/>
      <c r="GR138" s="564"/>
      <c r="GS138" s="564"/>
      <c r="GT138" s="560"/>
      <c r="GU138" s="566"/>
      <c r="GV138" s="566"/>
      <c r="GW138" s="566"/>
      <c r="GX138" s="563"/>
      <c r="GY138" s="564"/>
      <c r="GZ138" s="564"/>
      <c r="HA138" s="590"/>
      <c r="HB138" s="560"/>
      <c r="HC138" s="566"/>
      <c r="HD138" s="566"/>
      <c r="HE138" s="566"/>
      <c r="HF138" s="563"/>
      <c r="HG138" s="564"/>
      <c r="HH138" s="564"/>
      <c r="HI138" s="590"/>
      <c r="HJ138" s="560"/>
      <c r="HK138" s="566"/>
      <c r="HL138" s="566"/>
      <c r="HM138" s="566"/>
      <c r="HN138" s="563"/>
      <c r="HO138" s="564"/>
      <c r="HP138" s="564"/>
      <c r="HQ138" s="590"/>
      <c r="HR138" s="560"/>
      <c r="HS138" s="566"/>
      <c r="HT138" s="566"/>
      <c r="HU138" s="566"/>
    </row>
    <row r="139" spans="2:229" s="506" customFormat="1" ht="91" customHeight="1" x14ac:dyDescent="0.35">
      <c r="B139" s="544">
        <v>136</v>
      </c>
      <c r="C139" s="544"/>
      <c r="D139" s="545" t="s">
        <v>46</v>
      </c>
      <c r="E139" s="545" t="s">
        <v>46</v>
      </c>
      <c r="F139" s="545" t="s">
        <v>46</v>
      </c>
      <c r="G139" s="545" t="s">
        <v>46</v>
      </c>
      <c r="H139" s="547" t="s">
        <v>618</v>
      </c>
      <c r="I139" s="548"/>
      <c r="J139" s="548"/>
      <c r="K139" s="568"/>
      <c r="L139" s="549"/>
      <c r="M139" s="569" t="s">
        <v>295</v>
      </c>
      <c r="N139" s="551" t="s">
        <v>619</v>
      </c>
      <c r="O139" s="552">
        <v>114</v>
      </c>
      <c r="P139" s="553">
        <v>46009</v>
      </c>
      <c r="Q139" s="553"/>
      <c r="R139" s="554" t="s">
        <v>620</v>
      </c>
      <c r="S139" s="555">
        <f ca="1">IF(R139="Aprobado con comentarios / Emitir en Rev_0", NETWORKDAYS(Q139,TODAY(),Hoja1!$C$3:$C$25),0)</f>
        <v>0</v>
      </c>
      <c r="T139" s="555">
        <f ca="1">IF(R139="Revisión INN",NETWORKDAYS(P139,TODAY(),Hoja1!$C$3:$C$25),0)</f>
        <v>0</v>
      </c>
      <c r="U139" s="556">
        <f t="shared" si="4"/>
        <v>1</v>
      </c>
      <c r="V139" s="601" t="s">
        <v>621</v>
      </c>
      <c r="W139" s="602">
        <v>114</v>
      </c>
      <c r="X139" s="592"/>
      <c r="Y139" s="596">
        <v>46009</v>
      </c>
      <c r="Z139" s="560"/>
      <c r="AA139" s="561"/>
      <c r="AB139" s="562"/>
      <c r="AC139" s="561"/>
      <c r="AD139" s="563"/>
      <c r="AE139" s="567"/>
      <c r="AF139" s="564"/>
      <c r="AG139" s="565"/>
      <c r="AH139" s="560"/>
      <c r="AI139" s="561"/>
      <c r="AJ139" s="562"/>
      <c r="AK139" s="561"/>
      <c r="AL139" s="563"/>
      <c r="AM139" s="567"/>
      <c r="AN139" s="564"/>
      <c r="AO139" s="565"/>
      <c r="AP139" s="560"/>
      <c r="AQ139" s="561"/>
      <c r="AR139" s="562"/>
      <c r="AS139" s="561"/>
      <c r="AT139" s="563"/>
      <c r="AU139" s="567"/>
      <c r="AV139" s="564"/>
      <c r="AW139" s="565"/>
      <c r="AX139" s="560"/>
      <c r="AY139" s="561"/>
      <c r="AZ139" s="562"/>
      <c r="BA139" s="561"/>
      <c r="BB139" s="563"/>
      <c r="BC139" s="567"/>
      <c r="BD139" s="564"/>
      <c r="BE139" s="565"/>
      <c r="BF139" s="560"/>
      <c r="BG139" s="560"/>
      <c r="BH139" s="560"/>
      <c r="BI139" s="560"/>
      <c r="BJ139" s="563"/>
      <c r="BK139" s="567"/>
      <c r="BL139" s="564"/>
      <c r="BM139" s="565"/>
      <c r="BN139" s="560"/>
      <c r="BO139" s="561"/>
      <c r="BP139" s="562"/>
      <c r="BQ139" s="561"/>
      <c r="BR139" s="563"/>
      <c r="BS139" s="567"/>
      <c r="BT139" s="564"/>
      <c r="BU139" s="565"/>
      <c r="BV139" s="560"/>
      <c r="BW139" s="561"/>
      <c r="BX139" s="562"/>
      <c r="BY139" s="561"/>
      <c r="BZ139" s="563"/>
      <c r="CA139" s="567"/>
      <c r="CB139" s="564"/>
      <c r="CC139" s="565"/>
      <c r="CD139" s="560"/>
      <c r="CE139" s="561"/>
      <c r="CF139" s="562"/>
      <c r="CG139" s="561"/>
      <c r="CH139" s="563"/>
      <c r="CI139" s="564"/>
      <c r="CJ139" s="564"/>
      <c r="CK139" s="590"/>
      <c r="CL139" s="560"/>
      <c r="CM139" s="561"/>
      <c r="CN139" s="562"/>
      <c r="CO139" s="561"/>
      <c r="CP139" s="563"/>
      <c r="CQ139" s="564"/>
      <c r="CR139" s="564"/>
      <c r="CS139" s="564"/>
      <c r="CT139" s="560"/>
      <c r="CU139" s="561"/>
      <c r="CV139" s="562"/>
      <c r="CW139" s="561"/>
      <c r="CX139" s="563"/>
      <c r="CY139" s="564"/>
      <c r="CZ139" s="564"/>
      <c r="DA139" s="564"/>
      <c r="DB139" s="560"/>
      <c r="DC139" s="561"/>
      <c r="DD139" s="562"/>
      <c r="DE139" s="561"/>
      <c r="DF139" s="563"/>
      <c r="DG139" s="564"/>
      <c r="DH139" s="564"/>
      <c r="DI139" s="564"/>
      <c r="DJ139" s="560"/>
      <c r="DK139" s="561"/>
      <c r="DL139" s="562"/>
      <c r="DM139" s="561"/>
      <c r="DN139" s="563"/>
      <c r="DO139" s="564"/>
      <c r="DP139" s="564"/>
      <c r="DQ139" s="564"/>
      <c r="DR139" s="560"/>
      <c r="DS139" s="561"/>
      <c r="DT139" s="562"/>
      <c r="DU139" s="561"/>
      <c r="DV139" s="563"/>
      <c r="DW139" s="564"/>
      <c r="DX139" s="564"/>
      <c r="DY139" s="564"/>
      <c r="DZ139" s="560"/>
      <c r="EA139" s="561"/>
      <c r="EB139" s="562"/>
      <c r="EC139" s="561"/>
      <c r="ED139" s="563"/>
      <c r="EE139" s="564"/>
      <c r="EF139" s="564"/>
      <c r="EG139" s="564"/>
      <c r="EH139" s="560"/>
      <c r="EI139" s="561"/>
      <c r="EJ139" s="562"/>
      <c r="EK139" s="561"/>
      <c r="EL139" s="563"/>
      <c r="EM139" s="564"/>
      <c r="EN139" s="564"/>
      <c r="EO139" s="564"/>
      <c r="EP139" s="560"/>
      <c r="EQ139" s="561"/>
      <c r="ER139" s="562"/>
      <c r="ES139" s="561"/>
      <c r="ET139" s="563"/>
      <c r="EU139" s="564"/>
      <c r="EV139" s="564"/>
      <c r="EW139" s="564"/>
      <c r="EX139" s="560"/>
      <c r="EY139" s="561"/>
      <c r="EZ139" s="562"/>
      <c r="FA139" s="561"/>
      <c r="FB139" s="563"/>
      <c r="FC139" s="564"/>
      <c r="FD139" s="564"/>
      <c r="FE139" s="564"/>
      <c r="FF139" s="560"/>
      <c r="FG139" s="561"/>
      <c r="FH139" s="562"/>
      <c r="FI139" s="561"/>
      <c r="FJ139" s="563"/>
      <c r="FK139" s="564"/>
      <c r="FL139" s="564"/>
      <c r="FM139" s="564"/>
      <c r="FN139" s="560"/>
      <c r="FO139" s="561"/>
      <c r="FP139" s="562"/>
      <c r="FQ139" s="561"/>
      <c r="FR139" s="563"/>
      <c r="FS139" s="564"/>
      <c r="FT139" s="564"/>
      <c r="FU139" s="564"/>
      <c r="FV139" s="560"/>
      <c r="FW139" s="566"/>
      <c r="FX139" s="566"/>
      <c r="FY139" s="566"/>
      <c r="FZ139" s="563"/>
      <c r="GA139" s="564"/>
      <c r="GB139" s="564"/>
      <c r="GC139" s="564"/>
      <c r="GD139" s="560"/>
      <c r="GE139" s="566"/>
      <c r="GF139" s="566"/>
      <c r="GG139" s="566"/>
      <c r="GH139" s="563"/>
      <c r="GI139" s="564"/>
      <c r="GJ139" s="564"/>
      <c r="GK139" s="564"/>
      <c r="GL139" s="560"/>
      <c r="GM139" s="566"/>
      <c r="GN139" s="566"/>
      <c r="GO139" s="566"/>
      <c r="GP139" s="563"/>
      <c r="GQ139" s="564"/>
      <c r="GR139" s="564"/>
      <c r="GS139" s="564"/>
      <c r="GT139" s="560"/>
      <c r="GU139" s="566"/>
      <c r="GV139" s="566"/>
      <c r="GW139" s="566"/>
      <c r="GX139" s="563"/>
      <c r="GY139" s="564"/>
      <c r="GZ139" s="564"/>
      <c r="HA139" s="590"/>
      <c r="HB139" s="560"/>
      <c r="HC139" s="566"/>
      <c r="HD139" s="566"/>
      <c r="HE139" s="566"/>
      <c r="HF139" s="563"/>
      <c r="HG139" s="564"/>
      <c r="HH139" s="564"/>
      <c r="HI139" s="590"/>
      <c r="HJ139" s="560"/>
      <c r="HK139" s="566"/>
      <c r="HL139" s="566"/>
      <c r="HM139" s="566"/>
      <c r="HN139" s="563"/>
      <c r="HO139" s="564"/>
      <c r="HP139" s="564"/>
      <c r="HQ139" s="590"/>
      <c r="HR139" s="560"/>
      <c r="HS139" s="566"/>
      <c r="HT139" s="566"/>
      <c r="HU139" s="566"/>
    </row>
    <row r="140" spans="2:229" s="506" customFormat="1" ht="83.5" customHeight="1" thickBot="1" x14ac:dyDescent="0.4">
      <c r="B140" s="544">
        <v>137</v>
      </c>
      <c r="C140" s="544" t="s">
        <v>46</v>
      </c>
      <c r="D140" s="545" t="s">
        <v>44</v>
      </c>
      <c r="E140" s="545" t="s">
        <v>622</v>
      </c>
      <c r="F140" s="546" t="s">
        <v>623</v>
      </c>
      <c r="G140" s="545" t="s">
        <v>46</v>
      </c>
      <c r="H140" s="547" t="s">
        <v>624</v>
      </c>
      <c r="I140" s="549" t="s">
        <v>46</v>
      </c>
      <c r="J140" s="549"/>
      <c r="K140" s="549" t="s">
        <v>46</v>
      </c>
      <c r="L140" s="549"/>
      <c r="M140" s="569" t="s">
        <v>625</v>
      </c>
      <c r="N140" s="551">
        <v>0</v>
      </c>
      <c r="O140" s="552">
        <v>3</v>
      </c>
      <c r="P140" s="553">
        <v>45887</v>
      </c>
      <c r="Q140" s="553">
        <v>45888</v>
      </c>
      <c r="R140" s="554" t="s">
        <v>118</v>
      </c>
      <c r="S140" s="555">
        <f ca="1">IF(R140="Aprobado con comentarios / Emitir en Rev_0", NETWORKDAYS(Q140,TODAY(),Hoja1!$C$3:$C$25),0)</f>
        <v>0</v>
      </c>
      <c r="T140" s="555">
        <f ca="1">IF(R140="Revisión INN",NETWORKDAYS(P140,TODAY(),Hoja1!$C$3:$C$25),0)</f>
        <v>0</v>
      </c>
      <c r="U140" s="556">
        <f t="shared" si="4"/>
        <v>1</v>
      </c>
      <c r="V140" s="557">
        <v>0</v>
      </c>
      <c r="W140" s="558">
        <v>1</v>
      </c>
      <c r="X140" s="558"/>
      <c r="Y140" s="559">
        <v>45887</v>
      </c>
      <c r="Z140" s="560">
        <v>3</v>
      </c>
      <c r="AA140" s="561">
        <v>45888</v>
      </c>
      <c r="AB140" s="562"/>
      <c r="AC140" s="561" t="s">
        <v>626</v>
      </c>
      <c r="AD140" s="563"/>
      <c r="AE140" s="567"/>
      <c r="AF140" s="564"/>
      <c r="AG140" s="565"/>
      <c r="AH140" s="560"/>
      <c r="AI140" s="561"/>
      <c r="AJ140" s="562"/>
      <c r="AK140" s="561"/>
      <c r="AL140" s="563"/>
      <c r="AM140" s="567"/>
      <c r="AN140" s="564"/>
      <c r="AO140" s="565"/>
      <c r="AP140" s="560"/>
      <c r="AQ140" s="561"/>
      <c r="AR140" s="562"/>
      <c r="AS140" s="561"/>
      <c r="AT140" s="563"/>
      <c r="AU140" s="567"/>
      <c r="AV140" s="564"/>
      <c r="AW140" s="565"/>
      <c r="AX140" s="560"/>
      <c r="AY140" s="561"/>
      <c r="AZ140" s="562"/>
      <c r="BA140" s="561"/>
      <c r="BB140" s="563"/>
      <c r="BC140" s="567"/>
      <c r="BD140" s="564"/>
      <c r="BE140" s="565"/>
      <c r="BF140" s="560"/>
      <c r="BG140" s="561"/>
      <c r="BH140" s="562"/>
      <c r="BI140" s="561"/>
      <c r="BJ140" s="563"/>
      <c r="BK140" s="567"/>
      <c r="BL140" s="564"/>
      <c r="BM140" s="565"/>
      <c r="BN140" s="560"/>
      <c r="BO140" s="561"/>
      <c r="BP140" s="562"/>
      <c r="BQ140" s="561"/>
      <c r="BR140" s="563"/>
      <c r="BS140" s="567"/>
      <c r="BT140" s="564"/>
      <c r="BU140" s="565"/>
      <c r="BV140" s="560"/>
      <c r="BW140" s="561"/>
      <c r="BX140" s="562"/>
      <c r="BY140" s="561"/>
      <c r="BZ140" s="563"/>
      <c r="CA140" s="567"/>
      <c r="CB140" s="564"/>
      <c r="CC140" s="565"/>
      <c r="CD140" s="560"/>
      <c r="CE140" s="561"/>
      <c r="CF140" s="562"/>
      <c r="CG140" s="561"/>
      <c r="CH140" s="563"/>
      <c r="CI140" s="564"/>
      <c r="CJ140" s="564"/>
      <c r="CK140" s="564"/>
      <c r="CL140" s="560"/>
      <c r="CM140" s="561"/>
      <c r="CN140" s="562"/>
      <c r="CO140" s="561"/>
      <c r="CP140" s="563"/>
      <c r="CQ140" s="564"/>
      <c r="CR140" s="564"/>
      <c r="CS140" s="564"/>
      <c r="CT140" s="560"/>
      <c r="CU140" s="561"/>
      <c r="CV140" s="562"/>
      <c r="CW140" s="561"/>
      <c r="CX140" s="563"/>
      <c r="CY140" s="564"/>
      <c r="CZ140" s="564"/>
      <c r="DA140" s="564"/>
      <c r="DB140" s="560"/>
      <c r="DC140" s="561"/>
      <c r="DD140" s="562"/>
      <c r="DE140" s="561"/>
      <c r="DF140" s="563"/>
      <c r="DG140" s="564"/>
      <c r="DH140" s="564"/>
      <c r="DI140" s="564"/>
      <c r="DJ140" s="560"/>
      <c r="DK140" s="561"/>
      <c r="DL140" s="562"/>
      <c r="DM140" s="561"/>
      <c r="DN140" s="563"/>
      <c r="DO140" s="564"/>
      <c r="DP140" s="564"/>
      <c r="DQ140" s="564"/>
      <c r="DR140" s="560"/>
      <c r="DS140" s="561"/>
      <c r="DT140" s="562"/>
      <c r="DU140" s="561"/>
      <c r="DV140" s="563"/>
      <c r="DW140" s="564"/>
      <c r="DX140" s="564"/>
      <c r="DY140" s="564"/>
      <c r="DZ140" s="560"/>
      <c r="EA140" s="561"/>
      <c r="EB140" s="562"/>
      <c r="EC140" s="561"/>
      <c r="ED140" s="563"/>
      <c r="EE140" s="564"/>
      <c r="EF140" s="564"/>
      <c r="EG140" s="564"/>
      <c r="EH140" s="560"/>
      <c r="EI140" s="561"/>
      <c r="EJ140" s="562"/>
      <c r="EK140" s="561"/>
      <c r="EL140" s="563"/>
      <c r="EM140" s="564"/>
      <c r="EN140" s="564"/>
      <c r="EO140" s="564"/>
      <c r="EP140" s="560"/>
      <c r="EQ140" s="561"/>
      <c r="ER140" s="562"/>
      <c r="ES140" s="561"/>
      <c r="ET140" s="563"/>
      <c r="EU140" s="564"/>
      <c r="EV140" s="564"/>
      <c r="EW140" s="564"/>
      <c r="EX140" s="560"/>
      <c r="EY140" s="561"/>
      <c r="EZ140" s="562"/>
      <c r="FA140" s="561"/>
      <c r="FB140" s="563"/>
      <c r="FC140" s="564"/>
      <c r="FD140" s="564"/>
      <c r="FE140" s="564"/>
      <c r="FF140" s="560"/>
      <c r="FG140" s="561"/>
      <c r="FH140" s="562"/>
      <c r="FI140" s="561"/>
      <c r="FJ140" s="563"/>
      <c r="FK140" s="564"/>
      <c r="FL140" s="564"/>
      <c r="FM140" s="564"/>
      <c r="FN140" s="560"/>
      <c r="FO140" s="561"/>
      <c r="FP140" s="562"/>
      <c r="FQ140" s="561"/>
      <c r="FR140" s="563"/>
      <c r="FS140" s="564"/>
      <c r="FT140" s="564"/>
      <c r="FU140" s="564"/>
      <c r="FV140" s="560"/>
      <c r="FW140" s="566"/>
      <c r="FX140" s="566"/>
      <c r="FY140" s="566"/>
      <c r="FZ140" s="563"/>
      <c r="GA140" s="564"/>
      <c r="GB140" s="564"/>
      <c r="GC140" s="564"/>
      <c r="GD140" s="560"/>
      <c r="GE140" s="566"/>
      <c r="GF140" s="566"/>
      <c r="GG140" s="566"/>
      <c r="GH140" s="563"/>
      <c r="GI140" s="564"/>
      <c r="GJ140" s="564"/>
      <c r="GK140" s="564"/>
      <c r="GL140" s="560"/>
      <c r="GM140" s="566"/>
      <c r="GN140" s="566"/>
      <c r="GO140" s="566"/>
      <c r="GP140" s="563"/>
      <c r="GQ140" s="564"/>
      <c r="GR140" s="564"/>
      <c r="GS140" s="564"/>
      <c r="GT140" s="560"/>
      <c r="GU140" s="566"/>
      <c r="GV140" s="566"/>
      <c r="GW140" s="566"/>
      <c r="GX140" s="563"/>
      <c r="GY140" s="564"/>
      <c r="GZ140" s="564"/>
      <c r="HA140" s="590"/>
      <c r="HB140" s="560"/>
      <c r="HC140" s="566"/>
      <c r="HD140" s="566"/>
      <c r="HE140" s="566"/>
      <c r="HF140" s="563"/>
      <c r="HG140" s="564"/>
      <c r="HH140" s="564"/>
      <c r="HI140" s="590"/>
      <c r="HJ140" s="560"/>
      <c r="HK140" s="566"/>
      <c r="HL140" s="566"/>
      <c r="HM140" s="566"/>
      <c r="HN140" s="563"/>
      <c r="HO140" s="564"/>
      <c r="HP140" s="564"/>
      <c r="HQ140" s="590"/>
      <c r="HR140" s="560"/>
      <c r="HS140" s="566"/>
      <c r="HT140" s="566"/>
      <c r="HU140" s="566"/>
    </row>
    <row r="141" spans="2:229" s="506" customFormat="1" ht="87" customHeight="1" x14ac:dyDescent="0.35">
      <c r="B141" s="544">
        <v>138</v>
      </c>
      <c r="C141" s="544" t="s">
        <v>46</v>
      </c>
      <c r="D141" s="545" t="s">
        <v>44</v>
      </c>
      <c r="E141" s="546" t="s">
        <v>627</v>
      </c>
      <c r="F141" s="546" t="s">
        <v>46</v>
      </c>
      <c r="G141" s="545" t="s">
        <v>46</v>
      </c>
      <c r="H141" s="547" t="s">
        <v>628</v>
      </c>
      <c r="I141" s="548" t="s">
        <v>46</v>
      </c>
      <c r="J141" s="548"/>
      <c r="K141" s="549" t="s">
        <v>46</v>
      </c>
      <c r="L141" s="549" t="s">
        <v>46</v>
      </c>
      <c r="M141" s="569" t="s">
        <v>102</v>
      </c>
      <c r="N141" s="551">
        <v>0</v>
      </c>
      <c r="O141" s="552">
        <v>58</v>
      </c>
      <c r="P141" s="553">
        <v>45959</v>
      </c>
      <c r="Q141" s="553"/>
      <c r="R141" s="554" t="s">
        <v>73</v>
      </c>
      <c r="S141" s="555">
        <f ca="1">IF(R141="Aprobado con comentarios / Emitir Rev_B", NETWORKDAYS(Q141,TODAY(),Hoja1!$C$3:$C$25),0)</f>
        <v>0</v>
      </c>
      <c r="T141" s="555">
        <f ca="1">IF(R141="Revisión INN",NETWORKDAYS(P141,TODAY(),Hoja1!$C$3:$C$25),0)</f>
        <v>0</v>
      </c>
      <c r="U141" s="556">
        <f t="shared" si="4"/>
        <v>1</v>
      </c>
      <c r="V141" s="557">
        <v>0</v>
      </c>
      <c r="W141" s="558">
        <v>58</v>
      </c>
      <c r="X141" s="558"/>
      <c r="Y141" s="559">
        <v>45959</v>
      </c>
      <c r="Z141" s="560"/>
      <c r="AA141" s="561"/>
      <c r="AB141" s="562"/>
      <c r="AC141" s="561"/>
      <c r="AD141" s="563"/>
      <c r="AE141" s="567"/>
      <c r="AF141" s="564"/>
      <c r="AG141" s="565"/>
      <c r="AH141" s="560"/>
      <c r="AI141" s="561"/>
      <c r="AJ141" s="562"/>
      <c r="AK141" s="561"/>
      <c r="AL141" s="563"/>
      <c r="AM141" s="567"/>
      <c r="AN141" s="564"/>
      <c r="AO141" s="565"/>
      <c r="AP141" s="560"/>
      <c r="AQ141" s="561"/>
      <c r="AR141" s="562"/>
      <c r="AS141" s="561"/>
      <c r="AT141" s="563"/>
      <c r="AU141" s="567"/>
      <c r="AV141" s="564"/>
      <c r="AW141" s="565"/>
      <c r="AX141" s="560"/>
      <c r="AY141" s="561"/>
      <c r="AZ141" s="562"/>
      <c r="BA141" s="561"/>
      <c r="BB141" s="563"/>
      <c r="BC141" s="567"/>
      <c r="BD141" s="564"/>
      <c r="BE141" s="565"/>
      <c r="BF141" s="560"/>
      <c r="BG141" s="561"/>
      <c r="BH141" s="562"/>
      <c r="BI141" s="561"/>
      <c r="BJ141" s="563"/>
      <c r="BK141" s="567"/>
      <c r="BL141" s="564"/>
      <c r="BM141" s="565"/>
      <c r="BN141" s="560"/>
      <c r="BO141" s="561"/>
      <c r="BP141" s="562"/>
      <c r="BQ141" s="561"/>
      <c r="BR141" s="563"/>
      <c r="BS141" s="567"/>
      <c r="BT141" s="564"/>
      <c r="BU141" s="565"/>
      <c r="BV141" s="560"/>
      <c r="BW141" s="561"/>
      <c r="BX141" s="562"/>
      <c r="BY141" s="561"/>
      <c r="BZ141" s="563"/>
      <c r="CA141" s="567"/>
      <c r="CB141" s="564"/>
      <c r="CC141" s="565"/>
      <c r="CD141" s="560"/>
      <c r="CE141" s="561"/>
      <c r="CF141" s="562"/>
      <c r="CG141" s="561"/>
      <c r="CH141" s="563"/>
      <c r="CI141" s="564"/>
      <c r="CJ141" s="564"/>
      <c r="CK141" s="564"/>
      <c r="CL141" s="560"/>
      <c r="CM141" s="561"/>
      <c r="CN141" s="562"/>
      <c r="CO141" s="561"/>
      <c r="CP141" s="563"/>
      <c r="CQ141" s="564"/>
      <c r="CR141" s="564"/>
      <c r="CS141" s="564"/>
      <c r="CT141" s="560"/>
      <c r="CU141" s="561"/>
      <c r="CV141" s="562"/>
      <c r="CW141" s="561"/>
      <c r="CX141" s="563"/>
      <c r="CY141" s="564"/>
      <c r="CZ141" s="564"/>
      <c r="DA141" s="564"/>
      <c r="DB141" s="560"/>
      <c r="DC141" s="561"/>
      <c r="DD141" s="562"/>
      <c r="DE141" s="561"/>
      <c r="DF141" s="563"/>
      <c r="DG141" s="564"/>
      <c r="DH141" s="564"/>
      <c r="DI141" s="564"/>
      <c r="DJ141" s="560"/>
      <c r="DK141" s="561"/>
      <c r="DL141" s="562"/>
      <c r="DM141" s="561"/>
      <c r="DN141" s="563"/>
      <c r="DO141" s="564"/>
      <c r="DP141" s="564"/>
      <c r="DQ141" s="564"/>
      <c r="DR141" s="560"/>
      <c r="DS141" s="561"/>
      <c r="DT141" s="562"/>
      <c r="DU141" s="561"/>
      <c r="DV141" s="563"/>
      <c r="DW141" s="564"/>
      <c r="DX141" s="564"/>
      <c r="DY141" s="564"/>
      <c r="DZ141" s="560"/>
      <c r="EA141" s="561"/>
      <c r="EB141" s="562"/>
      <c r="EC141" s="561"/>
      <c r="ED141" s="563"/>
      <c r="EE141" s="564"/>
      <c r="EF141" s="564"/>
      <c r="EG141" s="564"/>
      <c r="EH141" s="560"/>
      <c r="EI141" s="561"/>
      <c r="EJ141" s="562"/>
      <c r="EK141" s="561"/>
      <c r="EL141" s="563"/>
      <c r="EM141" s="564"/>
      <c r="EN141" s="564"/>
      <c r="EO141" s="564"/>
      <c r="EP141" s="560"/>
      <c r="EQ141" s="561"/>
      <c r="ER141" s="562"/>
      <c r="ES141" s="561"/>
      <c r="ET141" s="563"/>
      <c r="EU141" s="564"/>
      <c r="EV141" s="564"/>
      <c r="EW141" s="564"/>
      <c r="EX141" s="560"/>
      <c r="EY141" s="561"/>
      <c r="EZ141" s="562"/>
      <c r="FA141" s="561"/>
      <c r="FB141" s="563"/>
      <c r="FC141" s="564"/>
      <c r="FD141" s="564"/>
      <c r="FE141" s="564"/>
      <c r="FF141" s="560"/>
      <c r="FG141" s="561"/>
      <c r="FH141" s="562"/>
      <c r="FI141" s="561"/>
      <c r="FJ141" s="563"/>
      <c r="FK141" s="564"/>
      <c r="FL141" s="564"/>
      <c r="FM141" s="564"/>
      <c r="FN141" s="560"/>
      <c r="FO141" s="561"/>
      <c r="FP141" s="562"/>
      <c r="FQ141" s="561"/>
      <c r="FR141" s="563"/>
      <c r="FS141" s="564"/>
      <c r="FT141" s="564"/>
      <c r="FU141" s="564"/>
      <c r="FV141" s="560"/>
      <c r="FW141" s="566"/>
      <c r="FX141" s="566"/>
      <c r="FY141" s="566"/>
      <c r="FZ141" s="563"/>
      <c r="GA141" s="564"/>
      <c r="GB141" s="564"/>
      <c r="GC141" s="564"/>
      <c r="GD141" s="560"/>
      <c r="GE141" s="566"/>
      <c r="GF141" s="566"/>
      <c r="GG141" s="566"/>
      <c r="GH141" s="563"/>
      <c r="GI141" s="564"/>
      <c r="GJ141" s="564"/>
      <c r="GK141" s="564"/>
      <c r="GL141" s="560"/>
      <c r="GM141" s="566"/>
      <c r="GN141" s="566"/>
      <c r="GO141" s="566"/>
      <c r="GP141" s="563"/>
      <c r="GQ141" s="564"/>
      <c r="GR141" s="564"/>
      <c r="GS141" s="564"/>
      <c r="GT141" s="560"/>
      <c r="GU141" s="566"/>
      <c r="GV141" s="566"/>
      <c r="GW141" s="566"/>
      <c r="GX141" s="541"/>
      <c r="GY141" s="535"/>
      <c r="GZ141" s="542"/>
      <c r="HA141" s="543"/>
      <c r="HB141" s="541"/>
      <c r="HC141" s="535"/>
      <c r="HD141" s="542"/>
      <c r="HE141" s="543"/>
      <c r="HF141" s="541"/>
      <c r="HG141" s="535"/>
      <c r="HH141" s="542"/>
      <c r="HI141" s="543"/>
      <c r="HJ141" s="541"/>
      <c r="HK141" s="535"/>
      <c r="HL141" s="542"/>
      <c r="HM141" s="543"/>
      <c r="HN141" s="541"/>
      <c r="HO141" s="535"/>
      <c r="HP141" s="542"/>
      <c r="HQ141" s="543"/>
      <c r="HR141" s="541"/>
      <c r="HS141" s="535"/>
      <c r="HT141" s="542"/>
      <c r="HU141" s="543"/>
    </row>
    <row r="142" spans="2:229" s="506" customFormat="1" ht="56.5" customHeight="1" x14ac:dyDescent="0.35">
      <c r="B142" s="544">
        <v>139</v>
      </c>
      <c r="C142" s="544" t="s">
        <v>46</v>
      </c>
      <c r="D142" s="545" t="s">
        <v>44</v>
      </c>
      <c r="E142" s="546" t="s">
        <v>629</v>
      </c>
      <c r="F142" s="546" t="s">
        <v>46</v>
      </c>
      <c r="G142" s="545" t="s">
        <v>46</v>
      </c>
      <c r="H142" s="547" t="s">
        <v>630</v>
      </c>
      <c r="I142" s="548" t="s">
        <v>46</v>
      </c>
      <c r="J142" s="548"/>
      <c r="K142" s="549" t="s">
        <v>46</v>
      </c>
      <c r="L142" s="549" t="s">
        <v>46</v>
      </c>
      <c r="M142" s="569" t="s">
        <v>102</v>
      </c>
      <c r="N142" s="551">
        <v>0</v>
      </c>
      <c r="O142" s="552">
        <v>58</v>
      </c>
      <c r="P142" s="553">
        <v>45959</v>
      </c>
      <c r="Q142" s="553"/>
      <c r="R142" s="554" t="s">
        <v>73</v>
      </c>
      <c r="S142" s="555">
        <f ca="1">IF(R142="Aprobado con comentarios / Emitir Rev_B", NETWORKDAYS(Q142,TODAY(),Hoja1!$C$3:$C$25),0)</f>
        <v>0</v>
      </c>
      <c r="T142" s="555">
        <f ca="1">IF(R142="Revisión INN",NETWORKDAYS(P142,TODAY(),Hoja1!$C$3:$C$25),0)</f>
        <v>0</v>
      </c>
      <c r="U142" s="556">
        <f t="shared" si="4"/>
        <v>1</v>
      </c>
      <c r="V142" s="557">
        <v>0</v>
      </c>
      <c r="W142" s="558">
        <v>58</v>
      </c>
      <c r="X142" s="558"/>
      <c r="Y142" s="559">
        <v>45959</v>
      </c>
      <c r="Z142" s="560"/>
      <c r="AA142" s="561"/>
      <c r="AB142" s="562"/>
      <c r="AC142" s="561"/>
      <c r="AD142" s="563"/>
      <c r="AE142" s="567"/>
      <c r="AF142" s="564"/>
      <c r="AG142" s="565"/>
      <c r="AH142" s="560"/>
      <c r="AI142" s="561"/>
      <c r="AJ142" s="562"/>
      <c r="AK142" s="561"/>
      <c r="AL142" s="563"/>
      <c r="AM142" s="567"/>
      <c r="AN142" s="564"/>
      <c r="AO142" s="565"/>
      <c r="AP142" s="560"/>
      <c r="AQ142" s="561"/>
      <c r="AR142" s="562"/>
      <c r="AS142" s="561"/>
      <c r="AT142" s="563"/>
      <c r="AU142" s="567"/>
      <c r="AV142" s="564"/>
      <c r="AW142" s="565"/>
      <c r="AX142" s="560"/>
      <c r="AY142" s="561"/>
      <c r="AZ142" s="562"/>
      <c r="BA142" s="561"/>
      <c r="BB142" s="563"/>
      <c r="BC142" s="567"/>
      <c r="BD142" s="564"/>
      <c r="BE142" s="565"/>
      <c r="BF142" s="560"/>
      <c r="BG142" s="561"/>
      <c r="BH142" s="562"/>
      <c r="BI142" s="561"/>
      <c r="BJ142" s="563"/>
      <c r="BK142" s="567"/>
      <c r="BL142" s="564"/>
      <c r="BM142" s="565"/>
      <c r="BN142" s="560"/>
      <c r="BO142" s="561"/>
      <c r="BP142" s="562"/>
      <c r="BQ142" s="561"/>
      <c r="BR142" s="563"/>
      <c r="BS142" s="567"/>
      <c r="BT142" s="564"/>
      <c r="BU142" s="565"/>
      <c r="BV142" s="560"/>
      <c r="BW142" s="561"/>
      <c r="BX142" s="562"/>
      <c r="BY142" s="561"/>
      <c r="BZ142" s="563"/>
      <c r="CA142" s="567"/>
      <c r="CB142" s="564"/>
      <c r="CC142" s="565"/>
      <c r="CD142" s="560"/>
      <c r="CE142" s="561"/>
      <c r="CF142" s="562"/>
      <c r="CG142" s="561"/>
      <c r="CH142" s="563"/>
      <c r="CI142" s="564"/>
      <c r="CJ142" s="564"/>
      <c r="CK142" s="564"/>
      <c r="CL142" s="560"/>
      <c r="CM142" s="561"/>
      <c r="CN142" s="562"/>
      <c r="CO142" s="561"/>
      <c r="CP142" s="563"/>
      <c r="CQ142" s="564"/>
      <c r="CR142" s="564"/>
      <c r="CS142" s="564"/>
      <c r="CT142" s="560"/>
      <c r="CU142" s="561"/>
      <c r="CV142" s="562"/>
      <c r="CW142" s="561"/>
      <c r="CX142" s="563"/>
      <c r="CY142" s="564"/>
      <c r="CZ142" s="564"/>
      <c r="DA142" s="564"/>
      <c r="DB142" s="560"/>
      <c r="DC142" s="561"/>
      <c r="DD142" s="562"/>
      <c r="DE142" s="561"/>
      <c r="DF142" s="563"/>
      <c r="DG142" s="564"/>
      <c r="DH142" s="564"/>
      <c r="DI142" s="564"/>
      <c r="DJ142" s="560"/>
      <c r="DK142" s="561"/>
      <c r="DL142" s="562"/>
      <c r="DM142" s="561"/>
      <c r="DN142" s="563"/>
      <c r="DO142" s="564"/>
      <c r="DP142" s="564"/>
      <c r="DQ142" s="564"/>
      <c r="DR142" s="560"/>
      <c r="DS142" s="561"/>
      <c r="DT142" s="562"/>
      <c r="DU142" s="561"/>
      <c r="DV142" s="563"/>
      <c r="DW142" s="564"/>
      <c r="DX142" s="564"/>
      <c r="DY142" s="564"/>
      <c r="DZ142" s="560"/>
      <c r="EA142" s="561"/>
      <c r="EB142" s="562"/>
      <c r="EC142" s="561"/>
      <c r="ED142" s="563"/>
      <c r="EE142" s="564"/>
      <c r="EF142" s="564"/>
      <c r="EG142" s="564"/>
      <c r="EH142" s="560"/>
      <c r="EI142" s="561"/>
      <c r="EJ142" s="562"/>
      <c r="EK142" s="561"/>
      <c r="EL142" s="563"/>
      <c r="EM142" s="564"/>
      <c r="EN142" s="564"/>
      <c r="EO142" s="564"/>
      <c r="EP142" s="560"/>
      <c r="EQ142" s="561"/>
      <c r="ER142" s="562"/>
      <c r="ES142" s="561"/>
      <c r="ET142" s="563"/>
      <c r="EU142" s="564"/>
      <c r="EV142" s="564"/>
      <c r="EW142" s="564"/>
      <c r="EX142" s="560"/>
      <c r="EY142" s="561"/>
      <c r="EZ142" s="562"/>
      <c r="FA142" s="561"/>
      <c r="FB142" s="563"/>
      <c r="FC142" s="564"/>
      <c r="FD142" s="564"/>
      <c r="FE142" s="564"/>
      <c r="FF142" s="560"/>
      <c r="FG142" s="561"/>
      <c r="FH142" s="562"/>
      <c r="FI142" s="561"/>
      <c r="FJ142" s="563"/>
      <c r="FK142" s="564"/>
      <c r="FL142" s="564"/>
      <c r="FM142" s="564"/>
      <c r="FN142" s="560"/>
      <c r="FO142" s="561"/>
      <c r="FP142" s="562"/>
      <c r="FQ142" s="561"/>
      <c r="FR142" s="563"/>
      <c r="FS142" s="564"/>
      <c r="FT142" s="564"/>
      <c r="FU142" s="564"/>
      <c r="FV142" s="560"/>
      <c r="FW142" s="566"/>
      <c r="FX142" s="566"/>
      <c r="FY142" s="566"/>
      <c r="FZ142" s="563"/>
      <c r="GA142" s="564"/>
      <c r="GB142" s="564"/>
      <c r="GC142" s="564"/>
      <c r="GD142" s="560"/>
      <c r="GE142" s="566"/>
      <c r="GF142" s="566"/>
      <c r="GG142" s="566"/>
      <c r="GH142" s="563"/>
      <c r="GI142" s="564"/>
      <c r="GJ142" s="564"/>
      <c r="GK142" s="564"/>
      <c r="GL142" s="560"/>
      <c r="GM142" s="566"/>
      <c r="GN142" s="566"/>
      <c r="GO142" s="566"/>
      <c r="GP142" s="563"/>
      <c r="GQ142" s="564"/>
      <c r="GR142" s="564"/>
      <c r="GS142" s="564"/>
      <c r="GT142" s="560"/>
      <c r="GU142" s="566"/>
      <c r="GV142" s="566"/>
      <c r="GW142" s="566"/>
      <c r="GX142" s="563"/>
      <c r="GY142" s="564"/>
      <c r="GZ142" s="564"/>
      <c r="HA142" s="590"/>
      <c r="HB142" s="560"/>
      <c r="HC142" s="566"/>
      <c r="HD142" s="566"/>
      <c r="HE142" s="566"/>
      <c r="HF142" s="563"/>
      <c r="HG142" s="564"/>
      <c r="HH142" s="564"/>
      <c r="HI142" s="590"/>
      <c r="HJ142" s="560"/>
      <c r="HK142" s="566"/>
      <c r="HL142" s="566"/>
      <c r="HM142" s="566"/>
      <c r="HN142" s="563"/>
      <c r="HO142" s="564"/>
      <c r="HP142" s="564"/>
      <c r="HQ142" s="590"/>
      <c r="HR142" s="560"/>
      <c r="HS142" s="566"/>
      <c r="HT142" s="566"/>
      <c r="HU142" s="566"/>
    </row>
    <row r="143" spans="2:229" s="506" customFormat="1" ht="83.5" customHeight="1" x14ac:dyDescent="0.35">
      <c r="B143" s="544">
        <v>140</v>
      </c>
      <c r="C143" s="544" t="s">
        <v>46</v>
      </c>
      <c r="D143" s="545" t="s">
        <v>44</v>
      </c>
      <c r="E143" s="546" t="s">
        <v>631</v>
      </c>
      <c r="F143" s="546" t="s">
        <v>46</v>
      </c>
      <c r="G143" s="545" t="s">
        <v>46</v>
      </c>
      <c r="H143" s="547" t="s">
        <v>632</v>
      </c>
      <c r="I143" s="548" t="s">
        <v>46</v>
      </c>
      <c r="J143" s="548"/>
      <c r="K143" s="549" t="s">
        <v>46</v>
      </c>
      <c r="L143" s="549" t="s">
        <v>46</v>
      </c>
      <c r="M143" s="569" t="s">
        <v>102</v>
      </c>
      <c r="N143" s="551">
        <v>0</v>
      </c>
      <c r="O143" s="552">
        <v>67</v>
      </c>
      <c r="P143" s="553">
        <v>45971</v>
      </c>
      <c r="Q143" s="553"/>
      <c r="R143" s="554" t="s">
        <v>49</v>
      </c>
      <c r="S143" s="555">
        <f ca="1">IF(R143="Aprobado con comentarios / Emitir Rev_B", NETWORKDAYS(Q143,TODAY(),Hoja1!$C$3:$C$25),0)</f>
        <v>0</v>
      </c>
      <c r="T143" s="555">
        <f ca="1">IF(R143="Revisión INN",NETWORKDAYS(P143,TODAY(),Hoja1!$C$3:$C$25),0)</f>
        <v>0</v>
      </c>
      <c r="U143" s="556">
        <f t="shared" si="4"/>
        <v>1</v>
      </c>
      <c r="V143" s="557">
        <v>0</v>
      </c>
      <c r="W143" s="558">
        <v>67</v>
      </c>
      <c r="X143" s="558"/>
      <c r="Y143" s="559">
        <v>45971</v>
      </c>
      <c r="Z143" s="560"/>
      <c r="AA143" s="561"/>
      <c r="AB143" s="562"/>
      <c r="AC143" s="561"/>
      <c r="AD143" s="563"/>
      <c r="AE143" s="567"/>
      <c r="AF143" s="564"/>
      <c r="AG143" s="565"/>
      <c r="AH143" s="560"/>
      <c r="AI143" s="561"/>
      <c r="AJ143" s="562"/>
      <c r="AK143" s="561"/>
      <c r="AL143" s="563"/>
      <c r="AM143" s="567"/>
      <c r="AN143" s="564"/>
      <c r="AO143" s="565"/>
      <c r="AP143" s="560"/>
      <c r="AQ143" s="561"/>
      <c r="AR143" s="562"/>
      <c r="AS143" s="561"/>
      <c r="AT143" s="563"/>
      <c r="AU143" s="567"/>
      <c r="AV143" s="564"/>
      <c r="AW143" s="565"/>
      <c r="AX143" s="560"/>
      <c r="AY143" s="561"/>
      <c r="AZ143" s="562"/>
      <c r="BA143" s="561"/>
      <c r="BB143" s="563"/>
      <c r="BC143" s="567"/>
      <c r="BD143" s="564"/>
      <c r="BE143" s="565"/>
      <c r="BF143" s="560"/>
      <c r="BG143" s="561"/>
      <c r="BH143" s="562"/>
      <c r="BI143" s="561"/>
      <c r="BJ143" s="563"/>
      <c r="BK143" s="567"/>
      <c r="BL143" s="564"/>
      <c r="BM143" s="565"/>
      <c r="BN143" s="560"/>
      <c r="BO143" s="561"/>
      <c r="BP143" s="562"/>
      <c r="BQ143" s="561"/>
      <c r="BR143" s="563"/>
      <c r="BS143" s="567"/>
      <c r="BT143" s="564"/>
      <c r="BU143" s="565"/>
      <c r="BV143" s="560"/>
      <c r="BW143" s="561"/>
      <c r="BX143" s="562"/>
      <c r="BY143" s="561"/>
      <c r="BZ143" s="563"/>
      <c r="CA143" s="567"/>
      <c r="CB143" s="564"/>
      <c r="CC143" s="565"/>
      <c r="CD143" s="560"/>
      <c r="CE143" s="561"/>
      <c r="CF143" s="562"/>
      <c r="CG143" s="561"/>
      <c r="CH143" s="563"/>
      <c r="CI143" s="564"/>
      <c r="CJ143" s="564"/>
      <c r="CK143" s="564"/>
      <c r="CL143" s="560"/>
      <c r="CM143" s="561"/>
      <c r="CN143" s="562"/>
      <c r="CO143" s="561"/>
      <c r="CP143" s="563"/>
      <c r="CQ143" s="564"/>
      <c r="CR143" s="564"/>
      <c r="CS143" s="564"/>
      <c r="CT143" s="560"/>
      <c r="CU143" s="561"/>
      <c r="CV143" s="562"/>
      <c r="CW143" s="561"/>
      <c r="CX143" s="563"/>
      <c r="CY143" s="564"/>
      <c r="CZ143" s="564"/>
      <c r="DA143" s="564"/>
      <c r="DB143" s="560"/>
      <c r="DC143" s="561"/>
      <c r="DD143" s="562"/>
      <c r="DE143" s="561"/>
      <c r="DF143" s="563"/>
      <c r="DG143" s="564"/>
      <c r="DH143" s="564"/>
      <c r="DI143" s="564"/>
      <c r="DJ143" s="560"/>
      <c r="DK143" s="561"/>
      <c r="DL143" s="562"/>
      <c r="DM143" s="561"/>
      <c r="DN143" s="563"/>
      <c r="DO143" s="564"/>
      <c r="DP143" s="564"/>
      <c r="DQ143" s="564"/>
      <c r="DR143" s="560"/>
      <c r="DS143" s="561"/>
      <c r="DT143" s="562"/>
      <c r="DU143" s="561"/>
      <c r="DV143" s="563"/>
      <c r="DW143" s="564"/>
      <c r="DX143" s="564"/>
      <c r="DY143" s="564"/>
      <c r="DZ143" s="560"/>
      <c r="EA143" s="561"/>
      <c r="EB143" s="562"/>
      <c r="EC143" s="561"/>
      <c r="ED143" s="563"/>
      <c r="EE143" s="564"/>
      <c r="EF143" s="564"/>
      <c r="EG143" s="564"/>
      <c r="EH143" s="560"/>
      <c r="EI143" s="561"/>
      <c r="EJ143" s="562"/>
      <c r="EK143" s="561"/>
      <c r="EL143" s="563"/>
      <c r="EM143" s="564"/>
      <c r="EN143" s="564"/>
      <c r="EO143" s="564"/>
      <c r="EP143" s="560"/>
      <c r="EQ143" s="561"/>
      <c r="ER143" s="562"/>
      <c r="ES143" s="561"/>
      <c r="ET143" s="563"/>
      <c r="EU143" s="564"/>
      <c r="EV143" s="564"/>
      <c r="EW143" s="564"/>
      <c r="EX143" s="560"/>
      <c r="EY143" s="561"/>
      <c r="EZ143" s="562"/>
      <c r="FA143" s="561"/>
      <c r="FB143" s="563"/>
      <c r="FC143" s="564"/>
      <c r="FD143" s="564"/>
      <c r="FE143" s="564"/>
      <c r="FF143" s="560"/>
      <c r="FG143" s="561"/>
      <c r="FH143" s="562"/>
      <c r="FI143" s="561"/>
      <c r="FJ143" s="563"/>
      <c r="FK143" s="564"/>
      <c r="FL143" s="564"/>
      <c r="FM143" s="564"/>
      <c r="FN143" s="560"/>
      <c r="FO143" s="561"/>
      <c r="FP143" s="562"/>
      <c r="FQ143" s="561"/>
      <c r="FR143" s="563"/>
      <c r="FS143" s="564"/>
      <c r="FT143" s="564"/>
      <c r="FU143" s="564"/>
      <c r="FV143" s="560"/>
      <c r="FW143" s="566"/>
      <c r="FX143" s="566"/>
      <c r="FY143" s="566"/>
      <c r="FZ143" s="563"/>
      <c r="GA143" s="564"/>
      <c r="GB143" s="564"/>
      <c r="GC143" s="564"/>
      <c r="GD143" s="560"/>
      <c r="GE143" s="566"/>
      <c r="GF143" s="566"/>
      <c r="GG143" s="566"/>
      <c r="GH143" s="563"/>
      <c r="GI143" s="564"/>
      <c r="GJ143" s="564"/>
      <c r="GK143" s="564"/>
      <c r="GL143" s="560"/>
      <c r="GM143" s="566"/>
      <c r="GN143" s="566"/>
      <c r="GO143" s="566"/>
      <c r="GP143" s="563"/>
      <c r="GQ143" s="564"/>
      <c r="GR143" s="564"/>
      <c r="GS143" s="564"/>
      <c r="GT143" s="560"/>
      <c r="GU143" s="566"/>
      <c r="GV143" s="566"/>
      <c r="GW143" s="566"/>
      <c r="GX143" s="563"/>
      <c r="GY143" s="564"/>
      <c r="GZ143" s="564"/>
      <c r="HA143" s="590"/>
      <c r="HB143" s="560"/>
      <c r="HC143" s="566"/>
      <c r="HD143" s="566"/>
      <c r="HE143" s="566"/>
      <c r="HF143" s="563"/>
      <c r="HG143" s="564"/>
      <c r="HH143" s="564"/>
      <c r="HI143" s="590"/>
      <c r="HJ143" s="560"/>
      <c r="HK143" s="566"/>
      <c r="HL143" s="566"/>
      <c r="HM143" s="566"/>
      <c r="HN143" s="563"/>
      <c r="HO143" s="564"/>
      <c r="HP143" s="564"/>
      <c r="HQ143" s="590"/>
      <c r="HR143" s="560"/>
      <c r="HS143" s="566"/>
      <c r="HT143" s="566"/>
      <c r="HU143" s="566"/>
    </row>
    <row r="144" spans="2:229" s="506" customFormat="1" ht="87" customHeight="1" thickBot="1" x14ac:dyDescent="0.4">
      <c r="B144" s="544">
        <v>141</v>
      </c>
      <c r="C144" s="544"/>
      <c r="D144" s="545" t="s">
        <v>44</v>
      </c>
      <c r="E144" s="546" t="s">
        <v>633</v>
      </c>
      <c r="F144" s="546" t="s">
        <v>46</v>
      </c>
      <c r="G144" s="545" t="s">
        <v>46</v>
      </c>
      <c r="H144" s="547" t="s">
        <v>634</v>
      </c>
      <c r="I144" s="548" t="s">
        <v>46</v>
      </c>
      <c r="J144" s="548"/>
      <c r="K144" s="549" t="s">
        <v>46</v>
      </c>
      <c r="L144" s="549" t="s">
        <v>46</v>
      </c>
      <c r="M144" s="569" t="s">
        <v>102</v>
      </c>
      <c r="N144" s="551">
        <v>0</v>
      </c>
      <c r="O144" s="552">
        <v>74</v>
      </c>
      <c r="P144" s="553">
        <v>45979</v>
      </c>
      <c r="Q144" s="553"/>
      <c r="R144" s="554" t="s">
        <v>73</v>
      </c>
      <c r="S144" s="555">
        <f ca="1">IF(R144="Aprobado con comentarios / Emitir Rev_B", NETWORKDAYS(Q144,TODAY(),Hoja1!$C$3:$C$25),0)</f>
        <v>0</v>
      </c>
      <c r="T144" s="555">
        <f ca="1">IF(R144="Revisión INN",NETWORKDAYS(P144,TODAY(),Hoja1!$C$3:$C$25),0)</f>
        <v>0</v>
      </c>
      <c r="U144" s="556">
        <f t="shared" si="4"/>
        <v>1</v>
      </c>
      <c r="V144" s="557">
        <v>0</v>
      </c>
      <c r="W144" s="558">
        <v>74</v>
      </c>
      <c r="X144" s="558"/>
      <c r="Y144" s="559">
        <v>45979</v>
      </c>
      <c r="Z144" s="560"/>
      <c r="AA144" s="561"/>
      <c r="AB144" s="562"/>
      <c r="AC144" s="561"/>
      <c r="AD144" s="563"/>
      <c r="AE144" s="567"/>
      <c r="AF144" s="564"/>
      <c r="AG144" s="565"/>
      <c r="AH144" s="560"/>
      <c r="AI144" s="561"/>
      <c r="AJ144" s="562"/>
      <c r="AK144" s="561"/>
      <c r="AL144" s="563"/>
      <c r="AM144" s="567"/>
      <c r="AN144" s="564"/>
      <c r="AO144" s="565"/>
      <c r="AP144" s="560"/>
      <c r="AQ144" s="561"/>
      <c r="AR144" s="562"/>
      <c r="AS144" s="561"/>
      <c r="AT144" s="563"/>
      <c r="AU144" s="567"/>
      <c r="AV144" s="564"/>
      <c r="AW144" s="565"/>
      <c r="AX144" s="560"/>
      <c r="AY144" s="561"/>
      <c r="AZ144" s="562"/>
      <c r="BA144" s="561"/>
      <c r="BB144" s="563"/>
      <c r="BC144" s="567"/>
      <c r="BD144" s="564"/>
      <c r="BE144" s="565"/>
      <c r="BF144" s="560"/>
      <c r="BG144" s="561"/>
      <c r="BH144" s="562"/>
      <c r="BI144" s="561"/>
      <c r="BJ144" s="563"/>
      <c r="BK144" s="567"/>
      <c r="BL144" s="564"/>
      <c r="BM144" s="565"/>
      <c r="BN144" s="560"/>
      <c r="BO144" s="561"/>
      <c r="BP144" s="562"/>
      <c r="BQ144" s="561"/>
      <c r="BR144" s="563"/>
      <c r="BS144" s="567"/>
      <c r="BT144" s="564"/>
      <c r="BU144" s="565"/>
      <c r="BV144" s="560"/>
      <c r="BW144" s="561"/>
      <c r="BX144" s="562"/>
      <c r="BY144" s="561"/>
      <c r="BZ144" s="563"/>
      <c r="CA144" s="567"/>
      <c r="CB144" s="564"/>
      <c r="CC144" s="565"/>
      <c r="CD144" s="560"/>
      <c r="CE144" s="561"/>
      <c r="CF144" s="562"/>
      <c r="CG144" s="561"/>
      <c r="CH144" s="563"/>
      <c r="CI144" s="564"/>
      <c r="CJ144" s="564"/>
      <c r="CK144" s="564"/>
      <c r="CL144" s="560"/>
      <c r="CM144" s="561"/>
      <c r="CN144" s="562"/>
      <c r="CO144" s="561"/>
      <c r="CP144" s="563"/>
      <c r="CQ144" s="564"/>
      <c r="CR144" s="564"/>
      <c r="CS144" s="564"/>
      <c r="CT144" s="560"/>
      <c r="CU144" s="561"/>
      <c r="CV144" s="562"/>
      <c r="CW144" s="561"/>
      <c r="CX144" s="563"/>
      <c r="CY144" s="564"/>
      <c r="CZ144" s="564"/>
      <c r="DA144" s="564"/>
      <c r="DB144" s="560"/>
      <c r="DC144" s="561"/>
      <c r="DD144" s="562"/>
      <c r="DE144" s="561"/>
      <c r="DF144" s="563"/>
      <c r="DG144" s="564"/>
      <c r="DH144" s="564"/>
      <c r="DI144" s="564"/>
      <c r="DJ144" s="560"/>
      <c r="DK144" s="561"/>
      <c r="DL144" s="562"/>
      <c r="DM144" s="561"/>
      <c r="DN144" s="563"/>
      <c r="DO144" s="564"/>
      <c r="DP144" s="564"/>
      <c r="DQ144" s="564"/>
      <c r="DR144" s="560"/>
      <c r="DS144" s="561"/>
      <c r="DT144" s="562"/>
      <c r="DU144" s="561"/>
      <c r="DV144" s="563"/>
      <c r="DW144" s="564"/>
      <c r="DX144" s="564"/>
      <c r="DY144" s="564"/>
      <c r="DZ144" s="560"/>
      <c r="EA144" s="561"/>
      <c r="EB144" s="562"/>
      <c r="EC144" s="561"/>
      <c r="ED144" s="563"/>
      <c r="EE144" s="564"/>
      <c r="EF144" s="564"/>
      <c r="EG144" s="564"/>
      <c r="EH144" s="560"/>
      <c r="EI144" s="561"/>
      <c r="EJ144" s="562"/>
      <c r="EK144" s="561"/>
      <c r="EL144" s="563"/>
      <c r="EM144" s="564"/>
      <c r="EN144" s="564"/>
      <c r="EO144" s="564"/>
      <c r="EP144" s="560"/>
      <c r="EQ144" s="561"/>
      <c r="ER144" s="562"/>
      <c r="ES144" s="561"/>
      <c r="ET144" s="563"/>
      <c r="EU144" s="564"/>
      <c r="EV144" s="564"/>
      <c r="EW144" s="564"/>
      <c r="EX144" s="560"/>
      <c r="EY144" s="561"/>
      <c r="EZ144" s="562"/>
      <c r="FA144" s="561"/>
      <c r="FB144" s="563"/>
      <c r="FC144" s="564"/>
      <c r="FD144" s="564"/>
      <c r="FE144" s="564"/>
      <c r="FF144" s="560"/>
      <c r="FG144" s="561"/>
      <c r="FH144" s="562"/>
      <c r="FI144" s="561"/>
      <c r="FJ144" s="563"/>
      <c r="FK144" s="564"/>
      <c r="FL144" s="564"/>
      <c r="FM144" s="564"/>
      <c r="FN144" s="560"/>
      <c r="FO144" s="561"/>
      <c r="FP144" s="562"/>
      <c r="FQ144" s="561"/>
      <c r="FR144" s="563"/>
      <c r="FS144" s="564"/>
      <c r="FT144" s="564"/>
      <c r="FU144" s="564"/>
      <c r="FV144" s="560"/>
      <c r="FW144" s="566"/>
      <c r="FX144" s="566"/>
      <c r="FY144" s="566"/>
      <c r="FZ144" s="563"/>
      <c r="GA144" s="564"/>
      <c r="GB144" s="564"/>
      <c r="GC144" s="564"/>
      <c r="GD144" s="560"/>
      <c r="GE144" s="566"/>
      <c r="GF144" s="566"/>
      <c r="GG144" s="566"/>
      <c r="GH144" s="563"/>
      <c r="GI144" s="564"/>
      <c r="GJ144" s="564"/>
      <c r="GK144" s="564"/>
      <c r="GL144" s="560"/>
      <c r="GM144" s="566"/>
      <c r="GN144" s="566"/>
      <c r="GO144" s="566"/>
      <c r="GP144" s="563"/>
      <c r="GQ144" s="564"/>
      <c r="GR144" s="564"/>
      <c r="GS144" s="564"/>
      <c r="GT144" s="560"/>
      <c r="GU144" s="566"/>
      <c r="GV144" s="566"/>
      <c r="GW144" s="566"/>
      <c r="GX144" s="563"/>
      <c r="GY144" s="564"/>
      <c r="GZ144" s="564"/>
      <c r="HA144" s="590"/>
      <c r="HB144" s="560"/>
      <c r="HC144" s="566"/>
      <c r="HD144" s="566"/>
      <c r="HE144" s="566"/>
      <c r="HF144" s="563"/>
      <c r="HG144" s="564"/>
      <c r="HH144" s="564"/>
      <c r="HI144" s="590"/>
      <c r="HJ144" s="560"/>
      <c r="HK144" s="566"/>
      <c r="HL144" s="566"/>
      <c r="HM144" s="566"/>
      <c r="HN144" s="563"/>
      <c r="HO144" s="564"/>
      <c r="HP144" s="564"/>
      <c r="HQ144" s="590"/>
      <c r="HR144" s="560"/>
      <c r="HS144" s="566"/>
      <c r="HT144" s="566"/>
      <c r="HU144" s="566"/>
    </row>
    <row r="145" spans="2:229" s="506" customFormat="1" ht="87" customHeight="1" x14ac:dyDescent="0.35">
      <c r="B145" s="544">
        <v>142</v>
      </c>
      <c r="C145" s="544"/>
      <c r="D145" s="545" t="s">
        <v>44</v>
      </c>
      <c r="E145" s="546" t="s">
        <v>635</v>
      </c>
      <c r="F145" s="546" t="s">
        <v>46</v>
      </c>
      <c r="G145" s="545" t="s">
        <v>46</v>
      </c>
      <c r="H145" s="547" t="s">
        <v>636</v>
      </c>
      <c r="I145" s="548"/>
      <c r="J145" s="548"/>
      <c r="K145" s="549"/>
      <c r="L145" s="549"/>
      <c r="M145" s="569" t="s">
        <v>102</v>
      </c>
      <c r="N145" s="551">
        <v>0</v>
      </c>
      <c r="O145" s="552">
        <v>81</v>
      </c>
      <c r="P145" s="553">
        <v>45985</v>
      </c>
      <c r="Q145" s="553"/>
      <c r="R145" s="554" t="s">
        <v>73</v>
      </c>
      <c r="S145" s="555">
        <f ca="1">IF(R145="Aprobado con comentarios / Emitir Rev_B", NETWORKDAYS(Q145,TODAY(),Hoja1!$C$3:$C$25),0)</f>
        <v>0</v>
      </c>
      <c r="T145" s="555">
        <f ca="1">IF(R145="Revisión INN",NETWORKDAYS(P145,TODAY(),Hoja1!$C$3:$C$25),0)</f>
        <v>0</v>
      </c>
      <c r="U145" s="556">
        <f t="shared" si="4"/>
        <v>1</v>
      </c>
      <c r="V145" s="557">
        <v>0</v>
      </c>
      <c r="W145" s="558">
        <v>81</v>
      </c>
      <c r="X145" s="558"/>
      <c r="Y145" s="559">
        <v>45985</v>
      </c>
      <c r="Z145" s="560"/>
      <c r="AA145" s="561"/>
      <c r="AB145" s="562"/>
      <c r="AC145" s="561"/>
      <c r="AD145" s="563"/>
      <c r="AE145" s="567"/>
      <c r="AF145" s="564"/>
      <c r="AG145" s="565"/>
      <c r="AH145" s="560"/>
      <c r="AI145" s="561"/>
      <c r="AJ145" s="562"/>
      <c r="AK145" s="561"/>
      <c r="AL145" s="563"/>
      <c r="AM145" s="567"/>
      <c r="AN145" s="564"/>
      <c r="AO145" s="565"/>
      <c r="AP145" s="560"/>
      <c r="AQ145" s="561"/>
      <c r="AR145" s="562"/>
      <c r="AS145" s="561"/>
      <c r="AT145" s="563"/>
      <c r="AU145" s="567"/>
      <c r="AV145" s="564"/>
      <c r="AW145" s="565"/>
      <c r="AX145" s="560"/>
      <c r="AY145" s="561"/>
      <c r="AZ145" s="562"/>
      <c r="BA145" s="561"/>
      <c r="BB145" s="563"/>
      <c r="BC145" s="567"/>
      <c r="BD145" s="564"/>
      <c r="BE145" s="565"/>
      <c r="BF145" s="560"/>
      <c r="BG145" s="561"/>
      <c r="BH145" s="562"/>
      <c r="BI145" s="561"/>
      <c r="BJ145" s="563"/>
      <c r="BK145" s="567"/>
      <c r="BL145" s="564"/>
      <c r="BM145" s="565"/>
      <c r="BN145" s="560"/>
      <c r="BO145" s="561"/>
      <c r="BP145" s="562"/>
      <c r="BQ145" s="561"/>
      <c r="BR145" s="563"/>
      <c r="BS145" s="567"/>
      <c r="BT145" s="564"/>
      <c r="BU145" s="565"/>
      <c r="BV145" s="560"/>
      <c r="BW145" s="561"/>
      <c r="BX145" s="562"/>
      <c r="BY145" s="561"/>
      <c r="BZ145" s="563"/>
      <c r="CA145" s="567"/>
      <c r="CB145" s="564"/>
      <c r="CC145" s="565"/>
      <c r="CD145" s="560"/>
      <c r="CE145" s="561"/>
      <c r="CF145" s="562"/>
      <c r="CG145" s="561"/>
      <c r="CH145" s="563"/>
      <c r="CI145" s="564"/>
      <c r="CJ145" s="564"/>
      <c r="CK145" s="564"/>
      <c r="CL145" s="560"/>
      <c r="CM145" s="561"/>
      <c r="CN145" s="562"/>
      <c r="CO145" s="561"/>
      <c r="CP145" s="563"/>
      <c r="CQ145" s="564"/>
      <c r="CR145" s="564"/>
      <c r="CS145" s="564"/>
      <c r="CT145" s="560"/>
      <c r="CU145" s="561"/>
      <c r="CV145" s="562"/>
      <c r="CW145" s="561"/>
      <c r="CX145" s="563"/>
      <c r="CY145" s="564"/>
      <c r="CZ145" s="564"/>
      <c r="DA145" s="564"/>
      <c r="DB145" s="560"/>
      <c r="DC145" s="561"/>
      <c r="DD145" s="562"/>
      <c r="DE145" s="561"/>
      <c r="DF145" s="563"/>
      <c r="DG145" s="564"/>
      <c r="DH145" s="564"/>
      <c r="DI145" s="564"/>
      <c r="DJ145" s="560"/>
      <c r="DK145" s="561"/>
      <c r="DL145" s="562"/>
      <c r="DM145" s="561"/>
      <c r="DN145" s="563"/>
      <c r="DO145" s="564"/>
      <c r="DP145" s="564"/>
      <c r="DQ145" s="564"/>
      <c r="DR145" s="560"/>
      <c r="DS145" s="561"/>
      <c r="DT145" s="562"/>
      <c r="DU145" s="561"/>
      <c r="DV145" s="563"/>
      <c r="DW145" s="564"/>
      <c r="DX145" s="564"/>
      <c r="DY145" s="564"/>
      <c r="DZ145" s="560"/>
      <c r="EA145" s="561"/>
      <c r="EB145" s="562"/>
      <c r="EC145" s="561"/>
      <c r="ED145" s="563"/>
      <c r="EE145" s="564"/>
      <c r="EF145" s="564"/>
      <c r="EG145" s="564"/>
      <c r="EH145" s="560"/>
      <c r="EI145" s="561"/>
      <c r="EJ145" s="562"/>
      <c r="EK145" s="561"/>
      <c r="EL145" s="563"/>
      <c r="EM145" s="564"/>
      <c r="EN145" s="564"/>
      <c r="EO145" s="564"/>
      <c r="EP145" s="560"/>
      <c r="EQ145" s="561"/>
      <c r="ER145" s="562"/>
      <c r="ES145" s="561"/>
      <c r="ET145" s="563"/>
      <c r="EU145" s="564"/>
      <c r="EV145" s="564"/>
      <c r="EW145" s="564"/>
      <c r="EX145" s="560"/>
      <c r="EY145" s="561"/>
      <c r="EZ145" s="562"/>
      <c r="FA145" s="561"/>
      <c r="FB145" s="563"/>
      <c r="FC145" s="564"/>
      <c r="FD145" s="564"/>
      <c r="FE145" s="564"/>
      <c r="FF145" s="560"/>
      <c r="FG145" s="561"/>
      <c r="FH145" s="562"/>
      <c r="FI145" s="561"/>
      <c r="FJ145" s="563"/>
      <c r="FK145" s="564"/>
      <c r="FL145" s="564"/>
      <c r="FM145" s="564"/>
      <c r="FN145" s="560"/>
      <c r="FO145" s="561"/>
      <c r="FP145" s="562"/>
      <c r="FQ145" s="561"/>
      <c r="FR145" s="563"/>
      <c r="FS145" s="564"/>
      <c r="FT145" s="564"/>
      <c r="FU145" s="564"/>
      <c r="FV145" s="560"/>
      <c r="FW145" s="566"/>
      <c r="FX145" s="566"/>
      <c r="FY145" s="566"/>
      <c r="FZ145" s="563"/>
      <c r="GA145" s="564"/>
      <c r="GB145" s="564"/>
      <c r="GC145" s="564"/>
      <c r="GD145" s="560"/>
      <c r="GE145" s="566"/>
      <c r="GF145" s="566"/>
      <c r="GG145" s="566"/>
      <c r="GH145" s="563"/>
      <c r="GI145" s="564"/>
      <c r="GJ145" s="564"/>
      <c r="GK145" s="564"/>
      <c r="GL145" s="560"/>
      <c r="GM145" s="566"/>
      <c r="GN145" s="566"/>
      <c r="GO145" s="566"/>
      <c r="GP145" s="563"/>
      <c r="GQ145" s="564"/>
      <c r="GR145" s="564"/>
      <c r="GS145" s="564"/>
      <c r="GT145" s="560"/>
      <c r="GU145" s="566"/>
      <c r="GV145" s="566"/>
      <c r="GW145" s="566"/>
      <c r="GX145" s="541"/>
      <c r="GY145" s="535"/>
      <c r="GZ145" s="542"/>
      <c r="HA145" s="543"/>
      <c r="HB145" s="541"/>
      <c r="HC145" s="535"/>
      <c r="HD145" s="542"/>
      <c r="HE145" s="543"/>
      <c r="HF145" s="541"/>
      <c r="HG145" s="535"/>
      <c r="HH145" s="542"/>
      <c r="HI145" s="543"/>
      <c r="HJ145" s="541"/>
      <c r="HK145" s="535"/>
      <c r="HL145" s="542"/>
      <c r="HM145" s="543"/>
      <c r="HN145" s="541"/>
      <c r="HO145" s="535"/>
      <c r="HP145" s="542"/>
      <c r="HQ145" s="543"/>
      <c r="HR145" s="541"/>
      <c r="HS145" s="535"/>
      <c r="HT145" s="542"/>
      <c r="HU145" s="543"/>
    </row>
    <row r="146" spans="2:229" s="506" customFormat="1" ht="61" customHeight="1" x14ac:dyDescent="0.35">
      <c r="B146" s="544">
        <v>143</v>
      </c>
      <c r="C146" s="544"/>
      <c r="D146" s="545" t="s">
        <v>44</v>
      </c>
      <c r="E146" s="546" t="s">
        <v>637</v>
      </c>
      <c r="F146" s="546" t="s">
        <v>46</v>
      </c>
      <c r="G146" s="545" t="s">
        <v>46</v>
      </c>
      <c r="H146" s="547" t="s">
        <v>638</v>
      </c>
      <c r="I146" s="548"/>
      <c r="J146" s="548"/>
      <c r="K146" s="549"/>
      <c r="L146" s="549"/>
      <c r="M146" s="569" t="s">
        <v>102</v>
      </c>
      <c r="N146" s="551">
        <v>0</v>
      </c>
      <c r="O146" s="552">
        <v>95</v>
      </c>
      <c r="P146" s="553">
        <v>45994</v>
      </c>
      <c r="Q146" s="553"/>
      <c r="R146" s="554" t="s">
        <v>73</v>
      </c>
      <c r="S146" s="555">
        <f ca="1">IF(R146="Aprobado con comentarios / Emitir Rev_B", NETWORKDAYS(Q146,TODAY(),Hoja1!$C$3:$C$25),0)</f>
        <v>0</v>
      </c>
      <c r="T146" s="555">
        <f ca="1">IF(R146="Revisión INN",NETWORKDAYS(P146,TODAY(),Hoja1!$C$3:$C$25),0)</f>
        <v>0</v>
      </c>
      <c r="U146" s="556">
        <f t="shared" ref="U146:U177" si="5">ROUNDUP(((COUNTA(V146:GW146)/4)/2),0)</f>
        <v>1</v>
      </c>
      <c r="V146" s="557">
        <v>0</v>
      </c>
      <c r="W146" s="558">
        <v>98</v>
      </c>
      <c r="X146" s="558"/>
      <c r="Y146" s="559">
        <v>45994</v>
      </c>
      <c r="Z146" s="560"/>
      <c r="AA146" s="561"/>
      <c r="AB146" s="562"/>
      <c r="AC146" s="561"/>
      <c r="AD146" s="563"/>
      <c r="AE146" s="567"/>
      <c r="AF146" s="564"/>
      <c r="AG146" s="565"/>
      <c r="AH146" s="560"/>
      <c r="AI146" s="561"/>
      <c r="AJ146" s="562"/>
      <c r="AK146" s="561"/>
      <c r="AL146" s="563"/>
      <c r="AM146" s="567"/>
      <c r="AN146" s="564"/>
      <c r="AO146" s="565"/>
      <c r="AP146" s="560"/>
      <c r="AQ146" s="561"/>
      <c r="AR146" s="562"/>
      <c r="AS146" s="561"/>
      <c r="AT146" s="563"/>
      <c r="AU146" s="567"/>
      <c r="AV146" s="564"/>
      <c r="AW146" s="565"/>
      <c r="AX146" s="560"/>
      <c r="AY146" s="561"/>
      <c r="AZ146" s="562"/>
      <c r="BA146" s="561"/>
      <c r="BB146" s="563"/>
      <c r="BC146" s="567"/>
      <c r="BD146" s="564"/>
      <c r="BE146" s="565"/>
      <c r="BF146" s="560"/>
      <c r="BG146" s="561"/>
      <c r="BH146" s="562"/>
      <c r="BI146" s="561"/>
      <c r="BJ146" s="563"/>
      <c r="BK146" s="567"/>
      <c r="BL146" s="564"/>
      <c r="BM146" s="565"/>
      <c r="BN146" s="560"/>
      <c r="BO146" s="561"/>
      <c r="BP146" s="562"/>
      <c r="BQ146" s="561"/>
      <c r="BR146" s="563"/>
      <c r="BS146" s="567"/>
      <c r="BT146" s="564"/>
      <c r="BU146" s="565"/>
      <c r="BV146" s="560"/>
      <c r="BW146" s="561"/>
      <c r="BX146" s="562"/>
      <c r="BY146" s="561"/>
      <c r="BZ146" s="563"/>
      <c r="CA146" s="567"/>
      <c r="CB146" s="564"/>
      <c r="CC146" s="565"/>
      <c r="CD146" s="560"/>
      <c r="CE146" s="561"/>
      <c r="CF146" s="562"/>
      <c r="CG146" s="561"/>
      <c r="CH146" s="563"/>
      <c r="CI146" s="564"/>
      <c r="CJ146" s="564"/>
      <c r="CK146" s="564"/>
      <c r="CL146" s="560"/>
      <c r="CM146" s="561"/>
      <c r="CN146" s="562"/>
      <c r="CO146" s="561"/>
      <c r="CP146" s="563"/>
      <c r="CQ146" s="564"/>
      <c r="CR146" s="564"/>
      <c r="CS146" s="564"/>
      <c r="CT146" s="560"/>
      <c r="CU146" s="561"/>
      <c r="CV146" s="562"/>
      <c r="CW146" s="561"/>
      <c r="CX146" s="563"/>
      <c r="CY146" s="564"/>
      <c r="CZ146" s="564"/>
      <c r="DA146" s="564"/>
      <c r="DB146" s="560"/>
      <c r="DC146" s="561"/>
      <c r="DD146" s="562"/>
      <c r="DE146" s="561"/>
      <c r="DF146" s="563"/>
      <c r="DG146" s="564"/>
      <c r="DH146" s="564"/>
      <c r="DI146" s="564"/>
      <c r="DJ146" s="560"/>
      <c r="DK146" s="561"/>
      <c r="DL146" s="562"/>
      <c r="DM146" s="561"/>
      <c r="DN146" s="563"/>
      <c r="DO146" s="564"/>
      <c r="DP146" s="564"/>
      <c r="DQ146" s="564"/>
      <c r="DR146" s="560"/>
      <c r="DS146" s="561"/>
      <c r="DT146" s="562"/>
      <c r="DU146" s="561"/>
      <c r="DV146" s="563"/>
      <c r="DW146" s="564"/>
      <c r="DX146" s="564"/>
      <c r="DY146" s="564"/>
      <c r="DZ146" s="560"/>
      <c r="EA146" s="561"/>
      <c r="EB146" s="562"/>
      <c r="EC146" s="561"/>
      <c r="ED146" s="563"/>
      <c r="EE146" s="564"/>
      <c r="EF146" s="564"/>
      <c r="EG146" s="564"/>
      <c r="EH146" s="560"/>
      <c r="EI146" s="561"/>
      <c r="EJ146" s="562"/>
      <c r="EK146" s="561"/>
      <c r="EL146" s="563"/>
      <c r="EM146" s="564"/>
      <c r="EN146" s="564"/>
      <c r="EO146" s="564"/>
      <c r="EP146" s="560"/>
      <c r="EQ146" s="561"/>
      <c r="ER146" s="562"/>
      <c r="ES146" s="561"/>
      <c r="ET146" s="563"/>
      <c r="EU146" s="564"/>
      <c r="EV146" s="564"/>
      <c r="EW146" s="564"/>
      <c r="EX146" s="560"/>
      <c r="EY146" s="561"/>
      <c r="EZ146" s="562"/>
      <c r="FA146" s="561"/>
      <c r="FB146" s="563"/>
      <c r="FC146" s="564"/>
      <c r="FD146" s="564"/>
      <c r="FE146" s="564"/>
      <c r="FF146" s="560"/>
      <c r="FG146" s="561"/>
      <c r="FH146" s="562"/>
      <c r="FI146" s="561"/>
      <c r="FJ146" s="563"/>
      <c r="FK146" s="564"/>
      <c r="FL146" s="564"/>
      <c r="FM146" s="564"/>
      <c r="FN146" s="560"/>
      <c r="FO146" s="561"/>
      <c r="FP146" s="562"/>
      <c r="FQ146" s="561"/>
      <c r="FR146" s="563"/>
      <c r="FS146" s="564"/>
      <c r="FT146" s="564"/>
      <c r="FU146" s="564"/>
      <c r="FV146" s="560"/>
      <c r="FW146" s="566"/>
      <c r="FX146" s="566"/>
      <c r="FY146" s="566"/>
      <c r="FZ146" s="563"/>
      <c r="GA146" s="564"/>
      <c r="GB146" s="564"/>
      <c r="GC146" s="564"/>
      <c r="GD146" s="560"/>
      <c r="GE146" s="566"/>
      <c r="GF146" s="566"/>
      <c r="GG146" s="566"/>
      <c r="GH146" s="563"/>
      <c r="GI146" s="564"/>
      <c r="GJ146" s="564"/>
      <c r="GK146" s="564"/>
      <c r="GL146" s="560"/>
      <c r="GM146" s="566"/>
      <c r="GN146" s="566"/>
      <c r="GO146" s="566"/>
      <c r="GP146" s="563"/>
      <c r="GQ146" s="564"/>
      <c r="GR146" s="564"/>
      <c r="GS146" s="564"/>
      <c r="GT146" s="560"/>
      <c r="GU146" s="566"/>
      <c r="GV146" s="566"/>
      <c r="GW146" s="566"/>
      <c r="GX146" s="563"/>
      <c r="GY146" s="564"/>
      <c r="GZ146" s="564"/>
      <c r="HA146" s="590"/>
      <c r="HB146" s="560"/>
      <c r="HC146" s="566"/>
      <c r="HD146" s="566"/>
      <c r="HE146" s="566"/>
      <c r="HF146" s="563"/>
      <c r="HG146" s="564"/>
      <c r="HH146" s="564"/>
      <c r="HI146" s="590"/>
      <c r="HJ146" s="560"/>
      <c r="HK146" s="566"/>
      <c r="HL146" s="566"/>
      <c r="HM146" s="566"/>
      <c r="HN146" s="563"/>
      <c r="HO146" s="564"/>
      <c r="HP146" s="564"/>
      <c r="HQ146" s="590"/>
      <c r="HR146" s="560"/>
      <c r="HS146" s="566"/>
      <c r="HT146" s="566"/>
      <c r="HU146" s="566"/>
    </row>
    <row r="147" spans="2:229" s="506" customFormat="1" ht="61" customHeight="1" x14ac:dyDescent="0.35">
      <c r="B147" s="544">
        <v>144</v>
      </c>
      <c r="C147" s="544"/>
      <c r="D147" s="545" t="s">
        <v>44</v>
      </c>
      <c r="E147" s="546" t="s">
        <v>639</v>
      </c>
      <c r="F147" s="546" t="s">
        <v>46</v>
      </c>
      <c r="G147" s="545" t="s">
        <v>46</v>
      </c>
      <c r="H147" s="547" t="s">
        <v>640</v>
      </c>
      <c r="I147" s="548"/>
      <c r="J147" s="548"/>
      <c r="K147" s="549"/>
      <c r="L147" s="549"/>
      <c r="M147" s="569" t="s">
        <v>102</v>
      </c>
      <c r="N147" s="551">
        <v>0</v>
      </c>
      <c r="O147" s="552">
        <v>95</v>
      </c>
      <c r="P147" s="553">
        <v>45994</v>
      </c>
      <c r="Q147" s="553"/>
      <c r="R147" s="554" t="s">
        <v>73</v>
      </c>
      <c r="S147" s="555">
        <f ca="1">IF(R147="Aprobado con comentarios / Emitir Rev_B", NETWORKDAYS(Q147,TODAY(),Hoja1!$C$3:$C$25),0)</f>
        <v>0</v>
      </c>
      <c r="T147" s="555">
        <f ca="1">IF(R147="Revisión INN",NETWORKDAYS(P147,TODAY(),Hoja1!$C$3:$C$25),0)</f>
        <v>0</v>
      </c>
      <c r="U147" s="556">
        <f t="shared" si="5"/>
        <v>1</v>
      </c>
      <c r="V147" s="557">
        <v>0</v>
      </c>
      <c r="W147" s="558">
        <v>98</v>
      </c>
      <c r="X147" s="558"/>
      <c r="Y147" s="559">
        <v>45994</v>
      </c>
      <c r="Z147" s="560"/>
      <c r="AA147" s="561"/>
      <c r="AB147" s="562"/>
      <c r="AC147" s="561"/>
      <c r="AD147" s="563"/>
      <c r="AE147" s="567"/>
      <c r="AF147" s="564"/>
      <c r="AG147" s="565"/>
      <c r="AH147" s="560"/>
      <c r="AI147" s="561"/>
      <c r="AJ147" s="562"/>
      <c r="AK147" s="561"/>
      <c r="AL147" s="563"/>
      <c r="AM147" s="567"/>
      <c r="AN147" s="564"/>
      <c r="AO147" s="565"/>
      <c r="AP147" s="560"/>
      <c r="AQ147" s="561"/>
      <c r="AR147" s="562"/>
      <c r="AS147" s="561"/>
      <c r="AT147" s="563"/>
      <c r="AU147" s="567"/>
      <c r="AV147" s="564"/>
      <c r="AW147" s="565"/>
      <c r="AX147" s="560"/>
      <c r="AY147" s="561"/>
      <c r="AZ147" s="562"/>
      <c r="BA147" s="561"/>
      <c r="BB147" s="563"/>
      <c r="BC147" s="567"/>
      <c r="BD147" s="564"/>
      <c r="BE147" s="565"/>
      <c r="BF147" s="560"/>
      <c r="BG147" s="561"/>
      <c r="BH147" s="562"/>
      <c r="BI147" s="561"/>
      <c r="BJ147" s="563"/>
      <c r="BK147" s="567"/>
      <c r="BL147" s="564"/>
      <c r="BM147" s="565"/>
      <c r="BN147" s="560"/>
      <c r="BO147" s="561"/>
      <c r="BP147" s="562"/>
      <c r="BQ147" s="561"/>
      <c r="BR147" s="563"/>
      <c r="BS147" s="567"/>
      <c r="BT147" s="564"/>
      <c r="BU147" s="565"/>
      <c r="BV147" s="560"/>
      <c r="BW147" s="561"/>
      <c r="BX147" s="562"/>
      <c r="BY147" s="561"/>
      <c r="BZ147" s="563"/>
      <c r="CA147" s="567"/>
      <c r="CB147" s="564"/>
      <c r="CC147" s="565"/>
      <c r="CD147" s="560"/>
      <c r="CE147" s="561"/>
      <c r="CF147" s="562"/>
      <c r="CG147" s="561"/>
      <c r="CH147" s="563"/>
      <c r="CI147" s="564"/>
      <c r="CJ147" s="564"/>
      <c r="CK147" s="564"/>
      <c r="CL147" s="560"/>
      <c r="CM147" s="561"/>
      <c r="CN147" s="562"/>
      <c r="CO147" s="561"/>
      <c r="CP147" s="563"/>
      <c r="CQ147" s="564"/>
      <c r="CR147" s="564"/>
      <c r="CS147" s="564"/>
      <c r="CT147" s="560"/>
      <c r="CU147" s="561"/>
      <c r="CV147" s="562"/>
      <c r="CW147" s="561"/>
      <c r="CX147" s="563"/>
      <c r="CY147" s="564"/>
      <c r="CZ147" s="564"/>
      <c r="DA147" s="564"/>
      <c r="DB147" s="560"/>
      <c r="DC147" s="561"/>
      <c r="DD147" s="562"/>
      <c r="DE147" s="561"/>
      <c r="DF147" s="563"/>
      <c r="DG147" s="564"/>
      <c r="DH147" s="564"/>
      <c r="DI147" s="564"/>
      <c r="DJ147" s="560"/>
      <c r="DK147" s="561"/>
      <c r="DL147" s="562"/>
      <c r="DM147" s="561"/>
      <c r="DN147" s="563"/>
      <c r="DO147" s="564"/>
      <c r="DP147" s="564"/>
      <c r="DQ147" s="564"/>
      <c r="DR147" s="560"/>
      <c r="DS147" s="561"/>
      <c r="DT147" s="562"/>
      <c r="DU147" s="561"/>
      <c r="DV147" s="563"/>
      <c r="DW147" s="564"/>
      <c r="DX147" s="564"/>
      <c r="DY147" s="564"/>
      <c r="DZ147" s="560"/>
      <c r="EA147" s="561"/>
      <c r="EB147" s="562"/>
      <c r="EC147" s="561"/>
      <c r="ED147" s="563"/>
      <c r="EE147" s="564"/>
      <c r="EF147" s="564"/>
      <c r="EG147" s="564"/>
      <c r="EH147" s="560"/>
      <c r="EI147" s="561"/>
      <c r="EJ147" s="562"/>
      <c r="EK147" s="561"/>
      <c r="EL147" s="563"/>
      <c r="EM147" s="564"/>
      <c r="EN147" s="564"/>
      <c r="EO147" s="564"/>
      <c r="EP147" s="560"/>
      <c r="EQ147" s="561"/>
      <c r="ER147" s="562"/>
      <c r="ES147" s="561"/>
      <c r="ET147" s="563"/>
      <c r="EU147" s="564"/>
      <c r="EV147" s="564"/>
      <c r="EW147" s="564"/>
      <c r="EX147" s="560"/>
      <c r="EY147" s="561"/>
      <c r="EZ147" s="562"/>
      <c r="FA147" s="561"/>
      <c r="FB147" s="563"/>
      <c r="FC147" s="564"/>
      <c r="FD147" s="564"/>
      <c r="FE147" s="564"/>
      <c r="FF147" s="560"/>
      <c r="FG147" s="561"/>
      <c r="FH147" s="562"/>
      <c r="FI147" s="561"/>
      <c r="FJ147" s="563"/>
      <c r="FK147" s="564"/>
      <c r="FL147" s="564"/>
      <c r="FM147" s="564"/>
      <c r="FN147" s="560"/>
      <c r="FO147" s="561"/>
      <c r="FP147" s="562"/>
      <c r="FQ147" s="561"/>
      <c r="FR147" s="563"/>
      <c r="FS147" s="564"/>
      <c r="FT147" s="564"/>
      <c r="FU147" s="564"/>
      <c r="FV147" s="560"/>
      <c r="FW147" s="566"/>
      <c r="FX147" s="566"/>
      <c r="FY147" s="566"/>
      <c r="FZ147" s="563"/>
      <c r="GA147" s="564"/>
      <c r="GB147" s="564"/>
      <c r="GC147" s="564"/>
      <c r="GD147" s="560"/>
      <c r="GE147" s="566"/>
      <c r="GF147" s="566"/>
      <c r="GG147" s="566"/>
      <c r="GH147" s="563"/>
      <c r="GI147" s="564"/>
      <c r="GJ147" s="564"/>
      <c r="GK147" s="564"/>
      <c r="GL147" s="560"/>
      <c r="GM147" s="566"/>
      <c r="GN147" s="566"/>
      <c r="GO147" s="566"/>
      <c r="GP147" s="563"/>
      <c r="GQ147" s="564"/>
      <c r="GR147" s="564"/>
      <c r="GS147" s="564"/>
      <c r="GT147" s="560"/>
      <c r="GU147" s="566"/>
      <c r="GV147" s="566"/>
      <c r="GW147" s="566"/>
      <c r="GX147" s="563"/>
      <c r="GY147" s="564"/>
      <c r="GZ147" s="564"/>
      <c r="HA147" s="590"/>
      <c r="HB147" s="560"/>
      <c r="HC147" s="566"/>
      <c r="HD147" s="566"/>
      <c r="HE147" s="566"/>
      <c r="HF147" s="563"/>
      <c r="HG147" s="564"/>
      <c r="HH147" s="564"/>
      <c r="HI147" s="590"/>
      <c r="HJ147" s="560"/>
      <c r="HK147" s="566"/>
      <c r="HL147" s="566"/>
      <c r="HM147" s="566"/>
      <c r="HN147" s="563"/>
      <c r="HO147" s="564"/>
      <c r="HP147" s="564"/>
      <c r="HQ147" s="590"/>
      <c r="HR147" s="560"/>
      <c r="HS147" s="566"/>
      <c r="HT147" s="566"/>
      <c r="HU147" s="566"/>
    </row>
    <row r="148" spans="2:229" s="506" customFormat="1" ht="87" customHeight="1" thickBot="1" x14ac:dyDescent="0.4">
      <c r="B148" s="544">
        <v>145</v>
      </c>
      <c r="C148" s="544"/>
      <c r="D148" s="545" t="s">
        <v>44</v>
      </c>
      <c r="E148" s="546" t="s">
        <v>641</v>
      </c>
      <c r="F148" s="546" t="s">
        <v>46</v>
      </c>
      <c r="G148" s="545" t="s">
        <v>46</v>
      </c>
      <c r="H148" s="547" t="s">
        <v>642</v>
      </c>
      <c r="I148" s="547"/>
      <c r="J148" s="547"/>
      <c r="K148" s="547"/>
      <c r="L148" s="547"/>
      <c r="M148" s="569" t="s">
        <v>102</v>
      </c>
      <c r="N148" s="551">
        <v>0</v>
      </c>
      <c r="O148" s="552">
        <v>111</v>
      </c>
      <c r="P148" s="553">
        <v>46008</v>
      </c>
      <c r="Q148" s="553"/>
      <c r="R148" s="554" t="s">
        <v>73</v>
      </c>
      <c r="S148" s="555">
        <f ca="1">IF(R148="Aprobado con comentarios / Emitir Rev_B", NETWORKDAYS(Q148,TODAY(),Hoja1!$C$3:$C$25),0)</f>
        <v>0</v>
      </c>
      <c r="T148" s="555">
        <f ca="1">IF(R148="Revisión INN",NETWORKDAYS(P148,TODAY(),Hoja1!$C$3:$C$25),0)</f>
        <v>0</v>
      </c>
      <c r="U148" s="556">
        <f t="shared" si="5"/>
        <v>1</v>
      </c>
      <c r="V148" s="557">
        <v>0</v>
      </c>
      <c r="W148" s="558">
        <v>111</v>
      </c>
      <c r="X148" s="558"/>
      <c r="Y148" s="559">
        <v>46008</v>
      </c>
      <c r="Z148" s="560"/>
      <c r="AA148" s="561"/>
      <c r="AB148" s="562"/>
      <c r="AC148" s="561"/>
      <c r="AD148" s="563"/>
      <c r="AE148" s="567"/>
      <c r="AF148" s="564"/>
      <c r="AG148" s="565"/>
      <c r="AH148" s="560"/>
      <c r="AI148" s="561"/>
      <c r="AJ148" s="562"/>
      <c r="AK148" s="561"/>
      <c r="AL148" s="563"/>
      <c r="AM148" s="567"/>
      <c r="AN148" s="564"/>
      <c r="AO148" s="565"/>
      <c r="AP148" s="560"/>
      <c r="AQ148" s="561"/>
      <c r="AR148" s="562"/>
      <c r="AS148" s="561"/>
      <c r="AT148" s="563"/>
      <c r="AU148" s="567"/>
      <c r="AV148" s="564"/>
      <c r="AW148" s="565"/>
      <c r="AX148" s="560"/>
      <c r="AY148" s="561"/>
      <c r="AZ148" s="562"/>
      <c r="BA148" s="561"/>
      <c r="BB148" s="563"/>
      <c r="BC148" s="567"/>
      <c r="BD148" s="564"/>
      <c r="BE148" s="565"/>
      <c r="BF148" s="560"/>
      <c r="BG148" s="561"/>
      <c r="BH148" s="562"/>
      <c r="BI148" s="561"/>
      <c r="BJ148" s="563"/>
      <c r="BK148" s="567"/>
      <c r="BL148" s="564"/>
      <c r="BM148" s="565"/>
      <c r="BN148" s="560"/>
      <c r="BO148" s="561"/>
      <c r="BP148" s="562"/>
      <c r="BQ148" s="561"/>
      <c r="BR148" s="563"/>
      <c r="BS148" s="567"/>
      <c r="BT148" s="564"/>
      <c r="BU148" s="565"/>
      <c r="BV148" s="560"/>
      <c r="BW148" s="561"/>
      <c r="BX148" s="562"/>
      <c r="BY148" s="561"/>
      <c r="BZ148" s="563"/>
      <c r="CA148" s="567"/>
      <c r="CB148" s="564"/>
      <c r="CC148" s="565"/>
      <c r="CD148" s="560"/>
      <c r="CE148" s="561"/>
      <c r="CF148" s="562"/>
      <c r="CG148" s="561"/>
      <c r="CH148" s="563"/>
      <c r="CI148" s="564"/>
      <c r="CJ148" s="564"/>
      <c r="CK148" s="564"/>
      <c r="CL148" s="560"/>
      <c r="CM148" s="561"/>
      <c r="CN148" s="562"/>
      <c r="CO148" s="561"/>
      <c r="CP148" s="563"/>
      <c r="CQ148" s="564"/>
      <c r="CR148" s="564"/>
      <c r="CS148" s="564"/>
      <c r="CT148" s="560"/>
      <c r="CU148" s="561"/>
      <c r="CV148" s="562"/>
      <c r="CW148" s="561"/>
      <c r="CX148" s="563"/>
      <c r="CY148" s="564"/>
      <c r="CZ148" s="564"/>
      <c r="DA148" s="564"/>
      <c r="DB148" s="560"/>
      <c r="DC148" s="561"/>
      <c r="DD148" s="562"/>
      <c r="DE148" s="561"/>
      <c r="DF148" s="563"/>
      <c r="DG148" s="564"/>
      <c r="DH148" s="564"/>
      <c r="DI148" s="564"/>
      <c r="DJ148" s="560"/>
      <c r="DK148" s="561"/>
      <c r="DL148" s="562"/>
      <c r="DM148" s="561"/>
      <c r="DN148" s="563"/>
      <c r="DO148" s="564"/>
      <c r="DP148" s="564"/>
      <c r="DQ148" s="564"/>
      <c r="DR148" s="560"/>
      <c r="DS148" s="561"/>
      <c r="DT148" s="562"/>
      <c r="DU148" s="561"/>
      <c r="DV148" s="563"/>
      <c r="DW148" s="564"/>
      <c r="DX148" s="564"/>
      <c r="DY148" s="564"/>
      <c r="DZ148" s="560"/>
      <c r="EA148" s="561"/>
      <c r="EB148" s="562"/>
      <c r="EC148" s="561"/>
      <c r="ED148" s="563"/>
      <c r="EE148" s="564"/>
      <c r="EF148" s="564"/>
      <c r="EG148" s="564"/>
      <c r="EH148" s="560"/>
      <c r="EI148" s="561"/>
      <c r="EJ148" s="562"/>
      <c r="EK148" s="561"/>
      <c r="EL148" s="563"/>
      <c r="EM148" s="564"/>
      <c r="EN148" s="564"/>
      <c r="EO148" s="564"/>
      <c r="EP148" s="560"/>
      <c r="EQ148" s="561"/>
      <c r="ER148" s="562"/>
      <c r="ES148" s="561"/>
      <c r="ET148" s="563"/>
      <c r="EU148" s="564"/>
      <c r="EV148" s="564"/>
      <c r="EW148" s="564"/>
      <c r="EX148" s="560"/>
      <c r="EY148" s="561"/>
      <c r="EZ148" s="562"/>
      <c r="FA148" s="561"/>
      <c r="FB148" s="563"/>
      <c r="FC148" s="564"/>
      <c r="FD148" s="564"/>
      <c r="FE148" s="564"/>
      <c r="FF148" s="560"/>
      <c r="FG148" s="561"/>
      <c r="FH148" s="562"/>
      <c r="FI148" s="561"/>
      <c r="FJ148" s="563"/>
      <c r="FK148" s="564"/>
      <c r="FL148" s="564"/>
      <c r="FM148" s="564"/>
      <c r="FN148" s="560"/>
      <c r="FO148" s="561"/>
      <c r="FP148" s="562"/>
      <c r="FQ148" s="561"/>
      <c r="FR148" s="563"/>
      <c r="FS148" s="564"/>
      <c r="FT148" s="564"/>
      <c r="FU148" s="564"/>
      <c r="FV148" s="560"/>
      <c r="FW148" s="566"/>
      <c r="FX148" s="566"/>
      <c r="FY148" s="566"/>
      <c r="FZ148" s="563"/>
      <c r="GA148" s="564"/>
      <c r="GB148" s="564"/>
      <c r="GC148" s="564"/>
      <c r="GD148" s="560"/>
      <c r="GE148" s="566"/>
      <c r="GF148" s="566"/>
      <c r="GG148" s="566"/>
      <c r="GH148" s="563"/>
      <c r="GI148" s="564"/>
      <c r="GJ148" s="564"/>
      <c r="GK148" s="564"/>
      <c r="GL148" s="560"/>
      <c r="GM148" s="566"/>
      <c r="GN148" s="566"/>
      <c r="GO148" s="566"/>
      <c r="GP148" s="563"/>
      <c r="GQ148" s="564"/>
      <c r="GR148" s="564"/>
      <c r="GS148" s="564"/>
      <c r="GT148" s="560"/>
      <c r="GU148" s="566"/>
      <c r="GV148" s="566"/>
      <c r="GW148" s="566"/>
      <c r="GX148" s="563"/>
      <c r="GY148" s="564"/>
      <c r="GZ148" s="564"/>
      <c r="HA148" s="590"/>
      <c r="HB148" s="560"/>
      <c r="HC148" s="566"/>
      <c r="HD148" s="566"/>
      <c r="HE148" s="566"/>
      <c r="HF148" s="563"/>
      <c r="HG148" s="564"/>
      <c r="HH148" s="564"/>
      <c r="HI148" s="590"/>
      <c r="HJ148" s="560"/>
      <c r="HK148" s="566"/>
      <c r="HL148" s="566"/>
      <c r="HM148" s="566"/>
      <c r="HN148" s="563"/>
      <c r="HO148" s="564"/>
      <c r="HP148" s="564"/>
      <c r="HQ148" s="590"/>
      <c r="HR148" s="560"/>
      <c r="HS148" s="566"/>
      <c r="HT148" s="566"/>
      <c r="HU148" s="566"/>
    </row>
    <row r="149" spans="2:229" s="506" customFormat="1" ht="53.15" customHeight="1" x14ac:dyDescent="0.35">
      <c r="B149" s="544">
        <v>146</v>
      </c>
      <c r="C149" s="544"/>
      <c r="D149" s="545" t="s">
        <v>44</v>
      </c>
      <c r="E149" s="546" t="s">
        <v>643</v>
      </c>
      <c r="F149" s="546" t="s">
        <v>46</v>
      </c>
      <c r="G149" s="545" t="s">
        <v>46</v>
      </c>
      <c r="H149" s="547" t="s">
        <v>644</v>
      </c>
      <c r="I149" s="548"/>
      <c r="J149" s="548"/>
      <c r="K149" s="549"/>
      <c r="L149" s="549"/>
      <c r="M149" s="569" t="s">
        <v>102</v>
      </c>
      <c r="N149" s="551">
        <v>0</v>
      </c>
      <c r="O149" s="552">
        <v>111</v>
      </c>
      <c r="P149" s="553">
        <v>46008</v>
      </c>
      <c r="Q149" s="553"/>
      <c r="R149" s="554" t="s">
        <v>73</v>
      </c>
      <c r="S149" s="555">
        <f ca="1">IF(R149="Aprobado con comentarios / Emitir Rev_B", NETWORKDAYS(Q149,TODAY(),Hoja1!$C$3:$C$25),0)</f>
        <v>0</v>
      </c>
      <c r="T149" s="555">
        <f ca="1">IF(R149="Revisión INN",NETWORKDAYS(P149,TODAY(),Hoja1!$C$3:$C$25),0)</f>
        <v>0</v>
      </c>
      <c r="U149" s="556">
        <f t="shared" si="5"/>
        <v>1</v>
      </c>
      <c r="V149" s="557">
        <v>0</v>
      </c>
      <c r="W149" s="558">
        <v>111</v>
      </c>
      <c r="X149" s="558"/>
      <c r="Y149" s="559">
        <v>46008</v>
      </c>
      <c r="Z149" s="560"/>
      <c r="AA149" s="561"/>
      <c r="AB149" s="562"/>
      <c r="AC149" s="561"/>
      <c r="AD149" s="563"/>
      <c r="AE149" s="567"/>
      <c r="AF149" s="564"/>
      <c r="AG149" s="565"/>
      <c r="AH149" s="560"/>
      <c r="AI149" s="561"/>
      <c r="AJ149" s="562"/>
      <c r="AK149" s="561"/>
      <c r="AL149" s="563"/>
      <c r="AM149" s="567"/>
      <c r="AN149" s="564"/>
      <c r="AO149" s="565"/>
      <c r="AP149" s="560"/>
      <c r="AQ149" s="561"/>
      <c r="AR149" s="562"/>
      <c r="AS149" s="561"/>
      <c r="AT149" s="563"/>
      <c r="AU149" s="567"/>
      <c r="AV149" s="564"/>
      <c r="AW149" s="565"/>
      <c r="AX149" s="560"/>
      <c r="AY149" s="561"/>
      <c r="AZ149" s="562"/>
      <c r="BA149" s="561"/>
      <c r="BB149" s="563"/>
      <c r="BC149" s="567"/>
      <c r="BD149" s="564"/>
      <c r="BE149" s="565"/>
      <c r="BF149" s="560"/>
      <c r="BG149" s="561"/>
      <c r="BH149" s="562"/>
      <c r="BI149" s="561"/>
      <c r="BJ149" s="563"/>
      <c r="BK149" s="567"/>
      <c r="BL149" s="564"/>
      <c r="BM149" s="565"/>
      <c r="BN149" s="560"/>
      <c r="BO149" s="561"/>
      <c r="BP149" s="562"/>
      <c r="BQ149" s="561"/>
      <c r="BR149" s="563"/>
      <c r="BS149" s="567"/>
      <c r="BT149" s="564"/>
      <c r="BU149" s="565"/>
      <c r="BV149" s="560"/>
      <c r="BW149" s="561"/>
      <c r="BX149" s="562"/>
      <c r="BY149" s="561"/>
      <c r="BZ149" s="563"/>
      <c r="CA149" s="567"/>
      <c r="CB149" s="564"/>
      <c r="CC149" s="565"/>
      <c r="CD149" s="560"/>
      <c r="CE149" s="561"/>
      <c r="CF149" s="562"/>
      <c r="CG149" s="561"/>
      <c r="CH149" s="563"/>
      <c r="CI149" s="564"/>
      <c r="CJ149" s="564"/>
      <c r="CK149" s="564"/>
      <c r="CL149" s="560"/>
      <c r="CM149" s="561"/>
      <c r="CN149" s="562"/>
      <c r="CO149" s="561"/>
      <c r="CP149" s="563"/>
      <c r="CQ149" s="564"/>
      <c r="CR149" s="564"/>
      <c r="CS149" s="564"/>
      <c r="CT149" s="560"/>
      <c r="CU149" s="561"/>
      <c r="CV149" s="562"/>
      <c r="CW149" s="561"/>
      <c r="CX149" s="563"/>
      <c r="CY149" s="564"/>
      <c r="CZ149" s="564"/>
      <c r="DA149" s="564"/>
      <c r="DB149" s="560"/>
      <c r="DC149" s="561"/>
      <c r="DD149" s="562"/>
      <c r="DE149" s="561"/>
      <c r="DF149" s="563"/>
      <c r="DG149" s="564"/>
      <c r="DH149" s="564"/>
      <c r="DI149" s="564"/>
      <c r="DJ149" s="560"/>
      <c r="DK149" s="561"/>
      <c r="DL149" s="562"/>
      <c r="DM149" s="561"/>
      <c r="DN149" s="563"/>
      <c r="DO149" s="564"/>
      <c r="DP149" s="564"/>
      <c r="DQ149" s="564"/>
      <c r="DR149" s="560"/>
      <c r="DS149" s="561"/>
      <c r="DT149" s="562"/>
      <c r="DU149" s="561"/>
      <c r="DV149" s="563"/>
      <c r="DW149" s="564"/>
      <c r="DX149" s="564"/>
      <c r="DY149" s="564"/>
      <c r="DZ149" s="560"/>
      <c r="EA149" s="561"/>
      <c r="EB149" s="562"/>
      <c r="EC149" s="561"/>
      <c r="ED149" s="563"/>
      <c r="EE149" s="564"/>
      <c r="EF149" s="564"/>
      <c r="EG149" s="564"/>
      <c r="EH149" s="560"/>
      <c r="EI149" s="561"/>
      <c r="EJ149" s="562"/>
      <c r="EK149" s="561"/>
      <c r="EL149" s="563"/>
      <c r="EM149" s="564"/>
      <c r="EN149" s="564"/>
      <c r="EO149" s="564"/>
      <c r="EP149" s="560"/>
      <c r="EQ149" s="561"/>
      <c r="ER149" s="562"/>
      <c r="ES149" s="561"/>
      <c r="ET149" s="563"/>
      <c r="EU149" s="564"/>
      <c r="EV149" s="564"/>
      <c r="EW149" s="564"/>
      <c r="EX149" s="560"/>
      <c r="EY149" s="561"/>
      <c r="EZ149" s="562"/>
      <c r="FA149" s="561"/>
      <c r="FB149" s="563"/>
      <c r="FC149" s="564"/>
      <c r="FD149" s="564"/>
      <c r="FE149" s="564"/>
      <c r="FF149" s="560"/>
      <c r="FG149" s="561"/>
      <c r="FH149" s="562"/>
      <c r="FI149" s="561"/>
      <c r="FJ149" s="563"/>
      <c r="FK149" s="564"/>
      <c r="FL149" s="564"/>
      <c r="FM149" s="564"/>
      <c r="FN149" s="560"/>
      <c r="FO149" s="561"/>
      <c r="FP149" s="562"/>
      <c r="FQ149" s="561"/>
      <c r="FR149" s="563"/>
      <c r="FS149" s="564"/>
      <c r="FT149" s="564"/>
      <c r="FU149" s="564"/>
      <c r="FV149" s="560"/>
      <c r="FW149" s="566"/>
      <c r="FX149" s="566"/>
      <c r="FY149" s="566"/>
      <c r="FZ149" s="563"/>
      <c r="GA149" s="564"/>
      <c r="GB149" s="564"/>
      <c r="GC149" s="564"/>
      <c r="GD149" s="560"/>
      <c r="GE149" s="566"/>
      <c r="GF149" s="566"/>
      <c r="GG149" s="566"/>
      <c r="GH149" s="563"/>
      <c r="GI149" s="564"/>
      <c r="GJ149" s="564"/>
      <c r="GK149" s="564"/>
      <c r="GL149" s="560"/>
      <c r="GM149" s="566"/>
      <c r="GN149" s="566"/>
      <c r="GO149" s="566"/>
      <c r="GP149" s="563"/>
      <c r="GQ149" s="564"/>
      <c r="GR149" s="564"/>
      <c r="GS149" s="564"/>
      <c r="GT149" s="560"/>
      <c r="GU149" s="566"/>
      <c r="GV149" s="566"/>
      <c r="GW149" s="566"/>
      <c r="GX149" s="541"/>
      <c r="GY149" s="535"/>
      <c r="GZ149" s="542"/>
      <c r="HA149" s="543"/>
      <c r="HB149" s="541"/>
      <c r="HC149" s="535"/>
      <c r="HD149" s="542"/>
      <c r="HE149" s="543"/>
      <c r="HF149" s="541"/>
      <c r="HG149" s="535"/>
      <c r="HH149" s="542"/>
      <c r="HI149" s="543"/>
      <c r="HJ149" s="541"/>
      <c r="HK149" s="535"/>
      <c r="HL149" s="542"/>
      <c r="HM149" s="543"/>
      <c r="HN149" s="541"/>
      <c r="HO149" s="535"/>
      <c r="HP149" s="542"/>
      <c r="HQ149" s="543"/>
      <c r="HR149" s="541"/>
      <c r="HS149" s="535"/>
      <c r="HT149" s="542"/>
      <c r="HU149" s="543"/>
    </row>
    <row r="150" spans="2:229" s="506" customFormat="1" ht="49.5" customHeight="1" x14ac:dyDescent="0.35">
      <c r="B150" s="544">
        <v>147</v>
      </c>
      <c r="C150" s="544"/>
      <c r="D150" s="545" t="s">
        <v>44</v>
      </c>
      <c r="E150" s="546" t="s">
        <v>645</v>
      </c>
      <c r="F150" s="546" t="s">
        <v>46</v>
      </c>
      <c r="G150" s="546" t="s">
        <v>46</v>
      </c>
      <c r="H150" s="547" t="s">
        <v>646</v>
      </c>
      <c r="I150" s="547"/>
      <c r="J150" s="547"/>
      <c r="K150" s="547"/>
      <c r="L150" s="547"/>
      <c r="M150" s="569" t="s">
        <v>102</v>
      </c>
      <c r="N150" s="551">
        <v>0</v>
      </c>
      <c r="O150" s="552">
        <v>135</v>
      </c>
      <c r="P150" s="553">
        <v>46034</v>
      </c>
      <c r="Q150" s="553"/>
      <c r="R150" s="554" t="s">
        <v>73</v>
      </c>
      <c r="S150" s="555">
        <f ca="1">IF(R150="Aprobado con comentarios / Emitir Rev_B", NETWORKDAYS(Q150,TODAY(),Hoja1!$C$3:$C$25),0)</f>
        <v>0</v>
      </c>
      <c r="T150" s="555">
        <f ca="1">IF(R150="Revisión INN",NETWORKDAYS(P150,TODAY(),Hoja1!$C$3:$C$25),0)</f>
        <v>0</v>
      </c>
      <c r="U150" s="556">
        <f t="shared" si="5"/>
        <v>1</v>
      </c>
      <c r="V150" s="557">
        <v>0</v>
      </c>
      <c r="W150" s="558">
        <v>135</v>
      </c>
      <c r="X150" s="558"/>
      <c r="Y150" s="559">
        <v>46034</v>
      </c>
      <c r="Z150" s="560"/>
      <c r="AA150" s="561"/>
      <c r="AB150" s="562"/>
      <c r="AC150" s="561"/>
      <c r="AD150" s="563"/>
      <c r="AE150" s="567"/>
      <c r="AF150" s="564"/>
      <c r="AG150" s="565"/>
      <c r="AH150" s="560"/>
      <c r="AI150" s="561"/>
      <c r="AJ150" s="562"/>
      <c r="AK150" s="561"/>
      <c r="AL150" s="563"/>
      <c r="AM150" s="567"/>
      <c r="AN150" s="564"/>
      <c r="AO150" s="565"/>
      <c r="AP150" s="560"/>
      <c r="AQ150" s="561"/>
      <c r="AR150" s="562"/>
      <c r="AS150" s="561"/>
      <c r="AT150" s="563"/>
      <c r="AU150" s="567"/>
      <c r="AV150" s="564"/>
      <c r="AW150" s="565"/>
      <c r="AX150" s="560"/>
      <c r="AY150" s="561"/>
      <c r="AZ150" s="562"/>
      <c r="BA150" s="561"/>
      <c r="BB150" s="563"/>
      <c r="BC150" s="567"/>
      <c r="BD150" s="564"/>
      <c r="BE150" s="565"/>
      <c r="BF150" s="560"/>
      <c r="BG150" s="561"/>
      <c r="BH150" s="562"/>
      <c r="BI150" s="561"/>
      <c r="BJ150" s="563"/>
      <c r="BK150" s="567"/>
      <c r="BL150" s="564"/>
      <c r="BM150" s="565"/>
      <c r="BN150" s="560"/>
      <c r="BO150" s="561"/>
      <c r="BP150" s="562"/>
      <c r="BQ150" s="561"/>
      <c r="BR150" s="563"/>
      <c r="BS150" s="567"/>
      <c r="BT150" s="564"/>
      <c r="BU150" s="565"/>
      <c r="BV150" s="560"/>
      <c r="BW150" s="561"/>
      <c r="BX150" s="562"/>
      <c r="BY150" s="561"/>
      <c r="BZ150" s="563"/>
      <c r="CA150" s="567"/>
      <c r="CB150" s="564"/>
      <c r="CC150" s="565"/>
      <c r="CD150" s="560"/>
      <c r="CE150" s="561"/>
      <c r="CF150" s="562"/>
      <c r="CG150" s="561"/>
      <c r="CH150" s="563"/>
      <c r="CI150" s="564"/>
      <c r="CJ150" s="564"/>
      <c r="CK150" s="564"/>
      <c r="CL150" s="560"/>
      <c r="CM150" s="561"/>
      <c r="CN150" s="562"/>
      <c r="CO150" s="561"/>
      <c r="CP150" s="563"/>
      <c r="CQ150" s="564"/>
      <c r="CR150" s="564"/>
      <c r="CS150" s="564"/>
      <c r="CT150" s="560"/>
      <c r="CU150" s="561"/>
      <c r="CV150" s="562"/>
      <c r="CW150" s="561"/>
      <c r="CX150" s="563"/>
      <c r="CY150" s="564"/>
      <c r="CZ150" s="564"/>
      <c r="DA150" s="564"/>
      <c r="DB150" s="560"/>
      <c r="DC150" s="561"/>
      <c r="DD150" s="562"/>
      <c r="DE150" s="561"/>
      <c r="DF150" s="563"/>
      <c r="DG150" s="564"/>
      <c r="DH150" s="564"/>
      <c r="DI150" s="564"/>
      <c r="DJ150" s="560"/>
      <c r="DK150" s="561"/>
      <c r="DL150" s="562"/>
      <c r="DM150" s="561"/>
      <c r="DN150" s="563"/>
      <c r="DO150" s="564"/>
      <c r="DP150" s="564"/>
      <c r="DQ150" s="564"/>
      <c r="DR150" s="560"/>
      <c r="DS150" s="561"/>
      <c r="DT150" s="562"/>
      <c r="DU150" s="561"/>
      <c r="DV150" s="563"/>
      <c r="DW150" s="564"/>
      <c r="DX150" s="564"/>
      <c r="DY150" s="564"/>
      <c r="DZ150" s="560"/>
      <c r="EA150" s="561"/>
      <c r="EB150" s="562"/>
      <c r="EC150" s="561"/>
      <c r="ED150" s="563"/>
      <c r="EE150" s="564"/>
      <c r="EF150" s="564"/>
      <c r="EG150" s="564"/>
      <c r="EH150" s="560"/>
      <c r="EI150" s="561"/>
      <c r="EJ150" s="562"/>
      <c r="EK150" s="561"/>
      <c r="EL150" s="563"/>
      <c r="EM150" s="564"/>
      <c r="EN150" s="564"/>
      <c r="EO150" s="564"/>
      <c r="EP150" s="560"/>
      <c r="EQ150" s="561"/>
      <c r="ER150" s="562"/>
      <c r="ES150" s="561"/>
      <c r="ET150" s="563"/>
      <c r="EU150" s="564"/>
      <c r="EV150" s="564"/>
      <c r="EW150" s="564"/>
      <c r="EX150" s="560"/>
      <c r="EY150" s="561"/>
      <c r="EZ150" s="562"/>
      <c r="FA150" s="561"/>
      <c r="FB150" s="563"/>
      <c r="FC150" s="564"/>
      <c r="FD150" s="564"/>
      <c r="FE150" s="564"/>
      <c r="FF150" s="560"/>
      <c r="FG150" s="561"/>
      <c r="FH150" s="562"/>
      <c r="FI150" s="561"/>
      <c r="FJ150" s="563"/>
      <c r="FK150" s="564"/>
      <c r="FL150" s="564"/>
      <c r="FM150" s="564"/>
      <c r="FN150" s="560"/>
      <c r="FO150" s="561"/>
      <c r="FP150" s="562"/>
      <c r="FQ150" s="561"/>
      <c r="FR150" s="563"/>
      <c r="FS150" s="564"/>
      <c r="FT150" s="564"/>
      <c r="FU150" s="564"/>
      <c r="FV150" s="560"/>
      <c r="FW150" s="566"/>
      <c r="FX150" s="566"/>
      <c r="FY150" s="566"/>
      <c r="FZ150" s="563"/>
      <c r="GA150" s="564"/>
      <c r="GB150" s="564"/>
      <c r="GC150" s="564"/>
      <c r="GD150" s="560"/>
      <c r="GE150" s="566"/>
      <c r="GF150" s="566"/>
      <c r="GG150" s="566"/>
      <c r="GH150" s="563"/>
      <c r="GI150" s="564"/>
      <c r="GJ150" s="564"/>
      <c r="GK150" s="564"/>
      <c r="GL150" s="560"/>
      <c r="GM150" s="566"/>
      <c r="GN150" s="566"/>
      <c r="GO150" s="566"/>
      <c r="GP150" s="563"/>
      <c r="GQ150" s="564"/>
      <c r="GR150" s="564"/>
      <c r="GS150" s="564"/>
      <c r="GT150" s="560"/>
      <c r="GU150" s="566"/>
      <c r="GV150" s="566"/>
      <c r="GW150" s="566"/>
      <c r="GX150" s="563"/>
      <c r="GY150" s="564"/>
      <c r="GZ150" s="564"/>
      <c r="HA150" s="590"/>
      <c r="HB150" s="560"/>
      <c r="HC150" s="566"/>
      <c r="HD150" s="566"/>
      <c r="HE150" s="566"/>
      <c r="HF150" s="563"/>
      <c r="HG150" s="564"/>
      <c r="HH150" s="564"/>
      <c r="HI150" s="590"/>
      <c r="HJ150" s="560"/>
      <c r="HK150" s="566"/>
      <c r="HL150" s="566"/>
      <c r="HM150" s="566"/>
      <c r="HN150" s="563"/>
      <c r="HO150" s="564"/>
      <c r="HP150" s="564"/>
      <c r="HQ150" s="590"/>
      <c r="HR150" s="560"/>
      <c r="HS150" s="566"/>
      <c r="HT150" s="566"/>
      <c r="HU150" s="566"/>
    </row>
    <row r="151" spans="2:229" s="506" customFormat="1" ht="52" customHeight="1" x14ac:dyDescent="0.35">
      <c r="B151" s="544">
        <v>148</v>
      </c>
      <c r="C151" s="544"/>
      <c r="D151" s="545"/>
      <c r="E151" s="545" t="s">
        <v>647</v>
      </c>
      <c r="F151" s="546" t="s">
        <v>46</v>
      </c>
      <c r="G151" s="546" t="s">
        <v>46</v>
      </c>
      <c r="H151" s="547" t="s">
        <v>648</v>
      </c>
      <c r="I151" s="548" t="s">
        <v>86</v>
      </c>
      <c r="J151" s="548"/>
      <c r="K151" s="568" t="s">
        <v>86</v>
      </c>
      <c r="L151" s="572"/>
      <c r="M151" s="569" t="s">
        <v>132</v>
      </c>
      <c r="N151" s="551">
        <v>1</v>
      </c>
      <c r="O151" s="576" t="s">
        <v>649</v>
      </c>
      <c r="P151" s="553">
        <v>46030</v>
      </c>
      <c r="Q151" s="554">
        <v>46031</v>
      </c>
      <c r="R151" s="554" t="s">
        <v>67</v>
      </c>
      <c r="S151" s="555">
        <f ca="1">IF(R151="Aprobado con comentarios / Emitir en Rev_0", NETWORKDAYS(Q151,TODAY(),Hoja1!$C$3:$C$25),0)</f>
        <v>0</v>
      </c>
      <c r="T151" s="555">
        <f ca="1">IF(R151="Revisión INN",NETWORKDAYS(P151,TODAY(),Hoja1!$C$3:$C$25),0)</f>
        <v>0</v>
      </c>
      <c r="U151" s="556">
        <f t="shared" si="5"/>
        <v>2</v>
      </c>
      <c r="V151" s="557">
        <v>0</v>
      </c>
      <c r="W151" s="558">
        <v>69</v>
      </c>
      <c r="X151" s="558"/>
      <c r="Y151" s="559">
        <v>45972</v>
      </c>
      <c r="Z151" s="560"/>
      <c r="AA151" s="561"/>
      <c r="AB151" s="562"/>
      <c r="AC151" s="561"/>
      <c r="AD151" s="563">
        <v>1</v>
      </c>
      <c r="AE151" s="567">
        <v>133</v>
      </c>
      <c r="AF151" s="564"/>
      <c r="AG151" s="565">
        <v>46030</v>
      </c>
      <c r="AH151" s="560" t="s">
        <v>649</v>
      </c>
      <c r="AI151" s="561">
        <v>46031</v>
      </c>
      <c r="AJ151" s="562"/>
      <c r="AK151" s="561" t="s">
        <v>650</v>
      </c>
      <c r="AL151" s="563"/>
      <c r="AM151" s="567"/>
      <c r="AN151" s="564"/>
      <c r="AO151" s="565"/>
      <c r="AP151" s="560"/>
      <c r="AQ151" s="561"/>
      <c r="AR151" s="562"/>
      <c r="AS151" s="561"/>
      <c r="AT151" s="563"/>
      <c r="AU151" s="567"/>
      <c r="AV151" s="564"/>
      <c r="AW151" s="565"/>
      <c r="AX151" s="560"/>
      <c r="AY151" s="561"/>
      <c r="AZ151" s="562"/>
      <c r="BA151" s="561"/>
      <c r="BB151" s="563"/>
      <c r="BC151" s="567"/>
      <c r="BD151" s="564"/>
      <c r="BE151" s="565"/>
      <c r="BF151" s="560"/>
      <c r="BG151" s="561"/>
      <c r="BH151" s="562"/>
      <c r="BI151" s="561"/>
      <c r="BJ151" s="563"/>
      <c r="BK151" s="567"/>
      <c r="BL151" s="564"/>
      <c r="BM151" s="565"/>
      <c r="BN151" s="560"/>
      <c r="BO151" s="561"/>
      <c r="BP151" s="562"/>
      <c r="BQ151" s="561"/>
      <c r="BR151" s="563"/>
      <c r="BS151" s="567"/>
      <c r="BT151" s="564"/>
      <c r="BU151" s="565"/>
      <c r="BV151" s="560"/>
      <c r="BW151" s="561"/>
      <c r="BX151" s="562"/>
      <c r="BY151" s="561"/>
      <c r="BZ151" s="563"/>
      <c r="CA151" s="567"/>
      <c r="CB151" s="564"/>
      <c r="CC151" s="565"/>
      <c r="CD151" s="560"/>
      <c r="CE151" s="561"/>
      <c r="CF151" s="562"/>
      <c r="CG151" s="561"/>
      <c r="CH151" s="563"/>
      <c r="CI151" s="564"/>
      <c r="CJ151" s="564"/>
      <c r="CK151" s="564"/>
      <c r="CL151" s="560"/>
      <c r="CM151" s="561"/>
      <c r="CN151" s="562"/>
      <c r="CO151" s="561"/>
      <c r="CP151" s="563"/>
      <c r="CQ151" s="564"/>
      <c r="CR151" s="564"/>
      <c r="CS151" s="564"/>
      <c r="CT151" s="560"/>
      <c r="CU151" s="561"/>
      <c r="CV151" s="562"/>
      <c r="CW151" s="561"/>
      <c r="CX151" s="563"/>
      <c r="CY151" s="564"/>
      <c r="CZ151" s="564"/>
      <c r="DA151" s="564"/>
      <c r="DB151" s="560"/>
      <c r="DC151" s="561"/>
      <c r="DD151" s="562"/>
      <c r="DE151" s="561"/>
      <c r="DF151" s="563"/>
      <c r="DG151" s="564"/>
      <c r="DH151" s="564"/>
      <c r="DI151" s="564"/>
      <c r="DJ151" s="560"/>
      <c r="DK151" s="561"/>
      <c r="DL151" s="562"/>
      <c r="DM151" s="561"/>
      <c r="DN151" s="563"/>
      <c r="DO151" s="564"/>
      <c r="DP151" s="564"/>
      <c r="DQ151" s="564"/>
      <c r="DR151" s="560"/>
      <c r="DS151" s="561"/>
      <c r="DT151" s="562"/>
      <c r="DU151" s="561"/>
      <c r="DV151" s="563"/>
      <c r="DW151" s="564"/>
      <c r="DX151" s="564"/>
      <c r="DY151" s="564"/>
      <c r="DZ151" s="560"/>
      <c r="EA151" s="561"/>
      <c r="EB151" s="562"/>
      <c r="EC151" s="561"/>
      <c r="ED151" s="563"/>
      <c r="EE151" s="564"/>
      <c r="EF151" s="564"/>
      <c r="EG151" s="564"/>
      <c r="EH151" s="560"/>
      <c r="EI151" s="561"/>
      <c r="EJ151" s="562"/>
      <c r="EK151" s="561"/>
      <c r="EL151" s="563"/>
      <c r="EM151" s="564"/>
      <c r="EN151" s="564"/>
      <c r="EO151" s="564"/>
      <c r="EP151" s="560"/>
      <c r="EQ151" s="561"/>
      <c r="ER151" s="562"/>
      <c r="ES151" s="561"/>
      <c r="ET151" s="563"/>
      <c r="EU151" s="564"/>
      <c r="EV151" s="564"/>
      <c r="EW151" s="564"/>
      <c r="EX151" s="560"/>
      <c r="EY151" s="561"/>
      <c r="EZ151" s="562"/>
      <c r="FA151" s="561"/>
      <c r="FB151" s="563"/>
      <c r="FC151" s="564"/>
      <c r="FD151" s="564"/>
      <c r="FE151" s="564"/>
      <c r="FF151" s="560"/>
      <c r="FG151" s="561"/>
      <c r="FH151" s="562"/>
      <c r="FI151" s="561"/>
      <c r="FJ151" s="563"/>
      <c r="FK151" s="564"/>
      <c r="FL151" s="564"/>
      <c r="FM151" s="564"/>
      <c r="FN151" s="560"/>
      <c r="FO151" s="561"/>
      <c r="FP151" s="562"/>
      <c r="FQ151" s="561"/>
      <c r="FR151" s="563"/>
      <c r="FS151" s="564"/>
      <c r="FT151" s="564"/>
      <c r="FU151" s="564"/>
      <c r="FV151" s="560"/>
      <c r="FW151" s="566"/>
      <c r="FX151" s="566"/>
      <c r="FY151" s="566"/>
      <c r="FZ151" s="563"/>
      <c r="GA151" s="564"/>
      <c r="GB151" s="564"/>
      <c r="GC151" s="564"/>
      <c r="GD151" s="560"/>
      <c r="GE151" s="566"/>
      <c r="GF151" s="566"/>
      <c r="GG151" s="566"/>
      <c r="GH151" s="563"/>
      <c r="GI151" s="564"/>
      <c r="GJ151" s="564"/>
      <c r="GK151" s="564"/>
      <c r="GL151" s="560"/>
      <c r="GM151" s="566"/>
      <c r="GN151" s="566"/>
      <c r="GO151" s="566"/>
      <c r="GP151" s="563"/>
      <c r="GQ151" s="564"/>
      <c r="GR151" s="564"/>
      <c r="GS151" s="564"/>
      <c r="GT151" s="560"/>
      <c r="GU151" s="566"/>
      <c r="GV151" s="566"/>
      <c r="GW151" s="566"/>
      <c r="GX151" s="563"/>
      <c r="GY151" s="564"/>
      <c r="GZ151" s="564"/>
      <c r="HA151" s="590"/>
      <c r="HB151" s="560"/>
      <c r="HC151" s="566"/>
      <c r="HD151" s="566"/>
      <c r="HE151" s="566"/>
      <c r="HF151" s="563"/>
      <c r="HG151" s="564"/>
      <c r="HH151" s="564"/>
      <c r="HI151" s="590"/>
      <c r="HJ151" s="560"/>
      <c r="HK151" s="566"/>
      <c r="HL151" s="566"/>
      <c r="HM151" s="566"/>
      <c r="HN151" s="563"/>
      <c r="HO151" s="564"/>
      <c r="HP151" s="564"/>
      <c r="HQ151" s="590"/>
      <c r="HR151" s="560"/>
      <c r="HS151" s="566"/>
      <c r="HT151" s="566"/>
      <c r="HU151" s="566"/>
    </row>
    <row r="152" spans="2:229" s="506" customFormat="1" ht="77.150000000000006" customHeight="1" thickBot="1" x14ac:dyDescent="0.4">
      <c r="B152" s="544">
        <v>149</v>
      </c>
      <c r="C152" s="544"/>
      <c r="D152" s="545"/>
      <c r="E152" s="545" t="s">
        <v>651</v>
      </c>
      <c r="F152" s="546" t="s">
        <v>46</v>
      </c>
      <c r="G152" s="546" t="s">
        <v>46</v>
      </c>
      <c r="H152" s="547" t="s">
        <v>652</v>
      </c>
      <c r="I152" s="548" t="s">
        <v>86</v>
      </c>
      <c r="J152" s="548"/>
      <c r="K152" s="568" t="s">
        <v>86</v>
      </c>
      <c r="L152" s="572"/>
      <c r="M152" s="569" t="s">
        <v>132</v>
      </c>
      <c r="N152" s="551">
        <v>2</v>
      </c>
      <c r="O152" s="576" t="s">
        <v>649</v>
      </c>
      <c r="P152" s="553">
        <v>46030</v>
      </c>
      <c r="Q152" s="554">
        <v>46031</v>
      </c>
      <c r="R152" s="554" t="s">
        <v>67</v>
      </c>
      <c r="S152" s="555">
        <f ca="1">IF(R152="Aprobado con comentarios / Emitir en Rev_0", NETWORKDAYS(Q152,TODAY(),Hoja1!$C$3:$C$25),0)</f>
        <v>0</v>
      </c>
      <c r="T152" s="555">
        <f ca="1">IF(R152="Revisión INN",NETWORKDAYS(P152,TODAY(),Hoja1!$C$3:$C$25),0)</f>
        <v>0</v>
      </c>
      <c r="U152" s="556">
        <f t="shared" si="5"/>
        <v>1</v>
      </c>
      <c r="V152" s="557">
        <v>2</v>
      </c>
      <c r="W152" s="558">
        <v>133</v>
      </c>
      <c r="X152" s="558"/>
      <c r="Y152" s="559">
        <v>46030</v>
      </c>
      <c r="Z152" s="560" t="s">
        <v>649</v>
      </c>
      <c r="AA152" s="561">
        <v>46031</v>
      </c>
      <c r="AB152" s="562"/>
      <c r="AC152" s="561" t="s">
        <v>650</v>
      </c>
      <c r="AD152" s="563"/>
      <c r="AE152" s="567"/>
      <c r="AF152" s="564"/>
      <c r="AG152" s="565"/>
      <c r="AH152" s="560"/>
      <c r="AI152" s="561"/>
      <c r="AJ152" s="562"/>
      <c r="AK152" s="561"/>
      <c r="AL152" s="563"/>
      <c r="AM152" s="567"/>
      <c r="AN152" s="564"/>
      <c r="AO152" s="565"/>
      <c r="AP152" s="560"/>
      <c r="AQ152" s="561"/>
      <c r="AR152" s="562"/>
      <c r="AS152" s="561"/>
      <c r="AT152" s="563"/>
      <c r="AU152" s="567"/>
      <c r="AV152" s="564"/>
      <c r="AW152" s="565"/>
      <c r="AX152" s="560"/>
      <c r="AY152" s="561"/>
      <c r="AZ152" s="562"/>
      <c r="BA152" s="561"/>
      <c r="BB152" s="563"/>
      <c r="BC152" s="567"/>
      <c r="BD152" s="564"/>
      <c r="BE152" s="565"/>
      <c r="BF152" s="560"/>
      <c r="BG152" s="561"/>
      <c r="BH152" s="562"/>
      <c r="BI152" s="561"/>
      <c r="BJ152" s="563"/>
      <c r="BK152" s="567"/>
      <c r="BL152" s="564"/>
      <c r="BM152" s="565"/>
      <c r="BN152" s="560"/>
      <c r="BO152" s="561"/>
      <c r="BP152" s="562"/>
      <c r="BQ152" s="561"/>
      <c r="BR152" s="563"/>
      <c r="BS152" s="567"/>
      <c r="BT152" s="564"/>
      <c r="BU152" s="565"/>
      <c r="BV152" s="560"/>
      <c r="BW152" s="561"/>
      <c r="BX152" s="562"/>
      <c r="BY152" s="561"/>
      <c r="BZ152" s="563"/>
      <c r="CA152" s="567"/>
      <c r="CB152" s="564"/>
      <c r="CC152" s="565"/>
      <c r="CD152" s="560"/>
      <c r="CE152" s="561"/>
      <c r="CF152" s="562"/>
      <c r="CG152" s="561"/>
      <c r="CH152" s="563"/>
      <c r="CI152" s="564"/>
      <c r="CJ152" s="564"/>
      <c r="CK152" s="564"/>
      <c r="CL152" s="560"/>
      <c r="CM152" s="561"/>
      <c r="CN152" s="562"/>
      <c r="CO152" s="561"/>
      <c r="CP152" s="563"/>
      <c r="CQ152" s="564"/>
      <c r="CR152" s="564"/>
      <c r="CS152" s="564"/>
      <c r="CT152" s="560"/>
      <c r="CU152" s="561"/>
      <c r="CV152" s="562"/>
      <c r="CW152" s="561"/>
      <c r="CX152" s="563"/>
      <c r="CY152" s="564"/>
      <c r="CZ152" s="564"/>
      <c r="DA152" s="564"/>
      <c r="DB152" s="560"/>
      <c r="DC152" s="561"/>
      <c r="DD152" s="562"/>
      <c r="DE152" s="561"/>
      <c r="DF152" s="563"/>
      <c r="DG152" s="564"/>
      <c r="DH152" s="564"/>
      <c r="DI152" s="564"/>
      <c r="DJ152" s="560"/>
      <c r="DK152" s="561"/>
      <c r="DL152" s="562"/>
      <c r="DM152" s="561"/>
      <c r="DN152" s="563"/>
      <c r="DO152" s="564"/>
      <c r="DP152" s="564"/>
      <c r="DQ152" s="564"/>
      <c r="DR152" s="560"/>
      <c r="DS152" s="561"/>
      <c r="DT152" s="562"/>
      <c r="DU152" s="561"/>
      <c r="DV152" s="563"/>
      <c r="DW152" s="564"/>
      <c r="DX152" s="564"/>
      <c r="DY152" s="564"/>
      <c r="DZ152" s="560"/>
      <c r="EA152" s="561"/>
      <c r="EB152" s="562"/>
      <c r="EC152" s="561"/>
      <c r="ED152" s="563"/>
      <c r="EE152" s="564"/>
      <c r="EF152" s="564"/>
      <c r="EG152" s="564"/>
      <c r="EH152" s="560"/>
      <c r="EI152" s="561"/>
      <c r="EJ152" s="562"/>
      <c r="EK152" s="561"/>
      <c r="EL152" s="563"/>
      <c r="EM152" s="564"/>
      <c r="EN152" s="564"/>
      <c r="EO152" s="564"/>
      <c r="EP152" s="560"/>
      <c r="EQ152" s="561"/>
      <c r="ER152" s="562"/>
      <c r="ES152" s="561"/>
      <c r="ET152" s="563"/>
      <c r="EU152" s="564"/>
      <c r="EV152" s="564"/>
      <c r="EW152" s="564"/>
      <c r="EX152" s="560"/>
      <c r="EY152" s="561"/>
      <c r="EZ152" s="562"/>
      <c r="FA152" s="561"/>
      <c r="FB152" s="563"/>
      <c r="FC152" s="564"/>
      <c r="FD152" s="564"/>
      <c r="FE152" s="564"/>
      <c r="FF152" s="560"/>
      <c r="FG152" s="561"/>
      <c r="FH152" s="562"/>
      <c r="FI152" s="561"/>
      <c r="FJ152" s="563"/>
      <c r="FK152" s="564"/>
      <c r="FL152" s="564"/>
      <c r="FM152" s="564"/>
      <c r="FN152" s="560"/>
      <c r="FO152" s="561"/>
      <c r="FP152" s="562"/>
      <c r="FQ152" s="561"/>
      <c r="FR152" s="563"/>
      <c r="FS152" s="564"/>
      <c r="FT152" s="564"/>
      <c r="FU152" s="564"/>
      <c r="FV152" s="560"/>
      <c r="FW152" s="566"/>
      <c r="FX152" s="566"/>
      <c r="FY152" s="566"/>
      <c r="FZ152" s="563"/>
      <c r="GA152" s="564"/>
      <c r="GB152" s="564"/>
      <c r="GC152" s="564"/>
      <c r="GD152" s="560"/>
      <c r="GE152" s="566"/>
      <c r="GF152" s="566"/>
      <c r="GG152" s="566"/>
      <c r="GH152" s="563"/>
      <c r="GI152" s="564"/>
      <c r="GJ152" s="564"/>
      <c r="GK152" s="564"/>
      <c r="GL152" s="560"/>
      <c r="GM152" s="566"/>
      <c r="GN152" s="566"/>
      <c r="GO152" s="566"/>
      <c r="GP152" s="563"/>
      <c r="GQ152" s="564"/>
      <c r="GR152" s="564"/>
      <c r="GS152" s="564"/>
      <c r="GT152" s="560"/>
      <c r="GU152" s="566"/>
      <c r="GV152" s="566"/>
      <c r="GW152" s="566"/>
      <c r="GX152" s="563"/>
      <c r="GY152" s="564"/>
      <c r="GZ152" s="564"/>
      <c r="HA152" s="590"/>
      <c r="HB152" s="560"/>
      <c r="HC152" s="566"/>
      <c r="HD152" s="566"/>
      <c r="HE152" s="566"/>
      <c r="HF152" s="563"/>
      <c r="HG152" s="564"/>
      <c r="HH152" s="564"/>
      <c r="HI152" s="590"/>
      <c r="HJ152" s="560"/>
      <c r="HK152" s="566"/>
      <c r="HL152" s="566"/>
      <c r="HM152" s="566"/>
      <c r="HN152" s="563"/>
      <c r="HO152" s="564"/>
      <c r="HP152" s="564"/>
      <c r="HQ152" s="590"/>
      <c r="HR152" s="560"/>
      <c r="HS152" s="566"/>
      <c r="HT152" s="566"/>
      <c r="HU152" s="566"/>
    </row>
    <row r="153" spans="2:229" s="506" customFormat="1" ht="77.150000000000006" customHeight="1" x14ac:dyDescent="0.35">
      <c r="B153" s="544">
        <v>150</v>
      </c>
      <c r="C153" s="544"/>
      <c r="D153" s="545" t="s">
        <v>44</v>
      </c>
      <c r="E153" s="545" t="s">
        <v>653</v>
      </c>
      <c r="F153" s="546" t="s">
        <v>46</v>
      </c>
      <c r="G153" s="546" t="s">
        <v>46</v>
      </c>
      <c r="H153" s="547" t="s">
        <v>654</v>
      </c>
      <c r="I153" s="549"/>
      <c r="J153" s="705"/>
      <c r="K153" s="568"/>
      <c r="L153" s="548"/>
      <c r="M153" s="569" t="s">
        <v>48</v>
      </c>
      <c r="N153" s="551">
        <v>0</v>
      </c>
      <c r="O153" s="552">
        <v>86</v>
      </c>
      <c r="P153" s="553">
        <v>46008</v>
      </c>
      <c r="Q153" s="553"/>
      <c r="R153" s="554" t="s">
        <v>73</v>
      </c>
      <c r="S153" s="555">
        <f ca="1">IF(R153="Aprobado con comentarios / Emitir en Rev_0", NETWORKDAYS(Q153,TODAY(),Hoja1!$C$3:$C$25),0)</f>
        <v>0</v>
      </c>
      <c r="T153" s="555">
        <f ca="1">IF(R153="Revisión INN",NETWORKDAYS(P153,TODAY(),Hoja1!$C$3:$C$25),0)</f>
        <v>0</v>
      </c>
      <c r="U153" s="556">
        <f t="shared" si="5"/>
        <v>1</v>
      </c>
      <c r="V153" s="557">
        <v>0</v>
      </c>
      <c r="W153" s="558">
        <v>86</v>
      </c>
      <c r="X153" s="558"/>
      <c r="Y153" s="559">
        <v>46008</v>
      </c>
      <c r="Z153" s="560"/>
      <c r="AA153" s="561"/>
      <c r="AB153" s="562"/>
      <c r="AC153" s="561"/>
      <c r="AD153" s="563"/>
      <c r="AE153" s="567"/>
      <c r="AF153" s="564"/>
      <c r="AG153" s="565"/>
      <c r="AH153" s="560"/>
      <c r="AI153" s="561"/>
      <c r="AJ153" s="562"/>
      <c r="AK153" s="561"/>
      <c r="AL153" s="563"/>
      <c r="AM153" s="567"/>
      <c r="AN153" s="564"/>
      <c r="AO153" s="565"/>
      <c r="AP153" s="560"/>
      <c r="AQ153" s="561"/>
      <c r="AR153" s="562"/>
      <c r="AS153" s="561"/>
      <c r="AT153" s="563"/>
      <c r="AU153" s="567"/>
      <c r="AV153" s="564"/>
      <c r="AW153" s="565"/>
      <c r="AX153" s="560"/>
      <c r="AY153" s="561"/>
      <c r="AZ153" s="562"/>
      <c r="BA153" s="561"/>
      <c r="BB153" s="563"/>
      <c r="BC153" s="567"/>
      <c r="BD153" s="564"/>
      <c r="BE153" s="565"/>
      <c r="BF153" s="560"/>
      <c r="BG153" s="561"/>
      <c r="BH153" s="562"/>
      <c r="BI153" s="561"/>
      <c r="BJ153" s="563"/>
      <c r="BK153" s="567"/>
      <c r="BL153" s="564"/>
      <c r="BM153" s="565"/>
      <c r="BN153" s="560"/>
      <c r="BO153" s="561"/>
      <c r="BP153" s="562"/>
      <c r="BQ153" s="561"/>
      <c r="BR153" s="563"/>
      <c r="BS153" s="567"/>
      <c r="BT153" s="564"/>
      <c r="BU153" s="565"/>
      <c r="BV153" s="560"/>
      <c r="BW153" s="561"/>
      <c r="BX153" s="562"/>
      <c r="BY153" s="561"/>
      <c r="BZ153" s="563"/>
      <c r="CA153" s="567"/>
      <c r="CB153" s="564"/>
      <c r="CC153" s="565"/>
      <c r="CD153" s="560"/>
      <c r="CE153" s="561"/>
      <c r="CF153" s="562"/>
      <c r="CG153" s="561"/>
      <c r="CH153" s="563"/>
      <c r="CI153" s="564"/>
      <c r="CJ153" s="564"/>
      <c r="CK153" s="564"/>
      <c r="CL153" s="560"/>
      <c r="CM153" s="561"/>
      <c r="CN153" s="562"/>
      <c r="CO153" s="561"/>
      <c r="CP153" s="563"/>
      <c r="CQ153" s="564"/>
      <c r="CR153" s="564"/>
      <c r="CS153" s="564"/>
      <c r="CT153" s="560"/>
      <c r="CU153" s="561"/>
      <c r="CV153" s="562"/>
      <c r="CW153" s="561"/>
      <c r="CX153" s="563"/>
      <c r="CY153" s="564"/>
      <c r="CZ153" s="564"/>
      <c r="DA153" s="564"/>
      <c r="DB153" s="560"/>
      <c r="DC153" s="561"/>
      <c r="DD153" s="562"/>
      <c r="DE153" s="561"/>
      <c r="DF153" s="563"/>
      <c r="DG153" s="564"/>
      <c r="DH153" s="564"/>
      <c r="DI153" s="564"/>
      <c r="DJ153" s="560"/>
      <c r="DK153" s="561"/>
      <c r="DL153" s="562"/>
      <c r="DM153" s="561"/>
      <c r="DN153" s="563"/>
      <c r="DO153" s="564"/>
      <c r="DP153" s="564"/>
      <c r="DQ153" s="564"/>
      <c r="DR153" s="560"/>
      <c r="DS153" s="561"/>
      <c r="DT153" s="562"/>
      <c r="DU153" s="561"/>
      <c r="DV153" s="563"/>
      <c r="DW153" s="564"/>
      <c r="DX153" s="564"/>
      <c r="DY153" s="564"/>
      <c r="DZ153" s="560"/>
      <c r="EA153" s="561"/>
      <c r="EB153" s="562"/>
      <c r="EC153" s="561"/>
      <c r="ED153" s="563"/>
      <c r="EE153" s="564"/>
      <c r="EF153" s="564"/>
      <c r="EG153" s="564"/>
      <c r="EH153" s="560"/>
      <c r="EI153" s="561"/>
      <c r="EJ153" s="562"/>
      <c r="EK153" s="561"/>
      <c r="EL153" s="563"/>
      <c r="EM153" s="564"/>
      <c r="EN153" s="564"/>
      <c r="EO153" s="564"/>
      <c r="EP153" s="560"/>
      <c r="EQ153" s="561"/>
      <c r="ER153" s="562"/>
      <c r="ES153" s="561"/>
      <c r="ET153" s="563"/>
      <c r="EU153" s="564"/>
      <c r="EV153" s="564"/>
      <c r="EW153" s="564"/>
      <c r="EX153" s="560"/>
      <c r="EY153" s="561"/>
      <c r="EZ153" s="562"/>
      <c r="FA153" s="561"/>
      <c r="FB153" s="563"/>
      <c r="FC153" s="564"/>
      <c r="FD153" s="564"/>
      <c r="FE153" s="564"/>
      <c r="FF153" s="560"/>
      <c r="FG153" s="561"/>
      <c r="FH153" s="562"/>
      <c r="FI153" s="561"/>
      <c r="FJ153" s="563"/>
      <c r="FK153" s="564"/>
      <c r="FL153" s="564"/>
      <c r="FM153" s="564"/>
      <c r="FN153" s="560"/>
      <c r="FO153" s="561"/>
      <c r="FP153" s="562"/>
      <c r="FQ153" s="561"/>
      <c r="FR153" s="563"/>
      <c r="FS153" s="564"/>
      <c r="FT153" s="564"/>
      <c r="FU153" s="564"/>
      <c r="FV153" s="560"/>
      <c r="FW153" s="566"/>
      <c r="FX153" s="566"/>
      <c r="FY153" s="566"/>
      <c r="FZ153" s="563"/>
      <c r="GA153" s="564"/>
      <c r="GB153" s="564"/>
      <c r="GC153" s="564"/>
      <c r="GD153" s="560"/>
      <c r="GE153" s="566"/>
      <c r="GF153" s="566"/>
      <c r="GG153" s="566"/>
      <c r="GH153" s="563"/>
      <c r="GI153" s="564"/>
      <c r="GJ153" s="564"/>
      <c r="GK153" s="564"/>
      <c r="GL153" s="560"/>
      <c r="GM153" s="566"/>
      <c r="GN153" s="566"/>
      <c r="GO153" s="566"/>
      <c r="GP153" s="563"/>
      <c r="GQ153" s="564"/>
      <c r="GR153" s="564"/>
      <c r="GS153" s="564"/>
      <c r="GT153" s="560"/>
      <c r="GU153" s="566"/>
      <c r="GV153" s="566"/>
      <c r="GW153" s="566"/>
      <c r="GX153" s="541"/>
      <c r="GY153" s="535"/>
      <c r="GZ153" s="542"/>
      <c r="HA153" s="543"/>
      <c r="HB153" s="541"/>
      <c r="HC153" s="535"/>
      <c r="HD153" s="542"/>
      <c r="HE153" s="543"/>
      <c r="HF153" s="541"/>
      <c r="HG153" s="535"/>
      <c r="HH153" s="542"/>
      <c r="HI153" s="543"/>
      <c r="HJ153" s="541"/>
      <c r="HK153" s="535"/>
      <c r="HL153" s="542"/>
      <c r="HM153" s="543"/>
      <c r="HN153" s="541"/>
      <c r="HO153" s="535"/>
      <c r="HP153" s="542"/>
      <c r="HQ153" s="543"/>
      <c r="HR153" s="541"/>
      <c r="HS153" s="535"/>
      <c r="HT153" s="542"/>
      <c r="HU153" s="543"/>
    </row>
    <row r="154" spans="2:229" s="506" customFormat="1" ht="77.150000000000006" customHeight="1" x14ac:dyDescent="0.35">
      <c r="B154" s="544">
        <v>151</v>
      </c>
      <c r="C154" s="544"/>
      <c r="D154" s="545" t="s">
        <v>44</v>
      </c>
      <c r="E154" s="545" t="s">
        <v>655</v>
      </c>
      <c r="F154" s="546" t="s">
        <v>46</v>
      </c>
      <c r="G154" s="546" t="s">
        <v>46</v>
      </c>
      <c r="H154" s="547" t="s">
        <v>656</v>
      </c>
      <c r="I154" s="548"/>
      <c r="J154" s="548"/>
      <c r="K154" s="568"/>
      <c r="L154" s="549"/>
      <c r="M154" s="569" t="s">
        <v>48</v>
      </c>
      <c r="N154" s="551">
        <v>0</v>
      </c>
      <c r="O154" s="552">
        <v>118</v>
      </c>
      <c r="P154" s="553">
        <v>46015</v>
      </c>
      <c r="Q154" s="553"/>
      <c r="R154" s="554" t="s">
        <v>73</v>
      </c>
      <c r="S154" s="555">
        <f ca="1">IF(R154="Aprobado con comentarios / Emitir en Rev_0", NETWORKDAYS(Q154,TODAY(),Hoja1!$C$3:$C$25),0)</f>
        <v>0</v>
      </c>
      <c r="T154" s="555">
        <f ca="1">IF(R154="Revisión INN",NETWORKDAYS(P154,TODAY(),Hoja1!$C$3:$C$25),0)</f>
        <v>0</v>
      </c>
      <c r="U154" s="556">
        <f t="shared" si="5"/>
        <v>0</v>
      </c>
      <c r="V154" s="557"/>
      <c r="W154" s="558"/>
      <c r="X154" s="567"/>
      <c r="Y154" s="559"/>
      <c r="Z154" s="560"/>
      <c r="AA154" s="561"/>
      <c r="AB154" s="562"/>
      <c r="AC154" s="561"/>
      <c r="AD154" s="563"/>
      <c r="AE154" s="567"/>
      <c r="AF154" s="564"/>
      <c r="AG154" s="565"/>
      <c r="AH154" s="560"/>
      <c r="AI154" s="561"/>
      <c r="AJ154" s="562"/>
      <c r="AK154" s="561"/>
      <c r="AL154" s="563"/>
      <c r="AM154" s="567"/>
      <c r="AN154" s="564"/>
      <c r="AO154" s="565"/>
      <c r="AP154" s="560"/>
      <c r="AQ154" s="561"/>
      <c r="AR154" s="562"/>
      <c r="AS154" s="561"/>
      <c r="AT154" s="563"/>
      <c r="AU154" s="567"/>
      <c r="AV154" s="564"/>
      <c r="AW154" s="565"/>
      <c r="AX154" s="560"/>
      <c r="AY154" s="561"/>
      <c r="AZ154" s="562"/>
      <c r="BA154" s="561"/>
      <c r="BB154" s="563"/>
      <c r="BC154" s="567"/>
      <c r="BD154" s="564"/>
      <c r="BE154" s="565"/>
      <c r="BF154" s="560"/>
      <c r="BG154" s="560"/>
      <c r="BH154" s="560"/>
      <c r="BI154" s="560"/>
      <c r="BJ154" s="563"/>
      <c r="BK154" s="567"/>
      <c r="BL154" s="564"/>
      <c r="BM154" s="565"/>
      <c r="BN154" s="560"/>
      <c r="BO154" s="561"/>
      <c r="BP154" s="562"/>
      <c r="BQ154" s="561"/>
      <c r="BR154" s="563"/>
      <c r="BS154" s="567"/>
      <c r="BT154" s="564"/>
      <c r="BU154" s="565"/>
      <c r="BV154" s="560"/>
      <c r="BW154" s="561"/>
      <c r="BX154" s="562"/>
      <c r="BY154" s="561"/>
      <c r="BZ154" s="563"/>
      <c r="CA154" s="567"/>
      <c r="CB154" s="564"/>
      <c r="CC154" s="565"/>
      <c r="CD154" s="560"/>
      <c r="CE154" s="561"/>
      <c r="CF154" s="562"/>
      <c r="CG154" s="561"/>
      <c r="CH154" s="563"/>
      <c r="CI154" s="564"/>
      <c r="CJ154" s="564"/>
      <c r="CK154" s="590"/>
      <c r="CL154" s="560"/>
      <c r="CM154" s="561"/>
      <c r="CN154" s="562"/>
      <c r="CO154" s="561"/>
      <c r="CP154" s="563"/>
      <c r="CQ154" s="564"/>
      <c r="CR154" s="564"/>
      <c r="CS154" s="590"/>
      <c r="CT154" s="560"/>
      <c r="CU154" s="561"/>
      <c r="CV154" s="562"/>
      <c r="CW154" s="561"/>
      <c r="CX154" s="563"/>
      <c r="CY154" s="564"/>
      <c r="CZ154" s="564"/>
      <c r="DA154" s="565"/>
      <c r="DB154" s="560"/>
      <c r="DC154" s="561"/>
      <c r="DD154" s="562"/>
      <c r="DE154" s="561"/>
      <c r="DF154" s="563"/>
      <c r="DG154" s="564"/>
      <c r="DH154" s="564"/>
      <c r="DI154" s="590"/>
      <c r="DJ154" s="560"/>
      <c r="DK154" s="561"/>
      <c r="DL154" s="562"/>
      <c r="DM154" s="561"/>
      <c r="DN154" s="563"/>
      <c r="DO154" s="564"/>
      <c r="DP154" s="564"/>
      <c r="DQ154" s="564"/>
      <c r="DR154" s="560"/>
      <c r="DS154" s="561"/>
      <c r="DT154" s="562"/>
      <c r="DU154" s="561"/>
      <c r="DV154" s="563"/>
      <c r="DW154" s="564"/>
      <c r="DX154" s="564"/>
      <c r="DY154" s="564"/>
      <c r="DZ154" s="560"/>
      <c r="EA154" s="561"/>
      <c r="EB154" s="562"/>
      <c r="EC154" s="561"/>
      <c r="ED154" s="563"/>
      <c r="EE154" s="564"/>
      <c r="EF154" s="564"/>
      <c r="EG154" s="564"/>
      <c r="EH154" s="560"/>
      <c r="EI154" s="561"/>
      <c r="EJ154" s="562"/>
      <c r="EK154" s="561"/>
      <c r="EL154" s="563"/>
      <c r="EM154" s="564"/>
      <c r="EN154" s="564"/>
      <c r="EO154" s="564"/>
      <c r="EP154" s="560"/>
      <c r="EQ154" s="561"/>
      <c r="ER154" s="562"/>
      <c r="ES154" s="561"/>
      <c r="ET154" s="563"/>
      <c r="EU154" s="564"/>
      <c r="EV154" s="564"/>
      <c r="EW154" s="564"/>
      <c r="EX154" s="560"/>
      <c r="EY154" s="561"/>
      <c r="EZ154" s="562"/>
      <c r="FA154" s="561"/>
      <c r="FB154" s="563"/>
      <c r="FC154" s="564"/>
      <c r="FD154" s="564"/>
      <c r="FE154" s="564"/>
      <c r="FF154" s="560"/>
      <c r="FG154" s="561"/>
      <c r="FH154" s="562"/>
      <c r="FI154" s="561"/>
      <c r="FJ154" s="563"/>
      <c r="FK154" s="564"/>
      <c r="FL154" s="564"/>
      <c r="FM154" s="564"/>
      <c r="FN154" s="560"/>
      <c r="FO154" s="561"/>
      <c r="FP154" s="562"/>
      <c r="FQ154" s="561"/>
      <c r="FR154" s="563"/>
      <c r="FS154" s="564"/>
      <c r="FT154" s="564"/>
      <c r="FU154" s="564"/>
      <c r="FV154" s="560"/>
      <c r="FW154" s="566"/>
      <c r="FX154" s="566"/>
      <c r="FY154" s="566"/>
      <c r="FZ154" s="563"/>
      <c r="GA154" s="564"/>
      <c r="GB154" s="564"/>
      <c r="GC154" s="564"/>
      <c r="GD154" s="560"/>
      <c r="GE154" s="566"/>
      <c r="GF154" s="566"/>
      <c r="GG154" s="566"/>
      <c r="GH154" s="563"/>
      <c r="GI154" s="564"/>
      <c r="GJ154" s="564"/>
      <c r="GK154" s="564"/>
      <c r="GL154" s="560"/>
      <c r="GM154" s="566"/>
      <c r="GN154" s="566"/>
      <c r="GO154" s="566"/>
      <c r="GP154" s="563"/>
      <c r="GQ154" s="564"/>
      <c r="GR154" s="564"/>
      <c r="GS154" s="564"/>
      <c r="GT154" s="560"/>
      <c r="GU154" s="566"/>
      <c r="GV154" s="566"/>
      <c r="GW154" s="566"/>
      <c r="GX154" s="563"/>
      <c r="GY154" s="564"/>
      <c r="GZ154" s="564"/>
      <c r="HA154" s="590"/>
      <c r="HB154" s="560"/>
      <c r="HC154" s="566"/>
      <c r="HD154" s="566"/>
      <c r="HE154" s="566"/>
      <c r="HF154" s="563"/>
      <c r="HG154" s="564"/>
      <c r="HH154" s="564"/>
      <c r="HI154" s="590"/>
      <c r="HJ154" s="560"/>
      <c r="HK154" s="566"/>
      <c r="HL154" s="566"/>
      <c r="HM154" s="566"/>
      <c r="HN154" s="563"/>
      <c r="HO154" s="564"/>
      <c r="HP154" s="564"/>
      <c r="HQ154" s="590"/>
      <c r="HR154" s="560"/>
      <c r="HS154" s="566"/>
      <c r="HT154" s="566"/>
      <c r="HU154" s="566"/>
    </row>
    <row r="155" spans="2:229" s="506" customFormat="1" ht="228.65" customHeight="1" x14ac:dyDescent="0.35">
      <c r="B155" s="544">
        <v>152</v>
      </c>
      <c r="C155" s="544"/>
      <c r="D155" s="545" t="s">
        <v>44</v>
      </c>
      <c r="E155" s="545" t="s">
        <v>657</v>
      </c>
      <c r="F155" s="546" t="s">
        <v>46</v>
      </c>
      <c r="G155" s="546" t="s">
        <v>46</v>
      </c>
      <c r="H155" s="547" t="s">
        <v>658</v>
      </c>
      <c r="I155" s="549"/>
      <c r="J155" s="705"/>
      <c r="K155" s="568"/>
      <c r="L155" s="548"/>
      <c r="M155" s="569" t="s">
        <v>48</v>
      </c>
      <c r="N155" s="551">
        <v>0</v>
      </c>
      <c r="O155" s="552">
        <v>126</v>
      </c>
      <c r="P155" s="553">
        <v>46022</v>
      </c>
      <c r="Q155" s="553"/>
      <c r="R155" s="554" t="s">
        <v>73</v>
      </c>
      <c r="S155" s="555">
        <f ca="1">IF(R155="Aprobado con comentarios / Emitir en Rev_0", NETWORKDAYS(Q155,TODAY(),Hoja1!$C$3:$C$25),0)</f>
        <v>0</v>
      </c>
      <c r="T155" s="555">
        <f ca="1">IF(R155="Revisión INN",NETWORKDAYS(P155,TODAY(),Hoja1!$C$3:$C$25),0)</f>
        <v>0</v>
      </c>
      <c r="U155" s="556">
        <f t="shared" si="5"/>
        <v>1</v>
      </c>
      <c r="V155" s="601">
        <v>0</v>
      </c>
      <c r="W155" s="602">
        <v>126</v>
      </c>
      <c r="X155" s="558"/>
      <c r="Y155" s="596">
        <v>46022</v>
      </c>
      <c r="Z155" s="560"/>
      <c r="AA155" s="561"/>
      <c r="AB155" s="562"/>
      <c r="AC155" s="561"/>
      <c r="AD155" s="563"/>
      <c r="AE155" s="567"/>
      <c r="AF155" s="564"/>
      <c r="AG155" s="565"/>
      <c r="AH155" s="560"/>
      <c r="AI155" s="561"/>
      <c r="AJ155" s="562"/>
      <c r="AK155" s="561"/>
      <c r="AL155" s="563"/>
      <c r="AM155" s="567"/>
      <c r="AN155" s="564"/>
      <c r="AO155" s="565"/>
      <c r="AP155" s="560"/>
      <c r="AQ155" s="561"/>
      <c r="AR155" s="562"/>
      <c r="AS155" s="561"/>
      <c r="AT155" s="563"/>
      <c r="AU155" s="567"/>
      <c r="AV155" s="564"/>
      <c r="AW155" s="565"/>
      <c r="AX155" s="560"/>
      <c r="AY155" s="561"/>
      <c r="AZ155" s="562"/>
      <c r="BA155" s="561"/>
      <c r="BB155" s="563"/>
      <c r="BC155" s="567"/>
      <c r="BD155" s="564"/>
      <c r="BE155" s="565"/>
      <c r="BF155" s="560"/>
      <c r="BG155" s="561"/>
      <c r="BH155" s="562"/>
      <c r="BI155" s="561"/>
      <c r="BJ155" s="563"/>
      <c r="BK155" s="567"/>
      <c r="BL155" s="564"/>
      <c r="BM155" s="565"/>
      <c r="BN155" s="560"/>
      <c r="BO155" s="561"/>
      <c r="BP155" s="562"/>
      <c r="BQ155" s="561"/>
      <c r="BR155" s="563"/>
      <c r="BS155" s="567"/>
      <c r="BT155" s="564"/>
      <c r="BU155" s="565"/>
      <c r="BV155" s="560"/>
      <c r="BW155" s="561"/>
      <c r="BX155" s="562"/>
      <c r="BY155" s="561"/>
      <c r="BZ155" s="563"/>
      <c r="CA155" s="567"/>
      <c r="CB155" s="564"/>
      <c r="CC155" s="565"/>
      <c r="CD155" s="560"/>
      <c r="CE155" s="561"/>
      <c r="CF155" s="562"/>
      <c r="CG155" s="561"/>
      <c r="CH155" s="563"/>
      <c r="CI155" s="564"/>
      <c r="CJ155" s="564"/>
      <c r="CK155" s="564"/>
      <c r="CL155" s="560"/>
      <c r="CM155" s="561"/>
      <c r="CN155" s="562"/>
      <c r="CO155" s="561"/>
      <c r="CP155" s="563"/>
      <c r="CQ155" s="564"/>
      <c r="CR155" s="564"/>
      <c r="CS155" s="564"/>
      <c r="CT155" s="560"/>
      <c r="CU155" s="561"/>
      <c r="CV155" s="562"/>
      <c r="CW155" s="561"/>
      <c r="CX155" s="563"/>
      <c r="CY155" s="564"/>
      <c r="CZ155" s="564"/>
      <c r="DA155" s="564"/>
      <c r="DB155" s="560"/>
      <c r="DC155" s="561"/>
      <c r="DD155" s="562"/>
      <c r="DE155" s="561"/>
      <c r="DF155" s="563"/>
      <c r="DG155" s="564"/>
      <c r="DH155" s="564"/>
      <c r="DI155" s="564"/>
      <c r="DJ155" s="560"/>
      <c r="DK155" s="561"/>
      <c r="DL155" s="562"/>
      <c r="DM155" s="561"/>
      <c r="DN155" s="563"/>
      <c r="DO155" s="564"/>
      <c r="DP155" s="564"/>
      <c r="DQ155" s="564"/>
      <c r="DR155" s="560"/>
      <c r="DS155" s="561"/>
      <c r="DT155" s="562"/>
      <c r="DU155" s="561"/>
      <c r="DV155" s="563"/>
      <c r="DW155" s="564"/>
      <c r="DX155" s="564"/>
      <c r="DY155" s="564"/>
      <c r="DZ155" s="560"/>
      <c r="EA155" s="561"/>
      <c r="EB155" s="562"/>
      <c r="EC155" s="561"/>
      <c r="ED155" s="563"/>
      <c r="EE155" s="564"/>
      <c r="EF155" s="564"/>
      <c r="EG155" s="564"/>
      <c r="EH155" s="560"/>
      <c r="EI155" s="561"/>
      <c r="EJ155" s="562"/>
      <c r="EK155" s="561"/>
      <c r="EL155" s="563"/>
      <c r="EM155" s="564"/>
      <c r="EN155" s="564"/>
      <c r="EO155" s="564"/>
      <c r="EP155" s="560"/>
      <c r="EQ155" s="561"/>
      <c r="ER155" s="562"/>
      <c r="ES155" s="561"/>
      <c r="ET155" s="563"/>
      <c r="EU155" s="564"/>
      <c r="EV155" s="564"/>
      <c r="EW155" s="564"/>
      <c r="EX155" s="560"/>
      <c r="EY155" s="561"/>
      <c r="EZ155" s="562"/>
      <c r="FA155" s="561"/>
      <c r="FB155" s="563"/>
      <c r="FC155" s="564"/>
      <c r="FD155" s="564"/>
      <c r="FE155" s="564"/>
      <c r="FF155" s="560"/>
      <c r="FG155" s="561"/>
      <c r="FH155" s="562"/>
      <c r="FI155" s="561"/>
      <c r="FJ155" s="563"/>
      <c r="FK155" s="564"/>
      <c r="FL155" s="564"/>
      <c r="FM155" s="564"/>
      <c r="FN155" s="560"/>
      <c r="FO155" s="561"/>
      <c r="FP155" s="562"/>
      <c r="FQ155" s="561"/>
      <c r="FR155" s="563"/>
      <c r="FS155" s="564"/>
      <c r="FT155" s="564"/>
      <c r="FU155" s="564"/>
      <c r="FV155" s="560"/>
      <c r="FW155" s="566"/>
      <c r="FX155" s="566"/>
      <c r="FY155" s="566"/>
      <c r="FZ155" s="563"/>
      <c r="GA155" s="564"/>
      <c r="GB155" s="564"/>
      <c r="GC155" s="564"/>
      <c r="GD155" s="560"/>
      <c r="GE155" s="566"/>
      <c r="GF155" s="566"/>
      <c r="GG155" s="566"/>
      <c r="GH155" s="563"/>
      <c r="GI155" s="564"/>
      <c r="GJ155" s="564"/>
      <c r="GK155" s="564"/>
      <c r="GL155" s="560"/>
      <c r="GM155" s="566"/>
      <c r="GN155" s="566"/>
      <c r="GO155" s="566"/>
      <c r="GP155" s="563"/>
      <c r="GQ155" s="564"/>
      <c r="GR155" s="564"/>
      <c r="GS155" s="564"/>
      <c r="GT155" s="560"/>
      <c r="GU155" s="566"/>
      <c r="GV155" s="566"/>
      <c r="GW155" s="566"/>
      <c r="GX155" s="563"/>
      <c r="GY155" s="564"/>
      <c r="GZ155" s="564"/>
      <c r="HA155" s="590"/>
      <c r="HB155" s="560"/>
      <c r="HC155" s="566"/>
      <c r="HD155" s="566"/>
      <c r="HE155" s="566"/>
      <c r="HF155" s="563"/>
      <c r="HG155" s="564"/>
      <c r="HH155" s="564"/>
      <c r="HI155" s="590"/>
      <c r="HJ155" s="560"/>
      <c r="HK155" s="566"/>
      <c r="HL155" s="566"/>
      <c r="HM155" s="566"/>
      <c r="HN155" s="563"/>
      <c r="HO155" s="564"/>
      <c r="HP155" s="564"/>
      <c r="HQ155" s="590"/>
      <c r="HR155" s="560"/>
      <c r="HS155" s="566"/>
      <c r="HT155" s="566"/>
      <c r="HU155" s="566"/>
    </row>
    <row r="156" spans="2:229" s="506" customFormat="1" ht="61" customHeight="1" thickBot="1" x14ac:dyDescent="0.4">
      <c r="B156" s="544">
        <v>153</v>
      </c>
      <c r="C156" s="544"/>
      <c r="D156" s="545" t="s">
        <v>44</v>
      </c>
      <c r="E156" s="545" t="s">
        <v>659</v>
      </c>
      <c r="F156" s="546" t="s">
        <v>46</v>
      </c>
      <c r="G156" s="546" t="s">
        <v>46</v>
      </c>
      <c r="H156" s="547" t="s">
        <v>660</v>
      </c>
      <c r="I156" s="549"/>
      <c r="J156" s="705"/>
      <c r="K156" s="568"/>
      <c r="L156" s="548"/>
      <c r="M156" s="569" t="s">
        <v>48</v>
      </c>
      <c r="N156" s="551">
        <v>0</v>
      </c>
      <c r="O156" s="552">
        <v>128</v>
      </c>
      <c r="P156" s="553">
        <v>46028</v>
      </c>
      <c r="Q156" s="553"/>
      <c r="R156" s="554" t="s">
        <v>73</v>
      </c>
      <c r="S156" s="555">
        <f ca="1">IF(R156="Aprobado con comentarios / Emitir en Rev_0", NETWORKDAYS(Q156,TODAY(),Hoja1!$C$3:$C$25),0)</f>
        <v>0</v>
      </c>
      <c r="T156" s="555">
        <f ca="1">IF(R156="Revisión INN",NETWORKDAYS(P156,TODAY(),Hoja1!$C$3:$C$25),0)</f>
        <v>0</v>
      </c>
      <c r="U156" s="556">
        <f t="shared" si="5"/>
        <v>0</v>
      </c>
      <c r="V156" s="601"/>
      <c r="W156" s="602"/>
      <c r="X156" s="558"/>
      <c r="Y156" s="596"/>
      <c r="Z156" s="560"/>
      <c r="AA156" s="561"/>
      <c r="AB156" s="562"/>
      <c r="AC156" s="561"/>
      <c r="AD156" s="563"/>
      <c r="AE156" s="567"/>
      <c r="AF156" s="564"/>
      <c r="AG156" s="565"/>
      <c r="AH156" s="560"/>
      <c r="AI156" s="561"/>
      <c r="AJ156" s="562"/>
      <c r="AK156" s="561"/>
      <c r="AL156" s="563"/>
      <c r="AM156" s="567"/>
      <c r="AN156" s="564"/>
      <c r="AO156" s="565"/>
      <c r="AP156" s="560"/>
      <c r="AQ156" s="561"/>
      <c r="AR156" s="562"/>
      <c r="AS156" s="561"/>
      <c r="AT156" s="563"/>
      <c r="AU156" s="567"/>
      <c r="AV156" s="564"/>
      <c r="AW156" s="565"/>
      <c r="AX156" s="560"/>
      <c r="AY156" s="561"/>
      <c r="AZ156" s="562"/>
      <c r="BA156" s="561"/>
      <c r="BB156" s="563"/>
      <c r="BC156" s="567"/>
      <c r="BD156" s="564"/>
      <c r="BE156" s="565"/>
      <c r="BF156" s="560"/>
      <c r="BG156" s="561"/>
      <c r="BH156" s="562"/>
      <c r="BI156" s="561"/>
      <c r="BJ156" s="563"/>
      <c r="BK156" s="567"/>
      <c r="BL156" s="564"/>
      <c r="BM156" s="565"/>
      <c r="BN156" s="560"/>
      <c r="BO156" s="561"/>
      <c r="BP156" s="562"/>
      <c r="BQ156" s="561"/>
      <c r="BR156" s="563"/>
      <c r="BS156" s="567"/>
      <c r="BT156" s="564"/>
      <c r="BU156" s="565"/>
      <c r="BV156" s="560"/>
      <c r="BW156" s="561"/>
      <c r="BX156" s="562"/>
      <c r="BY156" s="561"/>
      <c r="BZ156" s="563"/>
      <c r="CA156" s="567"/>
      <c r="CB156" s="564"/>
      <c r="CC156" s="565"/>
      <c r="CD156" s="560"/>
      <c r="CE156" s="561"/>
      <c r="CF156" s="562"/>
      <c r="CG156" s="561"/>
      <c r="CH156" s="563"/>
      <c r="CI156" s="564"/>
      <c r="CJ156" s="564"/>
      <c r="CK156" s="564"/>
      <c r="CL156" s="560"/>
      <c r="CM156" s="561"/>
      <c r="CN156" s="562"/>
      <c r="CO156" s="561"/>
      <c r="CP156" s="563"/>
      <c r="CQ156" s="564"/>
      <c r="CR156" s="564"/>
      <c r="CS156" s="564"/>
      <c r="CT156" s="560"/>
      <c r="CU156" s="561"/>
      <c r="CV156" s="562"/>
      <c r="CW156" s="561"/>
      <c r="CX156" s="563"/>
      <c r="CY156" s="564"/>
      <c r="CZ156" s="564"/>
      <c r="DA156" s="564"/>
      <c r="DB156" s="560"/>
      <c r="DC156" s="561"/>
      <c r="DD156" s="562"/>
      <c r="DE156" s="561"/>
      <c r="DF156" s="563"/>
      <c r="DG156" s="564"/>
      <c r="DH156" s="564"/>
      <c r="DI156" s="564"/>
      <c r="DJ156" s="560"/>
      <c r="DK156" s="561"/>
      <c r="DL156" s="562"/>
      <c r="DM156" s="561"/>
      <c r="DN156" s="563"/>
      <c r="DO156" s="564"/>
      <c r="DP156" s="564"/>
      <c r="DQ156" s="564"/>
      <c r="DR156" s="560"/>
      <c r="DS156" s="561"/>
      <c r="DT156" s="562"/>
      <c r="DU156" s="561"/>
      <c r="DV156" s="563"/>
      <c r="DW156" s="564"/>
      <c r="DX156" s="564"/>
      <c r="DY156" s="564"/>
      <c r="DZ156" s="560"/>
      <c r="EA156" s="561"/>
      <c r="EB156" s="562"/>
      <c r="EC156" s="561"/>
      <c r="ED156" s="563"/>
      <c r="EE156" s="564"/>
      <c r="EF156" s="564"/>
      <c r="EG156" s="564"/>
      <c r="EH156" s="560"/>
      <c r="EI156" s="561"/>
      <c r="EJ156" s="562"/>
      <c r="EK156" s="561"/>
      <c r="EL156" s="563"/>
      <c r="EM156" s="564"/>
      <c r="EN156" s="564"/>
      <c r="EO156" s="564"/>
      <c r="EP156" s="560"/>
      <c r="EQ156" s="561"/>
      <c r="ER156" s="562"/>
      <c r="ES156" s="561"/>
      <c r="ET156" s="563"/>
      <c r="EU156" s="564"/>
      <c r="EV156" s="564"/>
      <c r="EW156" s="564"/>
      <c r="EX156" s="560"/>
      <c r="EY156" s="561"/>
      <c r="EZ156" s="562"/>
      <c r="FA156" s="561"/>
      <c r="FB156" s="563"/>
      <c r="FC156" s="564"/>
      <c r="FD156" s="564"/>
      <c r="FE156" s="564"/>
      <c r="FF156" s="560"/>
      <c r="FG156" s="561"/>
      <c r="FH156" s="562"/>
      <c r="FI156" s="561"/>
      <c r="FJ156" s="563"/>
      <c r="FK156" s="564"/>
      <c r="FL156" s="564"/>
      <c r="FM156" s="564"/>
      <c r="FN156" s="560"/>
      <c r="FO156" s="561"/>
      <c r="FP156" s="562"/>
      <c r="FQ156" s="561"/>
      <c r="FR156" s="563"/>
      <c r="FS156" s="564"/>
      <c r="FT156" s="564"/>
      <c r="FU156" s="564"/>
      <c r="FV156" s="560"/>
      <c r="FW156" s="566"/>
      <c r="FX156" s="566"/>
      <c r="FY156" s="566"/>
      <c r="FZ156" s="563"/>
      <c r="GA156" s="564"/>
      <c r="GB156" s="564"/>
      <c r="GC156" s="564"/>
      <c r="GD156" s="560"/>
      <c r="GE156" s="566"/>
      <c r="GF156" s="566"/>
      <c r="GG156" s="566"/>
      <c r="GH156" s="563"/>
      <c r="GI156" s="564"/>
      <c r="GJ156" s="564"/>
      <c r="GK156" s="564"/>
      <c r="GL156" s="560"/>
      <c r="GM156" s="566"/>
      <c r="GN156" s="566"/>
      <c r="GO156" s="566"/>
      <c r="GP156" s="563"/>
      <c r="GQ156" s="564"/>
      <c r="GR156" s="564"/>
      <c r="GS156" s="564"/>
      <c r="GT156" s="560"/>
      <c r="GU156" s="566"/>
      <c r="GV156" s="566"/>
      <c r="GW156" s="566"/>
      <c r="GX156" s="563"/>
      <c r="GY156" s="564"/>
      <c r="GZ156" s="564"/>
      <c r="HA156" s="590"/>
      <c r="HB156" s="560"/>
      <c r="HC156" s="566"/>
      <c r="HD156" s="566"/>
      <c r="HE156" s="566"/>
      <c r="HF156" s="563"/>
      <c r="HG156" s="564"/>
      <c r="HH156" s="564"/>
      <c r="HI156" s="590"/>
      <c r="HJ156" s="560"/>
      <c r="HK156" s="566"/>
      <c r="HL156" s="566"/>
      <c r="HM156" s="566"/>
      <c r="HN156" s="563"/>
      <c r="HO156" s="564"/>
      <c r="HP156" s="564"/>
      <c r="HQ156" s="590"/>
      <c r="HR156" s="560"/>
      <c r="HS156" s="566"/>
      <c r="HT156" s="566"/>
      <c r="HU156" s="566"/>
    </row>
    <row r="157" spans="2:229" s="506" customFormat="1" ht="73.5" customHeight="1" x14ac:dyDescent="0.35">
      <c r="B157" s="544">
        <v>154</v>
      </c>
      <c r="C157" s="544"/>
      <c r="D157" s="544" t="s">
        <v>44</v>
      </c>
      <c r="E157" s="546" t="s">
        <v>50</v>
      </c>
      <c r="F157" s="546" t="s">
        <v>46</v>
      </c>
      <c r="G157" s="546" t="s">
        <v>46</v>
      </c>
      <c r="H157" s="547" t="s">
        <v>661</v>
      </c>
      <c r="I157" s="549"/>
      <c r="J157" s="705"/>
      <c r="K157" s="568"/>
      <c r="L157" s="548"/>
      <c r="M157" s="569" t="s">
        <v>48</v>
      </c>
      <c r="N157" s="551">
        <v>0</v>
      </c>
      <c r="O157" s="552">
        <v>86</v>
      </c>
      <c r="P157" s="553">
        <v>46008</v>
      </c>
      <c r="Q157" s="553"/>
      <c r="R157" s="554" t="s">
        <v>73</v>
      </c>
      <c r="S157" s="555">
        <f ca="1">IF(R157="Aprobado con comentarios / Emitir en Rev_0", NETWORKDAYS(Q157,TODAY(),Hoja1!$C$3:$C$25),0)</f>
        <v>0</v>
      </c>
      <c r="T157" s="555">
        <f ca="1">IF(R157="Revisión INN",NETWORKDAYS(P157,TODAY(),Hoja1!$C$3:$C$25),0)</f>
        <v>0</v>
      </c>
      <c r="U157" s="556">
        <f t="shared" si="5"/>
        <v>1</v>
      </c>
      <c r="V157" s="557">
        <v>0</v>
      </c>
      <c r="W157" s="558">
        <v>86</v>
      </c>
      <c r="X157" s="558"/>
      <c r="Y157" s="559">
        <v>46008</v>
      </c>
      <c r="Z157" s="560"/>
      <c r="AA157" s="561"/>
      <c r="AB157" s="562"/>
      <c r="AC157" s="561"/>
      <c r="AD157" s="563"/>
      <c r="AE157" s="567"/>
      <c r="AF157" s="564"/>
      <c r="AG157" s="565"/>
      <c r="AH157" s="560"/>
      <c r="AI157" s="561"/>
      <c r="AJ157" s="562"/>
      <c r="AK157" s="561"/>
      <c r="AL157" s="563"/>
      <c r="AM157" s="567"/>
      <c r="AN157" s="564"/>
      <c r="AO157" s="565"/>
      <c r="AP157" s="560"/>
      <c r="AQ157" s="561"/>
      <c r="AR157" s="562"/>
      <c r="AS157" s="561"/>
      <c r="AT157" s="563"/>
      <c r="AU157" s="567"/>
      <c r="AV157" s="564"/>
      <c r="AW157" s="565"/>
      <c r="AX157" s="560"/>
      <c r="AY157" s="561"/>
      <c r="AZ157" s="562"/>
      <c r="BA157" s="561"/>
      <c r="BB157" s="563"/>
      <c r="BC157" s="567"/>
      <c r="BD157" s="564"/>
      <c r="BE157" s="565"/>
      <c r="BF157" s="560"/>
      <c r="BG157" s="561"/>
      <c r="BH157" s="562"/>
      <c r="BI157" s="561"/>
      <c r="BJ157" s="563"/>
      <c r="BK157" s="567"/>
      <c r="BL157" s="564"/>
      <c r="BM157" s="565"/>
      <c r="BN157" s="560"/>
      <c r="BO157" s="561"/>
      <c r="BP157" s="562"/>
      <c r="BQ157" s="561"/>
      <c r="BR157" s="563"/>
      <c r="BS157" s="567"/>
      <c r="BT157" s="564"/>
      <c r="BU157" s="565"/>
      <c r="BV157" s="560"/>
      <c r="BW157" s="561"/>
      <c r="BX157" s="562"/>
      <c r="BY157" s="561"/>
      <c r="BZ157" s="563"/>
      <c r="CA157" s="567"/>
      <c r="CB157" s="564"/>
      <c r="CC157" s="565"/>
      <c r="CD157" s="560"/>
      <c r="CE157" s="561"/>
      <c r="CF157" s="562"/>
      <c r="CG157" s="561"/>
      <c r="CH157" s="563"/>
      <c r="CI157" s="564"/>
      <c r="CJ157" s="564"/>
      <c r="CK157" s="564"/>
      <c r="CL157" s="560"/>
      <c r="CM157" s="561"/>
      <c r="CN157" s="562"/>
      <c r="CO157" s="561"/>
      <c r="CP157" s="563"/>
      <c r="CQ157" s="564"/>
      <c r="CR157" s="564"/>
      <c r="CS157" s="564"/>
      <c r="CT157" s="560"/>
      <c r="CU157" s="561"/>
      <c r="CV157" s="562"/>
      <c r="CW157" s="561"/>
      <c r="CX157" s="563"/>
      <c r="CY157" s="564"/>
      <c r="CZ157" s="564"/>
      <c r="DA157" s="564"/>
      <c r="DB157" s="560"/>
      <c r="DC157" s="561"/>
      <c r="DD157" s="562"/>
      <c r="DE157" s="561"/>
      <c r="DF157" s="563"/>
      <c r="DG157" s="564"/>
      <c r="DH157" s="564"/>
      <c r="DI157" s="564"/>
      <c r="DJ157" s="560"/>
      <c r="DK157" s="561"/>
      <c r="DL157" s="562"/>
      <c r="DM157" s="561"/>
      <c r="DN157" s="563"/>
      <c r="DO157" s="564"/>
      <c r="DP157" s="564"/>
      <c r="DQ157" s="564"/>
      <c r="DR157" s="560"/>
      <c r="DS157" s="561"/>
      <c r="DT157" s="562"/>
      <c r="DU157" s="561"/>
      <c r="DV157" s="563"/>
      <c r="DW157" s="564"/>
      <c r="DX157" s="564"/>
      <c r="DY157" s="564"/>
      <c r="DZ157" s="560"/>
      <c r="EA157" s="561"/>
      <c r="EB157" s="562"/>
      <c r="EC157" s="561"/>
      <c r="ED157" s="563"/>
      <c r="EE157" s="564"/>
      <c r="EF157" s="564"/>
      <c r="EG157" s="564"/>
      <c r="EH157" s="560"/>
      <c r="EI157" s="561"/>
      <c r="EJ157" s="562"/>
      <c r="EK157" s="561"/>
      <c r="EL157" s="563"/>
      <c r="EM157" s="564"/>
      <c r="EN157" s="564"/>
      <c r="EO157" s="564"/>
      <c r="EP157" s="560"/>
      <c r="EQ157" s="561"/>
      <c r="ER157" s="562"/>
      <c r="ES157" s="561"/>
      <c r="ET157" s="563"/>
      <c r="EU157" s="564"/>
      <c r="EV157" s="564"/>
      <c r="EW157" s="564"/>
      <c r="EX157" s="560"/>
      <c r="EY157" s="561"/>
      <c r="EZ157" s="562"/>
      <c r="FA157" s="561"/>
      <c r="FB157" s="563"/>
      <c r="FC157" s="564"/>
      <c r="FD157" s="564"/>
      <c r="FE157" s="564"/>
      <c r="FF157" s="560"/>
      <c r="FG157" s="561"/>
      <c r="FH157" s="562"/>
      <c r="FI157" s="561"/>
      <c r="FJ157" s="563"/>
      <c r="FK157" s="564"/>
      <c r="FL157" s="564"/>
      <c r="FM157" s="564"/>
      <c r="FN157" s="560"/>
      <c r="FO157" s="561"/>
      <c r="FP157" s="562"/>
      <c r="FQ157" s="561"/>
      <c r="FR157" s="563"/>
      <c r="FS157" s="564"/>
      <c r="FT157" s="564"/>
      <c r="FU157" s="564"/>
      <c r="FV157" s="560"/>
      <c r="FW157" s="566"/>
      <c r="FX157" s="566"/>
      <c r="FY157" s="566"/>
      <c r="FZ157" s="563"/>
      <c r="GA157" s="564"/>
      <c r="GB157" s="564"/>
      <c r="GC157" s="564"/>
      <c r="GD157" s="560"/>
      <c r="GE157" s="566"/>
      <c r="GF157" s="566"/>
      <c r="GG157" s="566"/>
      <c r="GH157" s="563"/>
      <c r="GI157" s="564"/>
      <c r="GJ157" s="564"/>
      <c r="GK157" s="564"/>
      <c r="GL157" s="560"/>
      <c r="GM157" s="566"/>
      <c r="GN157" s="566"/>
      <c r="GO157" s="566"/>
      <c r="GP157" s="563"/>
      <c r="GQ157" s="564"/>
      <c r="GR157" s="564"/>
      <c r="GS157" s="564"/>
      <c r="GT157" s="560"/>
      <c r="GU157" s="566"/>
      <c r="GV157" s="566"/>
      <c r="GW157" s="566"/>
      <c r="GX157" s="541"/>
      <c r="GY157" s="535"/>
      <c r="GZ157" s="542"/>
      <c r="HA157" s="543"/>
      <c r="HB157" s="541"/>
      <c r="HC157" s="535"/>
      <c r="HD157" s="542"/>
      <c r="HE157" s="543"/>
      <c r="HF157" s="541"/>
      <c r="HG157" s="535"/>
      <c r="HH157" s="542"/>
      <c r="HI157" s="543"/>
      <c r="HJ157" s="541"/>
      <c r="HK157" s="535"/>
      <c r="HL157" s="542"/>
      <c r="HM157" s="543"/>
      <c r="HN157" s="541"/>
      <c r="HO157" s="535"/>
      <c r="HP157" s="542"/>
      <c r="HQ157" s="543"/>
      <c r="HR157" s="541"/>
      <c r="HS157" s="535"/>
      <c r="HT157" s="542"/>
      <c r="HU157" s="543"/>
    </row>
    <row r="158" spans="2:229" s="506" customFormat="1" ht="24.65" customHeight="1" x14ac:dyDescent="0.35">
      <c r="B158" s="544">
        <v>155</v>
      </c>
      <c r="C158" s="544"/>
      <c r="D158" s="544" t="s">
        <v>44</v>
      </c>
      <c r="E158" s="546" t="s">
        <v>50</v>
      </c>
      <c r="F158" s="546" t="s">
        <v>46</v>
      </c>
      <c r="G158" s="546" t="s">
        <v>46</v>
      </c>
      <c r="H158" s="547" t="s">
        <v>662</v>
      </c>
      <c r="I158" s="549"/>
      <c r="J158" s="705"/>
      <c r="K158" s="568"/>
      <c r="L158" s="548"/>
      <c r="M158" s="569" t="s">
        <v>48</v>
      </c>
      <c r="N158" s="551">
        <v>0</v>
      </c>
      <c r="O158" s="552">
        <v>118</v>
      </c>
      <c r="P158" s="553">
        <v>46015</v>
      </c>
      <c r="Q158" s="553"/>
      <c r="R158" s="554" t="s">
        <v>73</v>
      </c>
      <c r="S158" s="555">
        <f ca="1">IF(R158="Aprobado con comentarios / Emitir en Rev_0", NETWORKDAYS(Q158,TODAY(),Hoja1!$C$3:$C$25),0)</f>
        <v>0</v>
      </c>
      <c r="T158" s="555">
        <f ca="1">IF(R158="Revisión INN",NETWORKDAYS(P158,TODAY(),Hoja1!$C$3:$C$25),0)</f>
        <v>0</v>
      </c>
      <c r="U158" s="556">
        <f t="shared" si="5"/>
        <v>0</v>
      </c>
      <c r="V158" s="557"/>
      <c r="W158" s="558"/>
      <c r="X158" s="558"/>
      <c r="Y158" s="559"/>
      <c r="Z158" s="560"/>
      <c r="AA158" s="561"/>
      <c r="AB158" s="562"/>
      <c r="AC158" s="561"/>
      <c r="AD158" s="563"/>
      <c r="AE158" s="567"/>
      <c r="AF158" s="564"/>
      <c r="AG158" s="565"/>
      <c r="AH158" s="560"/>
      <c r="AI158" s="561"/>
      <c r="AJ158" s="562"/>
      <c r="AK158" s="561"/>
      <c r="AL158" s="563"/>
      <c r="AM158" s="567"/>
      <c r="AN158" s="564"/>
      <c r="AO158" s="565"/>
      <c r="AP158" s="560"/>
      <c r="AQ158" s="561"/>
      <c r="AR158" s="562"/>
      <c r="AS158" s="561"/>
      <c r="AT158" s="563"/>
      <c r="AU158" s="567"/>
      <c r="AV158" s="564"/>
      <c r="AW158" s="565"/>
      <c r="AX158" s="560"/>
      <c r="AY158" s="561"/>
      <c r="AZ158" s="562"/>
      <c r="BA158" s="561"/>
      <c r="BB158" s="563"/>
      <c r="BC158" s="567"/>
      <c r="BD158" s="564"/>
      <c r="BE158" s="565"/>
      <c r="BF158" s="560"/>
      <c r="BG158" s="561"/>
      <c r="BH158" s="562"/>
      <c r="BI158" s="561"/>
      <c r="BJ158" s="563"/>
      <c r="BK158" s="567"/>
      <c r="BL158" s="564"/>
      <c r="BM158" s="565"/>
      <c r="BN158" s="560"/>
      <c r="BO158" s="561"/>
      <c r="BP158" s="562"/>
      <c r="BQ158" s="561"/>
      <c r="BR158" s="563"/>
      <c r="BS158" s="567"/>
      <c r="BT158" s="564"/>
      <c r="BU158" s="565"/>
      <c r="BV158" s="560"/>
      <c r="BW158" s="561"/>
      <c r="BX158" s="562"/>
      <c r="BY158" s="561"/>
      <c r="BZ158" s="563"/>
      <c r="CA158" s="567"/>
      <c r="CB158" s="564"/>
      <c r="CC158" s="565"/>
      <c r="CD158" s="560"/>
      <c r="CE158" s="561"/>
      <c r="CF158" s="562"/>
      <c r="CG158" s="561"/>
      <c r="CH158" s="563"/>
      <c r="CI158" s="564"/>
      <c r="CJ158" s="564"/>
      <c r="CK158" s="564"/>
      <c r="CL158" s="560"/>
      <c r="CM158" s="561"/>
      <c r="CN158" s="562"/>
      <c r="CO158" s="561"/>
      <c r="CP158" s="563"/>
      <c r="CQ158" s="564"/>
      <c r="CR158" s="564"/>
      <c r="CS158" s="564"/>
      <c r="CT158" s="560"/>
      <c r="CU158" s="561"/>
      <c r="CV158" s="562"/>
      <c r="CW158" s="561"/>
      <c r="CX158" s="563"/>
      <c r="CY158" s="564"/>
      <c r="CZ158" s="564"/>
      <c r="DA158" s="564"/>
      <c r="DB158" s="560"/>
      <c r="DC158" s="561"/>
      <c r="DD158" s="562"/>
      <c r="DE158" s="561"/>
      <c r="DF158" s="563"/>
      <c r="DG158" s="564"/>
      <c r="DH158" s="564"/>
      <c r="DI158" s="564"/>
      <c r="DJ158" s="560"/>
      <c r="DK158" s="561"/>
      <c r="DL158" s="562"/>
      <c r="DM158" s="561"/>
      <c r="DN158" s="563"/>
      <c r="DO158" s="564"/>
      <c r="DP158" s="564"/>
      <c r="DQ158" s="564"/>
      <c r="DR158" s="560"/>
      <c r="DS158" s="561"/>
      <c r="DT158" s="562"/>
      <c r="DU158" s="561"/>
      <c r="DV158" s="563"/>
      <c r="DW158" s="564"/>
      <c r="DX158" s="564"/>
      <c r="DY158" s="564"/>
      <c r="DZ158" s="560"/>
      <c r="EA158" s="561"/>
      <c r="EB158" s="562"/>
      <c r="EC158" s="561"/>
      <c r="ED158" s="563"/>
      <c r="EE158" s="564"/>
      <c r="EF158" s="564"/>
      <c r="EG158" s="564"/>
      <c r="EH158" s="560"/>
      <c r="EI158" s="561"/>
      <c r="EJ158" s="562"/>
      <c r="EK158" s="561"/>
      <c r="EL158" s="563"/>
      <c r="EM158" s="564"/>
      <c r="EN158" s="564"/>
      <c r="EO158" s="564"/>
      <c r="EP158" s="560"/>
      <c r="EQ158" s="561"/>
      <c r="ER158" s="562"/>
      <c r="ES158" s="561"/>
      <c r="ET158" s="563"/>
      <c r="EU158" s="564"/>
      <c r="EV158" s="564"/>
      <c r="EW158" s="564"/>
      <c r="EX158" s="560"/>
      <c r="EY158" s="561"/>
      <c r="EZ158" s="562"/>
      <c r="FA158" s="561"/>
      <c r="FB158" s="563"/>
      <c r="FC158" s="564"/>
      <c r="FD158" s="564"/>
      <c r="FE158" s="564"/>
      <c r="FF158" s="560"/>
      <c r="FG158" s="561"/>
      <c r="FH158" s="562"/>
      <c r="FI158" s="561"/>
      <c r="FJ158" s="563"/>
      <c r="FK158" s="564"/>
      <c r="FL158" s="564"/>
      <c r="FM158" s="564"/>
      <c r="FN158" s="560"/>
      <c r="FO158" s="561"/>
      <c r="FP158" s="562"/>
      <c r="FQ158" s="561"/>
      <c r="FR158" s="563"/>
      <c r="FS158" s="564"/>
      <c r="FT158" s="564"/>
      <c r="FU158" s="564"/>
      <c r="FV158" s="560"/>
      <c r="FW158" s="566"/>
      <c r="FX158" s="566"/>
      <c r="FY158" s="566"/>
      <c r="FZ158" s="563"/>
      <c r="GA158" s="564"/>
      <c r="GB158" s="564"/>
      <c r="GC158" s="564"/>
      <c r="GD158" s="560"/>
      <c r="GE158" s="566"/>
      <c r="GF158" s="566"/>
      <c r="GG158" s="566"/>
      <c r="GH158" s="563"/>
      <c r="GI158" s="564"/>
      <c r="GJ158" s="564"/>
      <c r="GK158" s="564"/>
      <c r="GL158" s="560"/>
      <c r="GM158" s="566"/>
      <c r="GN158" s="566"/>
      <c r="GO158" s="566"/>
      <c r="GP158" s="563"/>
      <c r="GQ158" s="564"/>
      <c r="GR158" s="564"/>
      <c r="GS158" s="564"/>
      <c r="GT158" s="560"/>
      <c r="GU158" s="566"/>
      <c r="GV158" s="566"/>
      <c r="GW158" s="566"/>
      <c r="GX158" s="563"/>
      <c r="GY158" s="564"/>
      <c r="GZ158" s="564"/>
      <c r="HA158" s="590"/>
      <c r="HB158" s="560"/>
      <c r="HC158" s="566"/>
      <c r="HD158" s="566"/>
      <c r="HE158" s="566"/>
      <c r="HF158" s="563"/>
      <c r="HG158" s="564"/>
      <c r="HH158" s="564"/>
      <c r="HI158" s="590"/>
      <c r="HJ158" s="560"/>
      <c r="HK158" s="566"/>
      <c r="HL158" s="566"/>
      <c r="HM158" s="566"/>
      <c r="HN158" s="563"/>
      <c r="HO158" s="564"/>
      <c r="HP158" s="564"/>
      <c r="HQ158" s="590"/>
      <c r="HR158" s="560"/>
      <c r="HS158" s="566"/>
      <c r="HT158" s="566"/>
      <c r="HU158" s="566"/>
    </row>
    <row r="159" spans="2:229" s="506" customFormat="1" ht="228.65" customHeight="1" x14ac:dyDescent="0.35">
      <c r="B159" s="544">
        <v>156</v>
      </c>
      <c r="C159" s="544"/>
      <c r="D159" s="544" t="s">
        <v>44</v>
      </c>
      <c r="E159" s="546" t="s">
        <v>50</v>
      </c>
      <c r="F159" s="546" t="s">
        <v>46</v>
      </c>
      <c r="G159" s="545" t="s">
        <v>46</v>
      </c>
      <c r="H159" s="547" t="s">
        <v>663</v>
      </c>
      <c r="I159" s="549"/>
      <c r="J159" s="705"/>
      <c r="K159" s="568"/>
      <c r="L159" s="548"/>
      <c r="M159" s="569" t="s">
        <v>48</v>
      </c>
      <c r="N159" s="551">
        <v>0</v>
      </c>
      <c r="O159" s="552">
        <v>126</v>
      </c>
      <c r="P159" s="553">
        <v>46022</v>
      </c>
      <c r="Q159" s="553"/>
      <c r="R159" s="554" t="s">
        <v>73</v>
      </c>
      <c r="S159" s="555">
        <f ca="1">IF(R159="Aprobado con comentarios / Emitir en Rev_0", NETWORKDAYS(Q159,TODAY(),Hoja1!$C$3:$C$25),0)</f>
        <v>0</v>
      </c>
      <c r="T159" s="555">
        <f ca="1">IF(R159="Revisión INN",NETWORKDAYS(P159,TODAY(),Hoja1!$C$3:$C$25),0)</f>
        <v>0</v>
      </c>
      <c r="U159" s="556">
        <f t="shared" si="5"/>
        <v>0</v>
      </c>
      <c r="V159" s="557"/>
      <c r="W159" s="558"/>
      <c r="X159" s="558"/>
      <c r="Y159" s="559"/>
      <c r="Z159" s="560"/>
      <c r="AA159" s="561"/>
      <c r="AB159" s="562"/>
      <c r="AC159" s="561"/>
      <c r="AD159" s="563"/>
      <c r="AE159" s="567"/>
      <c r="AF159" s="564"/>
      <c r="AG159" s="565"/>
      <c r="AH159" s="560"/>
      <c r="AI159" s="561"/>
      <c r="AJ159" s="562"/>
      <c r="AK159" s="561"/>
      <c r="AL159" s="563"/>
      <c r="AM159" s="567"/>
      <c r="AN159" s="564"/>
      <c r="AO159" s="565"/>
      <c r="AP159" s="560"/>
      <c r="AQ159" s="561"/>
      <c r="AR159" s="562"/>
      <c r="AS159" s="561"/>
      <c r="AT159" s="563"/>
      <c r="AU159" s="567"/>
      <c r="AV159" s="564"/>
      <c r="AW159" s="565"/>
      <c r="AX159" s="560"/>
      <c r="AY159" s="561"/>
      <c r="AZ159" s="562"/>
      <c r="BA159" s="561"/>
      <c r="BB159" s="563"/>
      <c r="BC159" s="567"/>
      <c r="BD159" s="564"/>
      <c r="BE159" s="565"/>
      <c r="BF159" s="560"/>
      <c r="BG159" s="561"/>
      <c r="BH159" s="562"/>
      <c r="BI159" s="561"/>
      <c r="BJ159" s="563"/>
      <c r="BK159" s="567"/>
      <c r="BL159" s="564"/>
      <c r="BM159" s="565"/>
      <c r="BN159" s="560"/>
      <c r="BO159" s="561"/>
      <c r="BP159" s="562"/>
      <c r="BQ159" s="561"/>
      <c r="BR159" s="563"/>
      <c r="BS159" s="567"/>
      <c r="BT159" s="564"/>
      <c r="BU159" s="565"/>
      <c r="BV159" s="560"/>
      <c r="BW159" s="561"/>
      <c r="BX159" s="562"/>
      <c r="BY159" s="561"/>
      <c r="BZ159" s="563"/>
      <c r="CA159" s="567"/>
      <c r="CB159" s="564"/>
      <c r="CC159" s="565"/>
      <c r="CD159" s="560"/>
      <c r="CE159" s="561"/>
      <c r="CF159" s="562"/>
      <c r="CG159" s="561"/>
      <c r="CH159" s="563"/>
      <c r="CI159" s="564"/>
      <c r="CJ159" s="564"/>
      <c r="CK159" s="564"/>
      <c r="CL159" s="560"/>
      <c r="CM159" s="561"/>
      <c r="CN159" s="562"/>
      <c r="CO159" s="561"/>
      <c r="CP159" s="563"/>
      <c r="CQ159" s="564"/>
      <c r="CR159" s="564"/>
      <c r="CS159" s="564"/>
      <c r="CT159" s="560"/>
      <c r="CU159" s="561"/>
      <c r="CV159" s="562"/>
      <c r="CW159" s="561"/>
      <c r="CX159" s="563"/>
      <c r="CY159" s="564"/>
      <c r="CZ159" s="564"/>
      <c r="DA159" s="564"/>
      <c r="DB159" s="560"/>
      <c r="DC159" s="561"/>
      <c r="DD159" s="562"/>
      <c r="DE159" s="561"/>
      <c r="DF159" s="563"/>
      <c r="DG159" s="564"/>
      <c r="DH159" s="564"/>
      <c r="DI159" s="564"/>
      <c r="DJ159" s="560"/>
      <c r="DK159" s="561"/>
      <c r="DL159" s="562"/>
      <c r="DM159" s="561"/>
      <c r="DN159" s="563"/>
      <c r="DO159" s="564"/>
      <c r="DP159" s="564"/>
      <c r="DQ159" s="564"/>
      <c r="DR159" s="560"/>
      <c r="DS159" s="561"/>
      <c r="DT159" s="562"/>
      <c r="DU159" s="561"/>
      <c r="DV159" s="563"/>
      <c r="DW159" s="564"/>
      <c r="DX159" s="564"/>
      <c r="DY159" s="564"/>
      <c r="DZ159" s="560"/>
      <c r="EA159" s="561"/>
      <c r="EB159" s="562"/>
      <c r="EC159" s="561"/>
      <c r="ED159" s="563"/>
      <c r="EE159" s="564"/>
      <c r="EF159" s="564"/>
      <c r="EG159" s="564"/>
      <c r="EH159" s="560"/>
      <c r="EI159" s="561"/>
      <c r="EJ159" s="562"/>
      <c r="EK159" s="561"/>
      <c r="EL159" s="563"/>
      <c r="EM159" s="564"/>
      <c r="EN159" s="564"/>
      <c r="EO159" s="564"/>
      <c r="EP159" s="560"/>
      <c r="EQ159" s="561"/>
      <c r="ER159" s="562"/>
      <c r="ES159" s="561"/>
      <c r="ET159" s="563"/>
      <c r="EU159" s="564"/>
      <c r="EV159" s="564"/>
      <c r="EW159" s="564"/>
      <c r="EX159" s="560"/>
      <c r="EY159" s="561"/>
      <c r="EZ159" s="562"/>
      <c r="FA159" s="561"/>
      <c r="FB159" s="563"/>
      <c r="FC159" s="564"/>
      <c r="FD159" s="564"/>
      <c r="FE159" s="564"/>
      <c r="FF159" s="560"/>
      <c r="FG159" s="561"/>
      <c r="FH159" s="562"/>
      <c r="FI159" s="561"/>
      <c r="FJ159" s="563"/>
      <c r="FK159" s="564"/>
      <c r="FL159" s="564"/>
      <c r="FM159" s="564"/>
      <c r="FN159" s="560"/>
      <c r="FO159" s="561"/>
      <c r="FP159" s="562"/>
      <c r="FQ159" s="561"/>
      <c r="FR159" s="563"/>
      <c r="FS159" s="564"/>
      <c r="FT159" s="564"/>
      <c r="FU159" s="564"/>
      <c r="FV159" s="560"/>
      <c r="FW159" s="566"/>
      <c r="FX159" s="566"/>
      <c r="FY159" s="566"/>
      <c r="FZ159" s="563"/>
      <c r="GA159" s="564"/>
      <c r="GB159" s="564"/>
      <c r="GC159" s="564"/>
      <c r="GD159" s="560"/>
      <c r="GE159" s="566"/>
      <c r="GF159" s="566"/>
      <c r="GG159" s="566"/>
      <c r="GH159" s="563"/>
      <c r="GI159" s="564"/>
      <c r="GJ159" s="564"/>
      <c r="GK159" s="564"/>
      <c r="GL159" s="560"/>
      <c r="GM159" s="566"/>
      <c r="GN159" s="566"/>
      <c r="GO159" s="566"/>
      <c r="GP159" s="563"/>
      <c r="GQ159" s="564"/>
      <c r="GR159" s="564"/>
      <c r="GS159" s="564"/>
      <c r="GT159" s="560"/>
      <c r="GU159" s="566"/>
      <c r="GV159" s="566"/>
      <c r="GW159" s="566"/>
      <c r="GX159" s="563"/>
      <c r="GY159" s="564"/>
      <c r="GZ159" s="564"/>
      <c r="HA159" s="590"/>
      <c r="HB159" s="560"/>
      <c r="HC159" s="566"/>
      <c r="HD159" s="566"/>
      <c r="HE159" s="566"/>
      <c r="HF159" s="563"/>
      <c r="HG159" s="564"/>
      <c r="HH159" s="564"/>
      <c r="HI159" s="590"/>
      <c r="HJ159" s="560"/>
      <c r="HK159" s="566"/>
      <c r="HL159" s="566"/>
      <c r="HM159" s="566"/>
      <c r="HN159" s="563"/>
      <c r="HO159" s="564"/>
      <c r="HP159" s="564"/>
      <c r="HQ159" s="590"/>
      <c r="HR159" s="560"/>
      <c r="HS159" s="566"/>
      <c r="HT159" s="566"/>
      <c r="HU159" s="566"/>
    </row>
    <row r="160" spans="2:229" s="506" customFormat="1" ht="24.65" customHeight="1" thickBot="1" x14ac:dyDescent="0.4">
      <c r="B160" s="544">
        <v>157</v>
      </c>
      <c r="C160" s="544"/>
      <c r="D160" s="544" t="s">
        <v>44</v>
      </c>
      <c r="E160" s="546" t="s">
        <v>50</v>
      </c>
      <c r="F160" s="546" t="s">
        <v>46</v>
      </c>
      <c r="G160" s="546" t="s">
        <v>46</v>
      </c>
      <c r="H160" s="547" t="s">
        <v>664</v>
      </c>
      <c r="I160" s="549"/>
      <c r="J160" s="705"/>
      <c r="K160" s="568"/>
      <c r="L160" s="548"/>
      <c r="M160" s="569" t="s">
        <v>48</v>
      </c>
      <c r="N160" s="551">
        <v>0</v>
      </c>
      <c r="O160" s="552">
        <v>128</v>
      </c>
      <c r="P160" s="553">
        <v>46028</v>
      </c>
      <c r="Q160" s="553"/>
      <c r="R160" s="554" t="s">
        <v>73</v>
      </c>
      <c r="S160" s="555">
        <f ca="1">IF(R160="Aprobado con comentarios / Emitir en Rev_0", NETWORKDAYS(Q160,TODAY(),Hoja1!$C$3:$C$25),0)</f>
        <v>0</v>
      </c>
      <c r="T160" s="555">
        <f ca="1">IF(R160="Revisión INN",NETWORKDAYS(P160,TODAY(),Hoja1!$C$3:$C$25),0)</f>
        <v>0</v>
      </c>
      <c r="U160" s="556">
        <f t="shared" si="5"/>
        <v>0</v>
      </c>
      <c r="V160" s="557"/>
      <c r="W160" s="558"/>
      <c r="X160" s="558"/>
      <c r="Y160" s="559"/>
      <c r="Z160" s="560"/>
      <c r="AA160" s="561"/>
      <c r="AB160" s="562"/>
      <c r="AC160" s="561"/>
      <c r="AD160" s="563"/>
      <c r="AE160" s="567"/>
      <c r="AF160" s="564"/>
      <c r="AG160" s="565"/>
      <c r="AH160" s="560"/>
      <c r="AI160" s="561"/>
      <c r="AJ160" s="562"/>
      <c r="AK160" s="561"/>
      <c r="AL160" s="563"/>
      <c r="AM160" s="567"/>
      <c r="AN160" s="564"/>
      <c r="AO160" s="565"/>
      <c r="AP160" s="560"/>
      <c r="AQ160" s="561"/>
      <c r="AR160" s="562"/>
      <c r="AS160" s="561"/>
      <c r="AT160" s="563"/>
      <c r="AU160" s="567"/>
      <c r="AV160" s="564"/>
      <c r="AW160" s="565"/>
      <c r="AX160" s="560"/>
      <c r="AY160" s="561"/>
      <c r="AZ160" s="562"/>
      <c r="BA160" s="561"/>
      <c r="BB160" s="563"/>
      <c r="BC160" s="567"/>
      <c r="BD160" s="564"/>
      <c r="BE160" s="565"/>
      <c r="BF160" s="560"/>
      <c r="BG160" s="561"/>
      <c r="BH160" s="562"/>
      <c r="BI160" s="561"/>
      <c r="BJ160" s="563"/>
      <c r="BK160" s="567"/>
      <c r="BL160" s="564"/>
      <c r="BM160" s="565"/>
      <c r="BN160" s="560"/>
      <c r="BO160" s="561"/>
      <c r="BP160" s="562"/>
      <c r="BQ160" s="561"/>
      <c r="BR160" s="563"/>
      <c r="BS160" s="567"/>
      <c r="BT160" s="564"/>
      <c r="BU160" s="565"/>
      <c r="BV160" s="560"/>
      <c r="BW160" s="561"/>
      <c r="BX160" s="562"/>
      <c r="BY160" s="561"/>
      <c r="BZ160" s="563"/>
      <c r="CA160" s="567"/>
      <c r="CB160" s="564"/>
      <c r="CC160" s="565"/>
      <c r="CD160" s="560"/>
      <c r="CE160" s="561"/>
      <c r="CF160" s="562"/>
      <c r="CG160" s="561"/>
      <c r="CH160" s="563"/>
      <c r="CI160" s="564"/>
      <c r="CJ160" s="564"/>
      <c r="CK160" s="564"/>
      <c r="CL160" s="560"/>
      <c r="CM160" s="561"/>
      <c r="CN160" s="562"/>
      <c r="CO160" s="561"/>
      <c r="CP160" s="563"/>
      <c r="CQ160" s="564"/>
      <c r="CR160" s="564"/>
      <c r="CS160" s="564"/>
      <c r="CT160" s="560"/>
      <c r="CU160" s="561"/>
      <c r="CV160" s="562"/>
      <c r="CW160" s="561"/>
      <c r="CX160" s="563"/>
      <c r="CY160" s="564"/>
      <c r="CZ160" s="564"/>
      <c r="DA160" s="564"/>
      <c r="DB160" s="560"/>
      <c r="DC160" s="561"/>
      <c r="DD160" s="562"/>
      <c r="DE160" s="561"/>
      <c r="DF160" s="563"/>
      <c r="DG160" s="564"/>
      <c r="DH160" s="564"/>
      <c r="DI160" s="564"/>
      <c r="DJ160" s="560"/>
      <c r="DK160" s="561"/>
      <c r="DL160" s="562"/>
      <c r="DM160" s="561"/>
      <c r="DN160" s="563"/>
      <c r="DO160" s="564"/>
      <c r="DP160" s="564"/>
      <c r="DQ160" s="564"/>
      <c r="DR160" s="560"/>
      <c r="DS160" s="561"/>
      <c r="DT160" s="562"/>
      <c r="DU160" s="561"/>
      <c r="DV160" s="563"/>
      <c r="DW160" s="564"/>
      <c r="DX160" s="564"/>
      <c r="DY160" s="564"/>
      <c r="DZ160" s="560"/>
      <c r="EA160" s="561"/>
      <c r="EB160" s="562"/>
      <c r="EC160" s="561"/>
      <c r="ED160" s="563"/>
      <c r="EE160" s="564"/>
      <c r="EF160" s="564"/>
      <c r="EG160" s="564"/>
      <c r="EH160" s="560"/>
      <c r="EI160" s="561"/>
      <c r="EJ160" s="562"/>
      <c r="EK160" s="561"/>
      <c r="EL160" s="563"/>
      <c r="EM160" s="564"/>
      <c r="EN160" s="564"/>
      <c r="EO160" s="564"/>
      <c r="EP160" s="560"/>
      <c r="EQ160" s="561"/>
      <c r="ER160" s="562"/>
      <c r="ES160" s="561"/>
      <c r="ET160" s="563"/>
      <c r="EU160" s="564"/>
      <c r="EV160" s="564"/>
      <c r="EW160" s="564"/>
      <c r="EX160" s="560"/>
      <c r="EY160" s="561"/>
      <c r="EZ160" s="562"/>
      <c r="FA160" s="561"/>
      <c r="FB160" s="563"/>
      <c r="FC160" s="564"/>
      <c r="FD160" s="564"/>
      <c r="FE160" s="564"/>
      <c r="FF160" s="560"/>
      <c r="FG160" s="561"/>
      <c r="FH160" s="562"/>
      <c r="FI160" s="561"/>
      <c r="FJ160" s="563"/>
      <c r="FK160" s="564"/>
      <c r="FL160" s="564"/>
      <c r="FM160" s="564"/>
      <c r="FN160" s="560"/>
      <c r="FO160" s="561"/>
      <c r="FP160" s="562"/>
      <c r="FQ160" s="561"/>
      <c r="FR160" s="563"/>
      <c r="FS160" s="564"/>
      <c r="FT160" s="564"/>
      <c r="FU160" s="564"/>
      <c r="FV160" s="560"/>
      <c r="FW160" s="566"/>
      <c r="FX160" s="566"/>
      <c r="FY160" s="566"/>
      <c r="FZ160" s="563"/>
      <c r="GA160" s="564"/>
      <c r="GB160" s="564"/>
      <c r="GC160" s="564"/>
      <c r="GD160" s="560"/>
      <c r="GE160" s="566"/>
      <c r="GF160" s="566"/>
      <c r="GG160" s="566"/>
      <c r="GH160" s="563"/>
      <c r="GI160" s="564"/>
      <c r="GJ160" s="564"/>
      <c r="GK160" s="564"/>
      <c r="GL160" s="560"/>
      <c r="GM160" s="566"/>
      <c r="GN160" s="566"/>
      <c r="GO160" s="566"/>
      <c r="GP160" s="563"/>
      <c r="GQ160" s="564"/>
      <c r="GR160" s="564"/>
      <c r="GS160" s="564"/>
      <c r="GT160" s="560"/>
      <c r="GU160" s="566"/>
      <c r="GV160" s="566"/>
      <c r="GW160" s="566"/>
      <c r="GX160" s="563"/>
      <c r="GY160" s="564"/>
      <c r="GZ160" s="564"/>
      <c r="HA160" s="590"/>
      <c r="HB160" s="560"/>
      <c r="HC160" s="566"/>
      <c r="HD160" s="566"/>
      <c r="HE160" s="566"/>
      <c r="HF160" s="563"/>
      <c r="HG160" s="564"/>
      <c r="HH160" s="564"/>
      <c r="HI160" s="590"/>
      <c r="HJ160" s="560"/>
      <c r="HK160" s="566"/>
      <c r="HL160" s="566"/>
      <c r="HM160" s="566"/>
      <c r="HN160" s="563"/>
      <c r="HO160" s="564"/>
      <c r="HP160" s="564"/>
      <c r="HQ160" s="590"/>
      <c r="HR160" s="560"/>
      <c r="HS160" s="566"/>
      <c r="HT160" s="566"/>
      <c r="HU160" s="566"/>
    </row>
    <row r="161" spans="1:229" s="506" customFormat="1" ht="24.65" customHeight="1" x14ac:dyDescent="0.35">
      <c r="B161" s="544">
        <v>158</v>
      </c>
      <c r="C161" s="544"/>
      <c r="D161" s="544" t="s">
        <v>44</v>
      </c>
      <c r="E161" s="546" t="s">
        <v>50</v>
      </c>
      <c r="F161" s="546" t="s">
        <v>46</v>
      </c>
      <c r="G161" s="545" t="s">
        <v>46</v>
      </c>
      <c r="H161" s="547" t="s">
        <v>665</v>
      </c>
      <c r="I161" s="549"/>
      <c r="J161" s="548"/>
      <c r="K161" s="549"/>
      <c r="L161" s="549"/>
      <c r="M161" s="569" t="s">
        <v>48</v>
      </c>
      <c r="N161" s="551">
        <v>0</v>
      </c>
      <c r="O161" s="552">
        <v>102</v>
      </c>
      <c r="P161" s="553">
        <v>46000</v>
      </c>
      <c r="Q161" s="553"/>
      <c r="R161" s="554" t="s">
        <v>73</v>
      </c>
      <c r="S161" s="555">
        <f ca="1">IF(R161="Aprobado con comentarios / Emitir en Rev_0", NETWORKDAYS(Q161,TODAY(),Hoja1!$C$3:$C$25),0)</f>
        <v>0</v>
      </c>
      <c r="T161" s="555">
        <f ca="1">IF(R161="Revisión INN",NETWORKDAYS(P161,TODAY(),Hoja1!$C$3:$C$25),0)</f>
        <v>0</v>
      </c>
      <c r="U161" s="556">
        <f t="shared" si="5"/>
        <v>1</v>
      </c>
      <c r="V161" s="557">
        <v>0</v>
      </c>
      <c r="W161" s="558">
        <v>102</v>
      </c>
      <c r="X161" s="567"/>
      <c r="Y161" s="559">
        <v>46000</v>
      </c>
      <c r="Z161" s="560"/>
      <c r="AA161" s="561"/>
      <c r="AB161" s="562"/>
      <c r="AC161" s="561"/>
      <c r="AD161" s="563"/>
      <c r="AE161" s="567"/>
      <c r="AF161" s="564"/>
      <c r="AG161" s="565"/>
      <c r="AH161" s="560"/>
      <c r="AI161" s="561"/>
      <c r="AJ161" s="562"/>
      <c r="AK161" s="561"/>
      <c r="AL161" s="563"/>
      <c r="AM161" s="567"/>
      <c r="AN161" s="564"/>
      <c r="AO161" s="565"/>
      <c r="AP161" s="560"/>
      <c r="AQ161" s="561"/>
      <c r="AR161" s="562"/>
      <c r="AS161" s="561"/>
      <c r="AT161" s="563"/>
      <c r="AU161" s="567"/>
      <c r="AV161" s="564"/>
      <c r="AW161" s="565"/>
      <c r="AX161" s="560"/>
      <c r="AY161" s="561"/>
      <c r="AZ161" s="562"/>
      <c r="BA161" s="561"/>
      <c r="BB161" s="563"/>
      <c r="BC161" s="567"/>
      <c r="BD161" s="564"/>
      <c r="BE161" s="565"/>
      <c r="BF161" s="560"/>
      <c r="BG161" s="561"/>
      <c r="BH161" s="562"/>
      <c r="BI161" s="561"/>
      <c r="BJ161" s="563"/>
      <c r="BK161" s="567"/>
      <c r="BL161" s="564"/>
      <c r="BM161" s="565"/>
      <c r="BN161" s="560"/>
      <c r="BO161" s="561"/>
      <c r="BP161" s="562"/>
      <c r="BQ161" s="561"/>
      <c r="BR161" s="563"/>
      <c r="BS161" s="567"/>
      <c r="BT161" s="564"/>
      <c r="BU161" s="565"/>
      <c r="BV161" s="560"/>
      <c r="BW161" s="561"/>
      <c r="BX161" s="562"/>
      <c r="BY161" s="561"/>
      <c r="BZ161" s="563"/>
      <c r="CA161" s="567"/>
      <c r="CB161" s="564"/>
      <c r="CC161" s="565"/>
      <c r="CD161" s="560"/>
      <c r="CE161" s="561"/>
      <c r="CF161" s="562"/>
      <c r="CG161" s="561"/>
      <c r="CH161" s="563"/>
      <c r="CI161" s="564"/>
      <c r="CJ161" s="564"/>
      <c r="CK161" s="564"/>
      <c r="CL161" s="560"/>
      <c r="CM161" s="561"/>
      <c r="CN161" s="562"/>
      <c r="CO161" s="561"/>
      <c r="CP161" s="563"/>
      <c r="CQ161" s="564"/>
      <c r="CR161" s="564"/>
      <c r="CS161" s="564"/>
      <c r="CT161" s="560"/>
      <c r="CU161" s="561"/>
      <c r="CV161" s="562"/>
      <c r="CW161" s="561"/>
      <c r="CX161" s="563"/>
      <c r="CY161" s="564"/>
      <c r="CZ161" s="564"/>
      <c r="DA161" s="564"/>
      <c r="DB161" s="560"/>
      <c r="DC161" s="561"/>
      <c r="DD161" s="562"/>
      <c r="DE161" s="561"/>
      <c r="DF161" s="563"/>
      <c r="DG161" s="564"/>
      <c r="DH161" s="564"/>
      <c r="DI161" s="564"/>
      <c r="DJ161" s="560"/>
      <c r="DK161" s="561"/>
      <c r="DL161" s="562"/>
      <c r="DM161" s="561"/>
      <c r="DN161" s="563"/>
      <c r="DO161" s="564"/>
      <c r="DP161" s="564"/>
      <c r="DQ161" s="564"/>
      <c r="DR161" s="560"/>
      <c r="DS161" s="561"/>
      <c r="DT161" s="562"/>
      <c r="DU161" s="561"/>
      <c r="DV161" s="563"/>
      <c r="DW161" s="564"/>
      <c r="DX161" s="564"/>
      <c r="DY161" s="564"/>
      <c r="DZ161" s="560"/>
      <c r="EA161" s="561"/>
      <c r="EB161" s="562"/>
      <c r="EC161" s="561"/>
      <c r="ED161" s="563"/>
      <c r="EE161" s="564"/>
      <c r="EF161" s="564"/>
      <c r="EG161" s="564"/>
      <c r="EH161" s="560"/>
      <c r="EI161" s="561"/>
      <c r="EJ161" s="562"/>
      <c r="EK161" s="561"/>
      <c r="EL161" s="563"/>
      <c r="EM161" s="564"/>
      <c r="EN161" s="564"/>
      <c r="EO161" s="564"/>
      <c r="EP161" s="560"/>
      <c r="EQ161" s="561"/>
      <c r="ER161" s="562"/>
      <c r="ES161" s="561"/>
      <c r="ET161" s="563"/>
      <c r="EU161" s="564"/>
      <c r="EV161" s="564"/>
      <c r="EW161" s="564"/>
      <c r="EX161" s="560"/>
      <c r="EY161" s="561"/>
      <c r="EZ161" s="562"/>
      <c r="FA161" s="561"/>
      <c r="FB161" s="563"/>
      <c r="FC161" s="564"/>
      <c r="FD161" s="564"/>
      <c r="FE161" s="564"/>
      <c r="FF161" s="560"/>
      <c r="FG161" s="561"/>
      <c r="FH161" s="562"/>
      <c r="FI161" s="561"/>
      <c r="FJ161" s="563"/>
      <c r="FK161" s="564"/>
      <c r="FL161" s="564"/>
      <c r="FM161" s="564"/>
      <c r="FN161" s="560"/>
      <c r="FO161" s="561"/>
      <c r="FP161" s="562"/>
      <c r="FQ161" s="561"/>
      <c r="FR161" s="563"/>
      <c r="FS161" s="564"/>
      <c r="FT161" s="564"/>
      <c r="FU161" s="564"/>
      <c r="FV161" s="560"/>
      <c r="FW161" s="566"/>
      <c r="FX161" s="566"/>
      <c r="FY161" s="566"/>
      <c r="FZ161" s="563"/>
      <c r="GA161" s="564"/>
      <c r="GB161" s="564"/>
      <c r="GC161" s="564"/>
      <c r="GD161" s="560"/>
      <c r="GE161" s="566"/>
      <c r="GF161" s="566"/>
      <c r="GG161" s="566"/>
      <c r="GH161" s="563"/>
      <c r="GI161" s="564"/>
      <c r="GJ161" s="564"/>
      <c r="GK161" s="564"/>
      <c r="GL161" s="560"/>
      <c r="GM161" s="566"/>
      <c r="GN161" s="566"/>
      <c r="GO161" s="566"/>
      <c r="GP161" s="563"/>
      <c r="GQ161" s="564"/>
      <c r="GR161" s="564"/>
      <c r="GS161" s="564"/>
      <c r="GT161" s="560"/>
      <c r="GU161" s="566"/>
      <c r="GV161" s="566"/>
      <c r="GW161" s="566"/>
      <c r="GX161" s="541"/>
      <c r="GY161" s="535"/>
      <c r="GZ161" s="542"/>
      <c r="HA161" s="543"/>
      <c r="HB161" s="541"/>
      <c r="HC161" s="535"/>
      <c r="HD161" s="542"/>
      <c r="HE161" s="543"/>
      <c r="HF161" s="541"/>
      <c r="HG161" s="535"/>
      <c r="HH161" s="542"/>
      <c r="HI161" s="543"/>
      <c r="HJ161" s="541"/>
      <c r="HK161" s="535"/>
      <c r="HL161" s="542"/>
      <c r="HM161" s="543"/>
      <c r="HN161" s="541"/>
      <c r="HO161" s="535"/>
      <c r="HP161" s="542"/>
      <c r="HQ161" s="543"/>
      <c r="HR161" s="541"/>
      <c r="HS161" s="535"/>
      <c r="HT161" s="542"/>
      <c r="HU161" s="543"/>
    </row>
    <row r="162" spans="1:229" s="506" customFormat="1" ht="56.15" customHeight="1" x14ac:dyDescent="0.35">
      <c r="B162" s="544">
        <v>110</v>
      </c>
      <c r="C162" s="544" t="s">
        <v>244</v>
      </c>
      <c r="D162" s="545" t="s">
        <v>139</v>
      </c>
      <c r="E162" s="545" t="s">
        <v>666</v>
      </c>
      <c r="F162" s="546" t="s">
        <v>667</v>
      </c>
      <c r="G162" s="546" t="s">
        <v>668</v>
      </c>
      <c r="H162" s="547" t="s">
        <v>669</v>
      </c>
      <c r="I162" s="548"/>
      <c r="J162" s="548"/>
      <c r="K162" s="568" t="s">
        <v>62</v>
      </c>
      <c r="L162" s="549" t="s">
        <v>670</v>
      </c>
      <c r="M162" s="569" t="s">
        <v>117</v>
      </c>
      <c r="N162" s="551">
        <v>3</v>
      </c>
      <c r="O162" s="552">
        <v>259</v>
      </c>
      <c r="P162" s="553">
        <v>46125</v>
      </c>
      <c r="Q162" s="553">
        <v>46112</v>
      </c>
      <c r="R162" s="554" t="s">
        <v>151</v>
      </c>
      <c r="S162" s="555">
        <f ca="1">IF(R162="Aprobado con comentarios / Emitir Rev_3", NETWORKDAYS(Q162,TODAY(),Hoja1!$C$3:$C$25),0)</f>
        <v>0</v>
      </c>
      <c r="T162" s="555">
        <f ca="1">IF(R162="Revisión INN pero nos devolvieron este TTAL con la aprobación de cliente final para ellos avanzar. Aún falta resto de información para que SEH pueda atender el documento. ",NETWORKDAYS(P162,TODAY(),Hoja1!$C$3:$C$25),0)</f>
        <v>0</v>
      </c>
      <c r="U162" s="556">
        <f t="shared" si="5"/>
        <v>5</v>
      </c>
      <c r="V162" s="557" t="s">
        <v>125</v>
      </c>
      <c r="W162" s="558">
        <v>27</v>
      </c>
      <c r="X162" s="558"/>
      <c r="Y162" s="559">
        <v>45929</v>
      </c>
      <c r="Z162" s="560">
        <v>27</v>
      </c>
      <c r="AA162" s="561">
        <v>45930</v>
      </c>
      <c r="AB162" s="562">
        <f>AA162-Y162</f>
        <v>1</v>
      </c>
      <c r="AC162" s="561" t="s">
        <v>167</v>
      </c>
      <c r="AD162" s="563" t="s">
        <v>63</v>
      </c>
      <c r="AE162" s="567">
        <v>31</v>
      </c>
      <c r="AF162" s="567">
        <f>AG162-AA162</f>
        <v>1</v>
      </c>
      <c r="AG162" s="565">
        <v>45931</v>
      </c>
      <c r="AH162" s="560">
        <v>39</v>
      </c>
      <c r="AI162" s="561">
        <v>45943</v>
      </c>
      <c r="AJ162" s="562">
        <f>AI162-AG162</f>
        <v>12</v>
      </c>
      <c r="AK162" s="561" t="s">
        <v>186</v>
      </c>
      <c r="AL162" s="563">
        <v>0</v>
      </c>
      <c r="AM162" s="567">
        <v>72</v>
      </c>
      <c r="AN162" s="567"/>
      <c r="AO162" s="565">
        <v>45974</v>
      </c>
      <c r="AP162" s="560">
        <v>77</v>
      </c>
      <c r="AQ162" s="561">
        <v>46006</v>
      </c>
      <c r="AR162" s="562"/>
      <c r="AS162" s="561" t="s">
        <v>155</v>
      </c>
      <c r="AT162" s="563">
        <v>1</v>
      </c>
      <c r="AU162" s="567">
        <v>129</v>
      </c>
      <c r="AV162" s="567"/>
      <c r="AW162" s="565">
        <v>46029</v>
      </c>
      <c r="AX162" s="560">
        <v>121</v>
      </c>
      <c r="AY162" s="561">
        <v>46049</v>
      </c>
      <c r="AZ162" s="562"/>
      <c r="BA162" s="561" t="s">
        <v>187</v>
      </c>
      <c r="BB162" s="563">
        <v>2</v>
      </c>
      <c r="BC162" s="567">
        <v>187</v>
      </c>
      <c r="BD162" s="567"/>
      <c r="BE162" s="565">
        <v>46073</v>
      </c>
      <c r="BF162" s="560" t="s">
        <v>671</v>
      </c>
      <c r="BG162" s="561">
        <v>46097</v>
      </c>
      <c r="BH162" s="562"/>
      <c r="BI162" s="561" t="s">
        <v>278</v>
      </c>
      <c r="BJ162" s="591">
        <v>3</v>
      </c>
      <c r="BK162" s="592">
        <v>259</v>
      </c>
      <c r="BL162" s="567"/>
      <c r="BM162" s="593">
        <v>46125</v>
      </c>
      <c r="BN162" s="560"/>
      <c r="BO162" s="561"/>
      <c r="BP162" s="562"/>
      <c r="BQ162" s="561"/>
      <c r="BR162" s="563"/>
      <c r="BS162" s="567"/>
      <c r="BT162" s="567"/>
      <c r="BU162" s="565"/>
      <c r="BV162" s="560"/>
      <c r="BW162" s="561"/>
      <c r="BX162" s="562"/>
      <c r="BY162" s="561"/>
      <c r="BZ162" s="563"/>
      <c r="CA162" s="567"/>
      <c r="CB162" s="567"/>
      <c r="CC162" s="565"/>
      <c r="CD162" s="560"/>
      <c r="CE162" s="561"/>
      <c r="CF162" s="562"/>
      <c r="CG162" s="561"/>
      <c r="CH162" s="563"/>
      <c r="CI162" s="564"/>
      <c r="CJ162" s="564"/>
      <c r="CK162" s="564"/>
      <c r="CL162" s="560"/>
      <c r="CM162" s="561"/>
      <c r="CN162" s="562"/>
      <c r="CO162" s="561"/>
      <c r="CP162" s="563"/>
      <c r="CQ162" s="564"/>
      <c r="CR162" s="564"/>
      <c r="CS162" s="564"/>
      <c r="CT162" s="560"/>
      <c r="CU162" s="561"/>
      <c r="CV162" s="562"/>
      <c r="CW162" s="561"/>
      <c r="CX162" s="563"/>
      <c r="CY162" s="564"/>
      <c r="CZ162" s="564"/>
      <c r="DA162" s="564"/>
      <c r="DB162" s="560"/>
      <c r="DC162" s="561"/>
      <c r="DD162" s="562"/>
      <c r="DE162" s="561"/>
      <c r="DF162" s="563"/>
      <c r="DG162" s="564"/>
      <c r="DH162" s="564"/>
      <c r="DI162" s="564"/>
      <c r="DJ162" s="560"/>
      <c r="DK162" s="561"/>
      <c r="DL162" s="562"/>
      <c r="DM162" s="561"/>
      <c r="DN162" s="563"/>
      <c r="DO162" s="564"/>
      <c r="DP162" s="564"/>
      <c r="DQ162" s="564"/>
      <c r="DR162" s="560"/>
      <c r="DS162" s="561"/>
      <c r="DT162" s="562"/>
      <c r="DU162" s="561"/>
      <c r="DV162" s="563"/>
      <c r="DW162" s="564"/>
      <c r="DX162" s="564"/>
      <c r="DY162" s="564"/>
      <c r="DZ162" s="560"/>
      <c r="EA162" s="561"/>
      <c r="EB162" s="562"/>
      <c r="EC162" s="561"/>
      <c r="ED162" s="563"/>
      <c r="EE162" s="564"/>
      <c r="EF162" s="564"/>
      <c r="EG162" s="564"/>
      <c r="EH162" s="560"/>
      <c r="EI162" s="561"/>
      <c r="EJ162" s="562"/>
      <c r="EK162" s="561"/>
      <c r="EL162" s="563"/>
      <c r="EM162" s="564"/>
      <c r="EN162" s="564"/>
      <c r="EO162" s="564"/>
      <c r="EP162" s="560"/>
      <c r="EQ162" s="561"/>
      <c r="ER162" s="562"/>
      <c r="ES162" s="561"/>
      <c r="ET162" s="563"/>
      <c r="EU162" s="564"/>
      <c r="EV162" s="564"/>
      <c r="EW162" s="564"/>
      <c r="EX162" s="560"/>
      <c r="EY162" s="561"/>
      <c r="EZ162" s="562"/>
      <c r="FA162" s="561"/>
      <c r="FB162" s="563"/>
      <c r="FC162" s="564"/>
      <c r="FD162" s="564"/>
      <c r="FE162" s="564"/>
      <c r="FF162" s="560"/>
      <c r="FG162" s="561"/>
      <c r="FH162" s="562"/>
      <c r="FI162" s="561"/>
      <c r="FJ162" s="563"/>
      <c r="FK162" s="564"/>
      <c r="FL162" s="564"/>
      <c r="FM162" s="564"/>
      <c r="FN162" s="560"/>
      <c r="FO162" s="561"/>
      <c r="FP162" s="562"/>
      <c r="FQ162" s="561"/>
      <c r="FR162" s="563"/>
      <c r="FS162" s="564"/>
      <c r="FT162" s="564"/>
      <c r="FU162" s="564"/>
      <c r="FV162" s="560"/>
      <c r="FW162" s="566"/>
      <c r="FX162" s="566"/>
      <c r="FY162" s="566"/>
      <c r="FZ162" s="563"/>
      <c r="GA162" s="564"/>
      <c r="GB162" s="564"/>
      <c r="GC162" s="564"/>
      <c r="GD162" s="560"/>
      <c r="GE162" s="566"/>
      <c r="GF162" s="566"/>
      <c r="GG162" s="566"/>
      <c r="GH162" s="563"/>
      <c r="GI162" s="564"/>
      <c r="GJ162" s="564"/>
      <c r="GK162" s="564"/>
      <c r="GL162" s="560"/>
      <c r="GM162" s="566"/>
      <c r="GN162" s="566"/>
      <c r="GO162" s="566"/>
      <c r="GP162" s="563"/>
      <c r="GQ162" s="564"/>
      <c r="GR162" s="564"/>
      <c r="GS162" s="564"/>
      <c r="GT162" s="560"/>
      <c r="GU162" s="566"/>
      <c r="GV162" s="566"/>
      <c r="GW162" s="566"/>
      <c r="GX162" s="563"/>
      <c r="GY162" s="564"/>
      <c r="GZ162" s="564"/>
      <c r="HA162" s="590"/>
      <c r="HB162" s="560"/>
      <c r="HC162" s="566"/>
      <c r="HD162" s="566"/>
      <c r="HE162" s="566"/>
      <c r="HF162" s="563"/>
      <c r="HG162" s="564"/>
      <c r="HH162" s="564"/>
      <c r="HI162" s="590"/>
      <c r="HJ162" s="560"/>
      <c r="HK162" s="566"/>
      <c r="HL162" s="566"/>
      <c r="HM162" s="566"/>
      <c r="HN162" s="563"/>
      <c r="HO162" s="564"/>
      <c r="HP162" s="564"/>
      <c r="HQ162" s="590"/>
      <c r="HR162" s="560"/>
      <c r="HS162" s="566"/>
      <c r="HT162" s="566"/>
      <c r="HU162" s="566"/>
    </row>
    <row r="163" spans="1:229" s="506" customFormat="1" ht="32.15" customHeight="1" x14ac:dyDescent="0.35">
      <c r="B163" s="544">
        <v>160</v>
      </c>
      <c r="C163" s="544"/>
      <c r="D163" s="545" t="s">
        <v>46</v>
      </c>
      <c r="E163" s="545" t="s">
        <v>46</v>
      </c>
      <c r="F163" s="545" t="s">
        <v>46</v>
      </c>
      <c r="G163" s="545" t="s">
        <v>46</v>
      </c>
      <c r="H163" s="547" t="s">
        <v>672</v>
      </c>
      <c r="I163" s="548"/>
      <c r="J163" s="548"/>
      <c r="K163" s="568"/>
      <c r="L163" s="549"/>
      <c r="M163" s="569" t="s">
        <v>48</v>
      </c>
      <c r="N163" s="551" t="s">
        <v>46</v>
      </c>
      <c r="O163" s="552">
        <v>112</v>
      </c>
      <c r="P163" s="553">
        <v>46008</v>
      </c>
      <c r="Q163" s="553"/>
      <c r="R163" s="554" t="s">
        <v>673</v>
      </c>
      <c r="S163" s="555">
        <f ca="1">IF(R163="Aprobado con comentarios / Emitir en Rev_0", NETWORKDAYS(Q163,TODAY(),Hoja1!$C$3:$C$25),0)</f>
        <v>0</v>
      </c>
      <c r="T163" s="555">
        <f ca="1">IF(R163="Revisión INN",NETWORKDAYS(P163,TODAY(),Hoja1!$C$3:$C$25),0)</f>
        <v>0</v>
      </c>
      <c r="U163" s="556">
        <f t="shared" si="5"/>
        <v>0</v>
      </c>
      <c r="V163" s="557"/>
      <c r="W163" s="558"/>
      <c r="X163" s="567"/>
      <c r="Y163" s="559"/>
      <c r="Z163" s="560"/>
      <c r="AA163" s="561"/>
      <c r="AB163" s="562"/>
      <c r="AC163" s="561"/>
      <c r="AD163" s="563"/>
      <c r="AE163" s="567"/>
      <c r="AF163" s="564"/>
      <c r="AG163" s="565"/>
      <c r="AH163" s="560"/>
      <c r="AI163" s="561"/>
      <c r="AJ163" s="562"/>
      <c r="AK163" s="561"/>
      <c r="AL163" s="563"/>
      <c r="AM163" s="567"/>
      <c r="AN163" s="564"/>
      <c r="AO163" s="565"/>
      <c r="AP163" s="560"/>
      <c r="AQ163" s="561"/>
      <c r="AR163" s="562"/>
      <c r="AS163" s="561"/>
      <c r="AT163" s="563"/>
      <c r="AU163" s="567"/>
      <c r="AV163" s="564"/>
      <c r="AW163" s="565"/>
      <c r="AX163" s="560"/>
      <c r="AY163" s="561"/>
      <c r="AZ163" s="562"/>
      <c r="BA163" s="561"/>
      <c r="BB163" s="563"/>
      <c r="BC163" s="567"/>
      <c r="BD163" s="564"/>
      <c r="BE163" s="565"/>
      <c r="BF163" s="560"/>
      <c r="BG163" s="560"/>
      <c r="BH163" s="560"/>
      <c r="BI163" s="560"/>
      <c r="BJ163" s="563"/>
      <c r="BK163" s="567"/>
      <c r="BL163" s="564"/>
      <c r="BM163" s="565"/>
      <c r="BN163" s="560"/>
      <c r="BO163" s="561"/>
      <c r="BP163" s="562"/>
      <c r="BQ163" s="561"/>
      <c r="BR163" s="563"/>
      <c r="BS163" s="567"/>
      <c r="BT163" s="564"/>
      <c r="BU163" s="565"/>
      <c r="BV163" s="560"/>
      <c r="BW163" s="561"/>
      <c r="BX163" s="562"/>
      <c r="BY163" s="561"/>
      <c r="BZ163" s="563"/>
      <c r="CA163" s="567"/>
      <c r="CB163" s="564"/>
      <c r="CC163" s="565"/>
      <c r="CD163" s="560"/>
      <c r="CE163" s="561"/>
      <c r="CF163" s="562"/>
      <c r="CG163" s="561"/>
      <c r="CH163" s="563"/>
      <c r="CI163" s="564"/>
      <c r="CJ163" s="564"/>
      <c r="CK163" s="590"/>
      <c r="CL163" s="560"/>
      <c r="CM163" s="561"/>
      <c r="CN163" s="562"/>
      <c r="CO163" s="561"/>
      <c r="CP163" s="563"/>
      <c r="CQ163" s="564"/>
      <c r="CR163" s="564"/>
      <c r="CS163" s="564"/>
      <c r="CT163" s="560"/>
      <c r="CU163" s="561"/>
      <c r="CV163" s="562"/>
      <c r="CW163" s="561"/>
      <c r="CX163" s="563"/>
      <c r="CY163" s="564"/>
      <c r="CZ163" s="564"/>
      <c r="DA163" s="564"/>
      <c r="DB163" s="560"/>
      <c r="DC163" s="561"/>
      <c r="DD163" s="562"/>
      <c r="DE163" s="561"/>
      <c r="DF163" s="563"/>
      <c r="DG163" s="564"/>
      <c r="DH163" s="564"/>
      <c r="DI163" s="564"/>
      <c r="DJ163" s="560"/>
      <c r="DK163" s="561"/>
      <c r="DL163" s="562"/>
      <c r="DM163" s="561"/>
      <c r="DN163" s="563"/>
      <c r="DO163" s="564"/>
      <c r="DP163" s="564"/>
      <c r="DQ163" s="564"/>
      <c r="DR163" s="560"/>
      <c r="DS163" s="561"/>
      <c r="DT163" s="562"/>
      <c r="DU163" s="561"/>
      <c r="DV163" s="563"/>
      <c r="DW163" s="564"/>
      <c r="DX163" s="564"/>
      <c r="DY163" s="564"/>
      <c r="DZ163" s="560"/>
      <c r="EA163" s="561"/>
      <c r="EB163" s="562"/>
      <c r="EC163" s="561"/>
      <c r="ED163" s="563"/>
      <c r="EE163" s="564"/>
      <c r="EF163" s="564"/>
      <c r="EG163" s="564"/>
      <c r="EH163" s="560"/>
      <c r="EI163" s="561"/>
      <c r="EJ163" s="562"/>
      <c r="EK163" s="561"/>
      <c r="EL163" s="563"/>
      <c r="EM163" s="564"/>
      <c r="EN163" s="564"/>
      <c r="EO163" s="564"/>
      <c r="EP163" s="560"/>
      <c r="EQ163" s="561"/>
      <c r="ER163" s="562"/>
      <c r="ES163" s="561"/>
      <c r="ET163" s="563"/>
      <c r="EU163" s="564"/>
      <c r="EV163" s="564"/>
      <c r="EW163" s="564"/>
      <c r="EX163" s="560"/>
      <c r="EY163" s="561"/>
      <c r="EZ163" s="562"/>
      <c r="FA163" s="561"/>
      <c r="FB163" s="563"/>
      <c r="FC163" s="564"/>
      <c r="FD163" s="564"/>
      <c r="FE163" s="564"/>
      <c r="FF163" s="560"/>
      <c r="FG163" s="561"/>
      <c r="FH163" s="562"/>
      <c r="FI163" s="561"/>
      <c r="FJ163" s="563"/>
      <c r="FK163" s="564"/>
      <c r="FL163" s="564"/>
      <c r="FM163" s="564"/>
      <c r="FN163" s="560"/>
      <c r="FO163" s="561"/>
      <c r="FP163" s="562"/>
      <c r="FQ163" s="561"/>
      <c r="FR163" s="563"/>
      <c r="FS163" s="564"/>
      <c r="FT163" s="564"/>
      <c r="FU163" s="564"/>
      <c r="FV163" s="560"/>
      <c r="FW163" s="566"/>
      <c r="FX163" s="566"/>
      <c r="FY163" s="566"/>
      <c r="FZ163" s="563"/>
      <c r="GA163" s="564"/>
      <c r="GB163" s="564"/>
      <c r="GC163" s="564"/>
      <c r="GD163" s="560"/>
      <c r="GE163" s="566"/>
      <c r="GF163" s="566"/>
      <c r="GG163" s="566"/>
      <c r="GH163" s="563"/>
      <c r="GI163" s="564"/>
      <c r="GJ163" s="564"/>
      <c r="GK163" s="564"/>
      <c r="GL163" s="560"/>
      <c r="GM163" s="566"/>
      <c r="GN163" s="566"/>
      <c r="GO163" s="566"/>
      <c r="GP163" s="563"/>
      <c r="GQ163" s="564"/>
      <c r="GR163" s="564"/>
      <c r="GS163" s="564"/>
      <c r="GT163" s="560"/>
      <c r="GU163" s="566"/>
      <c r="GV163" s="566"/>
      <c r="GW163" s="566"/>
      <c r="GX163" s="563"/>
      <c r="GY163" s="564"/>
      <c r="GZ163" s="564"/>
      <c r="HA163" s="590"/>
      <c r="HB163" s="560"/>
      <c r="HC163" s="566"/>
      <c r="HD163" s="566"/>
      <c r="HE163" s="566"/>
      <c r="HF163" s="563"/>
      <c r="HG163" s="564"/>
      <c r="HH163" s="564"/>
      <c r="HI163" s="590"/>
      <c r="HJ163" s="560"/>
      <c r="HK163" s="566"/>
      <c r="HL163" s="566"/>
      <c r="HM163" s="566"/>
      <c r="HN163" s="563"/>
      <c r="HO163" s="564"/>
      <c r="HP163" s="564"/>
      <c r="HQ163" s="590"/>
      <c r="HR163" s="560"/>
      <c r="HS163" s="566"/>
      <c r="HT163" s="566"/>
      <c r="HU163" s="566"/>
    </row>
    <row r="164" spans="1:229" s="603" customFormat="1" ht="44.15" customHeight="1" thickBot="1" x14ac:dyDescent="0.4">
      <c r="A164" s="506"/>
      <c r="B164" s="544">
        <v>161</v>
      </c>
      <c r="C164" s="544" t="s">
        <v>46</v>
      </c>
      <c r="D164" s="545" t="s">
        <v>44</v>
      </c>
      <c r="E164" s="545" t="s">
        <v>674</v>
      </c>
      <c r="F164" s="546" t="s">
        <v>675</v>
      </c>
      <c r="G164" s="545" t="s">
        <v>46</v>
      </c>
      <c r="H164" s="547" t="s">
        <v>676</v>
      </c>
      <c r="I164" s="549" t="s">
        <v>46</v>
      </c>
      <c r="J164" s="549"/>
      <c r="K164" s="549" t="s">
        <v>46</v>
      </c>
      <c r="L164" s="549"/>
      <c r="M164" s="569" t="s">
        <v>625</v>
      </c>
      <c r="N164" s="551">
        <v>0</v>
      </c>
      <c r="O164" s="552">
        <v>46</v>
      </c>
      <c r="P164" s="553">
        <v>45924</v>
      </c>
      <c r="Q164" s="553">
        <v>45951</v>
      </c>
      <c r="R164" s="554" t="s">
        <v>118</v>
      </c>
      <c r="S164" s="555">
        <f ca="1">IF(R164="Aprobado con comentarios / Emitir en Rev_0", NETWORKDAYS(Q164,TODAY(),Hoja1!$C$3:$C$25),0)</f>
        <v>0</v>
      </c>
      <c r="T164" s="555">
        <f ca="1">IF(R164="Revisión INN",NETWORKDAYS(P164,TODAY(),Hoja1!$C$3:$C$25),0)</f>
        <v>0</v>
      </c>
      <c r="U164" s="556">
        <f t="shared" si="5"/>
        <v>1</v>
      </c>
      <c r="V164" s="557">
        <v>0</v>
      </c>
      <c r="W164" s="558">
        <v>25</v>
      </c>
      <c r="X164" s="558"/>
      <c r="Y164" s="559">
        <v>45924</v>
      </c>
      <c r="Z164" s="560">
        <v>46</v>
      </c>
      <c r="AA164" s="561">
        <v>45951</v>
      </c>
      <c r="AB164" s="562">
        <f>AA164-Y164</f>
        <v>27</v>
      </c>
      <c r="AC164" s="561" t="s">
        <v>626</v>
      </c>
      <c r="AD164" s="563"/>
      <c r="AE164" s="567"/>
      <c r="AF164" s="564"/>
      <c r="AG164" s="565"/>
      <c r="AH164" s="560"/>
      <c r="AI164" s="561"/>
      <c r="AJ164" s="562"/>
      <c r="AK164" s="561"/>
      <c r="AL164" s="563"/>
      <c r="AM164" s="567"/>
      <c r="AN164" s="564"/>
      <c r="AO164" s="565"/>
      <c r="AP164" s="560"/>
      <c r="AQ164" s="561"/>
      <c r="AR164" s="562"/>
      <c r="AS164" s="561"/>
      <c r="AT164" s="563"/>
      <c r="AU164" s="567"/>
      <c r="AV164" s="564"/>
      <c r="AW164" s="565"/>
      <c r="AX164" s="560"/>
      <c r="AY164" s="561"/>
      <c r="AZ164" s="562"/>
      <c r="BA164" s="561"/>
      <c r="BB164" s="563"/>
      <c r="BC164" s="567"/>
      <c r="BD164" s="564"/>
      <c r="BE164" s="565"/>
      <c r="BF164" s="560"/>
      <c r="BG164" s="561"/>
      <c r="BH164" s="562"/>
      <c r="BI164" s="561"/>
      <c r="BJ164" s="563"/>
      <c r="BK164" s="567"/>
      <c r="BL164" s="564"/>
      <c r="BM164" s="565"/>
      <c r="BN164" s="560"/>
      <c r="BO164" s="561"/>
      <c r="BP164" s="562"/>
      <c r="BQ164" s="561"/>
      <c r="BR164" s="563"/>
      <c r="BS164" s="567"/>
      <c r="BT164" s="564"/>
      <c r="BU164" s="565"/>
      <c r="BV164" s="560"/>
      <c r="BW164" s="561"/>
      <c r="BX164" s="562"/>
      <c r="BY164" s="561"/>
      <c r="BZ164" s="563"/>
      <c r="CA164" s="567"/>
      <c r="CB164" s="564"/>
      <c r="CC164" s="565"/>
      <c r="CD164" s="560"/>
      <c r="CE164" s="561"/>
      <c r="CF164" s="562"/>
      <c r="CG164" s="561"/>
      <c r="CH164" s="563"/>
      <c r="CI164" s="564"/>
      <c r="CJ164" s="564"/>
      <c r="CK164" s="564"/>
      <c r="CL164" s="560"/>
      <c r="CM164" s="561"/>
      <c r="CN164" s="562"/>
      <c r="CO164" s="561"/>
      <c r="CP164" s="563"/>
      <c r="CQ164" s="564"/>
      <c r="CR164" s="564"/>
      <c r="CS164" s="564"/>
      <c r="CT164" s="560"/>
      <c r="CU164" s="561"/>
      <c r="CV164" s="562"/>
      <c r="CW164" s="561"/>
      <c r="CX164" s="563"/>
      <c r="CY164" s="564"/>
      <c r="CZ164" s="564"/>
      <c r="DA164" s="564"/>
      <c r="DB164" s="560"/>
      <c r="DC164" s="561"/>
      <c r="DD164" s="562"/>
      <c r="DE164" s="561"/>
      <c r="DF164" s="563"/>
      <c r="DG164" s="564"/>
      <c r="DH164" s="564"/>
      <c r="DI164" s="564"/>
      <c r="DJ164" s="560"/>
      <c r="DK164" s="561"/>
      <c r="DL164" s="562"/>
      <c r="DM164" s="561"/>
      <c r="DN164" s="563"/>
      <c r="DO164" s="564"/>
      <c r="DP164" s="564"/>
      <c r="DQ164" s="564"/>
      <c r="DR164" s="560"/>
      <c r="DS164" s="561"/>
      <c r="DT164" s="562"/>
      <c r="DU164" s="561"/>
      <c r="DV164" s="563"/>
      <c r="DW164" s="564"/>
      <c r="DX164" s="564"/>
      <c r="DY164" s="564"/>
      <c r="DZ164" s="560"/>
      <c r="EA164" s="561"/>
      <c r="EB164" s="562"/>
      <c r="EC164" s="561"/>
      <c r="ED164" s="563"/>
      <c r="EE164" s="564"/>
      <c r="EF164" s="564"/>
      <c r="EG164" s="564"/>
      <c r="EH164" s="560"/>
      <c r="EI164" s="561"/>
      <c r="EJ164" s="562"/>
      <c r="EK164" s="561"/>
      <c r="EL164" s="563"/>
      <c r="EM164" s="564"/>
      <c r="EN164" s="564"/>
      <c r="EO164" s="564"/>
      <c r="EP164" s="560"/>
      <c r="EQ164" s="561"/>
      <c r="ER164" s="562"/>
      <c r="ES164" s="561"/>
      <c r="ET164" s="563"/>
      <c r="EU164" s="564"/>
      <c r="EV164" s="564"/>
      <c r="EW164" s="564"/>
      <c r="EX164" s="560"/>
      <c r="EY164" s="561"/>
      <c r="EZ164" s="562"/>
      <c r="FA164" s="561"/>
      <c r="FB164" s="563"/>
      <c r="FC164" s="564"/>
      <c r="FD164" s="564"/>
      <c r="FE164" s="564"/>
      <c r="FF164" s="560"/>
      <c r="FG164" s="561"/>
      <c r="FH164" s="562"/>
      <c r="FI164" s="561"/>
      <c r="FJ164" s="563"/>
      <c r="FK164" s="564"/>
      <c r="FL164" s="564"/>
      <c r="FM164" s="564"/>
      <c r="FN164" s="560"/>
      <c r="FO164" s="561"/>
      <c r="FP164" s="562"/>
      <c r="FQ164" s="561"/>
      <c r="FR164" s="563"/>
      <c r="FS164" s="564"/>
      <c r="FT164" s="564"/>
      <c r="FU164" s="564"/>
      <c r="FV164" s="560"/>
      <c r="FW164" s="566"/>
      <c r="FX164" s="566"/>
      <c r="FY164" s="566"/>
      <c r="FZ164" s="563"/>
      <c r="GA164" s="564"/>
      <c r="GB164" s="564"/>
      <c r="GC164" s="564"/>
      <c r="GD164" s="560"/>
      <c r="GE164" s="566"/>
      <c r="GF164" s="566"/>
      <c r="GG164" s="566"/>
      <c r="GH164" s="563"/>
      <c r="GI164" s="564"/>
      <c r="GJ164" s="564"/>
      <c r="GK164" s="564"/>
      <c r="GL164" s="560"/>
      <c r="GM164" s="566"/>
      <c r="GN164" s="566"/>
      <c r="GO164" s="566"/>
      <c r="GP164" s="563"/>
      <c r="GQ164" s="564"/>
      <c r="GR164" s="564"/>
      <c r="GS164" s="564"/>
      <c r="GT164" s="560"/>
      <c r="GU164" s="566"/>
      <c r="GV164" s="566"/>
      <c r="GW164" s="566"/>
      <c r="GX164" s="563"/>
      <c r="GY164" s="564"/>
      <c r="GZ164" s="564"/>
      <c r="HA164" s="590"/>
      <c r="HB164" s="560"/>
      <c r="HC164" s="566"/>
      <c r="HD164" s="566"/>
      <c r="HE164" s="566"/>
      <c r="HF164" s="563"/>
      <c r="HG164" s="564"/>
      <c r="HH164" s="564"/>
      <c r="HI164" s="590"/>
      <c r="HJ164" s="560"/>
      <c r="HK164" s="566"/>
      <c r="HL164" s="566"/>
      <c r="HM164" s="566"/>
      <c r="HN164" s="563"/>
      <c r="HO164" s="564"/>
      <c r="HP164" s="564"/>
      <c r="HQ164" s="590"/>
      <c r="HR164" s="560"/>
      <c r="HS164" s="566"/>
      <c r="HT164" s="566"/>
      <c r="HU164" s="566"/>
    </row>
    <row r="165" spans="1:229" s="506" customFormat="1" ht="24.65" customHeight="1" x14ac:dyDescent="0.35">
      <c r="B165" s="544">
        <v>162</v>
      </c>
      <c r="C165" s="544"/>
      <c r="D165" s="545"/>
      <c r="E165" s="545"/>
      <c r="F165" s="546"/>
      <c r="G165" s="545"/>
      <c r="H165" s="547" t="s">
        <v>677</v>
      </c>
      <c r="I165" s="549"/>
      <c r="J165" s="549"/>
      <c r="K165" s="549"/>
      <c r="L165" s="549"/>
      <c r="M165" s="569" t="s">
        <v>123</v>
      </c>
      <c r="N165" s="551" t="s">
        <v>62</v>
      </c>
      <c r="O165" s="552">
        <v>137</v>
      </c>
      <c r="P165" s="553">
        <v>46036</v>
      </c>
      <c r="Q165" s="553"/>
      <c r="R165" s="554" t="s">
        <v>73</v>
      </c>
      <c r="S165" s="555">
        <f ca="1">IF(R165="Aprobado con comentarios / Emitir en Rev_0", NETWORKDAYS(Q165,TODAY(),Hoja1!$C$3:$C$25),0)</f>
        <v>0</v>
      </c>
      <c r="T165" s="555">
        <f ca="1">IF(R165="Revisión INN",NETWORKDAYS(P165,TODAY(),Hoja1!$C$3:$C$25),0)</f>
        <v>0</v>
      </c>
      <c r="U165" s="556">
        <f t="shared" si="5"/>
        <v>0</v>
      </c>
      <c r="V165" s="557"/>
      <c r="W165" s="558"/>
      <c r="X165" s="558"/>
      <c r="Y165" s="559"/>
      <c r="Z165" s="560"/>
      <c r="AA165" s="561"/>
      <c r="AB165" s="562"/>
      <c r="AC165" s="561"/>
      <c r="AD165" s="563"/>
      <c r="AE165" s="567"/>
      <c r="AF165" s="564"/>
      <c r="AG165" s="565"/>
      <c r="AH165" s="560"/>
      <c r="AI165" s="561"/>
      <c r="AJ165" s="562"/>
      <c r="AK165" s="561"/>
      <c r="AL165" s="563"/>
      <c r="AM165" s="567"/>
      <c r="AN165" s="564"/>
      <c r="AO165" s="565"/>
      <c r="AP165" s="560"/>
      <c r="AQ165" s="561"/>
      <c r="AR165" s="562"/>
      <c r="AS165" s="561"/>
      <c r="AT165" s="563"/>
      <c r="AU165" s="567"/>
      <c r="AV165" s="564"/>
      <c r="AW165" s="565"/>
      <c r="AX165" s="560"/>
      <c r="AY165" s="561"/>
      <c r="AZ165" s="562"/>
      <c r="BA165" s="561"/>
      <c r="BB165" s="563"/>
      <c r="BC165" s="567"/>
      <c r="BD165" s="564"/>
      <c r="BE165" s="565"/>
      <c r="BF165" s="560"/>
      <c r="BG165" s="561"/>
      <c r="BH165" s="562"/>
      <c r="BI165" s="561"/>
      <c r="BJ165" s="563"/>
      <c r="BK165" s="567"/>
      <c r="BL165" s="564"/>
      <c r="BM165" s="565"/>
      <c r="BN165" s="560"/>
      <c r="BO165" s="561"/>
      <c r="BP165" s="562"/>
      <c r="BQ165" s="561"/>
      <c r="BR165" s="563"/>
      <c r="BS165" s="567"/>
      <c r="BT165" s="564"/>
      <c r="BU165" s="565"/>
      <c r="BV165" s="560"/>
      <c r="BW165" s="561"/>
      <c r="BX165" s="562"/>
      <c r="BY165" s="561"/>
      <c r="BZ165" s="563"/>
      <c r="CA165" s="567"/>
      <c r="CB165" s="564"/>
      <c r="CC165" s="565"/>
      <c r="CD165" s="560"/>
      <c r="CE165" s="561"/>
      <c r="CF165" s="562"/>
      <c r="CG165" s="561"/>
      <c r="CH165" s="563"/>
      <c r="CI165" s="564"/>
      <c r="CJ165" s="564"/>
      <c r="CK165" s="564"/>
      <c r="CL165" s="560"/>
      <c r="CM165" s="561"/>
      <c r="CN165" s="562"/>
      <c r="CO165" s="561"/>
      <c r="CP165" s="563"/>
      <c r="CQ165" s="564"/>
      <c r="CR165" s="564"/>
      <c r="CS165" s="564"/>
      <c r="CT165" s="560"/>
      <c r="CU165" s="561"/>
      <c r="CV165" s="562"/>
      <c r="CW165" s="561"/>
      <c r="CX165" s="563"/>
      <c r="CY165" s="564"/>
      <c r="CZ165" s="564"/>
      <c r="DA165" s="564"/>
      <c r="DB165" s="560"/>
      <c r="DC165" s="561"/>
      <c r="DD165" s="562"/>
      <c r="DE165" s="561"/>
      <c r="DF165" s="563"/>
      <c r="DG165" s="564"/>
      <c r="DH165" s="564"/>
      <c r="DI165" s="564"/>
      <c r="DJ165" s="560"/>
      <c r="DK165" s="561"/>
      <c r="DL165" s="562"/>
      <c r="DM165" s="561"/>
      <c r="DN165" s="563"/>
      <c r="DO165" s="564"/>
      <c r="DP165" s="564"/>
      <c r="DQ165" s="564"/>
      <c r="DR165" s="560"/>
      <c r="DS165" s="561"/>
      <c r="DT165" s="562"/>
      <c r="DU165" s="561"/>
      <c r="DV165" s="563"/>
      <c r="DW165" s="564"/>
      <c r="DX165" s="564"/>
      <c r="DY165" s="564"/>
      <c r="DZ165" s="560"/>
      <c r="EA165" s="561"/>
      <c r="EB165" s="562"/>
      <c r="EC165" s="561"/>
      <c r="ED165" s="563"/>
      <c r="EE165" s="564"/>
      <c r="EF165" s="564"/>
      <c r="EG165" s="564"/>
      <c r="EH165" s="560"/>
      <c r="EI165" s="561"/>
      <c r="EJ165" s="562"/>
      <c r="EK165" s="561"/>
      <c r="EL165" s="563"/>
      <c r="EM165" s="564"/>
      <c r="EN165" s="564"/>
      <c r="EO165" s="564"/>
      <c r="EP165" s="560"/>
      <c r="EQ165" s="561"/>
      <c r="ER165" s="562"/>
      <c r="ES165" s="561"/>
      <c r="ET165" s="563"/>
      <c r="EU165" s="564"/>
      <c r="EV165" s="564"/>
      <c r="EW165" s="564"/>
      <c r="EX165" s="560"/>
      <c r="EY165" s="561"/>
      <c r="EZ165" s="562"/>
      <c r="FA165" s="561"/>
      <c r="FB165" s="563"/>
      <c r="FC165" s="564"/>
      <c r="FD165" s="564"/>
      <c r="FE165" s="564"/>
      <c r="FF165" s="560"/>
      <c r="FG165" s="561"/>
      <c r="FH165" s="562"/>
      <c r="FI165" s="561"/>
      <c r="FJ165" s="563"/>
      <c r="FK165" s="564"/>
      <c r="FL165" s="564"/>
      <c r="FM165" s="564"/>
      <c r="FN165" s="560"/>
      <c r="FO165" s="561"/>
      <c r="FP165" s="562"/>
      <c r="FQ165" s="561"/>
      <c r="FR165" s="563"/>
      <c r="FS165" s="564"/>
      <c r="FT165" s="564"/>
      <c r="FU165" s="564"/>
      <c r="FV165" s="560"/>
      <c r="FW165" s="566"/>
      <c r="FX165" s="566"/>
      <c r="FY165" s="566"/>
      <c r="FZ165" s="563"/>
      <c r="GA165" s="564"/>
      <c r="GB165" s="564"/>
      <c r="GC165" s="564"/>
      <c r="GD165" s="560"/>
      <c r="GE165" s="566"/>
      <c r="GF165" s="566"/>
      <c r="GG165" s="566"/>
      <c r="GH165" s="563"/>
      <c r="GI165" s="564"/>
      <c r="GJ165" s="564"/>
      <c r="GK165" s="564"/>
      <c r="GL165" s="560"/>
      <c r="GM165" s="566"/>
      <c r="GN165" s="566"/>
      <c r="GO165" s="566"/>
      <c r="GP165" s="563"/>
      <c r="GQ165" s="564"/>
      <c r="GR165" s="564"/>
      <c r="GS165" s="564"/>
      <c r="GT165" s="560"/>
      <c r="GU165" s="566"/>
      <c r="GV165" s="566"/>
      <c r="GW165" s="566"/>
      <c r="GX165" s="541"/>
      <c r="GY165" s="535"/>
      <c r="GZ165" s="542"/>
      <c r="HA165" s="543"/>
      <c r="HB165" s="541"/>
      <c r="HC165" s="535"/>
      <c r="HD165" s="542"/>
      <c r="HE165" s="543"/>
      <c r="HF165" s="541"/>
      <c r="HG165" s="535"/>
      <c r="HH165" s="542"/>
      <c r="HI165" s="543"/>
      <c r="HJ165" s="541"/>
      <c r="HK165" s="535"/>
      <c r="HL165" s="542"/>
      <c r="HM165" s="543"/>
      <c r="HN165" s="541"/>
      <c r="HO165" s="535"/>
      <c r="HP165" s="542"/>
      <c r="HQ165" s="543"/>
      <c r="HR165" s="541"/>
      <c r="HS165" s="535"/>
      <c r="HT165" s="542"/>
      <c r="HU165" s="543"/>
    </row>
    <row r="166" spans="1:229" s="506" customFormat="1" ht="36" customHeight="1" x14ac:dyDescent="0.35">
      <c r="B166" s="544">
        <v>163</v>
      </c>
      <c r="C166" s="544"/>
      <c r="D166" s="545" t="s">
        <v>372</v>
      </c>
      <c r="E166" s="545" t="s">
        <v>678</v>
      </c>
      <c r="F166" s="546" t="s">
        <v>46</v>
      </c>
      <c r="G166" s="545" t="s">
        <v>46</v>
      </c>
      <c r="H166" s="547" t="s">
        <v>679</v>
      </c>
      <c r="I166" s="548" t="s">
        <v>86</v>
      </c>
      <c r="J166" s="549"/>
      <c r="K166" s="568" t="s">
        <v>86</v>
      </c>
      <c r="L166" s="549"/>
      <c r="M166" s="569" t="s">
        <v>132</v>
      </c>
      <c r="N166" s="551">
        <v>0</v>
      </c>
      <c r="O166" s="552">
        <v>113</v>
      </c>
      <c r="P166" s="553">
        <v>46038</v>
      </c>
      <c r="Q166" s="553">
        <v>46041</v>
      </c>
      <c r="R166" s="554" t="s">
        <v>202</v>
      </c>
      <c r="S166" s="555">
        <f ca="1">IF(R166="Aprobado con comentarios / Emitir en Rev_0", NETWORKDAYS(Q166,TODAY(),Hoja1!$C$3:$C$25),0)</f>
        <v>0</v>
      </c>
      <c r="T166" s="555">
        <f ca="1">IF(R166="Revisión INN",NETWORKDAYS(P166,TODAY(),Hoja1!$C$3:$C$25),0)</f>
        <v>0</v>
      </c>
      <c r="U166" s="556">
        <f t="shared" si="5"/>
        <v>1</v>
      </c>
      <c r="V166" s="557">
        <v>0</v>
      </c>
      <c r="W166" s="558">
        <v>140</v>
      </c>
      <c r="X166" s="558"/>
      <c r="Y166" s="559">
        <v>46038</v>
      </c>
      <c r="Z166" s="589">
        <v>113</v>
      </c>
      <c r="AA166" s="593">
        <v>46041</v>
      </c>
      <c r="AB166" s="562"/>
      <c r="AC166" s="593" t="s">
        <v>67</v>
      </c>
      <c r="AD166" s="563"/>
      <c r="AE166" s="567"/>
      <c r="AF166" s="564"/>
      <c r="AG166" s="565"/>
      <c r="AH166" s="560"/>
      <c r="AI166" s="561"/>
      <c r="AJ166" s="562"/>
      <c r="AK166" s="561"/>
      <c r="AL166" s="563"/>
      <c r="AM166" s="567"/>
      <c r="AN166" s="564"/>
      <c r="AO166" s="565"/>
      <c r="AP166" s="560"/>
      <c r="AQ166" s="561"/>
      <c r="AR166" s="562"/>
      <c r="AS166" s="561"/>
      <c r="AT166" s="563"/>
      <c r="AU166" s="567"/>
      <c r="AV166" s="564"/>
      <c r="AW166" s="565"/>
      <c r="AX166" s="560"/>
      <c r="AY166" s="561"/>
      <c r="AZ166" s="562"/>
      <c r="BA166" s="561"/>
      <c r="BB166" s="563"/>
      <c r="BC166" s="567"/>
      <c r="BD166" s="564"/>
      <c r="BE166" s="565"/>
      <c r="BF166" s="560"/>
      <c r="BG166" s="561"/>
      <c r="BH166" s="562"/>
      <c r="BI166" s="561"/>
      <c r="BJ166" s="563"/>
      <c r="BK166" s="567"/>
      <c r="BL166" s="564"/>
      <c r="BM166" s="565"/>
      <c r="BN166" s="560"/>
      <c r="BO166" s="561"/>
      <c r="BP166" s="562"/>
      <c r="BQ166" s="561"/>
      <c r="BR166" s="563"/>
      <c r="BS166" s="567"/>
      <c r="BT166" s="564"/>
      <c r="BU166" s="565"/>
      <c r="BV166" s="560"/>
      <c r="BW166" s="561"/>
      <c r="BX166" s="562"/>
      <c r="BY166" s="561"/>
      <c r="BZ166" s="563"/>
      <c r="CA166" s="567"/>
      <c r="CB166" s="564"/>
      <c r="CC166" s="565"/>
      <c r="CD166" s="560"/>
      <c r="CE166" s="561"/>
      <c r="CF166" s="562"/>
      <c r="CG166" s="561"/>
      <c r="CH166" s="563"/>
      <c r="CI166" s="564"/>
      <c r="CJ166" s="564"/>
      <c r="CK166" s="564"/>
      <c r="CL166" s="560"/>
      <c r="CM166" s="561"/>
      <c r="CN166" s="562"/>
      <c r="CO166" s="561"/>
      <c r="CP166" s="563"/>
      <c r="CQ166" s="564"/>
      <c r="CR166" s="564"/>
      <c r="CS166" s="564"/>
      <c r="CT166" s="560"/>
      <c r="CU166" s="561"/>
      <c r="CV166" s="562"/>
      <c r="CW166" s="561"/>
      <c r="CX166" s="563"/>
      <c r="CY166" s="564"/>
      <c r="CZ166" s="564"/>
      <c r="DA166" s="564"/>
      <c r="DB166" s="560"/>
      <c r="DC166" s="561"/>
      <c r="DD166" s="562"/>
      <c r="DE166" s="561"/>
      <c r="DF166" s="563"/>
      <c r="DG166" s="564"/>
      <c r="DH166" s="564"/>
      <c r="DI166" s="564"/>
      <c r="DJ166" s="560"/>
      <c r="DK166" s="561"/>
      <c r="DL166" s="562"/>
      <c r="DM166" s="561"/>
      <c r="DN166" s="563"/>
      <c r="DO166" s="564"/>
      <c r="DP166" s="564"/>
      <c r="DQ166" s="564"/>
      <c r="DR166" s="560"/>
      <c r="DS166" s="561"/>
      <c r="DT166" s="562"/>
      <c r="DU166" s="561"/>
      <c r="DV166" s="563"/>
      <c r="DW166" s="564"/>
      <c r="DX166" s="564"/>
      <c r="DY166" s="564"/>
      <c r="DZ166" s="560"/>
      <c r="EA166" s="561"/>
      <c r="EB166" s="562"/>
      <c r="EC166" s="561"/>
      <c r="ED166" s="563"/>
      <c r="EE166" s="564"/>
      <c r="EF166" s="564"/>
      <c r="EG166" s="564"/>
      <c r="EH166" s="560"/>
      <c r="EI166" s="561"/>
      <c r="EJ166" s="562"/>
      <c r="EK166" s="561"/>
      <c r="EL166" s="563"/>
      <c r="EM166" s="564"/>
      <c r="EN166" s="564"/>
      <c r="EO166" s="564"/>
      <c r="EP166" s="560"/>
      <c r="EQ166" s="561"/>
      <c r="ER166" s="562"/>
      <c r="ES166" s="561"/>
      <c r="ET166" s="563"/>
      <c r="EU166" s="564"/>
      <c r="EV166" s="564"/>
      <c r="EW166" s="564"/>
      <c r="EX166" s="560"/>
      <c r="EY166" s="561"/>
      <c r="EZ166" s="562"/>
      <c r="FA166" s="561"/>
      <c r="FB166" s="563"/>
      <c r="FC166" s="564"/>
      <c r="FD166" s="564"/>
      <c r="FE166" s="564"/>
      <c r="FF166" s="560"/>
      <c r="FG166" s="561"/>
      <c r="FH166" s="562"/>
      <c r="FI166" s="561"/>
      <c r="FJ166" s="563"/>
      <c r="FK166" s="564"/>
      <c r="FL166" s="564"/>
      <c r="FM166" s="564"/>
      <c r="FN166" s="560"/>
      <c r="FO166" s="561"/>
      <c r="FP166" s="562"/>
      <c r="FQ166" s="561"/>
      <c r="FR166" s="563"/>
      <c r="FS166" s="564"/>
      <c r="FT166" s="564"/>
      <c r="FU166" s="564"/>
      <c r="FV166" s="560"/>
      <c r="FW166" s="566"/>
      <c r="FX166" s="566"/>
      <c r="FY166" s="566"/>
      <c r="FZ166" s="563"/>
      <c r="GA166" s="564"/>
      <c r="GB166" s="564"/>
      <c r="GC166" s="564"/>
      <c r="GD166" s="560"/>
      <c r="GE166" s="566"/>
      <c r="GF166" s="566"/>
      <c r="GG166" s="566"/>
      <c r="GH166" s="563"/>
      <c r="GI166" s="564"/>
      <c r="GJ166" s="564"/>
      <c r="GK166" s="564"/>
      <c r="GL166" s="560"/>
      <c r="GM166" s="566"/>
      <c r="GN166" s="566"/>
      <c r="GO166" s="566"/>
      <c r="GP166" s="563"/>
      <c r="GQ166" s="564"/>
      <c r="GR166" s="564"/>
      <c r="GS166" s="564"/>
      <c r="GT166" s="560"/>
      <c r="GU166" s="566"/>
      <c r="GV166" s="566"/>
      <c r="GW166" s="566"/>
      <c r="GX166" s="563"/>
      <c r="GY166" s="564"/>
      <c r="GZ166" s="564"/>
      <c r="HA166" s="590"/>
      <c r="HB166" s="560"/>
      <c r="HC166" s="566"/>
      <c r="HD166" s="566"/>
      <c r="HE166" s="566"/>
      <c r="HF166" s="563"/>
      <c r="HG166" s="564"/>
      <c r="HH166" s="564"/>
      <c r="HI166" s="590"/>
      <c r="HJ166" s="560"/>
      <c r="HK166" s="566"/>
      <c r="HL166" s="566"/>
      <c r="HM166" s="566"/>
      <c r="HN166" s="563"/>
      <c r="HO166" s="564"/>
      <c r="HP166" s="564"/>
      <c r="HQ166" s="590"/>
      <c r="HR166" s="560"/>
      <c r="HS166" s="566"/>
      <c r="HT166" s="566"/>
      <c r="HU166" s="566"/>
    </row>
    <row r="167" spans="1:229" s="506" customFormat="1" ht="76.5" customHeight="1" x14ac:dyDescent="0.35">
      <c r="B167" s="544">
        <v>164</v>
      </c>
      <c r="C167" s="544"/>
      <c r="D167" s="545" t="s">
        <v>266</v>
      </c>
      <c r="E167" s="545" t="s">
        <v>680</v>
      </c>
      <c r="F167" s="546" t="s">
        <v>46</v>
      </c>
      <c r="G167" s="545" t="s">
        <v>46</v>
      </c>
      <c r="H167" s="547" t="s">
        <v>681</v>
      </c>
      <c r="I167" s="548" t="s">
        <v>86</v>
      </c>
      <c r="J167" s="549"/>
      <c r="K167" s="568" t="s">
        <v>86</v>
      </c>
      <c r="L167" s="549"/>
      <c r="M167" s="569" t="s">
        <v>132</v>
      </c>
      <c r="N167" s="551">
        <v>2</v>
      </c>
      <c r="O167" s="576">
        <v>148</v>
      </c>
      <c r="P167" s="553">
        <v>46077</v>
      </c>
      <c r="Q167" s="553">
        <v>46091</v>
      </c>
      <c r="R167" s="554" t="s">
        <v>202</v>
      </c>
      <c r="S167" s="555">
        <f ca="1">IF(R167="Aprobado con comentarios / Emitir en Rev_0", NETWORKDAYS(Q167,TODAY(),Hoja1!$C$3:$C$25),0)</f>
        <v>0</v>
      </c>
      <c r="T167" s="555">
        <f ca="1">IF(R167="Revisión INN",NETWORKDAYS(P167,TODAY(),Hoja1!$C$3:$C$25),0)</f>
        <v>0</v>
      </c>
      <c r="U167" s="556">
        <f t="shared" si="5"/>
        <v>3</v>
      </c>
      <c r="V167" s="557">
        <v>0</v>
      </c>
      <c r="W167" s="558">
        <v>141</v>
      </c>
      <c r="X167" s="558"/>
      <c r="Y167" s="559">
        <v>46041</v>
      </c>
      <c r="Z167" s="560">
        <v>118</v>
      </c>
      <c r="AA167" s="561">
        <v>46048</v>
      </c>
      <c r="AB167" s="562"/>
      <c r="AC167" s="561" t="s">
        <v>296</v>
      </c>
      <c r="AD167" s="563">
        <v>1</v>
      </c>
      <c r="AE167" s="567">
        <v>148</v>
      </c>
      <c r="AF167" s="564"/>
      <c r="AG167" s="565">
        <v>46048</v>
      </c>
      <c r="AH167" s="560">
        <v>120</v>
      </c>
      <c r="AI167" s="561">
        <v>46048</v>
      </c>
      <c r="AJ167" s="562"/>
      <c r="AK167" s="561" t="s">
        <v>67</v>
      </c>
      <c r="AL167" s="563" t="s">
        <v>62</v>
      </c>
      <c r="AM167" s="567" t="s">
        <v>62</v>
      </c>
      <c r="AN167" s="564"/>
      <c r="AO167" s="565" t="s">
        <v>62</v>
      </c>
      <c r="AP167" s="560">
        <v>140</v>
      </c>
      <c r="AQ167" s="561">
        <v>46077</v>
      </c>
      <c r="AR167" s="562"/>
      <c r="AS167" s="561" t="s">
        <v>296</v>
      </c>
      <c r="AT167" s="563">
        <v>2</v>
      </c>
      <c r="AU167" s="567">
        <v>193</v>
      </c>
      <c r="AV167" s="564"/>
      <c r="AW167" s="565">
        <v>46077</v>
      </c>
      <c r="AX167" s="589">
        <v>148</v>
      </c>
      <c r="AY167" s="593">
        <v>46091</v>
      </c>
      <c r="AZ167" s="562"/>
      <c r="BA167" s="593" t="s">
        <v>202</v>
      </c>
      <c r="BB167" s="563"/>
      <c r="BC167" s="567"/>
      <c r="BD167" s="564"/>
      <c r="BE167" s="565"/>
      <c r="BF167" s="560"/>
      <c r="BG167" s="561"/>
      <c r="BH167" s="562"/>
      <c r="BI167" s="561"/>
      <c r="BJ167" s="563"/>
      <c r="BK167" s="567"/>
      <c r="BL167" s="564"/>
      <c r="BM167" s="565"/>
      <c r="BN167" s="560"/>
      <c r="BO167" s="561"/>
      <c r="BP167" s="562"/>
      <c r="BQ167" s="561"/>
      <c r="BR167" s="563"/>
      <c r="BS167" s="567"/>
      <c r="BT167" s="564"/>
      <c r="BU167" s="565"/>
      <c r="BV167" s="560"/>
      <c r="BW167" s="561"/>
      <c r="BX167" s="562"/>
      <c r="BY167" s="561"/>
      <c r="BZ167" s="563"/>
      <c r="CA167" s="567"/>
      <c r="CB167" s="564"/>
      <c r="CC167" s="565"/>
      <c r="CD167" s="560"/>
      <c r="CE167" s="561"/>
      <c r="CF167" s="562"/>
      <c r="CG167" s="561"/>
      <c r="CH167" s="563"/>
      <c r="CI167" s="564"/>
      <c r="CJ167" s="564"/>
      <c r="CK167" s="564"/>
      <c r="CL167" s="560"/>
      <c r="CM167" s="561"/>
      <c r="CN167" s="562"/>
      <c r="CO167" s="561"/>
      <c r="CP167" s="563"/>
      <c r="CQ167" s="564"/>
      <c r="CR167" s="564"/>
      <c r="CS167" s="564"/>
      <c r="CT167" s="560"/>
      <c r="CU167" s="561"/>
      <c r="CV167" s="562"/>
      <c r="CW167" s="561"/>
      <c r="CX167" s="563"/>
      <c r="CY167" s="564"/>
      <c r="CZ167" s="564"/>
      <c r="DA167" s="564"/>
      <c r="DB167" s="560"/>
      <c r="DC167" s="561"/>
      <c r="DD167" s="562"/>
      <c r="DE167" s="561"/>
      <c r="DF167" s="563"/>
      <c r="DG167" s="564"/>
      <c r="DH167" s="564"/>
      <c r="DI167" s="564"/>
      <c r="DJ167" s="560"/>
      <c r="DK167" s="561"/>
      <c r="DL167" s="562"/>
      <c r="DM167" s="561"/>
      <c r="DN167" s="563"/>
      <c r="DO167" s="564"/>
      <c r="DP167" s="564"/>
      <c r="DQ167" s="564"/>
      <c r="DR167" s="560"/>
      <c r="DS167" s="561"/>
      <c r="DT167" s="562"/>
      <c r="DU167" s="561"/>
      <c r="DV167" s="563"/>
      <c r="DW167" s="564"/>
      <c r="DX167" s="564"/>
      <c r="DY167" s="564"/>
      <c r="DZ167" s="560"/>
      <c r="EA167" s="561"/>
      <c r="EB167" s="562"/>
      <c r="EC167" s="561"/>
      <c r="ED167" s="563"/>
      <c r="EE167" s="564"/>
      <c r="EF167" s="564"/>
      <c r="EG167" s="564"/>
      <c r="EH167" s="560"/>
      <c r="EI167" s="561"/>
      <c r="EJ167" s="562"/>
      <c r="EK167" s="561"/>
      <c r="EL167" s="563"/>
      <c r="EM167" s="564"/>
      <c r="EN167" s="564"/>
      <c r="EO167" s="564"/>
      <c r="EP167" s="560"/>
      <c r="EQ167" s="561"/>
      <c r="ER167" s="562"/>
      <c r="ES167" s="561"/>
      <c r="ET167" s="563"/>
      <c r="EU167" s="564"/>
      <c r="EV167" s="564"/>
      <c r="EW167" s="564"/>
      <c r="EX167" s="560"/>
      <c r="EY167" s="561"/>
      <c r="EZ167" s="562"/>
      <c r="FA167" s="561"/>
      <c r="FB167" s="563"/>
      <c r="FC167" s="564"/>
      <c r="FD167" s="564"/>
      <c r="FE167" s="564"/>
      <c r="FF167" s="560"/>
      <c r="FG167" s="561"/>
      <c r="FH167" s="562"/>
      <c r="FI167" s="561"/>
      <c r="FJ167" s="563"/>
      <c r="FK167" s="564"/>
      <c r="FL167" s="564"/>
      <c r="FM167" s="564"/>
      <c r="FN167" s="560"/>
      <c r="FO167" s="561"/>
      <c r="FP167" s="562"/>
      <c r="FQ167" s="561"/>
      <c r="FR167" s="563"/>
      <c r="FS167" s="564"/>
      <c r="FT167" s="564"/>
      <c r="FU167" s="564"/>
      <c r="FV167" s="560"/>
      <c r="FW167" s="566"/>
      <c r="FX167" s="566"/>
      <c r="FY167" s="566"/>
      <c r="FZ167" s="563"/>
      <c r="GA167" s="564"/>
      <c r="GB167" s="564"/>
      <c r="GC167" s="564"/>
      <c r="GD167" s="560"/>
      <c r="GE167" s="566"/>
      <c r="GF167" s="566"/>
      <c r="GG167" s="566"/>
      <c r="GH167" s="563"/>
      <c r="GI167" s="564"/>
      <c r="GJ167" s="564"/>
      <c r="GK167" s="564"/>
      <c r="GL167" s="560"/>
      <c r="GM167" s="566"/>
      <c r="GN167" s="566"/>
      <c r="GO167" s="566"/>
      <c r="GP167" s="563"/>
      <c r="GQ167" s="564"/>
      <c r="GR167" s="564"/>
      <c r="GS167" s="564"/>
      <c r="GT167" s="560"/>
      <c r="GU167" s="566"/>
      <c r="GV167" s="566"/>
      <c r="GW167" s="566"/>
      <c r="GX167" s="563"/>
      <c r="GY167" s="564"/>
      <c r="GZ167" s="564"/>
      <c r="HA167" s="590"/>
      <c r="HB167" s="560"/>
      <c r="HC167" s="566"/>
      <c r="HD167" s="566"/>
      <c r="HE167" s="566"/>
      <c r="HF167" s="563"/>
      <c r="HG167" s="564"/>
      <c r="HH167" s="564"/>
      <c r="HI167" s="590"/>
      <c r="HJ167" s="560"/>
      <c r="HK167" s="566"/>
      <c r="HL167" s="566"/>
      <c r="HM167" s="566"/>
      <c r="HN167" s="563"/>
      <c r="HO167" s="564"/>
      <c r="HP167" s="564"/>
      <c r="HQ167" s="590"/>
      <c r="HR167" s="560"/>
      <c r="HS167" s="566"/>
      <c r="HT167" s="566"/>
      <c r="HU167" s="566"/>
    </row>
    <row r="168" spans="1:229" s="506" customFormat="1" ht="24.65" customHeight="1" thickBot="1" x14ac:dyDescent="0.4">
      <c r="B168" s="544">
        <v>165</v>
      </c>
      <c r="C168" s="544"/>
      <c r="D168" s="545" t="s">
        <v>682</v>
      </c>
      <c r="E168" s="545" t="s">
        <v>683</v>
      </c>
      <c r="F168" s="546" t="s">
        <v>46</v>
      </c>
      <c r="G168" s="545" t="s">
        <v>46</v>
      </c>
      <c r="H168" s="547" t="s">
        <v>684</v>
      </c>
      <c r="I168" s="548" t="s">
        <v>86</v>
      </c>
      <c r="J168" s="549"/>
      <c r="K168" s="568" t="s">
        <v>86</v>
      </c>
      <c r="L168" s="549"/>
      <c r="M168" s="569" t="s">
        <v>132</v>
      </c>
      <c r="N168" s="551">
        <v>0</v>
      </c>
      <c r="O168" s="552">
        <v>122</v>
      </c>
      <c r="P168" s="553">
        <v>46049</v>
      </c>
      <c r="Q168" s="553">
        <v>46049</v>
      </c>
      <c r="R168" s="554" t="s">
        <v>202</v>
      </c>
      <c r="S168" s="555">
        <f ca="1">IF(R168="Aprobado con comentarios / Emitir en Rev_0", NETWORKDAYS(Q168,TODAY(),Hoja1!$C$3:$C$25),0)</f>
        <v>0</v>
      </c>
      <c r="T168" s="555">
        <f ca="1">IF(R168="Revisión INN",NETWORKDAYS(P168,TODAY(),Hoja1!$C$3:$C$25),0)</f>
        <v>0</v>
      </c>
      <c r="U168" s="556">
        <f t="shared" si="5"/>
        <v>1</v>
      </c>
      <c r="V168" s="557">
        <v>0</v>
      </c>
      <c r="W168" s="558">
        <v>149</v>
      </c>
      <c r="X168" s="558"/>
      <c r="Y168" s="559">
        <v>46048</v>
      </c>
      <c r="Z168" s="560">
        <v>122</v>
      </c>
      <c r="AA168" s="561">
        <v>46049</v>
      </c>
      <c r="AB168" s="562"/>
      <c r="AC168" s="561" t="s">
        <v>133</v>
      </c>
      <c r="AD168" s="563"/>
      <c r="AE168" s="567"/>
      <c r="AF168" s="564"/>
      <c r="AG168" s="565"/>
      <c r="AH168" s="560"/>
      <c r="AI168" s="561"/>
      <c r="AJ168" s="562"/>
      <c r="AK168" s="561"/>
      <c r="AL168" s="563"/>
      <c r="AM168" s="567"/>
      <c r="AN168" s="564"/>
      <c r="AO168" s="565"/>
      <c r="AP168" s="560"/>
      <c r="AQ168" s="561"/>
      <c r="AR168" s="562"/>
      <c r="AS168" s="561"/>
      <c r="AT168" s="563"/>
      <c r="AU168" s="567"/>
      <c r="AV168" s="564"/>
      <c r="AW168" s="565"/>
      <c r="AX168" s="560"/>
      <c r="AY168" s="561"/>
      <c r="AZ168" s="562"/>
      <c r="BA168" s="561"/>
      <c r="BB168" s="563"/>
      <c r="BC168" s="567"/>
      <c r="BD168" s="564"/>
      <c r="BE168" s="565"/>
      <c r="BF168" s="560"/>
      <c r="BG168" s="561"/>
      <c r="BH168" s="562"/>
      <c r="BI168" s="561"/>
      <c r="BJ168" s="563"/>
      <c r="BK168" s="567"/>
      <c r="BL168" s="564"/>
      <c r="BM168" s="565"/>
      <c r="BN168" s="560"/>
      <c r="BO168" s="561"/>
      <c r="BP168" s="562"/>
      <c r="BQ168" s="561"/>
      <c r="BR168" s="563"/>
      <c r="BS168" s="567"/>
      <c r="BT168" s="564"/>
      <c r="BU168" s="565"/>
      <c r="BV168" s="560"/>
      <c r="BW168" s="561"/>
      <c r="BX168" s="562"/>
      <c r="BY168" s="561"/>
      <c r="BZ168" s="563"/>
      <c r="CA168" s="567"/>
      <c r="CB168" s="564"/>
      <c r="CC168" s="565"/>
      <c r="CD168" s="560"/>
      <c r="CE168" s="561"/>
      <c r="CF168" s="562"/>
      <c r="CG168" s="561"/>
      <c r="CH168" s="563"/>
      <c r="CI168" s="564"/>
      <c r="CJ168" s="564"/>
      <c r="CK168" s="564"/>
      <c r="CL168" s="560"/>
      <c r="CM168" s="561"/>
      <c r="CN168" s="562"/>
      <c r="CO168" s="561"/>
      <c r="CP168" s="563"/>
      <c r="CQ168" s="564"/>
      <c r="CR168" s="564"/>
      <c r="CS168" s="564"/>
      <c r="CT168" s="560"/>
      <c r="CU168" s="561"/>
      <c r="CV168" s="562"/>
      <c r="CW168" s="561"/>
      <c r="CX168" s="563"/>
      <c r="CY168" s="564"/>
      <c r="CZ168" s="564"/>
      <c r="DA168" s="564"/>
      <c r="DB168" s="560"/>
      <c r="DC168" s="561"/>
      <c r="DD168" s="562"/>
      <c r="DE168" s="561"/>
      <c r="DF168" s="563"/>
      <c r="DG168" s="564"/>
      <c r="DH168" s="564"/>
      <c r="DI168" s="564"/>
      <c r="DJ168" s="560"/>
      <c r="DK168" s="561"/>
      <c r="DL168" s="562"/>
      <c r="DM168" s="561"/>
      <c r="DN168" s="563"/>
      <c r="DO168" s="564"/>
      <c r="DP168" s="564"/>
      <c r="DQ168" s="564"/>
      <c r="DR168" s="560"/>
      <c r="DS168" s="561"/>
      <c r="DT168" s="562"/>
      <c r="DU168" s="561"/>
      <c r="DV168" s="563"/>
      <c r="DW168" s="564"/>
      <c r="DX168" s="564"/>
      <c r="DY168" s="564"/>
      <c r="DZ168" s="560"/>
      <c r="EA168" s="561"/>
      <c r="EB168" s="562"/>
      <c r="EC168" s="561"/>
      <c r="ED168" s="563"/>
      <c r="EE168" s="564"/>
      <c r="EF168" s="564"/>
      <c r="EG168" s="564"/>
      <c r="EH168" s="560"/>
      <c r="EI168" s="561"/>
      <c r="EJ168" s="562"/>
      <c r="EK168" s="561"/>
      <c r="EL168" s="563"/>
      <c r="EM168" s="564"/>
      <c r="EN168" s="564"/>
      <c r="EO168" s="564"/>
      <c r="EP168" s="560"/>
      <c r="EQ168" s="561"/>
      <c r="ER168" s="562"/>
      <c r="ES168" s="561"/>
      <c r="ET168" s="563"/>
      <c r="EU168" s="564"/>
      <c r="EV168" s="564"/>
      <c r="EW168" s="564"/>
      <c r="EX168" s="560"/>
      <c r="EY168" s="561"/>
      <c r="EZ168" s="562"/>
      <c r="FA168" s="561"/>
      <c r="FB168" s="563"/>
      <c r="FC168" s="564"/>
      <c r="FD168" s="564"/>
      <c r="FE168" s="564"/>
      <c r="FF168" s="560"/>
      <c r="FG168" s="561"/>
      <c r="FH168" s="562"/>
      <c r="FI168" s="561"/>
      <c r="FJ168" s="563"/>
      <c r="FK168" s="564"/>
      <c r="FL168" s="564"/>
      <c r="FM168" s="564"/>
      <c r="FN168" s="560"/>
      <c r="FO168" s="561"/>
      <c r="FP168" s="562"/>
      <c r="FQ168" s="561"/>
      <c r="FR168" s="563"/>
      <c r="FS168" s="564"/>
      <c r="FT168" s="564"/>
      <c r="FU168" s="564"/>
      <c r="FV168" s="560"/>
      <c r="FW168" s="566"/>
      <c r="FX168" s="566"/>
      <c r="FY168" s="566"/>
      <c r="FZ168" s="563"/>
      <c r="GA168" s="564"/>
      <c r="GB168" s="564"/>
      <c r="GC168" s="564"/>
      <c r="GD168" s="560"/>
      <c r="GE168" s="566"/>
      <c r="GF168" s="566"/>
      <c r="GG168" s="566"/>
      <c r="GH168" s="563"/>
      <c r="GI168" s="564"/>
      <c r="GJ168" s="564"/>
      <c r="GK168" s="564"/>
      <c r="GL168" s="560"/>
      <c r="GM168" s="566"/>
      <c r="GN168" s="566"/>
      <c r="GO168" s="566"/>
      <c r="GP168" s="563"/>
      <c r="GQ168" s="564"/>
      <c r="GR168" s="564"/>
      <c r="GS168" s="564"/>
      <c r="GT168" s="560"/>
      <c r="GU168" s="566"/>
      <c r="GV168" s="566"/>
      <c r="GW168" s="566"/>
      <c r="GX168" s="563"/>
      <c r="GY168" s="564"/>
      <c r="GZ168" s="564"/>
      <c r="HA168" s="590"/>
      <c r="HB168" s="560"/>
      <c r="HC168" s="566"/>
      <c r="HD168" s="566"/>
      <c r="HE168" s="566"/>
      <c r="HF168" s="563"/>
      <c r="HG168" s="564"/>
      <c r="HH168" s="564"/>
      <c r="HI168" s="590"/>
      <c r="HJ168" s="560"/>
      <c r="HK168" s="566"/>
      <c r="HL168" s="566"/>
      <c r="HM168" s="566"/>
      <c r="HN168" s="563"/>
      <c r="HO168" s="564"/>
      <c r="HP168" s="564"/>
      <c r="HQ168" s="590"/>
      <c r="HR168" s="560"/>
      <c r="HS168" s="566"/>
      <c r="HT168" s="566"/>
      <c r="HU168" s="566"/>
    </row>
    <row r="169" spans="1:229" s="506" customFormat="1" ht="56.15" customHeight="1" x14ac:dyDescent="0.35">
      <c r="B169" s="544">
        <v>166</v>
      </c>
      <c r="C169" s="544"/>
      <c r="D169" s="545"/>
      <c r="E169" s="545" t="s">
        <v>685</v>
      </c>
      <c r="F169" s="546" t="s">
        <v>46</v>
      </c>
      <c r="G169" s="545" t="s">
        <v>46</v>
      </c>
      <c r="H169" s="547" t="s">
        <v>686</v>
      </c>
      <c r="I169" s="549"/>
      <c r="J169" s="549"/>
      <c r="K169" s="549"/>
      <c r="L169" s="549" t="s">
        <v>687</v>
      </c>
      <c r="M169" s="569" t="s">
        <v>132</v>
      </c>
      <c r="N169" s="551">
        <v>1</v>
      </c>
      <c r="O169" s="552">
        <v>228</v>
      </c>
      <c r="P169" s="553">
        <v>46099</v>
      </c>
      <c r="Q169" s="553">
        <v>46059</v>
      </c>
      <c r="R169" s="554" t="s">
        <v>688</v>
      </c>
      <c r="S169" s="555">
        <f ca="1">IF(R169="Aprobado con comentarios / Emitir en Rev_0", NETWORKDAYS(Q169,TODAY(),Hoja1!$C$3:$C$25),0)</f>
        <v>0</v>
      </c>
      <c r="T169" s="555">
        <f ca="1">IF(R169="Revisión INN",NETWORKDAYS(P169,TODAY(),Hoja1!$C$3:$C$25),0)</f>
        <v>0</v>
      </c>
      <c r="U169" s="556">
        <f t="shared" si="5"/>
        <v>2</v>
      </c>
      <c r="V169" s="557">
        <v>0</v>
      </c>
      <c r="W169" s="558">
        <v>132</v>
      </c>
      <c r="X169" s="558"/>
      <c r="Y169" s="559">
        <v>46049</v>
      </c>
      <c r="Z169" s="560">
        <v>132</v>
      </c>
      <c r="AA169" s="561">
        <v>46058</v>
      </c>
      <c r="AB169" s="562"/>
      <c r="AC169" s="561" t="s">
        <v>296</v>
      </c>
      <c r="AD169" s="591">
        <v>1</v>
      </c>
      <c r="AE169" s="592">
        <v>228</v>
      </c>
      <c r="AF169" s="564"/>
      <c r="AG169" s="593">
        <v>46099</v>
      </c>
      <c r="AH169" s="560"/>
      <c r="AI169" s="561"/>
      <c r="AJ169" s="562"/>
      <c r="AK169" s="561"/>
      <c r="AL169" s="563"/>
      <c r="AM169" s="567"/>
      <c r="AN169" s="564"/>
      <c r="AO169" s="565"/>
      <c r="AP169" s="560"/>
      <c r="AQ169" s="561"/>
      <c r="AR169" s="562"/>
      <c r="AS169" s="561"/>
      <c r="AT169" s="563"/>
      <c r="AU169" s="567"/>
      <c r="AV169" s="564"/>
      <c r="AW169" s="565"/>
      <c r="AX169" s="560"/>
      <c r="AY169" s="561"/>
      <c r="AZ169" s="562"/>
      <c r="BA169" s="561"/>
      <c r="BB169" s="563"/>
      <c r="BC169" s="567"/>
      <c r="BD169" s="564"/>
      <c r="BE169" s="565"/>
      <c r="BF169" s="560"/>
      <c r="BG169" s="561"/>
      <c r="BH169" s="562"/>
      <c r="BI169" s="561"/>
      <c r="BJ169" s="563"/>
      <c r="BK169" s="567"/>
      <c r="BL169" s="564"/>
      <c r="BM169" s="565"/>
      <c r="BN169" s="560"/>
      <c r="BO169" s="561"/>
      <c r="BP169" s="562"/>
      <c r="BQ169" s="561"/>
      <c r="BR169" s="563"/>
      <c r="BS169" s="567"/>
      <c r="BT169" s="564"/>
      <c r="BU169" s="565"/>
      <c r="BV169" s="560"/>
      <c r="BW169" s="561"/>
      <c r="BX169" s="562"/>
      <c r="BY169" s="561"/>
      <c r="BZ169" s="563"/>
      <c r="CA169" s="567"/>
      <c r="CB169" s="564"/>
      <c r="CC169" s="565"/>
      <c r="CD169" s="560"/>
      <c r="CE169" s="561"/>
      <c r="CF169" s="562"/>
      <c r="CG169" s="561"/>
      <c r="CH169" s="563"/>
      <c r="CI169" s="564"/>
      <c r="CJ169" s="564"/>
      <c r="CK169" s="564"/>
      <c r="CL169" s="560"/>
      <c r="CM169" s="561"/>
      <c r="CN169" s="562"/>
      <c r="CO169" s="561"/>
      <c r="CP169" s="563"/>
      <c r="CQ169" s="564"/>
      <c r="CR169" s="564"/>
      <c r="CS169" s="564"/>
      <c r="CT169" s="560"/>
      <c r="CU169" s="561"/>
      <c r="CV169" s="562"/>
      <c r="CW169" s="561"/>
      <c r="CX169" s="563"/>
      <c r="CY169" s="564"/>
      <c r="CZ169" s="564"/>
      <c r="DA169" s="564"/>
      <c r="DB169" s="560"/>
      <c r="DC169" s="561"/>
      <c r="DD169" s="562"/>
      <c r="DE169" s="561"/>
      <c r="DF169" s="563"/>
      <c r="DG169" s="564"/>
      <c r="DH169" s="564"/>
      <c r="DI169" s="564"/>
      <c r="DJ169" s="560"/>
      <c r="DK169" s="561"/>
      <c r="DL169" s="562"/>
      <c r="DM169" s="561"/>
      <c r="DN169" s="563"/>
      <c r="DO169" s="564"/>
      <c r="DP169" s="564"/>
      <c r="DQ169" s="564"/>
      <c r="DR169" s="560"/>
      <c r="DS169" s="561"/>
      <c r="DT169" s="562"/>
      <c r="DU169" s="561"/>
      <c r="DV169" s="563"/>
      <c r="DW169" s="564"/>
      <c r="DX169" s="564"/>
      <c r="DY169" s="564"/>
      <c r="DZ169" s="560"/>
      <c r="EA169" s="561"/>
      <c r="EB169" s="562"/>
      <c r="EC169" s="561"/>
      <c r="ED169" s="563"/>
      <c r="EE169" s="564"/>
      <c r="EF169" s="564"/>
      <c r="EG169" s="564"/>
      <c r="EH169" s="560"/>
      <c r="EI169" s="561"/>
      <c r="EJ169" s="562"/>
      <c r="EK169" s="561"/>
      <c r="EL169" s="563"/>
      <c r="EM169" s="564"/>
      <c r="EN169" s="564"/>
      <c r="EO169" s="564"/>
      <c r="EP169" s="560"/>
      <c r="EQ169" s="561"/>
      <c r="ER169" s="562"/>
      <c r="ES169" s="561"/>
      <c r="ET169" s="563"/>
      <c r="EU169" s="564"/>
      <c r="EV169" s="564"/>
      <c r="EW169" s="564"/>
      <c r="EX169" s="560"/>
      <c r="EY169" s="561"/>
      <c r="EZ169" s="562"/>
      <c r="FA169" s="561"/>
      <c r="FB169" s="563"/>
      <c r="FC169" s="564"/>
      <c r="FD169" s="564"/>
      <c r="FE169" s="564"/>
      <c r="FF169" s="560"/>
      <c r="FG169" s="561"/>
      <c r="FH169" s="562"/>
      <c r="FI169" s="561"/>
      <c r="FJ169" s="563"/>
      <c r="FK169" s="564"/>
      <c r="FL169" s="564"/>
      <c r="FM169" s="564"/>
      <c r="FN169" s="560"/>
      <c r="FO169" s="561"/>
      <c r="FP169" s="562"/>
      <c r="FQ169" s="561"/>
      <c r="FR169" s="563"/>
      <c r="FS169" s="564"/>
      <c r="FT169" s="564"/>
      <c r="FU169" s="564"/>
      <c r="FV169" s="560"/>
      <c r="FW169" s="566"/>
      <c r="FX169" s="566"/>
      <c r="FY169" s="566"/>
      <c r="FZ169" s="563"/>
      <c r="GA169" s="564"/>
      <c r="GB169" s="564"/>
      <c r="GC169" s="564"/>
      <c r="GD169" s="560"/>
      <c r="GE169" s="566"/>
      <c r="GF169" s="566"/>
      <c r="GG169" s="566"/>
      <c r="GH169" s="563"/>
      <c r="GI169" s="564"/>
      <c r="GJ169" s="564"/>
      <c r="GK169" s="564"/>
      <c r="GL169" s="560"/>
      <c r="GM169" s="566"/>
      <c r="GN169" s="566"/>
      <c r="GO169" s="566"/>
      <c r="GP169" s="563"/>
      <c r="GQ169" s="564"/>
      <c r="GR169" s="564"/>
      <c r="GS169" s="564"/>
      <c r="GT169" s="560"/>
      <c r="GU169" s="566"/>
      <c r="GV169" s="566"/>
      <c r="GW169" s="566"/>
      <c r="GX169" s="541"/>
      <c r="GY169" s="535"/>
      <c r="GZ169" s="542"/>
      <c r="HA169" s="543"/>
      <c r="HB169" s="541"/>
      <c r="HC169" s="535"/>
      <c r="HD169" s="542"/>
      <c r="HE169" s="543"/>
      <c r="HF169" s="541"/>
      <c r="HG169" s="535"/>
      <c r="HH169" s="542"/>
      <c r="HI169" s="543"/>
      <c r="HJ169" s="541"/>
      <c r="HK169" s="535"/>
      <c r="HL169" s="542"/>
      <c r="HM169" s="543"/>
      <c r="HN169" s="541"/>
      <c r="HO169" s="535"/>
      <c r="HP169" s="542"/>
      <c r="HQ169" s="543"/>
      <c r="HR169" s="541"/>
      <c r="HS169" s="535"/>
      <c r="HT169" s="542"/>
      <c r="HU169" s="543"/>
    </row>
    <row r="170" spans="1:229" s="506" customFormat="1" ht="59.15" customHeight="1" x14ac:dyDescent="0.35">
      <c r="B170" s="544">
        <v>167</v>
      </c>
      <c r="C170" s="544"/>
      <c r="D170" s="545" t="s">
        <v>196</v>
      </c>
      <c r="E170" s="545" t="s">
        <v>689</v>
      </c>
      <c r="F170" s="546" t="s">
        <v>46</v>
      </c>
      <c r="G170" s="545" t="s">
        <v>46</v>
      </c>
      <c r="H170" s="547" t="s">
        <v>690</v>
      </c>
      <c r="I170" s="549"/>
      <c r="J170" s="549"/>
      <c r="K170" s="549"/>
      <c r="L170" s="549"/>
      <c r="M170" s="569" t="s">
        <v>132</v>
      </c>
      <c r="N170" s="551">
        <v>3</v>
      </c>
      <c r="O170" s="576">
        <v>148</v>
      </c>
      <c r="P170" s="553">
        <v>46085</v>
      </c>
      <c r="Q170" s="553">
        <v>46091</v>
      </c>
      <c r="R170" s="657" t="s">
        <v>202</v>
      </c>
      <c r="S170" s="555">
        <f ca="1">IF(R170="Aprobado con comentarios / Emitir en Rev_0", NETWORKDAYS(Q170,TODAY(),Hoja1!$C$3:$C$25),0)</f>
        <v>0</v>
      </c>
      <c r="T170" s="555">
        <f ca="1">IF(R170="Revisión INN",NETWORKDAYS(P170,TODAY(),Hoja1!$C$3:$C$25),0)</f>
        <v>0</v>
      </c>
      <c r="U170" s="556">
        <f t="shared" si="5"/>
        <v>3</v>
      </c>
      <c r="V170" s="557">
        <v>0</v>
      </c>
      <c r="W170" s="558">
        <v>186</v>
      </c>
      <c r="X170" s="602"/>
      <c r="Y170" s="559">
        <v>46073</v>
      </c>
      <c r="Z170" s="560" t="s">
        <v>62</v>
      </c>
      <c r="AA170" s="561" t="s">
        <v>62</v>
      </c>
      <c r="AB170" s="562"/>
      <c r="AC170" s="561" t="s">
        <v>62</v>
      </c>
      <c r="AD170" s="563">
        <v>1</v>
      </c>
      <c r="AE170" s="567">
        <v>196</v>
      </c>
      <c r="AF170" s="564"/>
      <c r="AG170" s="565">
        <v>46079</v>
      </c>
      <c r="AH170" s="560">
        <v>142</v>
      </c>
      <c r="AI170" s="561">
        <v>46084</v>
      </c>
      <c r="AJ170" s="562"/>
      <c r="AK170" s="561" t="s">
        <v>296</v>
      </c>
      <c r="AL170" s="563">
        <v>2</v>
      </c>
      <c r="AM170" s="567">
        <v>203</v>
      </c>
      <c r="AN170" s="564"/>
      <c r="AO170" s="565">
        <v>46084</v>
      </c>
      <c r="AP170" s="560">
        <v>143</v>
      </c>
      <c r="AQ170" s="561">
        <v>46084</v>
      </c>
      <c r="AR170" s="562"/>
      <c r="AS170" s="561" t="s">
        <v>296</v>
      </c>
      <c r="AT170" s="563">
        <v>3</v>
      </c>
      <c r="AU170" s="567">
        <v>206</v>
      </c>
      <c r="AV170" s="564"/>
      <c r="AW170" s="565">
        <v>46085</v>
      </c>
      <c r="AX170" s="589">
        <v>148</v>
      </c>
      <c r="AY170" s="593">
        <v>46091</v>
      </c>
      <c r="AZ170" s="562"/>
      <c r="BA170" s="593" t="s">
        <v>202</v>
      </c>
      <c r="BB170" s="563"/>
      <c r="BC170" s="567"/>
      <c r="BD170" s="564"/>
      <c r="BE170" s="565"/>
      <c r="BF170" s="560"/>
      <c r="BG170" s="561"/>
      <c r="BH170" s="562"/>
      <c r="BI170" s="561"/>
      <c r="BJ170" s="563"/>
      <c r="BK170" s="567"/>
      <c r="BL170" s="564"/>
      <c r="BM170" s="565"/>
      <c r="BN170" s="560"/>
      <c r="BO170" s="561"/>
      <c r="BP170" s="562"/>
      <c r="BQ170" s="561"/>
      <c r="BR170" s="563"/>
      <c r="BS170" s="567"/>
      <c r="BT170" s="564"/>
      <c r="BU170" s="565"/>
      <c r="BV170" s="560"/>
      <c r="BW170" s="561"/>
      <c r="BX170" s="562"/>
      <c r="BY170" s="561"/>
      <c r="BZ170" s="563"/>
      <c r="CA170" s="567"/>
      <c r="CB170" s="564"/>
      <c r="CC170" s="565"/>
      <c r="CD170" s="560"/>
      <c r="CE170" s="561"/>
      <c r="CF170" s="562"/>
      <c r="CG170" s="561"/>
      <c r="CH170" s="563"/>
      <c r="CI170" s="564"/>
      <c r="CJ170" s="564"/>
      <c r="CK170" s="564"/>
      <c r="CL170" s="560"/>
      <c r="CM170" s="561"/>
      <c r="CN170" s="562"/>
      <c r="CO170" s="561"/>
      <c r="CP170" s="563"/>
      <c r="CQ170" s="564"/>
      <c r="CR170" s="564"/>
      <c r="CS170" s="564"/>
      <c r="CT170" s="560"/>
      <c r="CU170" s="561"/>
      <c r="CV170" s="562"/>
      <c r="CW170" s="561"/>
      <c r="CX170" s="563"/>
      <c r="CY170" s="564"/>
      <c r="CZ170" s="564"/>
      <c r="DA170" s="564"/>
      <c r="DB170" s="560"/>
      <c r="DC170" s="561"/>
      <c r="DD170" s="562"/>
      <c r="DE170" s="561"/>
      <c r="DF170" s="563"/>
      <c r="DG170" s="564"/>
      <c r="DH170" s="564"/>
      <c r="DI170" s="564"/>
      <c r="DJ170" s="560"/>
      <c r="DK170" s="561"/>
      <c r="DL170" s="562"/>
      <c r="DM170" s="561"/>
      <c r="DN170" s="563"/>
      <c r="DO170" s="564"/>
      <c r="DP170" s="564"/>
      <c r="DQ170" s="564"/>
      <c r="DR170" s="560"/>
      <c r="DS170" s="561"/>
      <c r="DT170" s="562"/>
      <c r="DU170" s="561"/>
      <c r="DV170" s="563"/>
      <c r="DW170" s="564"/>
      <c r="DX170" s="564"/>
      <c r="DY170" s="564"/>
      <c r="DZ170" s="560"/>
      <c r="EA170" s="561"/>
      <c r="EB170" s="562"/>
      <c r="EC170" s="561"/>
      <c r="ED170" s="563"/>
      <c r="EE170" s="564"/>
      <c r="EF170" s="564"/>
      <c r="EG170" s="564"/>
      <c r="EH170" s="560"/>
      <c r="EI170" s="561"/>
      <c r="EJ170" s="562"/>
      <c r="EK170" s="561"/>
      <c r="EL170" s="563"/>
      <c r="EM170" s="564"/>
      <c r="EN170" s="564"/>
      <c r="EO170" s="564"/>
      <c r="EP170" s="560"/>
      <c r="EQ170" s="561"/>
      <c r="ER170" s="562"/>
      <c r="ES170" s="561"/>
      <c r="ET170" s="563"/>
      <c r="EU170" s="564"/>
      <c r="EV170" s="564"/>
      <c r="EW170" s="564"/>
      <c r="EX170" s="560"/>
      <c r="EY170" s="561"/>
      <c r="EZ170" s="562"/>
      <c r="FA170" s="561"/>
      <c r="FB170" s="563"/>
      <c r="FC170" s="564"/>
      <c r="FD170" s="564"/>
      <c r="FE170" s="564"/>
      <c r="FF170" s="560"/>
      <c r="FG170" s="561"/>
      <c r="FH170" s="562"/>
      <c r="FI170" s="561"/>
      <c r="FJ170" s="563"/>
      <c r="FK170" s="564"/>
      <c r="FL170" s="564"/>
      <c r="FM170" s="564"/>
      <c r="FN170" s="560"/>
      <c r="FO170" s="561"/>
      <c r="FP170" s="562"/>
      <c r="FQ170" s="561"/>
      <c r="FR170" s="563"/>
      <c r="FS170" s="564"/>
      <c r="FT170" s="564"/>
      <c r="FU170" s="564"/>
      <c r="FV170" s="560"/>
      <c r="FW170" s="566"/>
      <c r="FX170" s="566"/>
      <c r="FY170" s="566"/>
      <c r="FZ170" s="563"/>
      <c r="GA170" s="564"/>
      <c r="GB170" s="564"/>
      <c r="GC170" s="564"/>
      <c r="GD170" s="560"/>
      <c r="GE170" s="566"/>
      <c r="GF170" s="566"/>
      <c r="GG170" s="566"/>
      <c r="GH170" s="563"/>
      <c r="GI170" s="564"/>
      <c r="GJ170" s="564"/>
      <c r="GK170" s="564"/>
      <c r="GL170" s="560"/>
      <c r="GM170" s="566"/>
      <c r="GN170" s="566"/>
      <c r="GO170" s="566"/>
      <c r="GP170" s="563"/>
      <c r="GQ170" s="564"/>
      <c r="GR170" s="564"/>
      <c r="GS170" s="564"/>
      <c r="GT170" s="560"/>
      <c r="GU170" s="566"/>
      <c r="GV170" s="566"/>
      <c r="GW170" s="566"/>
      <c r="GX170" s="563"/>
      <c r="GY170" s="564"/>
      <c r="GZ170" s="564"/>
      <c r="HA170" s="590"/>
      <c r="HB170" s="560"/>
      <c r="HC170" s="566"/>
      <c r="HD170" s="566"/>
      <c r="HE170" s="566"/>
      <c r="HF170" s="563"/>
      <c r="HG170" s="564"/>
      <c r="HH170" s="564"/>
      <c r="HI170" s="590"/>
      <c r="HJ170" s="560"/>
      <c r="HK170" s="566"/>
      <c r="HL170" s="566"/>
      <c r="HM170" s="566"/>
      <c r="HN170" s="563"/>
      <c r="HO170" s="564"/>
      <c r="HP170" s="564"/>
      <c r="HQ170" s="590"/>
      <c r="HR170" s="560"/>
      <c r="HS170" s="566"/>
      <c r="HT170" s="566"/>
      <c r="HU170" s="566"/>
    </row>
    <row r="171" spans="1:229" s="506" customFormat="1" ht="59.15" customHeight="1" x14ac:dyDescent="0.35">
      <c r="B171" s="544">
        <v>168</v>
      </c>
      <c r="C171" s="544"/>
      <c r="D171" s="545"/>
      <c r="E171" s="545" t="s">
        <v>691</v>
      </c>
      <c r="F171" s="546" t="s">
        <v>46</v>
      </c>
      <c r="G171" s="545" t="s">
        <v>46</v>
      </c>
      <c r="H171" s="547" t="s">
        <v>692</v>
      </c>
      <c r="I171" s="714"/>
      <c r="J171" s="714"/>
      <c r="K171" s="714"/>
      <c r="L171" s="714"/>
      <c r="M171" s="569" t="s">
        <v>117</v>
      </c>
      <c r="N171" s="551">
        <v>0</v>
      </c>
      <c r="O171" s="552">
        <v>152</v>
      </c>
      <c r="P171" s="553">
        <v>46086</v>
      </c>
      <c r="Q171" s="553">
        <v>46097</v>
      </c>
      <c r="R171" s="657" t="s">
        <v>202</v>
      </c>
      <c r="S171" s="555">
        <f ca="1">IF(R171="Aprobado con comentarios / Emitir en Rev_0", NETWORKDAYS(Q171,TODAY(),Hoja1!$C$3:$C$25),0)</f>
        <v>0</v>
      </c>
      <c r="T171" s="555">
        <f ca="1">IF(R171="Revisión INN",NETWORKDAYS(P171,TODAY(),Hoja1!$C$3:$C$25),0)</f>
        <v>0</v>
      </c>
      <c r="U171" s="556">
        <f t="shared" si="5"/>
        <v>1</v>
      </c>
      <c r="V171" s="557">
        <v>0</v>
      </c>
      <c r="W171" s="558">
        <v>212</v>
      </c>
      <c r="X171" s="602"/>
      <c r="Y171" s="559">
        <v>46086</v>
      </c>
      <c r="Z171" s="589">
        <v>152</v>
      </c>
      <c r="AA171" s="593">
        <v>46097</v>
      </c>
      <c r="AB171" s="562"/>
      <c r="AC171" s="593" t="s">
        <v>133</v>
      </c>
      <c r="AD171" s="563"/>
      <c r="AE171" s="567"/>
      <c r="AF171" s="564"/>
      <c r="AG171" s="565"/>
      <c r="AH171" s="560"/>
      <c r="AI171" s="561"/>
      <c r="AJ171" s="562"/>
      <c r="AK171" s="561"/>
      <c r="AL171" s="563"/>
      <c r="AM171" s="567"/>
      <c r="AN171" s="564"/>
      <c r="AO171" s="565"/>
      <c r="AP171" s="560"/>
      <c r="AQ171" s="561"/>
      <c r="AR171" s="562"/>
      <c r="AS171" s="561"/>
      <c r="AT171" s="563"/>
      <c r="AU171" s="567"/>
      <c r="AV171" s="564"/>
      <c r="AW171" s="565"/>
      <c r="AX171" s="560"/>
      <c r="AY171" s="561"/>
      <c r="AZ171" s="562"/>
      <c r="BA171" s="561"/>
      <c r="BB171" s="563"/>
      <c r="BC171" s="567"/>
      <c r="BD171" s="564"/>
      <c r="BE171" s="565"/>
      <c r="BF171" s="560"/>
      <c r="BG171" s="561"/>
      <c r="BH171" s="562"/>
      <c r="BI171" s="561"/>
      <c r="BJ171" s="563"/>
      <c r="BK171" s="567"/>
      <c r="BL171" s="564"/>
      <c r="BM171" s="565"/>
      <c r="BN171" s="560"/>
      <c r="BO171" s="561"/>
      <c r="BP171" s="562"/>
      <c r="BQ171" s="561"/>
      <c r="BR171" s="563"/>
      <c r="BS171" s="567"/>
      <c r="BT171" s="564"/>
      <c r="BU171" s="565"/>
      <c r="BV171" s="560"/>
      <c r="BW171" s="561"/>
      <c r="BX171" s="562"/>
      <c r="BY171" s="561"/>
      <c r="BZ171" s="563"/>
      <c r="CA171" s="567"/>
      <c r="CB171" s="564"/>
      <c r="CC171" s="565"/>
      <c r="CD171" s="560"/>
      <c r="CE171" s="561"/>
      <c r="CF171" s="562"/>
      <c r="CG171" s="561"/>
      <c r="CH171" s="563"/>
      <c r="CI171" s="564"/>
      <c r="CJ171" s="564"/>
      <c r="CK171" s="564"/>
      <c r="CL171" s="560"/>
      <c r="CM171" s="561"/>
      <c r="CN171" s="562"/>
      <c r="CO171" s="561"/>
      <c r="CP171" s="563"/>
      <c r="CQ171" s="564"/>
      <c r="CR171" s="564"/>
      <c r="CS171" s="564"/>
      <c r="CT171" s="560"/>
      <c r="CU171" s="561"/>
      <c r="CV171" s="562"/>
      <c r="CW171" s="561"/>
      <c r="CX171" s="563"/>
      <c r="CY171" s="564"/>
      <c r="CZ171" s="564"/>
      <c r="DA171" s="564"/>
      <c r="DB171" s="560"/>
      <c r="DC171" s="561"/>
      <c r="DD171" s="562"/>
      <c r="DE171" s="561"/>
      <c r="DF171" s="563"/>
      <c r="DG171" s="564"/>
      <c r="DH171" s="564"/>
      <c r="DI171" s="564"/>
      <c r="DJ171" s="560"/>
      <c r="DK171" s="561"/>
      <c r="DL171" s="562"/>
      <c r="DM171" s="561"/>
      <c r="DN171" s="563"/>
      <c r="DO171" s="564"/>
      <c r="DP171" s="564"/>
      <c r="DQ171" s="564"/>
      <c r="DR171" s="560"/>
      <c r="DS171" s="561"/>
      <c r="DT171" s="562"/>
      <c r="DU171" s="561"/>
      <c r="DV171" s="563"/>
      <c r="DW171" s="564"/>
      <c r="DX171" s="564"/>
      <c r="DY171" s="564"/>
      <c r="DZ171" s="560"/>
      <c r="EA171" s="561"/>
      <c r="EB171" s="562"/>
      <c r="EC171" s="561"/>
      <c r="ED171" s="563"/>
      <c r="EE171" s="564"/>
      <c r="EF171" s="564"/>
      <c r="EG171" s="564"/>
      <c r="EH171" s="560"/>
      <c r="EI171" s="561"/>
      <c r="EJ171" s="562"/>
      <c r="EK171" s="561"/>
      <c r="EL171" s="563"/>
      <c r="EM171" s="564"/>
      <c r="EN171" s="564"/>
      <c r="EO171" s="564"/>
      <c r="EP171" s="560"/>
      <c r="EQ171" s="561"/>
      <c r="ER171" s="562"/>
      <c r="ES171" s="561"/>
      <c r="ET171" s="563"/>
      <c r="EU171" s="564"/>
      <c r="EV171" s="564"/>
      <c r="EW171" s="564"/>
      <c r="EX171" s="560"/>
      <c r="EY171" s="561"/>
      <c r="EZ171" s="562"/>
      <c r="FA171" s="561"/>
      <c r="FB171" s="563"/>
      <c r="FC171" s="564"/>
      <c r="FD171" s="564"/>
      <c r="FE171" s="564"/>
      <c r="FF171" s="560"/>
      <c r="FG171" s="561"/>
      <c r="FH171" s="562"/>
      <c r="FI171" s="561"/>
      <c r="FJ171" s="563"/>
      <c r="FK171" s="564"/>
      <c r="FL171" s="564"/>
      <c r="FM171" s="564"/>
      <c r="FN171" s="560"/>
      <c r="FO171" s="561"/>
      <c r="FP171" s="562"/>
      <c r="FQ171" s="561"/>
      <c r="FR171" s="563"/>
      <c r="FS171" s="564"/>
      <c r="FT171" s="564"/>
      <c r="FU171" s="564"/>
      <c r="FV171" s="560"/>
      <c r="FW171" s="566"/>
      <c r="FX171" s="566"/>
      <c r="FY171" s="566"/>
      <c r="FZ171" s="563"/>
      <c r="GA171" s="564"/>
      <c r="GB171" s="564"/>
      <c r="GC171" s="564"/>
      <c r="GD171" s="560"/>
      <c r="GE171" s="566"/>
      <c r="GF171" s="566"/>
      <c r="GG171" s="566"/>
      <c r="GH171" s="563"/>
      <c r="GI171" s="564"/>
      <c r="GJ171" s="564"/>
      <c r="GK171" s="564"/>
      <c r="GL171" s="560"/>
      <c r="GM171" s="566"/>
      <c r="GN171" s="566"/>
      <c r="GO171" s="566"/>
      <c r="GP171" s="563"/>
      <c r="GQ171" s="564"/>
      <c r="GR171" s="564"/>
      <c r="GS171" s="564"/>
      <c r="GT171" s="560"/>
      <c r="GU171" s="566"/>
      <c r="GV171" s="566"/>
      <c r="GW171" s="566"/>
      <c r="GX171" s="563"/>
      <c r="GY171" s="564"/>
      <c r="GZ171" s="564"/>
      <c r="HA171" s="590"/>
      <c r="HB171" s="560"/>
      <c r="HC171" s="566"/>
      <c r="HD171" s="566"/>
      <c r="HE171" s="566"/>
      <c r="HF171" s="563"/>
      <c r="HG171" s="564"/>
      <c r="HH171" s="564"/>
      <c r="HI171" s="590"/>
      <c r="HJ171" s="560"/>
      <c r="HK171" s="566"/>
      <c r="HL171" s="566"/>
      <c r="HM171" s="566"/>
      <c r="HN171" s="563"/>
      <c r="HO171" s="564"/>
      <c r="HP171" s="564"/>
      <c r="HQ171" s="590"/>
      <c r="HR171" s="560"/>
      <c r="HS171" s="566"/>
      <c r="HT171" s="566"/>
      <c r="HU171" s="566"/>
    </row>
    <row r="172" spans="1:229" s="506" customFormat="1" ht="59.15" customHeight="1" thickBot="1" x14ac:dyDescent="0.4">
      <c r="B172" s="544">
        <v>169</v>
      </c>
      <c r="C172" s="654"/>
      <c r="D172" s="545"/>
      <c r="E172" s="545" t="s">
        <v>62</v>
      </c>
      <c r="F172" s="546" t="s">
        <v>62</v>
      </c>
      <c r="G172" s="545" t="s">
        <v>62</v>
      </c>
      <c r="H172" s="547" t="s">
        <v>693</v>
      </c>
      <c r="I172" s="773"/>
      <c r="J172" s="773"/>
      <c r="K172" s="773"/>
      <c r="L172" s="773"/>
      <c r="M172" s="569" t="s">
        <v>310</v>
      </c>
      <c r="N172" s="551" t="s">
        <v>290</v>
      </c>
      <c r="O172" s="552">
        <v>228</v>
      </c>
      <c r="P172" s="553">
        <v>46099</v>
      </c>
      <c r="Q172" s="553"/>
      <c r="R172" s="554" t="s">
        <v>688</v>
      </c>
      <c r="S172" s="555">
        <f ca="1">IF(R172="Aprobado con comentarios / Emitir en Rev_0", NETWORKDAYS(Q172,TODAY(),Hoja1!$C$3:$C$25),0)</f>
        <v>0</v>
      </c>
      <c r="T172" s="555">
        <f ca="1">IF(R172="Revisión INN",NETWORKDAYS(P172,TODAY(),Hoja1!$C$3:$C$25),0)</f>
        <v>0</v>
      </c>
      <c r="U172" s="556">
        <f t="shared" si="5"/>
        <v>1</v>
      </c>
      <c r="V172" s="557" t="s">
        <v>290</v>
      </c>
      <c r="W172" s="558">
        <v>228</v>
      </c>
      <c r="X172" s="558"/>
      <c r="Y172" s="559">
        <v>46099</v>
      </c>
      <c r="Z172" s="560"/>
      <c r="AA172" s="561"/>
      <c r="AB172" s="562"/>
      <c r="AC172" s="561"/>
      <c r="AD172" s="563"/>
      <c r="AE172" s="567"/>
      <c r="AF172" s="564"/>
      <c r="AG172" s="565"/>
      <c r="AH172" s="560"/>
      <c r="AI172" s="561"/>
      <c r="AJ172" s="562"/>
      <c r="AK172" s="561"/>
      <c r="AL172" s="563"/>
      <c r="AM172" s="567"/>
      <c r="AN172" s="564"/>
      <c r="AO172" s="565"/>
      <c r="AP172" s="560"/>
      <c r="AQ172" s="561"/>
      <c r="AR172" s="562"/>
      <c r="AS172" s="561"/>
      <c r="AT172" s="563"/>
      <c r="AU172" s="567"/>
      <c r="AV172" s="564"/>
      <c r="AW172" s="565"/>
      <c r="AX172" s="560"/>
      <c r="AY172" s="561"/>
      <c r="AZ172" s="562"/>
      <c r="BA172" s="561"/>
      <c r="BB172" s="563"/>
      <c r="BC172" s="567"/>
      <c r="BD172" s="564"/>
      <c r="BE172" s="565"/>
      <c r="BF172" s="560"/>
      <c r="BG172" s="561"/>
      <c r="BH172" s="562"/>
      <c r="BI172" s="561"/>
      <c r="BJ172" s="563"/>
      <c r="BK172" s="567"/>
      <c r="BL172" s="564"/>
      <c r="BM172" s="565"/>
      <c r="BN172" s="560"/>
      <c r="BO172" s="561"/>
      <c r="BP172" s="562"/>
      <c r="BQ172" s="561"/>
      <c r="BR172" s="563"/>
      <c r="BS172" s="567"/>
      <c r="BT172" s="564"/>
      <c r="BU172" s="565"/>
      <c r="BV172" s="560"/>
      <c r="BW172" s="561"/>
      <c r="BX172" s="562"/>
      <c r="BY172" s="561"/>
      <c r="BZ172" s="563"/>
      <c r="CA172" s="567"/>
      <c r="CB172" s="564"/>
      <c r="CC172" s="565"/>
      <c r="CD172" s="560"/>
      <c r="CE172" s="561"/>
      <c r="CF172" s="562"/>
      <c r="CG172" s="561"/>
      <c r="CH172" s="563"/>
      <c r="CI172" s="564"/>
      <c r="CJ172" s="564"/>
      <c r="CK172" s="564"/>
      <c r="CL172" s="560"/>
      <c r="CM172" s="561"/>
      <c r="CN172" s="562"/>
      <c r="CO172" s="561"/>
      <c r="CP172" s="563"/>
      <c r="CQ172" s="564"/>
      <c r="CR172" s="564"/>
      <c r="CS172" s="564"/>
      <c r="CT172" s="560"/>
      <c r="CU172" s="561"/>
      <c r="CV172" s="562"/>
      <c r="CW172" s="561"/>
      <c r="CX172" s="563"/>
      <c r="CY172" s="564"/>
      <c r="CZ172" s="564"/>
      <c r="DA172" s="564"/>
      <c r="DB172" s="560"/>
      <c r="DC172" s="561"/>
      <c r="DD172" s="562"/>
      <c r="DE172" s="561"/>
      <c r="DF172" s="563"/>
      <c r="DG172" s="564"/>
      <c r="DH172" s="564"/>
      <c r="DI172" s="564"/>
      <c r="DJ172" s="560"/>
      <c r="DK172" s="561"/>
      <c r="DL172" s="562"/>
      <c r="DM172" s="561"/>
      <c r="DN172" s="563"/>
      <c r="DO172" s="564"/>
      <c r="DP172" s="564"/>
      <c r="DQ172" s="564"/>
      <c r="DR172" s="560"/>
      <c r="DS172" s="561"/>
      <c r="DT172" s="562"/>
      <c r="DU172" s="561"/>
      <c r="DV172" s="563"/>
      <c r="DW172" s="564"/>
      <c r="DX172" s="564"/>
      <c r="DY172" s="564"/>
      <c r="DZ172" s="560"/>
      <c r="EA172" s="561"/>
      <c r="EB172" s="562"/>
      <c r="EC172" s="561"/>
      <c r="ED172" s="563"/>
      <c r="EE172" s="564"/>
      <c r="EF172" s="564"/>
      <c r="EG172" s="564"/>
      <c r="EH172" s="560"/>
      <c r="EI172" s="561"/>
      <c r="EJ172" s="562"/>
      <c r="EK172" s="561"/>
      <c r="EL172" s="563"/>
      <c r="EM172" s="564"/>
      <c r="EN172" s="564"/>
      <c r="EO172" s="564"/>
      <c r="EP172" s="560"/>
      <c r="EQ172" s="561"/>
      <c r="ER172" s="562"/>
      <c r="ES172" s="561"/>
      <c r="ET172" s="563"/>
      <c r="EU172" s="564"/>
      <c r="EV172" s="564"/>
      <c r="EW172" s="564"/>
      <c r="EX172" s="560"/>
      <c r="EY172" s="561"/>
      <c r="EZ172" s="562"/>
      <c r="FA172" s="561"/>
      <c r="FB172" s="563"/>
      <c r="FC172" s="564"/>
      <c r="FD172" s="564"/>
      <c r="FE172" s="564"/>
      <c r="FF172" s="560"/>
      <c r="FG172" s="561"/>
      <c r="FH172" s="562"/>
      <c r="FI172" s="561"/>
      <c r="FJ172" s="563"/>
      <c r="FK172" s="564"/>
      <c r="FL172" s="564"/>
      <c r="FM172" s="564"/>
      <c r="FN172" s="560"/>
      <c r="FO172" s="561"/>
      <c r="FP172" s="562"/>
      <c r="FQ172" s="561"/>
      <c r="FR172" s="563"/>
      <c r="FS172" s="564"/>
      <c r="FT172" s="564"/>
      <c r="FU172" s="564"/>
      <c r="FV172" s="560"/>
      <c r="FW172" s="566"/>
      <c r="FX172" s="566"/>
      <c r="FY172" s="566"/>
      <c r="FZ172" s="563"/>
      <c r="GA172" s="564"/>
      <c r="GB172" s="564"/>
      <c r="GC172" s="564"/>
      <c r="GD172" s="560"/>
      <c r="GE172" s="566"/>
      <c r="GF172" s="566"/>
      <c r="GG172" s="566"/>
      <c r="GH172" s="563"/>
      <c r="GI172" s="564"/>
      <c r="GJ172" s="564"/>
      <c r="GK172" s="564"/>
      <c r="GL172" s="560"/>
      <c r="GM172" s="566"/>
      <c r="GN172" s="566"/>
      <c r="GO172" s="566"/>
      <c r="GP172" s="563"/>
      <c r="GQ172" s="564"/>
      <c r="GR172" s="564"/>
      <c r="GS172" s="564"/>
      <c r="GT172" s="560"/>
      <c r="GU172" s="566"/>
      <c r="GV172" s="566"/>
      <c r="GW172" s="566"/>
      <c r="GX172" s="563"/>
      <c r="GY172" s="564"/>
      <c r="GZ172" s="564"/>
      <c r="HA172" s="590"/>
      <c r="HB172" s="560"/>
      <c r="HC172" s="566"/>
      <c r="HD172" s="566"/>
      <c r="HE172" s="566"/>
      <c r="HF172" s="563"/>
      <c r="HG172" s="564"/>
      <c r="HH172" s="564"/>
      <c r="HI172" s="590"/>
      <c r="HJ172" s="560"/>
      <c r="HK172" s="566"/>
      <c r="HL172" s="566"/>
      <c r="HM172" s="566"/>
      <c r="HN172" s="563"/>
      <c r="HO172" s="564"/>
      <c r="HP172" s="564"/>
      <c r="HQ172" s="590"/>
      <c r="HR172" s="560"/>
      <c r="HS172" s="566"/>
      <c r="HT172" s="566"/>
      <c r="HU172" s="566"/>
    </row>
    <row r="173" spans="1:229" s="506" customFormat="1" ht="59.15" customHeight="1" x14ac:dyDescent="0.35">
      <c r="B173" s="544">
        <v>170</v>
      </c>
      <c r="C173" s="654"/>
      <c r="D173" s="545"/>
      <c r="E173" s="545" t="s">
        <v>62</v>
      </c>
      <c r="F173" s="546" t="s">
        <v>62</v>
      </c>
      <c r="G173" s="545" t="s">
        <v>62</v>
      </c>
      <c r="H173" s="547" t="s">
        <v>694</v>
      </c>
      <c r="I173" s="773"/>
      <c r="J173" s="773"/>
      <c r="K173" s="773"/>
      <c r="L173" s="773"/>
      <c r="M173" s="569" t="s">
        <v>310</v>
      </c>
      <c r="N173" s="551" t="s">
        <v>290</v>
      </c>
      <c r="O173" s="552">
        <v>228</v>
      </c>
      <c r="P173" s="553">
        <v>46099</v>
      </c>
      <c r="Q173" s="553"/>
      <c r="R173" s="554" t="s">
        <v>688</v>
      </c>
      <c r="S173" s="555">
        <f ca="1">IF(R173="Aprobado con comentarios / Emitir en Rev_0", NETWORKDAYS(Q173,TODAY(),Hoja1!$C$3:$C$25),0)</f>
        <v>0</v>
      </c>
      <c r="T173" s="555">
        <f ca="1">IF(R173="Revisión INN",NETWORKDAYS(P173,TODAY(),Hoja1!$C$3:$C$25),0)</f>
        <v>0</v>
      </c>
      <c r="U173" s="556">
        <f t="shared" si="5"/>
        <v>1</v>
      </c>
      <c r="V173" s="557" t="s">
        <v>290</v>
      </c>
      <c r="W173" s="558">
        <v>228</v>
      </c>
      <c r="X173" s="558"/>
      <c r="Y173" s="559">
        <v>46099</v>
      </c>
      <c r="Z173" s="560"/>
      <c r="AA173" s="561"/>
      <c r="AB173" s="562"/>
      <c r="AC173" s="561"/>
      <c r="AD173" s="563"/>
      <c r="AE173" s="567"/>
      <c r="AF173" s="564"/>
      <c r="AG173" s="565"/>
      <c r="AH173" s="560"/>
      <c r="AI173" s="561"/>
      <c r="AJ173" s="562"/>
      <c r="AK173" s="561"/>
      <c r="AL173" s="563"/>
      <c r="AM173" s="567"/>
      <c r="AN173" s="564"/>
      <c r="AO173" s="565"/>
      <c r="AP173" s="560"/>
      <c r="AQ173" s="561"/>
      <c r="AR173" s="562"/>
      <c r="AS173" s="561"/>
      <c r="AT173" s="563"/>
      <c r="AU173" s="567"/>
      <c r="AV173" s="564"/>
      <c r="AW173" s="565"/>
      <c r="AX173" s="560"/>
      <c r="AY173" s="561"/>
      <c r="AZ173" s="562"/>
      <c r="BA173" s="561"/>
      <c r="BB173" s="563"/>
      <c r="BC173" s="567"/>
      <c r="BD173" s="564"/>
      <c r="BE173" s="565"/>
      <c r="BF173" s="560"/>
      <c r="BG173" s="561"/>
      <c r="BH173" s="562"/>
      <c r="BI173" s="561"/>
      <c r="BJ173" s="563"/>
      <c r="BK173" s="567"/>
      <c r="BL173" s="564"/>
      <c r="BM173" s="565"/>
      <c r="BN173" s="560"/>
      <c r="BO173" s="561"/>
      <c r="BP173" s="562"/>
      <c r="BQ173" s="561"/>
      <c r="BR173" s="563"/>
      <c r="BS173" s="567"/>
      <c r="BT173" s="564"/>
      <c r="BU173" s="565"/>
      <c r="BV173" s="560"/>
      <c r="BW173" s="561"/>
      <c r="BX173" s="562"/>
      <c r="BY173" s="561"/>
      <c r="BZ173" s="563"/>
      <c r="CA173" s="567"/>
      <c r="CB173" s="564"/>
      <c r="CC173" s="565"/>
      <c r="CD173" s="560"/>
      <c r="CE173" s="561"/>
      <c r="CF173" s="562"/>
      <c r="CG173" s="561"/>
      <c r="CH173" s="563"/>
      <c r="CI173" s="564"/>
      <c r="CJ173" s="564"/>
      <c r="CK173" s="564"/>
      <c r="CL173" s="560"/>
      <c r="CM173" s="561"/>
      <c r="CN173" s="562"/>
      <c r="CO173" s="561"/>
      <c r="CP173" s="563"/>
      <c r="CQ173" s="564"/>
      <c r="CR173" s="564"/>
      <c r="CS173" s="564"/>
      <c r="CT173" s="560"/>
      <c r="CU173" s="561"/>
      <c r="CV173" s="562"/>
      <c r="CW173" s="561"/>
      <c r="CX173" s="563"/>
      <c r="CY173" s="564"/>
      <c r="CZ173" s="564"/>
      <c r="DA173" s="564"/>
      <c r="DB173" s="560"/>
      <c r="DC173" s="561"/>
      <c r="DD173" s="562"/>
      <c r="DE173" s="561"/>
      <c r="DF173" s="563"/>
      <c r="DG173" s="564"/>
      <c r="DH173" s="564"/>
      <c r="DI173" s="564"/>
      <c r="DJ173" s="560"/>
      <c r="DK173" s="561"/>
      <c r="DL173" s="562"/>
      <c r="DM173" s="561"/>
      <c r="DN173" s="563"/>
      <c r="DO173" s="564"/>
      <c r="DP173" s="564"/>
      <c r="DQ173" s="564"/>
      <c r="DR173" s="560"/>
      <c r="DS173" s="561"/>
      <c r="DT173" s="562"/>
      <c r="DU173" s="561"/>
      <c r="DV173" s="563"/>
      <c r="DW173" s="564"/>
      <c r="DX173" s="564"/>
      <c r="DY173" s="564"/>
      <c r="DZ173" s="560"/>
      <c r="EA173" s="561"/>
      <c r="EB173" s="562"/>
      <c r="EC173" s="561"/>
      <c r="ED173" s="563"/>
      <c r="EE173" s="564"/>
      <c r="EF173" s="564"/>
      <c r="EG173" s="564"/>
      <c r="EH173" s="560"/>
      <c r="EI173" s="561"/>
      <c r="EJ173" s="562"/>
      <c r="EK173" s="561"/>
      <c r="EL173" s="563"/>
      <c r="EM173" s="564"/>
      <c r="EN173" s="564"/>
      <c r="EO173" s="564"/>
      <c r="EP173" s="560"/>
      <c r="EQ173" s="561"/>
      <c r="ER173" s="562"/>
      <c r="ES173" s="561"/>
      <c r="ET173" s="563"/>
      <c r="EU173" s="564"/>
      <c r="EV173" s="564"/>
      <c r="EW173" s="564"/>
      <c r="EX173" s="560"/>
      <c r="EY173" s="561"/>
      <c r="EZ173" s="562"/>
      <c r="FA173" s="561"/>
      <c r="FB173" s="563"/>
      <c r="FC173" s="564"/>
      <c r="FD173" s="564"/>
      <c r="FE173" s="564"/>
      <c r="FF173" s="560"/>
      <c r="FG173" s="561"/>
      <c r="FH173" s="562"/>
      <c r="FI173" s="561"/>
      <c r="FJ173" s="563"/>
      <c r="FK173" s="564"/>
      <c r="FL173" s="564"/>
      <c r="FM173" s="564"/>
      <c r="FN173" s="560"/>
      <c r="FO173" s="561"/>
      <c r="FP173" s="562"/>
      <c r="FQ173" s="561"/>
      <c r="FR173" s="563"/>
      <c r="FS173" s="564"/>
      <c r="FT173" s="564"/>
      <c r="FU173" s="564"/>
      <c r="FV173" s="560"/>
      <c r="FW173" s="566"/>
      <c r="FX173" s="566"/>
      <c r="FY173" s="566"/>
      <c r="FZ173" s="563"/>
      <c r="GA173" s="564"/>
      <c r="GB173" s="564"/>
      <c r="GC173" s="564"/>
      <c r="GD173" s="560"/>
      <c r="GE173" s="566"/>
      <c r="GF173" s="566"/>
      <c r="GG173" s="566"/>
      <c r="GH173" s="563"/>
      <c r="GI173" s="564"/>
      <c r="GJ173" s="564"/>
      <c r="GK173" s="564"/>
      <c r="GL173" s="560"/>
      <c r="GM173" s="566"/>
      <c r="GN173" s="566"/>
      <c r="GO173" s="566"/>
      <c r="GP173" s="563"/>
      <c r="GQ173" s="564"/>
      <c r="GR173" s="564"/>
      <c r="GS173" s="564"/>
      <c r="GT173" s="560"/>
      <c r="GU173" s="566"/>
      <c r="GV173" s="566"/>
      <c r="GW173" s="566"/>
      <c r="GX173" s="541"/>
      <c r="GY173" s="535"/>
      <c r="GZ173" s="542"/>
      <c r="HA173" s="543"/>
      <c r="HB173" s="541"/>
      <c r="HC173" s="535"/>
      <c r="HD173" s="542"/>
      <c r="HE173" s="543"/>
      <c r="HF173" s="541"/>
      <c r="HG173" s="535"/>
      <c r="HH173" s="542"/>
      <c r="HI173" s="543"/>
      <c r="HJ173" s="541"/>
      <c r="HK173" s="535"/>
      <c r="HL173" s="542"/>
      <c r="HM173" s="543"/>
      <c r="HN173" s="541"/>
      <c r="HO173" s="535"/>
      <c r="HP173" s="542"/>
      <c r="HQ173" s="543"/>
      <c r="HR173" s="541"/>
      <c r="HS173" s="535"/>
      <c r="HT173" s="542"/>
      <c r="HU173" s="543"/>
    </row>
    <row r="174" spans="1:229" s="506" customFormat="1" ht="59.15" customHeight="1" x14ac:dyDescent="0.35">
      <c r="B174" s="544">
        <v>171</v>
      </c>
      <c r="C174" s="544"/>
      <c r="D174" s="545"/>
      <c r="E174" s="545" t="s">
        <v>695</v>
      </c>
      <c r="F174" s="546" t="s">
        <v>696</v>
      </c>
      <c r="G174" s="545" t="s">
        <v>46</v>
      </c>
      <c r="H174" s="547" t="s">
        <v>697</v>
      </c>
      <c r="I174" s="549"/>
      <c r="J174" s="549"/>
      <c r="K174" s="549"/>
      <c r="L174" s="549"/>
      <c r="M174" s="569" t="s">
        <v>698</v>
      </c>
      <c r="N174" s="551">
        <v>0</v>
      </c>
      <c r="O174" s="552">
        <v>171</v>
      </c>
      <c r="P174" s="553">
        <v>46100</v>
      </c>
      <c r="Q174" s="553">
        <v>46112</v>
      </c>
      <c r="R174" s="554" t="s">
        <v>67</v>
      </c>
      <c r="S174" s="555">
        <f ca="1">IF(R174="Aprobado con comentarios / Emitir en Rev_0", NETWORKDAYS(Q174,TODAY(),Hoja1!$C$3:$C$25),0)</f>
        <v>0</v>
      </c>
      <c r="T174" s="555">
        <f ca="1">IF(R174="Revisión INN",NETWORKDAYS(P174,TODAY(),Hoja1!$C$3:$C$25),0)</f>
        <v>0</v>
      </c>
      <c r="U174" s="556">
        <f t="shared" si="5"/>
        <v>1</v>
      </c>
      <c r="V174" s="557"/>
      <c r="W174" s="558"/>
      <c r="X174" s="558"/>
      <c r="Y174" s="559"/>
      <c r="Z174" s="560"/>
      <c r="AA174" s="561"/>
      <c r="AB174" s="562"/>
      <c r="AC174" s="561"/>
      <c r="AD174" s="563"/>
      <c r="AE174" s="567"/>
      <c r="AF174" s="564"/>
      <c r="AG174" s="565"/>
      <c r="AH174" s="560"/>
      <c r="AI174" s="561"/>
      <c r="AJ174" s="562"/>
      <c r="AK174" s="561"/>
      <c r="AL174" s="563"/>
      <c r="AM174" s="567"/>
      <c r="AN174" s="564"/>
      <c r="AO174" s="565"/>
      <c r="AP174" s="560"/>
      <c r="AQ174" s="561"/>
      <c r="AR174" s="562"/>
      <c r="AS174" s="561"/>
      <c r="AT174" s="563"/>
      <c r="AU174" s="567"/>
      <c r="AV174" s="564"/>
      <c r="AW174" s="565"/>
      <c r="AX174" s="560"/>
      <c r="AY174" s="561"/>
      <c r="AZ174" s="562"/>
      <c r="BA174" s="561"/>
      <c r="BB174" s="563">
        <v>0</v>
      </c>
      <c r="BC174" s="567">
        <v>230</v>
      </c>
      <c r="BD174" s="564"/>
      <c r="BE174" s="565">
        <v>46100</v>
      </c>
      <c r="BF174" s="589">
        <v>171</v>
      </c>
      <c r="BG174" s="593">
        <v>46112</v>
      </c>
      <c r="BH174" s="562"/>
      <c r="BI174" s="593" t="s">
        <v>699</v>
      </c>
      <c r="BJ174" s="563"/>
      <c r="BK174" s="567"/>
      <c r="BL174" s="564"/>
      <c r="BM174" s="565"/>
      <c r="BN174" s="560"/>
      <c r="BO174" s="561"/>
      <c r="BP174" s="562"/>
      <c r="BQ174" s="561"/>
      <c r="BR174" s="563"/>
      <c r="BS174" s="567"/>
      <c r="BT174" s="564"/>
      <c r="BU174" s="565"/>
      <c r="BV174" s="560"/>
      <c r="BW174" s="561"/>
      <c r="BX174" s="562"/>
      <c r="BY174" s="561"/>
      <c r="BZ174" s="563"/>
      <c r="CA174" s="567"/>
      <c r="CB174" s="564"/>
      <c r="CC174" s="565"/>
      <c r="CD174" s="560"/>
      <c r="CE174" s="561"/>
      <c r="CF174" s="562"/>
      <c r="CG174" s="561"/>
      <c r="CH174" s="563"/>
      <c r="CI174" s="564"/>
      <c r="CJ174" s="564"/>
      <c r="CK174" s="564"/>
      <c r="CL174" s="560"/>
      <c r="CM174" s="561"/>
      <c r="CN174" s="562"/>
      <c r="CO174" s="561"/>
      <c r="CP174" s="563"/>
      <c r="CQ174" s="564"/>
      <c r="CR174" s="564"/>
      <c r="CS174" s="564"/>
      <c r="CT174" s="560"/>
      <c r="CU174" s="561"/>
      <c r="CV174" s="562"/>
      <c r="CW174" s="561"/>
      <c r="CX174" s="563"/>
      <c r="CY174" s="564"/>
      <c r="CZ174" s="564"/>
      <c r="DA174" s="564"/>
      <c r="DB174" s="560"/>
      <c r="DC174" s="561"/>
      <c r="DD174" s="562"/>
      <c r="DE174" s="561"/>
      <c r="DF174" s="563"/>
      <c r="DG174" s="564"/>
      <c r="DH174" s="564"/>
      <c r="DI174" s="564"/>
      <c r="DJ174" s="560"/>
      <c r="DK174" s="561"/>
      <c r="DL174" s="562"/>
      <c r="DM174" s="561"/>
      <c r="DN174" s="563"/>
      <c r="DO174" s="564"/>
      <c r="DP174" s="564"/>
      <c r="DQ174" s="564"/>
      <c r="DR174" s="560"/>
      <c r="DS174" s="561"/>
      <c r="DT174" s="562"/>
      <c r="DU174" s="561"/>
      <c r="DV174" s="563"/>
      <c r="DW174" s="564"/>
      <c r="DX174" s="564"/>
      <c r="DY174" s="564"/>
      <c r="DZ174" s="560"/>
      <c r="EA174" s="561"/>
      <c r="EB174" s="562"/>
      <c r="EC174" s="561"/>
      <c r="ED174" s="563"/>
      <c r="EE174" s="564"/>
      <c r="EF174" s="564"/>
      <c r="EG174" s="564"/>
      <c r="EH174" s="560"/>
      <c r="EI174" s="561"/>
      <c r="EJ174" s="562"/>
      <c r="EK174" s="561"/>
      <c r="EL174" s="563"/>
      <c r="EM174" s="564"/>
      <c r="EN174" s="564"/>
      <c r="EO174" s="564"/>
      <c r="EP174" s="560"/>
      <c r="EQ174" s="561"/>
      <c r="ER174" s="562"/>
      <c r="ES174" s="561"/>
      <c r="ET174" s="563"/>
      <c r="EU174" s="564"/>
      <c r="EV174" s="564"/>
      <c r="EW174" s="564"/>
      <c r="EX174" s="560"/>
      <c r="EY174" s="561"/>
      <c r="EZ174" s="562"/>
      <c r="FA174" s="561"/>
      <c r="FB174" s="563"/>
      <c r="FC174" s="564"/>
      <c r="FD174" s="564"/>
      <c r="FE174" s="564"/>
      <c r="FF174" s="560"/>
      <c r="FG174" s="561"/>
      <c r="FH174" s="562"/>
      <c r="FI174" s="561"/>
      <c r="FJ174" s="563"/>
      <c r="FK174" s="564"/>
      <c r="FL174" s="564"/>
      <c r="FM174" s="564"/>
      <c r="FN174" s="560"/>
      <c r="FO174" s="561"/>
      <c r="FP174" s="562"/>
      <c r="FQ174" s="561"/>
      <c r="FR174" s="563"/>
      <c r="FS174" s="564"/>
      <c r="FT174" s="564"/>
      <c r="FU174" s="564"/>
      <c r="FV174" s="560"/>
      <c r="FW174" s="566"/>
      <c r="FX174" s="566"/>
      <c r="FY174" s="566"/>
      <c r="FZ174" s="563"/>
      <c r="GA174" s="564"/>
      <c r="GB174" s="564"/>
      <c r="GC174" s="564"/>
      <c r="GD174" s="560"/>
      <c r="GE174" s="566"/>
      <c r="GF174" s="566"/>
      <c r="GG174" s="566"/>
      <c r="GH174" s="563"/>
      <c r="GI174" s="564"/>
      <c r="GJ174" s="564"/>
      <c r="GK174" s="564"/>
      <c r="GL174" s="560"/>
      <c r="GM174" s="566"/>
      <c r="GN174" s="566"/>
      <c r="GO174" s="566"/>
      <c r="GP174" s="563"/>
      <c r="GQ174" s="564"/>
      <c r="GR174" s="564"/>
      <c r="GS174" s="564"/>
      <c r="GT174" s="560"/>
      <c r="GU174" s="566"/>
      <c r="GV174" s="566"/>
      <c r="GW174" s="566"/>
      <c r="GX174" s="828"/>
      <c r="GY174" s="829"/>
      <c r="GZ174" s="830"/>
      <c r="HA174" s="830"/>
      <c r="HB174" s="828"/>
      <c r="HC174" s="829"/>
      <c r="HD174" s="830"/>
      <c r="HE174" s="830"/>
      <c r="HF174" s="828"/>
      <c r="HG174" s="829"/>
      <c r="HH174" s="830"/>
      <c r="HI174" s="830"/>
      <c r="HJ174" s="828"/>
      <c r="HK174" s="829"/>
      <c r="HL174" s="830"/>
      <c r="HM174" s="830"/>
      <c r="HN174" s="828"/>
      <c r="HO174" s="829"/>
      <c r="HP174" s="830"/>
      <c r="HQ174" s="830"/>
      <c r="HR174" s="828"/>
      <c r="HS174" s="829"/>
      <c r="HT174" s="830"/>
      <c r="HU174" s="830"/>
    </row>
    <row r="175" spans="1:229" s="506" customFormat="1" ht="59.15" customHeight="1" x14ac:dyDescent="0.35">
      <c r="B175" s="544">
        <v>172</v>
      </c>
      <c r="C175" s="544"/>
      <c r="D175" s="545" t="s">
        <v>44</v>
      </c>
      <c r="E175" s="546" t="s">
        <v>700</v>
      </c>
      <c r="F175" s="546" t="s">
        <v>46</v>
      </c>
      <c r="G175" s="546" t="s">
        <v>46</v>
      </c>
      <c r="H175" s="547" t="s">
        <v>701</v>
      </c>
      <c r="I175" s="548"/>
      <c r="J175" s="548"/>
      <c r="K175" s="568"/>
      <c r="L175" s="549"/>
      <c r="M175" s="569" t="s">
        <v>102</v>
      </c>
      <c r="N175" s="551">
        <v>0</v>
      </c>
      <c r="O175" s="552">
        <v>189</v>
      </c>
      <c r="P175" s="553">
        <v>46073</v>
      </c>
      <c r="Q175" s="553"/>
      <c r="R175" s="554" t="s">
        <v>73</v>
      </c>
      <c r="S175" s="555">
        <f ca="1">IF(R175="Aprobado con comentarios / Emitir Rev_B", NETWORKDAYS(Q175,TODAY(),Hoja1!$C$3:$C$25),0)</f>
        <v>0</v>
      </c>
      <c r="T175" s="555">
        <f ca="1">IF(R175="Revisión INN",NETWORKDAYS(P175,TODAY(),Hoja1!$C$3:$C$25),0)</f>
        <v>0</v>
      </c>
      <c r="U175" s="556">
        <f t="shared" si="5"/>
        <v>1</v>
      </c>
      <c r="V175" s="601">
        <v>0</v>
      </c>
      <c r="W175" s="602">
        <v>189</v>
      </c>
      <c r="X175" s="592"/>
      <c r="Y175" s="596">
        <v>46073</v>
      </c>
      <c r="Z175" s="560"/>
      <c r="AA175" s="561"/>
      <c r="AB175" s="562"/>
      <c r="AC175" s="561"/>
      <c r="AD175" s="563"/>
      <c r="AE175" s="567"/>
      <c r="AF175" s="564"/>
      <c r="AG175" s="565"/>
      <c r="AH175" s="560"/>
      <c r="AI175" s="561"/>
      <c r="AJ175" s="562"/>
      <c r="AK175" s="561"/>
      <c r="AL175" s="563"/>
      <c r="AM175" s="567"/>
      <c r="AN175" s="564"/>
      <c r="AO175" s="565"/>
      <c r="AP175" s="560"/>
      <c r="AQ175" s="561"/>
      <c r="AR175" s="562"/>
      <c r="AS175" s="561"/>
      <c r="AT175" s="563"/>
      <c r="AU175" s="567"/>
      <c r="AV175" s="564"/>
      <c r="AW175" s="565"/>
      <c r="AX175" s="560"/>
      <c r="AY175" s="561"/>
      <c r="AZ175" s="562"/>
      <c r="BA175" s="561"/>
      <c r="BB175" s="563"/>
      <c r="BC175" s="567"/>
      <c r="BD175" s="564"/>
      <c r="BE175" s="565"/>
      <c r="BF175" s="560"/>
      <c r="BG175" s="560"/>
      <c r="BH175" s="560"/>
      <c r="BI175" s="560"/>
      <c r="BJ175" s="563"/>
      <c r="BK175" s="567"/>
      <c r="BL175" s="564"/>
      <c r="BM175" s="565"/>
      <c r="BN175" s="560"/>
      <c r="BO175" s="561"/>
      <c r="BP175" s="562"/>
      <c r="BQ175" s="561"/>
      <c r="BR175" s="563"/>
      <c r="BS175" s="567"/>
      <c r="BT175" s="564"/>
      <c r="BU175" s="565"/>
      <c r="BV175" s="560"/>
      <c r="BW175" s="561"/>
      <c r="BX175" s="562"/>
      <c r="BY175" s="561"/>
      <c r="BZ175" s="563"/>
      <c r="CA175" s="567"/>
      <c r="CB175" s="564"/>
      <c r="CC175" s="565"/>
      <c r="CD175" s="560"/>
      <c r="CE175" s="561"/>
      <c r="CF175" s="562"/>
      <c r="CG175" s="561"/>
      <c r="CH175" s="563"/>
      <c r="CI175" s="564"/>
      <c r="CJ175" s="564"/>
      <c r="CK175" s="590"/>
      <c r="CL175" s="560"/>
      <c r="CM175" s="561"/>
      <c r="CN175" s="562"/>
      <c r="CO175" s="561"/>
      <c r="CP175" s="563"/>
      <c r="CQ175" s="564"/>
      <c r="CR175" s="564"/>
      <c r="CS175" s="564"/>
      <c r="CT175" s="560"/>
      <c r="CU175" s="561"/>
      <c r="CV175" s="562"/>
      <c r="CW175" s="561"/>
      <c r="CX175" s="563"/>
      <c r="CY175" s="564"/>
      <c r="CZ175" s="564"/>
      <c r="DA175" s="564"/>
      <c r="DB175" s="560"/>
      <c r="DC175" s="561"/>
      <c r="DD175" s="562"/>
      <c r="DE175" s="561"/>
      <c r="DF175" s="563"/>
      <c r="DG175" s="564"/>
      <c r="DH175" s="564"/>
      <c r="DI175" s="564"/>
      <c r="DJ175" s="560"/>
      <c r="DK175" s="561"/>
      <c r="DL175" s="562"/>
      <c r="DM175" s="561"/>
      <c r="DN175" s="563"/>
      <c r="DO175" s="564"/>
      <c r="DP175" s="564"/>
      <c r="DQ175" s="564"/>
      <c r="DR175" s="560"/>
      <c r="DS175" s="561"/>
      <c r="DT175" s="562"/>
      <c r="DU175" s="561"/>
      <c r="DV175" s="563"/>
      <c r="DW175" s="564"/>
      <c r="DX175" s="564"/>
      <c r="DY175" s="564"/>
      <c r="DZ175" s="560"/>
      <c r="EA175" s="561"/>
      <c r="EB175" s="562"/>
      <c r="EC175" s="561"/>
      <c r="ED175" s="563"/>
      <c r="EE175" s="564"/>
      <c r="EF175" s="564"/>
      <c r="EG175" s="564"/>
      <c r="EH175" s="560"/>
      <c r="EI175" s="561"/>
      <c r="EJ175" s="562"/>
      <c r="EK175" s="561"/>
      <c r="EL175" s="563"/>
      <c r="EM175" s="564"/>
      <c r="EN175" s="564"/>
      <c r="EO175" s="564"/>
      <c r="EP175" s="560"/>
      <c r="EQ175" s="561"/>
      <c r="ER175" s="562"/>
      <c r="ES175" s="561"/>
      <c r="ET175" s="563"/>
      <c r="EU175" s="564"/>
      <c r="EV175" s="564"/>
      <c r="EW175" s="564"/>
      <c r="EX175" s="560"/>
      <c r="EY175" s="561"/>
      <c r="EZ175" s="562"/>
      <c r="FA175" s="561"/>
      <c r="FB175" s="563"/>
      <c r="FC175" s="564"/>
      <c r="FD175" s="564"/>
      <c r="FE175" s="564"/>
      <c r="FF175" s="560"/>
      <c r="FG175" s="561"/>
      <c r="FH175" s="562"/>
      <c r="FI175" s="561"/>
      <c r="FJ175" s="563"/>
      <c r="FK175" s="564"/>
      <c r="FL175" s="564"/>
      <c r="FM175" s="564"/>
      <c r="FN175" s="560"/>
      <c r="FO175" s="561"/>
      <c r="FP175" s="562"/>
      <c r="FQ175" s="561"/>
      <c r="FR175" s="563"/>
      <c r="FS175" s="564"/>
      <c r="FT175" s="564"/>
      <c r="FU175" s="564"/>
      <c r="FV175" s="560"/>
      <c r="FW175" s="566"/>
      <c r="FX175" s="566"/>
      <c r="FY175" s="566"/>
      <c r="FZ175" s="563"/>
      <c r="GA175" s="564"/>
      <c r="GB175" s="564"/>
      <c r="GC175" s="564"/>
      <c r="GD175" s="560"/>
      <c r="GE175" s="566"/>
      <c r="GF175" s="566"/>
      <c r="GG175" s="566"/>
      <c r="GH175" s="563"/>
      <c r="GI175" s="564"/>
      <c r="GJ175" s="564"/>
      <c r="GK175" s="564"/>
      <c r="GL175" s="560"/>
      <c r="GM175" s="566"/>
      <c r="GN175" s="566"/>
      <c r="GO175" s="566"/>
      <c r="GP175" s="563"/>
      <c r="GQ175" s="564"/>
      <c r="GR175" s="564"/>
      <c r="GS175" s="564"/>
      <c r="GT175" s="560"/>
      <c r="GU175" s="566"/>
      <c r="GV175" s="566"/>
      <c r="GW175" s="566"/>
      <c r="GX175" s="563"/>
      <c r="GY175" s="564"/>
      <c r="GZ175" s="564"/>
      <c r="HA175" s="590"/>
      <c r="HB175" s="560"/>
      <c r="HC175" s="566"/>
      <c r="HD175" s="566"/>
      <c r="HE175" s="566"/>
      <c r="HF175" s="563"/>
      <c r="HG175" s="564"/>
      <c r="HH175" s="564"/>
      <c r="HI175" s="590"/>
      <c r="HJ175" s="560"/>
      <c r="HK175" s="566"/>
      <c r="HL175" s="566"/>
      <c r="HM175" s="566"/>
      <c r="HN175" s="563"/>
      <c r="HO175" s="564"/>
      <c r="HP175" s="564"/>
      <c r="HQ175" s="590"/>
      <c r="HR175" s="560"/>
      <c r="HS175" s="566"/>
      <c r="HT175" s="566"/>
      <c r="HU175" s="566"/>
    </row>
    <row r="176" spans="1:229" s="506" customFormat="1" ht="59.15" customHeight="1" x14ac:dyDescent="0.35">
      <c r="B176" s="544">
        <v>173</v>
      </c>
      <c r="C176" s="544"/>
      <c r="D176" s="544" t="s">
        <v>44</v>
      </c>
      <c r="E176" s="545" t="s">
        <v>702</v>
      </c>
      <c r="F176" s="546" t="s">
        <v>46</v>
      </c>
      <c r="G176" s="546" t="s">
        <v>46</v>
      </c>
      <c r="H176" s="547" t="s">
        <v>703</v>
      </c>
      <c r="I176" s="548"/>
      <c r="J176" s="548"/>
      <c r="K176" s="568"/>
      <c r="L176" s="549"/>
      <c r="M176" s="569" t="s">
        <v>48</v>
      </c>
      <c r="N176" s="551">
        <v>0</v>
      </c>
      <c r="O176" s="552">
        <v>154</v>
      </c>
      <c r="P176" s="553">
        <v>46049</v>
      </c>
      <c r="Q176" s="553"/>
      <c r="R176" s="554" t="s">
        <v>49</v>
      </c>
      <c r="S176" s="555">
        <f ca="1">IF(R176="Aprobado con comentarios / Emitir en Rev_0", NETWORKDAYS(Q176,TODAY(),Hoja1!$C$3:$C$25),0)</f>
        <v>0</v>
      </c>
      <c r="T176" s="555">
        <f ca="1">IF(R176="Revisión INN",NETWORKDAYS(P176,TODAY(),Hoja1!$C$3:$C$25),0)</f>
        <v>0</v>
      </c>
      <c r="U176" s="556">
        <f t="shared" si="5"/>
        <v>1</v>
      </c>
      <c r="V176" s="557">
        <v>0</v>
      </c>
      <c r="W176" s="558">
        <v>154</v>
      </c>
      <c r="X176" s="592"/>
      <c r="Y176" s="559">
        <v>46049</v>
      </c>
      <c r="Z176" s="560"/>
      <c r="AA176" s="561"/>
      <c r="AB176" s="562"/>
      <c r="AC176" s="561"/>
      <c r="AD176" s="563"/>
      <c r="AE176" s="567"/>
      <c r="AF176" s="564"/>
      <c r="AG176" s="565"/>
      <c r="AH176" s="560"/>
      <c r="AI176" s="561"/>
      <c r="AJ176" s="562"/>
      <c r="AK176" s="561"/>
      <c r="AL176" s="563"/>
      <c r="AM176" s="567"/>
      <c r="AN176" s="564"/>
      <c r="AO176" s="565"/>
      <c r="AP176" s="560"/>
      <c r="AQ176" s="561"/>
      <c r="AR176" s="562"/>
      <c r="AS176" s="561"/>
      <c r="AT176" s="563"/>
      <c r="AU176" s="567"/>
      <c r="AV176" s="564"/>
      <c r="AW176" s="565"/>
      <c r="AX176" s="560"/>
      <c r="AY176" s="561"/>
      <c r="AZ176" s="562"/>
      <c r="BA176" s="561"/>
      <c r="BB176" s="563"/>
      <c r="BC176" s="567"/>
      <c r="BD176" s="564"/>
      <c r="BE176" s="565"/>
      <c r="BF176" s="560"/>
      <c r="BG176" s="560"/>
      <c r="BH176" s="560"/>
      <c r="BI176" s="560"/>
      <c r="BJ176" s="563"/>
      <c r="BK176" s="567"/>
      <c r="BL176" s="564"/>
      <c r="BM176" s="565"/>
      <c r="BN176" s="560"/>
      <c r="BO176" s="561"/>
      <c r="BP176" s="562"/>
      <c r="BQ176" s="561"/>
      <c r="BR176" s="563"/>
      <c r="BS176" s="567"/>
      <c r="BT176" s="564"/>
      <c r="BU176" s="565"/>
      <c r="BV176" s="560"/>
      <c r="BW176" s="561"/>
      <c r="BX176" s="562"/>
      <c r="BY176" s="561"/>
      <c r="BZ176" s="563"/>
      <c r="CA176" s="567"/>
      <c r="CB176" s="564"/>
      <c r="CC176" s="565"/>
      <c r="CD176" s="560"/>
      <c r="CE176" s="561"/>
      <c r="CF176" s="562"/>
      <c r="CG176" s="561"/>
      <c r="CH176" s="563"/>
      <c r="CI176" s="564"/>
      <c r="CJ176" s="564"/>
      <c r="CK176" s="590"/>
      <c r="CL176" s="560"/>
      <c r="CM176" s="561"/>
      <c r="CN176" s="562"/>
      <c r="CO176" s="561"/>
      <c r="CP176" s="563"/>
      <c r="CQ176" s="564"/>
      <c r="CR176" s="564"/>
      <c r="CS176" s="564"/>
      <c r="CT176" s="560"/>
      <c r="CU176" s="561"/>
      <c r="CV176" s="562"/>
      <c r="CW176" s="561"/>
      <c r="CX176" s="563"/>
      <c r="CY176" s="564"/>
      <c r="CZ176" s="564"/>
      <c r="DA176" s="564"/>
      <c r="DB176" s="560"/>
      <c r="DC176" s="561"/>
      <c r="DD176" s="562"/>
      <c r="DE176" s="561"/>
      <c r="DF176" s="563"/>
      <c r="DG176" s="564"/>
      <c r="DH176" s="564"/>
      <c r="DI176" s="564"/>
      <c r="DJ176" s="560"/>
      <c r="DK176" s="561"/>
      <c r="DL176" s="562"/>
      <c r="DM176" s="561"/>
      <c r="DN176" s="563"/>
      <c r="DO176" s="564"/>
      <c r="DP176" s="564"/>
      <c r="DQ176" s="564"/>
      <c r="DR176" s="560"/>
      <c r="DS176" s="561"/>
      <c r="DT176" s="562"/>
      <c r="DU176" s="561"/>
      <c r="DV176" s="563"/>
      <c r="DW176" s="564"/>
      <c r="DX176" s="564"/>
      <c r="DY176" s="564"/>
      <c r="DZ176" s="560"/>
      <c r="EA176" s="561"/>
      <c r="EB176" s="562"/>
      <c r="EC176" s="561"/>
      <c r="ED176" s="563"/>
      <c r="EE176" s="564"/>
      <c r="EF176" s="564"/>
      <c r="EG176" s="564"/>
      <c r="EH176" s="560"/>
      <c r="EI176" s="561"/>
      <c r="EJ176" s="562"/>
      <c r="EK176" s="561"/>
      <c r="EL176" s="563"/>
      <c r="EM176" s="564"/>
      <c r="EN176" s="564"/>
      <c r="EO176" s="564"/>
      <c r="EP176" s="560"/>
      <c r="EQ176" s="561"/>
      <c r="ER176" s="562"/>
      <c r="ES176" s="561"/>
      <c r="ET176" s="563"/>
      <c r="EU176" s="564"/>
      <c r="EV176" s="564"/>
      <c r="EW176" s="564"/>
      <c r="EX176" s="560"/>
      <c r="EY176" s="561"/>
      <c r="EZ176" s="562"/>
      <c r="FA176" s="561"/>
      <c r="FB176" s="563"/>
      <c r="FC176" s="564"/>
      <c r="FD176" s="564"/>
      <c r="FE176" s="564"/>
      <c r="FF176" s="560"/>
      <c r="FG176" s="561"/>
      <c r="FH176" s="562"/>
      <c r="FI176" s="561"/>
      <c r="FJ176" s="563"/>
      <c r="FK176" s="564"/>
      <c r="FL176" s="564"/>
      <c r="FM176" s="564"/>
      <c r="FN176" s="560"/>
      <c r="FO176" s="561"/>
      <c r="FP176" s="562"/>
      <c r="FQ176" s="561"/>
      <c r="FR176" s="563"/>
      <c r="FS176" s="564"/>
      <c r="FT176" s="564"/>
      <c r="FU176" s="564"/>
      <c r="FV176" s="560"/>
      <c r="FW176" s="566"/>
      <c r="FX176" s="566"/>
      <c r="FY176" s="566"/>
      <c r="FZ176" s="563"/>
      <c r="GA176" s="564"/>
      <c r="GB176" s="564"/>
      <c r="GC176" s="564"/>
      <c r="GD176" s="560"/>
      <c r="GE176" s="566"/>
      <c r="GF176" s="566"/>
      <c r="GG176" s="566"/>
      <c r="GH176" s="563"/>
      <c r="GI176" s="564"/>
      <c r="GJ176" s="564"/>
      <c r="GK176" s="564"/>
      <c r="GL176" s="560"/>
      <c r="GM176" s="566"/>
      <c r="GN176" s="566"/>
      <c r="GO176" s="566"/>
      <c r="GP176" s="563"/>
      <c r="GQ176" s="564"/>
      <c r="GR176" s="564"/>
      <c r="GS176" s="564"/>
      <c r="GT176" s="560"/>
      <c r="GU176" s="566"/>
      <c r="GV176" s="566"/>
      <c r="GW176" s="566"/>
      <c r="GX176" s="563"/>
      <c r="GY176" s="564"/>
      <c r="GZ176" s="564"/>
      <c r="HA176" s="590"/>
      <c r="HB176" s="560"/>
      <c r="HC176" s="566"/>
      <c r="HD176" s="566"/>
      <c r="HE176" s="566"/>
      <c r="HF176" s="563"/>
      <c r="HG176" s="564"/>
      <c r="HH176" s="564"/>
      <c r="HI176" s="590"/>
      <c r="HJ176" s="560"/>
      <c r="HK176" s="566"/>
      <c r="HL176" s="566"/>
      <c r="HM176" s="566"/>
      <c r="HN176" s="563"/>
      <c r="HO176" s="564"/>
      <c r="HP176" s="564"/>
      <c r="HQ176" s="590"/>
      <c r="HR176" s="560"/>
      <c r="HS176" s="566"/>
      <c r="HT176" s="566"/>
      <c r="HU176" s="566"/>
    </row>
    <row r="177" spans="2:211" s="506" customFormat="1" ht="153.65" customHeight="1" x14ac:dyDescent="0.35">
      <c r="B177" s="544">
        <v>174</v>
      </c>
      <c r="C177" s="544"/>
      <c r="D177" s="545" t="s">
        <v>44</v>
      </c>
      <c r="E177" s="546" t="s">
        <v>704</v>
      </c>
      <c r="F177" s="546" t="s">
        <v>46</v>
      </c>
      <c r="G177" s="546" t="s">
        <v>46</v>
      </c>
      <c r="H177" s="547" t="s">
        <v>705</v>
      </c>
      <c r="I177" s="548"/>
      <c r="J177" s="548"/>
      <c r="K177" s="568"/>
      <c r="L177" s="549"/>
      <c r="M177" s="569" t="s">
        <v>102</v>
      </c>
      <c r="N177" s="551">
        <v>0</v>
      </c>
      <c r="O177" s="552">
        <v>207</v>
      </c>
      <c r="P177" s="553">
        <v>46086</v>
      </c>
      <c r="Q177" s="553"/>
      <c r="R177" s="554" t="s">
        <v>73</v>
      </c>
      <c r="S177" s="555">
        <f ca="1">IF(R177="Aprobado con comentarios / Emitir Rev_B", NETWORKDAYS(Q177,TODAY(),Hoja1!$C$3:$C$25),0)</f>
        <v>0</v>
      </c>
      <c r="T177" s="555">
        <f ca="1">IF(R177="Revisión INN",NETWORKDAYS(P177,TODAY(),Hoja1!$C$3:$C$25),0)</f>
        <v>0</v>
      </c>
      <c r="U177" s="556">
        <f t="shared" si="5"/>
        <v>1</v>
      </c>
      <c r="V177" s="601">
        <v>0</v>
      </c>
      <c r="W177" s="602">
        <v>207</v>
      </c>
      <c r="X177" s="592"/>
      <c r="Y177" s="596">
        <v>46086</v>
      </c>
      <c r="Z177" s="560"/>
      <c r="AA177" s="561"/>
      <c r="AB177" s="562"/>
      <c r="AC177" s="561"/>
      <c r="AD177" s="563"/>
      <c r="AE177" s="567"/>
      <c r="AF177" s="564"/>
      <c r="AG177" s="565"/>
      <c r="AH177" s="560"/>
      <c r="AI177" s="561"/>
      <c r="AJ177" s="562"/>
      <c r="AK177" s="561"/>
      <c r="AL177" s="563"/>
      <c r="AM177" s="567"/>
      <c r="AN177" s="564"/>
      <c r="AO177" s="565"/>
      <c r="AP177" s="560"/>
      <c r="AQ177" s="561"/>
      <c r="AR177" s="562"/>
      <c r="AS177" s="561"/>
      <c r="AT177" s="563"/>
      <c r="AU177" s="567"/>
      <c r="AV177" s="564"/>
      <c r="AW177" s="565"/>
      <c r="AX177" s="560"/>
      <c r="AY177" s="561"/>
      <c r="AZ177" s="562"/>
      <c r="BA177" s="561"/>
      <c r="BB177" s="563"/>
      <c r="BC177" s="567"/>
      <c r="BD177" s="564"/>
      <c r="BE177" s="565"/>
      <c r="BF177" s="560"/>
      <c r="BG177" s="560"/>
      <c r="BH177" s="560"/>
      <c r="BI177" s="560"/>
      <c r="BJ177" s="563"/>
      <c r="BK177" s="567"/>
      <c r="BL177" s="564"/>
      <c r="BM177" s="565"/>
      <c r="BN177" s="560"/>
      <c r="BO177" s="561"/>
      <c r="BP177" s="562"/>
      <c r="BQ177" s="561"/>
      <c r="BR177" s="563"/>
      <c r="BS177" s="567"/>
      <c r="BT177" s="564"/>
      <c r="BU177" s="565"/>
      <c r="BV177" s="560"/>
      <c r="BW177" s="561"/>
      <c r="BX177" s="562"/>
      <c r="BY177" s="561"/>
      <c r="BZ177" s="563"/>
      <c r="CA177" s="567"/>
      <c r="CB177" s="564"/>
      <c r="CC177" s="565"/>
      <c r="CD177" s="560"/>
      <c r="CE177" s="561"/>
      <c r="CF177" s="562"/>
      <c r="CG177" s="561"/>
      <c r="CH177" s="563"/>
      <c r="CI177" s="564"/>
      <c r="CJ177" s="564"/>
      <c r="CK177" s="590"/>
      <c r="CL177" s="560"/>
      <c r="CM177" s="561"/>
      <c r="CN177" s="562"/>
      <c r="CO177" s="561"/>
      <c r="CP177" s="563"/>
      <c r="CQ177" s="564"/>
      <c r="CR177" s="564"/>
      <c r="CS177" s="564"/>
      <c r="CT177" s="560"/>
      <c r="CU177" s="561"/>
      <c r="CV177" s="562"/>
      <c r="CW177" s="561"/>
      <c r="CX177" s="563"/>
      <c r="CY177" s="564"/>
      <c r="CZ177" s="564"/>
      <c r="DA177" s="564"/>
      <c r="DB177" s="560"/>
      <c r="DC177" s="561"/>
      <c r="DD177" s="562"/>
      <c r="DE177" s="561"/>
      <c r="DF177" s="563"/>
      <c r="DG177" s="564"/>
      <c r="DH177" s="564"/>
      <c r="DI177" s="564"/>
      <c r="DJ177" s="560"/>
      <c r="DK177" s="561"/>
      <c r="DL177" s="562"/>
      <c r="DM177" s="561"/>
      <c r="DN177" s="563"/>
      <c r="DO177" s="564"/>
      <c r="DP177" s="564"/>
      <c r="DQ177" s="564"/>
      <c r="DR177" s="560"/>
      <c r="DS177" s="561"/>
      <c r="DT177" s="562"/>
      <c r="DU177" s="561"/>
      <c r="DV177" s="563"/>
      <c r="DW177" s="564"/>
      <c r="DX177" s="564"/>
      <c r="DY177" s="564"/>
      <c r="DZ177" s="560"/>
      <c r="EA177" s="561"/>
      <c r="EB177" s="562"/>
      <c r="EC177" s="561"/>
      <c r="ED177" s="563"/>
      <c r="EE177" s="564"/>
      <c r="EF177" s="564"/>
      <c r="EG177" s="564"/>
      <c r="EH177" s="560"/>
      <c r="EI177" s="561"/>
      <c r="EJ177" s="562"/>
      <c r="EK177" s="561"/>
      <c r="EL177" s="563"/>
      <c r="EM177" s="564"/>
      <c r="EN177" s="564"/>
      <c r="EO177" s="564"/>
      <c r="EP177" s="560"/>
      <c r="EQ177" s="561"/>
      <c r="ER177" s="562"/>
      <c r="ES177" s="561"/>
      <c r="ET177" s="563"/>
      <c r="EU177" s="564"/>
      <c r="EV177" s="564"/>
      <c r="EW177" s="564"/>
      <c r="EX177" s="560"/>
      <c r="EY177" s="561"/>
      <c r="EZ177" s="562"/>
      <c r="FA177" s="561"/>
      <c r="FB177" s="563"/>
      <c r="FC177" s="564"/>
      <c r="FD177" s="564"/>
      <c r="FE177" s="564"/>
      <c r="FF177" s="560"/>
      <c r="FG177" s="561"/>
      <c r="FH177" s="562"/>
      <c r="FI177" s="561"/>
      <c r="FJ177" s="563"/>
      <c r="FK177" s="564"/>
      <c r="FL177" s="564"/>
      <c r="FM177" s="564"/>
      <c r="FN177" s="560"/>
      <c r="FO177" s="561"/>
      <c r="FP177" s="562"/>
      <c r="FQ177" s="561"/>
      <c r="FR177" s="563"/>
      <c r="FS177" s="564"/>
      <c r="FT177" s="564"/>
      <c r="FU177" s="564"/>
      <c r="FV177" s="560"/>
      <c r="FW177" s="566"/>
      <c r="FX177" s="566"/>
      <c r="FY177" s="566"/>
      <c r="FZ177" s="563"/>
      <c r="GA177" s="564"/>
      <c r="GB177" s="564"/>
      <c r="GC177" s="564"/>
      <c r="GD177" s="560"/>
      <c r="GE177" s="566"/>
      <c r="GF177" s="566"/>
      <c r="GG177" s="566"/>
      <c r="GH177" s="563"/>
      <c r="GI177" s="564"/>
      <c r="GJ177" s="564"/>
      <c r="GK177" s="564"/>
      <c r="GL177" s="560"/>
      <c r="GM177" s="566"/>
      <c r="GN177" s="566"/>
      <c r="GO177" s="566"/>
      <c r="GP177" s="563"/>
      <c r="GQ177" s="564"/>
      <c r="GR177" s="564"/>
      <c r="GS177" s="564"/>
      <c r="GT177" s="560"/>
      <c r="GU177" s="566"/>
      <c r="GV177" s="566"/>
      <c r="GW177" s="566"/>
      <c r="GX177" s="625"/>
      <c r="GY177" s="625"/>
      <c r="GZ177" s="625"/>
      <c r="HA177" s="625"/>
      <c r="HB177" s="625"/>
      <c r="HC177" s="625"/>
    </row>
    <row r="178" spans="2:211" s="506" customFormat="1" ht="36" customHeight="1" x14ac:dyDescent="0.35">
      <c r="B178" s="544">
        <v>175</v>
      </c>
      <c r="C178" s="544"/>
      <c r="D178" s="545" t="s">
        <v>44</v>
      </c>
      <c r="E178" s="546" t="s">
        <v>706</v>
      </c>
      <c r="F178" s="546" t="s">
        <v>46</v>
      </c>
      <c r="G178" s="546" t="s">
        <v>46</v>
      </c>
      <c r="H178" s="547" t="s">
        <v>707</v>
      </c>
      <c r="I178" s="548"/>
      <c r="J178" s="548"/>
      <c r="K178" s="568"/>
      <c r="L178" s="549"/>
      <c r="M178" s="569" t="s">
        <v>102</v>
      </c>
      <c r="N178" s="551">
        <v>0</v>
      </c>
      <c r="O178" s="552">
        <v>237</v>
      </c>
      <c r="P178" s="553">
        <v>46105</v>
      </c>
      <c r="Q178" s="553"/>
      <c r="R178" s="554" t="s">
        <v>73</v>
      </c>
      <c r="S178" s="555">
        <f ca="1">IF(R178="Aprobado con comentarios / Emitir Rev_B", NETWORKDAYS(Q178,TODAY(),Hoja1!$C$3:$C$25),0)</f>
        <v>0</v>
      </c>
      <c r="T178" s="555">
        <f ca="1">IF(R178="Revisión INN",NETWORKDAYS(P178,TODAY(),Hoja1!$C$3:$C$25),0)</f>
        <v>0</v>
      </c>
      <c r="U178" s="556">
        <f t="shared" ref="U178:U185" si="6">ROUNDUP(((COUNTA(V178:GW178)/4)/2),0)</f>
        <v>1</v>
      </c>
      <c r="V178" s="601">
        <v>0</v>
      </c>
      <c r="W178" s="602">
        <v>237</v>
      </c>
      <c r="X178" s="592"/>
      <c r="Y178" s="596">
        <v>46105</v>
      </c>
      <c r="Z178" s="560"/>
      <c r="AA178" s="561"/>
      <c r="AB178" s="562"/>
      <c r="AC178" s="561"/>
      <c r="AD178" s="563"/>
      <c r="AE178" s="567"/>
      <c r="AF178" s="564"/>
      <c r="AG178" s="565"/>
      <c r="AH178" s="560"/>
      <c r="AI178" s="561"/>
      <c r="AJ178" s="562"/>
      <c r="AK178" s="561"/>
      <c r="AL178" s="563"/>
      <c r="AM178" s="567"/>
      <c r="AN178" s="564"/>
      <c r="AO178" s="565"/>
      <c r="AP178" s="560"/>
      <c r="AQ178" s="561"/>
      <c r="AR178" s="562"/>
      <c r="AS178" s="561"/>
      <c r="AT178" s="563"/>
      <c r="AU178" s="567"/>
      <c r="AV178" s="564"/>
      <c r="AW178" s="565"/>
      <c r="AX178" s="560"/>
      <c r="AY178" s="561"/>
      <c r="AZ178" s="562"/>
      <c r="BA178" s="561"/>
      <c r="BB178" s="563"/>
      <c r="BC178" s="567"/>
      <c r="BD178" s="564"/>
      <c r="BE178" s="565"/>
      <c r="BF178" s="560"/>
      <c r="BG178" s="560"/>
      <c r="BH178" s="560"/>
      <c r="BI178" s="560"/>
      <c r="BJ178" s="563"/>
      <c r="BK178" s="567"/>
      <c r="BL178" s="564"/>
      <c r="BM178" s="565"/>
      <c r="BN178" s="560"/>
      <c r="BO178" s="561"/>
      <c r="BP178" s="562"/>
      <c r="BQ178" s="561"/>
      <c r="BR178" s="563"/>
      <c r="BS178" s="567"/>
      <c r="BT178" s="564"/>
      <c r="BU178" s="565"/>
      <c r="BV178" s="560"/>
      <c r="BW178" s="561"/>
      <c r="BX178" s="562"/>
      <c r="BY178" s="561"/>
      <c r="BZ178" s="563"/>
      <c r="CA178" s="567"/>
      <c r="CB178" s="564"/>
      <c r="CC178" s="565"/>
      <c r="CD178" s="560"/>
      <c r="CE178" s="561"/>
      <c r="CF178" s="562"/>
      <c r="CG178" s="561"/>
      <c r="CH178" s="563"/>
      <c r="CI178" s="564"/>
      <c r="CJ178" s="564"/>
      <c r="CK178" s="590"/>
      <c r="CL178" s="560"/>
      <c r="CM178" s="561"/>
      <c r="CN178" s="562"/>
      <c r="CO178" s="561"/>
      <c r="CP178" s="563"/>
      <c r="CQ178" s="564"/>
      <c r="CR178" s="564"/>
      <c r="CS178" s="564"/>
      <c r="CT178" s="560"/>
      <c r="CU178" s="561"/>
      <c r="CV178" s="562"/>
      <c r="CW178" s="561"/>
      <c r="CX178" s="563"/>
      <c r="CY178" s="564"/>
      <c r="CZ178" s="564"/>
      <c r="DA178" s="564"/>
      <c r="DB178" s="560"/>
      <c r="DC178" s="561"/>
      <c r="DD178" s="562"/>
      <c r="DE178" s="561"/>
      <c r="DF178" s="563"/>
      <c r="DG178" s="564"/>
      <c r="DH178" s="564"/>
      <c r="DI178" s="564"/>
      <c r="DJ178" s="560"/>
      <c r="DK178" s="561"/>
      <c r="DL178" s="562"/>
      <c r="DM178" s="561"/>
      <c r="DN178" s="563"/>
      <c r="DO178" s="564"/>
      <c r="DP178" s="564"/>
      <c r="DQ178" s="564"/>
      <c r="DR178" s="560"/>
      <c r="DS178" s="561"/>
      <c r="DT178" s="562"/>
      <c r="DU178" s="561"/>
      <c r="DV178" s="563"/>
      <c r="DW178" s="564"/>
      <c r="DX178" s="564"/>
      <c r="DY178" s="564"/>
      <c r="DZ178" s="560"/>
      <c r="EA178" s="561"/>
      <c r="EB178" s="562"/>
      <c r="EC178" s="561"/>
      <c r="ED178" s="563"/>
      <c r="EE178" s="564"/>
      <c r="EF178" s="564"/>
      <c r="EG178" s="564"/>
      <c r="EH178" s="560"/>
      <c r="EI178" s="561"/>
      <c r="EJ178" s="562"/>
      <c r="EK178" s="561"/>
      <c r="EL178" s="563"/>
      <c r="EM178" s="564"/>
      <c r="EN178" s="564"/>
      <c r="EO178" s="564"/>
      <c r="EP178" s="560"/>
      <c r="EQ178" s="561"/>
      <c r="ER178" s="562"/>
      <c r="ES178" s="561"/>
      <c r="ET178" s="563"/>
      <c r="EU178" s="564"/>
      <c r="EV178" s="564"/>
      <c r="EW178" s="564"/>
      <c r="EX178" s="560"/>
      <c r="EY178" s="561"/>
      <c r="EZ178" s="562"/>
      <c r="FA178" s="561"/>
      <c r="FB178" s="563"/>
      <c r="FC178" s="564"/>
      <c r="FD178" s="564"/>
      <c r="FE178" s="564"/>
      <c r="FF178" s="560"/>
      <c r="FG178" s="561"/>
      <c r="FH178" s="562"/>
      <c r="FI178" s="561"/>
      <c r="FJ178" s="563"/>
      <c r="FK178" s="564"/>
      <c r="FL178" s="564"/>
      <c r="FM178" s="564"/>
      <c r="FN178" s="560"/>
      <c r="FO178" s="561"/>
      <c r="FP178" s="562"/>
      <c r="FQ178" s="561"/>
      <c r="FR178" s="563"/>
      <c r="FS178" s="564"/>
      <c r="FT178" s="564"/>
      <c r="FU178" s="564"/>
      <c r="FV178" s="560"/>
      <c r="FW178" s="566"/>
      <c r="FX178" s="566"/>
      <c r="FY178" s="566"/>
      <c r="FZ178" s="563"/>
      <c r="GA178" s="564"/>
      <c r="GB178" s="564"/>
      <c r="GC178" s="564"/>
      <c r="GD178" s="560"/>
      <c r="GE178" s="566"/>
      <c r="GF178" s="566"/>
      <c r="GG178" s="566"/>
      <c r="GH178" s="563"/>
      <c r="GI178" s="564"/>
      <c r="GJ178" s="564"/>
      <c r="GK178" s="564"/>
      <c r="GL178" s="560"/>
      <c r="GM178" s="566"/>
      <c r="GN178" s="566"/>
      <c r="GO178" s="566"/>
      <c r="GP178" s="563"/>
      <c r="GQ178" s="564"/>
      <c r="GR178" s="564"/>
      <c r="GS178" s="564"/>
      <c r="GT178" s="560"/>
      <c r="GU178" s="566"/>
      <c r="GV178" s="566"/>
      <c r="GW178" s="566"/>
      <c r="GX178" s="625"/>
      <c r="GY178" s="625"/>
      <c r="GZ178" s="625"/>
      <c r="HA178" s="625"/>
      <c r="HB178" s="625"/>
      <c r="HC178" s="625"/>
    </row>
    <row r="179" spans="2:211" s="506" customFormat="1" ht="43.5" customHeight="1" x14ac:dyDescent="0.35">
      <c r="B179" s="544">
        <v>176</v>
      </c>
      <c r="C179" s="544"/>
      <c r="D179" s="545" t="s">
        <v>44</v>
      </c>
      <c r="E179" s="546" t="s">
        <v>708</v>
      </c>
      <c r="F179" s="546" t="s">
        <v>46</v>
      </c>
      <c r="G179" s="546"/>
      <c r="H179" s="547" t="s">
        <v>709</v>
      </c>
      <c r="I179" s="548"/>
      <c r="J179" s="548"/>
      <c r="K179" s="568"/>
      <c r="L179" s="549"/>
      <c r="M179" s="569" t="s">
        <v>102</v>
      </c>
      <c r="N179" s="551">
        <v>0</v>
      </c>
      <c r="O179" s="552">
        <v>239</v>
      </c>
      <c r="P179" s="553">
        <v>46106</v>
      </c>
      <c r="Q179" s="553"/>
      <c r="R179" s="554" t="s">
        <v>73</v>
      </c>
      <c r="S179" s="555">
        <f ca="1">IF(R179="Aprobado con comentarios / Emitir Rev_B", NETWORKDAYS(Q179,TODAY(),Hoja1!$C$3:$C$25),0)</f>
        <v>0</v>
      </c>
      <c r="T179" s="555">
        <f ca="1">IF(R179="Revisión INN",NETWORKDAYS(P179,TODAY(),Hoja1!$C$3:$C$25),0)</f>
        <v>0</v>
      </c>
      <c r="U179" s="556">
        <f t="shared" si="6"/>
        <v>1</v>
      </c>
      <c r="V179" s="601">
        <v>0</v>
      </c>
      <c r="W179" s="602">
        <v>239</v>
      </c>
      <c r="X179" s="592"/>
      <c r="Y179" s="596">
        <v>46106</v>
      </c>
      <c r="Z179" s="560"/>
      <c r="AA179" s="561"/>
      <c r="AB179" s="562"/>
      <c r="AC179" s="561"/>
      <c r="AD179" s="563"/>
      <c r="AE179" s="567"/>
      <c r="AF179" s="564"/>
      <c r="AG179" s="565"/>
      <c r="AH179" s="560"/>
      <c r="AI179" s="561"/>
      <c r="AJ179" s="562"/>
      <c r="AK179" s="561"/>
      <c r="AL179" s="563"/>
      <c r="AM179" s="567"/>
      <c r="AN179" s="564"/>
      <c r="AO179" s="565"/>
      <c r="AP179" s="560"/>
      <c r="AQ179" s="561"/>
      <c r="AR179" s="562"/>
      <c r="AS179" s="561"/>
      <c r="AT179" s="563"/>
      <c r="AU179" s="567"/>
      <c r="AV179" s="564"/>
      <c r="AW179" s="565"/>
      <c r="AX179" s="560"/>
      <c r="AY179" s="561"/>
      <c r="AZ179" s="562"/>
      <c r="BA179" s="561"/>
      <c r="BB179" s="563"/>
      <c r="BC179" s="567"/>
      <c r="BD179" s="564"/>
      <c r="BE179" s="565"/>
      <c r="BF179" s="560"/>
      <c r="BG179" s="560"/>
      <c r="BH179" s="560"/>
      <c r="BI179" s="560"/>
      <c r="BJ179" s="563"/>
      <c r="BK179" s="567"/>
      <c r="BL179" s="564"/>
      <c r="BM179" s="565"/>
      <c r="BN179" s="560"/>
      <c r="BO179" s="561"/>
      <c r="BP179" s="562"/>
      <c r="BQ179" s="561"/>
      <c r="BR179" s="563"/>
      <c r="BS179" s="567"/>
      <c r="BT179" s="564"/>
      <c r="BU179" s="565"/>
      <c r="BV179" s="560"/>
      <c r="BW179" s="561"/>
      <c r="BX179" s="562"/>
      <c r="BY179" s="561"/>
      <c r="BZ179" s="563"/>
      <c r="CA179" s="567"/>
      <c r="CB179" s="564"/>
      <c r="CC179" s="565"/>
      <c r="CD179" s="560"/>
      <c r="CE179" s="561"/>
      <c r="CF179" s="562"/>
      <c r="CG179" s="561"/>
      <c r="CH179" s="563"/>
      <c r="CI179" s="564"/>
      <c r="CJ179" s="564"/>
      <c r="CK179" s="590"/>
      <c r="CL179" s="560"/>
      <c r="CM179" s="561"/>
      <c r="CN179" s="562"/>
      <c r="CO179" s="561"/>
      <c r="CP179" s="563"/>
      <c r="CQ179" s="564"/>
      <c r="CR179" s="564"/>
      <c r="CS179" s="564"/>
      <c r="CT179" s="560"/>
      <c r="CU179" s="561"/>
      <c r="CV179" s="562"/>
      <c r="CW179" s="561"/>
      <c r="CX179" s="563"/>
      <c r="CY179" s="564"/>
      <c r="CZ179" s="564"/>
      <c r="DA179" s="564"/>
      <c r="DB179" s="560"/>
      <c r="DC179" s="561"/>
      <c r="DD179" s="562"/>
      <c r="DE179" s="561"/>
      <c r="DF179" s="563"/>
      <c r="DG179" s="564"/>
      <c r="DH179" s="564"/>
      <c r="DI179" s="564"/>
      <c r="DJ179" s="560"/>
      <c r="DK179" s="561"/>
      <c r="DL179" s="562"/>
      <c r="DM179" s="561"/>
      <c r="DN179" s="563"/>
      <c r="DO179" s="564"/>
      <c r="DP179" s="564"/>
      <c r="DQ179" s="564"/>
      <c r="DR179" s="560"/>
      <c r="DS179" s="561"/>
      <c r="DT179" s="562"/>
      <c r="DU179" s="561"/>
      <c r="DV179" s="563"/>
      <c r="DW179" s="564"/>
      <c r="DX179" s="564"/>
      <c r="DY179" s="564"/>
      <c r="DZ179" s="560"/>
      <c r="EA179" s="561"/>
      <c r="EB179" s="562"/>
      <c r="EC179" s="561"/>
      <c r="ED179" s="563"/>
      <c r="EE179" s="564"/>
      <c r="EF179" s="564"/>
      <c r="EG179" s="564"/>
      <c r="EH179" s="560"/>
      <c r="EI179" s="561"/>
      <c r="EJ179" s="562"/>
      <c r="EK179" s="561"/>
      <c r="EL179" s="563"/>
      <c r="EM179" s="564"/>
      <c r="EN179" s="564"/>
      <c r="EO179" s="564"/>
      <c r="EP179" s="560"/>
      <c r="EQ179" s="561"/>
      <c r="ER179" s="562"/>
      <c r="ES179" s="561"/>
      <c r="ET179" s="563"/>
      <c r="EU179" s="564"/>
      <c r="EV179" s="564"/>
      <c r="EW179" s="564"/>
      <c r="EX179" s="560"/>
      <c r="EY179" s="561"/>
      <c r="EZ179" s="562"/>
      <c r="FA179" s="561"/>
      <c r="FB179" s="563"/>
      <c r="FC179" s="564"/>
      <c r="FD179" s="564"/>
      <c r="FE179" s="564"/>
      <c r="FF179" s="560"/>
      <c r="FG179" s="561"/>
      <c r="FH179" s="562"/>
      <c r="FI179" s="561"/>
      <c r="FJ179" s="563"/>
      <c r="FK179" s="564"/>
      <c r="FL179" s="564"/>
      <c r="FM179" s="564"/>
      <c r="FN179" s="560"/>
      <c r="FO179" s="561"/>
      <c r="FP179" s="562"/>
      <c r="FQ179" s="561"/>
      <c r="FR179" s="563"/>
      <c r="FS179" s="564"/>
      <c r="FT179" s="564"/>
      <c r="FU179" s="564"/>
      <c r="FV179" s="560"/>
      <c r="FW179" s="566"/>
      <c r="FX179" s="566"/>
      <c r="FY179" s="566"/>
      <c r="FZ179" s="563"/>
      <c r="GA179" s="564"/>
      <c r="GB179" s="564"/>
      <c r="GC179" s="564"/>
      <c r="GD179" s="560"/>
      <c r="GE179" s="566"/>
      <c r="GF179" s="566"/>
      <c r="GG179" s="566"/>
      <c r="GH179" s="563"/>
      <c r="GI179" s="564"/>
      <c r="GJ179" s="564"/>
      <c r="GK179" s="564"/>
      <c r="GL179" s="560"/>
      <c r="GM179" s="566"/>
      <c r="GN179" s="566"/>
      <c r="GO179" s="566"/>
      <c r="GP179" s="563"/>
      <c r="GQ179" s="564"/>
      <c r="GR179" s="564"/>
      <c r="GS179" s="564"/>
      <c r="GT179" s="560"/>
      <c r="GU179" s="566"/>
      <c r="GV179" s="566"/>
      <c r="GW179" s="566"/>
      <c r="GX179" s="625"/>
      <c r="GY179" s="625"/>
      <c r="GZ179" s="625"/>
      <c r="HA179" s="625"/>
      <c r="HB179" s="625"/>
      <c r="HC179" s="625"/>
    </row>
    <row r="180" spans="2:211" s="506" customFormat="1" ht="53.5" customHeight="1" x14ac:dyDescent="0.35">
      <c r="B180" s="544">
        <v>177</v>
      </c>
      <c r="C180" s="544"/>
      <c r="D180" s="545" t="s">
        <v>44</v>
      </c>
      <c r="E180" s="546" t="s">
        <v>710</v>
      </c>
      <c r="F180" s="546" t="s">
        <v>46</v>
      </c>
      <c r="G180" s="546" t="s">
        <v>46</v>
      </c>
      <c r="H180" s="547" t="s">
        <v>711</v>
      </c>
      <c r="I180" s="548"/>
      <c r="J180" s="548"/>
      <c r="K180" s="568"/>
      <c r="L180" s="549"/>
      <c r="M180" s="569" t="s">
        <v>102</v>
      </c>
      <c r="N180" s="551">
        <v>0</v>
      </c>
      <c r="O180" s="552">
        <v>222</v>
      </c>
      <c r="P180" s="553">
        <v>46098</v>
      </c>
      <c r="Q180" s="553"/>
      <c r="R180" s="554" t="s">
        <v>73</v>
      </c>
      <c r="S180" s="555">
        <f ca="1">IF(R180="Aprobado con comentarios / Emitir Rev_B", NETWORKDAYS(Q180,TODAY(),Hoja1!$C$3:$C$25),0)</f>
        <v>0</v>
      </c>
      <c r="T180" s="555">
        <f ca="1">IF(R180="Revisión INN",NETWORKDAYS(P180,TODAY(),Hoja1!$C$3:$C$25),0)</f>
        <v>0</v>
      </c>
      <c r="U180" s="556">
        <f t="shared" si="6"/>
        <v>1</v>
      </c>
      <c r="V180" s="601">
        <v>0</v>
      </c>
      <c r="W180" s="602">
        <v>222</v>
      </c>
      <c r="X180" s="592"/>
      <c r="Y180" s="596">
        <v>46098</v>
      </c>
      <c r="Z180" s="560"/>
      <c r="AA180" s="561"/>
      <c r="AB180" s="562"/>
      <c r="AC180" s="561"/>
      <c r="AD180" s="563"/>
      <c r="AE180" s="567"/>
      <c r="AF180" s="564"/>
      <c r="AG180" s="565"/>
      <c r="AH180" s="560"/>
      <c r="AI180" s="561"/>
      <c r="AJ180" s="562"/>
      <c r="AK180" s="561"/>
      <c r="AL180" s="563"/>
      <c r="AM180" s="567"/>
      <c r="AN180" s="564"/>
      <c r="AO180" s="565"/>
      <c r="AP180" s="560"/>
      <c r="AQ180" s="561"/>
      <c r="AR180" s="562"/>
      <c r="AS180" s="561"/>
      <c r="AT180" s="563"/>
      <c r="AU180" s="567"/>
      <c r="AV180" s="564"/>
      <c r="AW180" s="565"/>
      <c r="AX180" s="560"/>
      <c r="AY180" s="561"/>
      <c r="AZ180" s="562"/>
      <c r="BA180" s="561"/>
      <c r="BB180" s="563"/>
      <c r="BC180" s="567"/>
      <c r="BD180" s="564"/>
      <c r="BE180" s="565"/>
      <c r="BF180" s="560"/>
      <c r="BG180" s="560"/>
      <c r="BH180" s="560"/>
      <c r="BI180" s="560"/>
      <c r="BJ180" s="563"/>
      <c r="BK180" s="567"/>
      <c r="BL180" s="564"/>
      <c r="BM180" s="565"/>
      <c r="BN180" s="560"/>
      <c r="BO180" s="561"/>
      <c r="BP180" s="562"/>
      <c r="BQ180" s="561"/>
      <c r="BR180" s="563"/>
      <c r="BS180" s="567"/>
      <c r="BT180" s="564"/>
      <c r="BU180" s="565"/>
      <c r="BV180" s="560"/>
      <c r="BW180" s="561"/>
      <c r="BX180" s="562"/>
      <c r="BY180" s="561"/>
      <c r="BZ180" s="563"/>
      <c r="CA180" s="567"/>
      <c r="CB180" s="564"/>
      <c r="CC180" s="565"/>
      <c r="CD180" s="560"/>
      <c r="CE180" s="561"/>
      <c r="CF180" s="562"/>
      <c r="CG180" s="561"/>
      <c r="CH180" s="563"/>
      <c r="CI180" s="564"/>
      <c r="CJ180" s="564"/>
      <c r="CK180" s="590"/>
      <c r="CL180" s="560"/>
      <c r="CM180" s="561"/>
      <c r="CN180" s="562"/>
      <c r="CO180" s="561"/>
      <c r="CP180" s="563"/>
      <c r="CQ180" s="564"/>
      <c r="CR180" s="564"/>
      <c r="CS180" s="564"/>
      <c r="CT180" s="560"/>
      <c r="CU180" s="561"/>
      <c r="CV180" s="562"/>
      <c r="CW180" s="561"/>
      <c r="CX180" s="563"/>
      <c r="CY180" s="564"/>
      <c r="CZ180" s="564"/>
      <c r="DA180" s="564"/>
      <c r="DB180" s="560"/>
      <c r="DC180" s="561"/>
      <c r="DD180" s="562"/>
      <c r="DE180" s="561"/>
      <c r="DF180" s="563"/>
      <c r="DG180" s="564"/>
      <c r="DH180" s="564"/>
      <c r="DI180" s="564"/>
      <c r="DJ180" s="560"/>
      <c r="DK180" s="561"/>
      <c r="DL180" s="562"/>
      <c r="DM180" s="561"/>
      <c r="DN180" s="563"/>
      <c r="DO180" s="564"/>
      <c r="DP180" s="564"/>
      <c r="DQ180" s="564"/>
      <c r="DR180" s="560"/>
      <c r="DS180" s="561"/>
      <c r="DT180" s="562"/>
      <c r="DU180" s="561"/>
      <c r="DV180" s="563"/>
      <c r="DW180" s="564"/>
      <c r="DX180" s="564"/>
      <c r="DY180" s="564"/>
      <c r="DZ180" s="560"/>
      <c r="EA180" s="561"/>
      <c r="EB180" s="562"/>
      <c r="EC180" s="561"/>
      <c r="ED180" s="563"/>
      <c r="EE180" s="564"/>
      <c r="EF180" s="564"/>
      <c r="EG180" s="564"/>
      <c r="EH180" s="560"/>
      <c r="EI180" s="561"/>
      <c r="EJ180" s="562"/>
      <c r="EK180" s="561"/>
      <c r="EL180" s="563"/>
      <c r="EM180" s="564"/>
      <c r="EN180" s="564"/>
      <c r="EO180" s="564"/>
      <c r="EP180" s="560"/>
      <c r="EQ180" s="561"/>
      <c r="ER180" s="562"/>
      <c r="ES180" s="561"/>
      <c r="ET180" s="563"/>
      <c r="EU180" s="564"/>
      <c r="EV180" s="564"/>
      <c r="EW180" s="564"/>
      <c r="EX180" s="560"/>
      <c r="EY180" s="561"/>
      <c r="EZ180" s="562"/>
      <c r="FA180" s="561"/>
      <c r="FB180" s="563"/>
      <c r="FC180" s="564"/>
      <c r="FD180" s="564"/>
      <c r="FE180" s="564"/>
      <c r="FF180" s="560"/>
      <c r="FG180" s="561"/>
      <c r="FH180" s="562"/>
      <c r="FI180" s="561"/>
      <c r="FJ180" s="563"/>
      <c r="FK180" s="564"/>
      <c r="FL180" s="564"/>
      <c r="FM180" s="564"/>
      <c r="FN180" s="560"/>
      <c r="FO180" s="561"/>
      <c r="FP180" s="562"/>
      <c r="FQ180" s="561"/>
      <c r="FR180" s="563"/>
      <c r="FS180" s="564"/>
      <c r="FT180" s="564"/>
      <c r="FU180" s="564"/>
      <c r="FV180" s="560"/>
      <c r="FW180" s="566"/>
      <c r="FX180" s="566"/>
      <c r="FY180" s="566"/>
      <c r="FZ180" s="563"/>
      <c r="GA180" s="564"/>
      <c r="GB180" s="564"/>
      <c r="GC180" s="564"/>
      <c r="GD180" s="560"/>
      <c r="GE180" s="566"/>
      <c r="GF180" s="566"/>
      <c r="GG180" s="566"/>
      <c r="GH180" s="563"/>
      <c r="GI180" s="564"/>
      <c r="GJ180" s="564"/>
      <c r="GK180" s="564"/>
      <c r="GL180" s="560"/>
      <c r="GM180" s="566"/>
      <c r="GN180" s="566"/>
      <c r="GO180" s="566"/>
      <c r="GP180" s="563"/>
      <c r="GQ180" s="564"/>
      <c r="GR180" s="564"/>
      <c r="GS180" s="564"/>
      <c r="GT180" s="560"/>
      <c r="GU180" s="566"/>
      <c r="GV180" s="566"/>
      <c r="GW180" s="566"/>
      <c r="GX180" s="625"/>
      <c r="GY180" s="625"/>
      <c r="GZ180" s="625"/>
      <c r="HA180" s="625"/>
      <c r="HB180" s="625"/>
      <c r="HC180" s="625"/>
    </row>
    <row r="181" spans="2:211" s="506" customFormat="1" ht="53.5" customHeight="1" x14ac:dyDescent="0.35">
      <c r="B181" s="544">
        <v>178</v>
      </c>
      <c r="C181" s="544"/>
      <c r="D181" s="545" t="s">
        <v>44</v>
      </c>
      <c r="E181" s="546" t="s">
        <v>712</v>
      </c>
      <c r="F181" s="546" t="s">
        <v>46</v>
      </c>
      <c r="G181" s="546" t="s">
        <v>46</v>
      </c>
      <c r="H181" s="547" t="s">
        <v>713</v>
      </c>
      <c r="I181" s="548"/>
      <c r="J181" s="548"/>
      <c r="K181" s="568"/>
      <c r="L181" s="549"/>
      <c r="M181" s="569" t="s">
        <v>102</v>
      </c>
      <c r="N181" s="551">
        <v>0</v>
      </c>
      <c r="O181" s="552">
        <v>202</v>
      </c>
      <c r="P181" s="553">
        <v>46083</v>
      </c>
      <c r="Q181" s="553"/>
      <c r="R181" s="554" t="s">
        <v>73</v>
      </c>
      <c r="S181" s="555">
        <f ca="1">IF(R181="Aprobado con comentarios / Emitir Rev_B", NETWORKDAYS(Q181,TODAY(),Hoja1!$C$3:$C$25),0)</f>
        <v>0</v>
      </c>
      <c r="T181" s="555">
        <f ca="1">IF(R181="Revisión INN",NETWORKDAYS(P181,TODAY(),Hoja1!$C$3:$C$25),0)</f>
        <v>0</v>
      </c>
      <c r="U181" s="556">
        <f t="shared" si="6"/>
        <v>1</v>
      </c>
      <c r="V181" s="601">
        <v>0</v>
      </c>
      <c r="W181" s="602">
        <v>202</v>
      </c>
      <c r="X181" s="592"/>
      <c r="Y181" s="596">
        <v>46083</v>
      </c>
      <c r="Z181" s="560"/>
      <c r="AA181" s="561"/>
      <c r="AB181" s="562"/>
      <c r="AC181" s="561"/>
      <c r="AD181" s="563"/>
      <c r="AE181" s="567"/>
      <c r="AF181" s="564"/>
      <c r="AG181" s="565"/>
      <c r="AH181" s="560"/>
      <c r="AI181" s="561"/>
      <c r="AJ181" s="562"/>
      <c r="AK181" s="561"/>
      <c r="AL181" s="563"/>
      <c r="AM181" s="567"/>
      <c r="AN181" s="564"/>
      <c r="AO181" s="565"/>
      <c r="AP181" s="560"/>
      <c r="AQ181" s="561"/>
      <c r="AR181" s="562"/>
      <c r="AS181" s="561"/>
      <c r="AT181" s="563"/>
      <c r="AU181" s="567"/>
      <c r="AV181" s="564"/>
      <c r="AW181" s="565"/>
      <c r="AX181" s="560"/>
      <c r="AY181" s="561"/>
      <c r="AZ181" s="562"/>
      <c r="BA181" s="561"/>
      <c r="BB181" s="563"/>
      <c r="BC181" s="567"/>
      <c r="BD181" s="564"/>
      <c r="BE181" s="565"/>
      <c r="BF181" s="560"/>
      <c r="BG181" s="560"/>
      <c r="BH181" s="560"/>
      <c r="BI181" s="560"/>
      <c r="BJ181" s="563"/>
      <c r="BK181" s="567"/>
      <c r="BL181" s="564"/>
      <c r="BM181" s="565"/>
      <c r="BN181" s="560"/>
      <c r="BO181" s="561"/>
      <c r="BP181" s="562"/>
      <c r="BQ181" s="561"/>
      <c r="BR181" s="563"/>
      <c r="BS181" s="567"/>
      <c r="BT181" s="564"/>
      <c r="BU181" s="565"/>
      <c r="BV181" s="560"/>
      <c r="BW181" s="561"/>
      <c r="BX181" s="562"/>
      <c r="BY181" s="561"/>
      <c r="BZ181" s="563"/>
      <c r="CA181" s="567"/>
      <c r="CB181" s="564"/>
      <c r="CC181" s="565"/>
      <c r="CD181" s="560"/>
      <c r="CE181" s="561"/>
      <c r="CF181" s="562"/>
      <c r="CG181" s="561"/>
      <c r="CH181" s="563"/>
      <c r="CI181" s="564"/>
      <c r="CJ181" s="564"/>
      <c r="CK181" s="590"/>
      <c r="CL181" s="560"/>
      <c r="CM181" s="561"/>
      <c r="CN181" s="562"/>
      <c r="CO181" s="561"/>
      <c r="CP181" s="563"/>
      <c r="CQ181" s="564"/>
      <c r="CR181" s="564"/>
      <c r="CS181" s="564"/>
      <c r="CT181" s="560"/>
      <c r="CU181" s="561"/>
      <c r="CV181" s="562"/>
      <c r="CW181" s="561"/>
      <c r="CX181" s="563"/>
      <c r="CY181" s="564"/>
      <c r="CZ181" s="564"/>
      <c r="DA181" s="564"/>
      <c r="DB181" s="560"/>
      <c r="DC181" s="561"/>
      <c r="DD181" s="562"/>
      <c r="DE181" s="561"/>
      <c r="DF181" s="563"/>
      <c r="DG181" s="564"/>
      <c r="DH181" s="564"/>
      <c r="DI181" s="564"/>
      <c r="DJ181" s="560"/>
      <c r="DK181" s="561"/>
      <c r="DL181" s="562"/>
      <c r="DM181" s="561"/>
      <c r="DN181" s="563"/>
      <c r="DO181" s="564"/>
      <c r="DP181" s="564"/>
      <c r="DQ181" s="564"/>
      <c r="DR181" s="560"/>
      <c r="DS181" s="561"/>
      <c r="DT181" s="562"/>
      <c r="DU181" s="561"/>
      <c r="DV181" s="563"/>
      <c r="DW181" s="564"/>
      <c r="DX181" s="564"/>
      <c r="DY181" s="564"/>
      <c r="DZ181" s="560"/>
      <c r="EA181" s="561"/>
      <c r="EB181" s="562"/>
      <c r="EC181" s="561"/>
      <c r="ED181" s="563"/>
      <c r="EE181" s="564"/>
      <c r="EF181" s="564"/>
      <c r="EG181" s="564"/>
      <c r="EH181" s="560"/>
      <c r="EI181" s="561"/>
      <c r="EJ181" s="562"/>
      <c r="EK181" s="561"/>
      <c r="EL181" s="563"/>
      <c r="EM181" s="564"/>
      <c r="EN181" s="564"/>
      <c r="EO181" s="564"/>
      <c r="EP181" s="560"/>
      <c r="EQ181" s="561"/>
      <c r="ER181" s="562"/>
      <c r="ES181" s="561"/>
      <c r="ET181" s="563"/>
      <c r="EU181" s="564"/>
      <c r="EV181" s="564"/>
      <c r="EW181" s="564"/>
      <c r="EX181" s="560"/>
      <c r="EY181" s="561"/>
      <c r="EZ181" s="562"/>
      <c r="FA181" s="561"/>
      <c r="FB181" s="563"/>
      <c r="FC181" s="564"/>
      <c r="FD181" s="564"/>
      <c r="FE181" s="564"/>
      <c r="FF181" s="560"/>
      <c r="FG181" s="561"/>
      <c r="FH181" s="562"/>
      <c r="FI181" s="561"/>
      <c r="FJ181" s="563"/>
      <c r="FK181" s="564"/>
      <c r="FL181" s="564"/>
      <c r="FM181" s="564"/>
      <c r="FN181" s="560"/>
      <c r="FO181" s="561"/>
      <c r="FP181" s="562"/>
      <c r="FQ181" s="561"/>
      <c r="FR181" s="563"/>
      <c r="FS181" s="564"/>
      <c r="FT181" s="564"/>
      <c r="FU181" s="564"/>
      <c r="FV181" s="560"/>
      <c r="FW181" s="566"/>
      <c r="FX181" s="566"/>
      <c r="FY181" s="566"/>
      <c r="FZ181" s="563"/>
      <c r="GA181" s="564"/>
      <c r="GB181" s="564"/>
      <c r="GC181" s="564"/>
      <c r="GD181" s="560"/>
      <c r="GE181" s="566"/>
      <c r="GF181" s="566"/>
      <c r="GG181" s="566"/>
      <c r="GH181" s="563"/>
      <c r="GI181" s="564"/>
      <c r="GJ181" s="564"/>
      <c r="GK181" s="564"/>
      <c r="GL181" s="560"/>
      <c r="GM181" s="566"/>
      <c r="GN181" s="566"/>
      <c r="GO181" s="566"/>
      <c r="GP181" s="563"/>
      <c r="GQ181" s="564"/>
      <c r="GR181" s="564"/>
      <c r="GS181" s="564"/>
      <c r="GT181" s="560"/>
      <c r="GU181" s="566"/>
      <c r="GV181" s="566"/>
      <c r="GW181" s="566"/>
      <c r="GX181" s="625"/>
      <c r="GY181" s="625"/>
      <c r="GZ181" s="625"/>
      <c r="HA181" s="625"/>
      <c r="HB181" s="625"/>
      <c r="HC181" s="625"/>
    </row>
    <row r="182" spans="2:211" s="506" customFormat="1" ht="24.65" customHeight="1" x14ac:dyDescent="0.35">
      <c r="B182" s="544">
        <v>179</v>
      </c>
      <c r="C182" s="544"/>
      <c r="D182" s="545" t="s">
        <v>44</v>
      </c>
      <c r="E182" s="546" t="s">
        <v>714</v>
      </c>
      <c r="F182" s="546" t="s">
        <v>46</v>
      </c>
      <c r="G182" s="546" t="s">
        <v>46</v>
      </c>
      <c r="H182" s="547" t="s">
        <v>715</v>
      </c>
      <c r="I182" s="548"/>
      <c r="J182" s="548"/>
      <c r="K182" s="568"/>
      <c r="L182" s="549"/>
      <c r="M182" s="569" t="s">
        <v>102</v>
      </c>
      <c r="N182" s="551">
        <v>0</v>
      </c>
      <c r="O182" s="552">
        <v>167</v>
      </c>
      <c r="P182" s="553" t="s">
        <v>716</v>
      </c>
      <c r="Q182" s="553"/>
      <c r="R182" s="554" t="s">
        <v>73</v>
      </c>
      <c r="S182" s="555">
        <f ca="1">IF(R182="Aprobado con comentarios / Emitir Rev_B", NETWORKDAYS(Q182,TODAY(),Hoja1!$C$3:$C$25),0)</f>
        <v>0</v>
      </c>
      <c r="T182" s="555">
        <f ca="1">IF(R182="Revisión INN",NETWORKDAYS(P182,TODAY(),Hoja1!$C$3:$C$25),0)</f>
        <v>0</v>
      </c>
      <c r="U182" s="556">
        <f t="shared" si="6"/>
        <v>0</v>
      </c>
      <c r="V182" s="557"/>
      <c r="W182" s="558"/>
      <c r="X182" s="592"/>
      <c r="Y182" s="559"/>
      <c r="Z182" s="560"/>
      <c r="AA182" s="561"/>
      <c r="AB182" s="562"/>
      <c r="AC182" s="561"/>
      <c r="AD182" s="563"/>
      <c r="AE182" s="567"/>
      <c r="AF182" s="564"/>
      <c r="AG182" s="565"/>
      <c r="AH182" s="560"/>
      <c r="AI182" s="561"/>
      <c r="AJ182" s="562"/>
      <c r="AK182" s="561"/>
      <c r="AL182" s="563"/>
      <c r="AM182" s="567"/>
      <c r="AN182" s="564"/>
      <c r="AO182" s="565"/>
      <c r="AP182" s="560"/>
      <c r="AQ182" s="561"/>
      <c r="AR182" s="562"/>
      <c r="AS182" s="561"/>
      <c r="AT182" s="563"/>
      <c r="AU182" s="567"/>
      <c r="AV182" s="564"/>
      <c r="AW182" s="565"/>
      <c r="AX182" s="560"/>
      <c r="AY182" s="561"/>
      <c r="AZ182" s="562"/>
      <c r="BA182" s="561"/>
      <c r="BB182" s="563"/>
      <c r="BC182" s="567"/>
      <c r="BD182" s="564"/>
      <c r="BE182" s="565"/>
      <c r="BF182" s="560"/>
      <c r="BG182" s="560"/>
      <c r="BH182" s="560"/>
      <c r="BI182" s="560"/>
      <c r="BJ182" s="563"/>
      <c r="BK182" s="567"/>
      <c r="BL182" s="564"/>
      <c r="BM182" s="565"/>
      <c r="BN182" s="560"/>
      <c r="BO182" s="561"/>
      <c r="BP182" s="562"/>
      <c r="BQ182" s="561"/>
      <c r="BR182" s="563"/>
      <c r="BS182" s="567"/>
      <c r="BT182" s="564"/>
      <c r="BU182" s="565"/>
      <c r="BV182" s="560"/>
      <c r="BW182" s="561"/>
      <c r="BX182" s="562"/>
      <c r="BY182" s="561"/>
      <c r="BZ182" s="563"/>
      <c r="CA182" s="567"/>
      <c r="CB182" s="564"/>
      <c r="CC182" s="565"/>
      <c r="CD182" s="560"/>
      <c r="CE182" s="561"/>
      <c r="CF182" s="562"/>
      <c r="CG182" s="561"/>
      <c r="CH182" s="563"/>
      <c r="CI182" s="564"/>
      <c r="CJ182" s="564"/>
      <c r="CK182" s="590"/>
      <c r="CL182" s="560"/>
      <c r="CM182" s="561"/>
      <c r="CN182" s="562"/>
      <c r="CO182" s="561"/>
      <c r="CP182" s="563"/>
      <c r="CQ182" s="564"/>
      <c r="CR182" s="564"/>
      <c r="CS182" s="564"/>
      <c r="CT182" s="560"/>
      <c r="CU182" s="561"/>
      <c r="CV182" s="562"/>
      <c r="CW182" s="561"/>
      <c r="CX182" s="563"/>
      <c r="CY182" s="564"/>
      <c r="CZ182" s="564"/>
      <c r="DA182" s="564"/>
      <c r="DB182" s="560"/>
      <c r="DC182" s="561"/>
      <c r="DD182" s="562"/>
      <c r="DE182" s="561"/>
      <c r="DF182" s="563"/>
      <c r="DG182" s="564"/>
      <c r="DH182" s="564"/>
      <c r="DI182" s="564"/>
      <c r="DJ182" s="560"/>
      <c r="DK182" s="561"/>
      <c r="DL182" s="562"/>
      <c r="DM182" s="561"/>
      <c r="DN182" s="563"/>
      <c r="DO182" s="564"/>
      <c r="DP182" s="564"/>
      <c r="DQ182" s="564"/>
      <c r="DR182" s="560"/>
      <c r="DS182" s="561"/>
      <c r="DT182" s="562"/>
      <c r="DU182" s="561"/>
      <c r="DV182" s="563"/>
      <c r="DW182" s="564"/>
      <c r="DX182" s="564"/>
      <c r="DY182" s="564"/>
      <c r="DZ182" s="560"/>
      <c r="EA182" s="561"/>
      <c r="EB182" s="562"/>
      <c r="EC182" s="561"/>
      <c r="ED182" s="563"/>
      <c r="EE182" s="564"/>
      <c r="EF182" s="564"/>
      <c r="EG182" s="564"/>
      <c r="EH182" s="560"/>
      <c r="EI182" s="561"/>
      <c r="EJ182" s="562"/>
      <c r="EK182" s="561"/>
      <c r="EL182" s="563"/>
      <c r="EM182" s="564"/>
      <c r="EN182" s="564"/>
      <c r="EO182" s="564"/>
      <c r="EP182" s="560"/>
      <c r="EQ182" s="561"/>
      <c r="ER182" s="562"/>
      <c r="ES182" s="561"/>
      <c r="ET182" s="563"/>
      <c r="EU182" s="564"/>
      <c r="EV182" s="564"/>
      <c r="EW182" s="564"/>
      <c r="EX182" s="560"/>
      <c r="EY182" s="561"/>
      <c r="EZ182" s="562"/>
      <c r="FA182" s="561"/>
      <c r="FB182" s="563"/>
      <c r="FC182" s="564"/>
      <c r="FD182" s="564"/>
      <c r="FE182" s="564"/>
      <c r="FF182" s="560"/>
      <c r="FG182" s="561"/>
      <c r="FH182" s="562"/>
      <c r="FI182" s="561"/>
      <c r="FJ182" s="563"/>
      <c r="FK182" s="564"/>
      <c r="FL182" s="564"/>
      <c r="FM182" s="564"/>
      <c r="FN182" s="560"/>
      <c r="FO182" s="561"/>
      <c r="FP182" s="562"/>
      <c r="FQ182" s="561"/>
      <c r="FR182" s="563"/>
      <c r="FS182" s="564"/>
      <c r="FT182" s="564"/>
      <c r="FU182" s="564"/>
      <c r="FV182" s="560"/>
      <c r="FW182" s="566"/>
      <c r="FX182" s="566"/>
      <c r="FY182" s="566"/>
      <c r="FZ182" s="563"/>
      <c r="GA182" s="564"/>
      <c r="GB182" s="564"/>
      <c r="GC182" s="564"/>
      <c r="GD182" s="560"/>
      <c r="GE182" s="566"/>
      <c r="GF182" s="566"/>
      <c r="GG182" s="566"/>
      <c r="GH182" s="563"/>
      <c r="GI182" s="564"/>
      <c r="GJ182" s="564"/>
      <c r="GK182" s="564"/>
      <c r="GL182" s="560"/>
      <c r="GM182" s="566"/>
      <c r="GN182" s="566"/>
      <c r="GO182" s="566"/>
      <c r="GP182" s="563"/>
      <c r="GQ182" s="564"/>
      <c r="GR182" s="564"/>
      <c r="GS182" s="564"/>
      <c r="GT182" s="560"/>
      <c r="GU182" s="566"/>
      <c r="GV182" s="566"/>
      <c r="GW182" s="566"/>
      <c r="GX182" s="625"/>
      <c r="GY182" s="625"/>
      <c r="GZ182" s="625"/>
      <c r="HA182" s="625"/>
      <c r="HB182" s="625"/>
      <c r="HC182" s="625"/>
    </row>
    <row r="183" spans="2:211" s="506" customFormat="1" ht="24.65" customHeight="1" x14ac:dyDescent="0.35">
      <c r="B183" s="544">
        <v>180</v>
      </c>
      <c r="C183" s="544"/>
      <c r="D183" s="545" t="s">
        <v>44</v>
      </c>
      <c r="E183" s="546" t="s">
        <v>717</v>
      </c>
      <c r="F183" s="546" t="s">
        <v>46</v>
      </c>
      <c r="G183" s="546" t="s">
        <v>46</v>
      </c>
      <c r="H183" s="547" t="s">
        <v>718</v>
      </c>
      <c r="I183" s="548"/>
      <c r="J183" s="548"/>
      <c r="K183" s="568"/>
      <c r="L183" s="549"/>
      <c r="M183" s="569" t="s">
        <v>102</v>
      </c>
      <c r="N183" s="551">
        <v>0</v>
      </c>
      <c r="O183" s="552">
        <v>167</v>
      </c>
      <c r="P183" s="553">
        <v>46064</v>
      </c>
      <c r="Q183" s="553"/>
      <c r="R183" s="554" t="s">
        <v>73</v>
      </c>
      <c r="S183" s="555">
        <f ca="1">IF(R183="Aprobado con comentarios / Emitir Rev_B", NETWORKDAYS(Q183,TODAY(),Hoja1!$C$3:$C$25),0)</f>
        <v>0</v>
      </c>
      <c r="T183" s="555">
        <f ca="1">IF(R183="Revisión INN",NETWORKDAYS(P183,TODAY(),Hoja1!$C$3:$C$25),0)</f>
        <v>0</v>
      </c>
      <c r="U183" s="556">
        <f t="shared" si="6"/>
        <v>0</v>
      </c>
      <c r="V183" s="557"/>
      <c r="W183" s="558"/>
      <c r="X183" s="592"/>
      <c r="Y183" s="559"/>
      <c r="Z183" s="560"/>
      <c r="AA183" s="561"/>
      <c r="AB183" s="562"/>
      <c r="AC183" s="561"/>
      <c r="AD183" s="563"/>
      <c r="AE183" s="567"/>
      <c r="AF183" s="564"/>
      <c r="AG183" s="565"/>
      <c r="AH183" s="560"/>
      <c r="AI183" s="561"/>
      <c r="AJ183" s="562"/>
      <c r="AK183" s="561"/>
      <c r="AL183" s="563"/>
      <c r="AM183" s="567"/>
      <c r="AN183" s="564"/>
      <c r="AO183" s="565"/>
      <c r="AP183" s="560"/>
      <c r="AQ183" s="561"/>
      <c r="AR183" s="562"/>
      <c r="AS183" s="561"/>
      <c r="AT183" s="563"/>
      <c r="AU183" s="567"/>
      <c r="AV183" s="564"/>
      <c r="AW183" s="565"/>
      <c r="AX183" s="560"/>
      <c r="AY183" s="561"/>
      <c r="AZ183" s="562"/>
      <c r="BA183" s="561"/>
      <c r="BB183" s="563"/>
      <c r="BC183" s="567"/>
      <c r="BD183" s="564"/>
      <c r="BE183" s="565"/>
      <c r="BF183" s="560"/>
      <c r="BG183" s="560"/>
      <c r="BH183" s="560"/>
      <c r="BI183" s="560"/>
      <c r="BJ183" s="563"/>
      <c r="BK183" s="567"/>
      <c r="BL183" s="564"/>
      <c r="BM183" s="565"/>
      <c r="BN183" s="560"/>
      <c r="BO183" s="561"/>
      <c r="BP183" s="562"/>
      <c r="BQ183" s="561"/>
      <c r="BR183" s="563"/>
      <c r="BS183" s="567"/>
      <c r="BT183" s="564"/>
      <c r="BU183" s="565"/>
      <c r="BV183" s="560"/>
      <c r="BW183" s="561"/>
      <c r="BX183" s="562"/>
      <c r="BY183" s="561"/>
      <c r="BZ183" s="563"/>
      <c r="CA183" s="567"/>
      <c r="CB183" s="564"/>
      <c r="CC183" s="565"/>
      <c r="CD183" s="560"/>
      <c r="CE183" s="561"/>
      <c r="CF183" s="562"/>
      <c r="CG183" s="561"/>
      <c r="CH183" s="563"/>
      <c r="CI183" s="564"/>
      <c r="CJ183" s="564"/>
      <c r="CK183" s="590"/>
      <c r="CL183" s="560"/>
      <c r="CM183" s="561"/>
      <c r="CN183" s="562"/>
      <c r="CO183" s="561"/>
      <c r="CP183" s="563"/>
      <c r="CQ183" s="564"/>
      <c r="CR183" s="564"/>
      <c r="CS183" s="564"/>
      <c r="CT183" s="560"/>
      <c r="CU183" s="561"/>
      <c r="CV183" s="562"/>
      <c r="CW183" s="561"/>
      <c r="CX183" s="563"/>
      <c r="CY183" s="564"/>
      <c r="CZ183" s="564"/>
      <c r="DA183" s="564"/>
      <c r="DB183" s="560"/>
      <c r="DC183" s="561"/>
      <c r="DD183" s="562"/>
      <c r="DE183" s="561"/>
      <c r="DF183" s="563"/>
      <c r="DG183" s="564"/>
      <c r="DH183" s="564"/>
      <c r="DI183" s="564"/>
      <c r="DJ183" s="560"/>
      <c r="DK183" s="561"/>
      <c r="DL183" s="562"/>
      <c r="DM183" s="561"/>
      <c r="DN183" s="563"/>
      <c r="DO183" s="564"/>
      <c r="DP183" s="564"/>
      <c r="DQ183" s="564"/>
      <c r="DR183" s="560"/>
      <c r="DS183" s="561"/>
      <c r="DT183" s="562"/>
      <c r="DU183" s="561"/>
      <c r="DV183" s="563"/>
      <c r="DW183" s="564"/>
      <c r="DX183" s="564"/>
      <c r="DY183" s="564"/>
      <c r="DZ183" s="560"/>
      <c r="EA183" s="561"/>
      <c r="EB183" s="562"/>
      <c r="EC183" s="561"/>
      <c r="ED183" s="563"/>
      <c r="EE183" s="564"/>
      <c r="EF183" s="564"/>
      <c r="EG183" s="564"/>
      <c r="EH183" s="560"/>
      <c r="EI183" s="561"/>
      <c r="EJ183" s="562"/>
      <c r="EK183" s="561"/>
      <c r="EL183" s="563"/>
      <c r="EM183" s="564"/>
      <c r="EN183" s="564"/>
      <c r="EO183" s="564"/>
      <c r="EP183" s="560"/>
      <c r="EQ183" s="561"/>
      <c r="ER183" s="562"/>
      <c r="ES183" s="561"/>
      <c r="ET183" s="563"/>
      <c r="EU183" s="564"/>
      <c r="EV183" s="564"/>
      <c r="EW183" s="564"/>
      <c r="EX183" s="560"/>
      <c r="EY183" s="561"/>
      <c r="EZ183" s="562"/>
      <c r="FA183" s="561"/>
      <c r="FB183" s="563"/>
      <c r="FC183" s="564"/>
      <c r="FD183" s="564"/>
      <c r="FE183" s="564"/>
      <c r="FF183" s="560"/>
      <c r="FG183" s="561"/>
      <c r="FH183" s="562"/>
      <c r="FI183" s="561"/>
      <c r="FJ183" s="563"/>
      <c r="FK183" s="564"/>
      <c r="FL183" s="564"/>
      <c r="FM183" s="564"/>
      <c r="FN183" s="560"/>
      <c r="FO183" s="561"/>
      <c r="FP183" s="562"/>
      <c r="FQ183" s="561"/>
      <c r="FR183" s="563"/>
      <c r="FS183" s="564"/>
      <c r="FT183" s="564"/>
      <c r="FU183" s="564"/>
      <c r="FV183" s="560"/>
      <c r="FW183" s="566"/>
      <c r="FX183" s="566"/>
      <c r="FY183" s="566"/>
      <c r="FZ183" s="563"/>
      <c r="GA183" s="564"/>
      <c r="GB183" s="564"/>
      <c r="GC183" s="564"/>
      <c r="GD183" s="560"/>
      <c r="GE183" s="566"/>
      <c r="GF183" s="566"/>
      <c r="GG183" s="566"/>
      <c r="GH183" s="563"/>
      <c r="GI183" s="564"/>
      <c r="GJ183" s="564"/>
      <c r="GK183" s="564"/>
      <c r="GL183" s="560"/>
      <c r="GM183" s="566"/>
      <c r="GN183" s="566"/>
      <c r="GO183" s="566"/>
      <c r="GP183" s="563"/>
      <c r="GQ183" s="564"/>
      <c r="GR183" s="564"/>
      <c r="GS183" s="564"/>
      <c r="GT183" s="560"/>
      <c r="GU183" s="566"/>
      <c r="GV183" s="566"/>
      <c r="GW183" s="566"/>
      <c r="GX183" s="625"/>
      <c r="GY183" s="625"/>
      <c r="GZ183" s="625"/>
      <c r="HA183" s="625"/>
      <c r="HB183" s="625"/>
      <c r="HC183" s="625"/>
    </row>
    <row r="184" spans="2:211" s="506" customFormat="1" ht="24.65" customHeight="1" x14ac:dyDescent="0.35">
      <c r="B184" s="544">
        <v>181</v>
      </c>
      <c r="C184" s="544"/>
      <c r="D184" s="545" t="s">
        <v>44</v>
      </c>
      <c r="E184" s="546" t="s">
        <v>719</v>
      </c>
      <c r="F184" s="546" t="s">
        <v>46</v>
      </c>
      <c r="G184" s="546" t="s">
        <v>46</v>
      </c>
      <c r="H184" s="547" t="s">
        <v>720</v>
      </c>
      <c r="I184" s="547"/>
      <c r="J184" s="547"/>
      <c r="K184" s="547"/>
      <c r="L184" s="547"/>
      <c r="M184" s="569" t="s">
        <v>102</v>
      </c>
      <c r="N184" s="551">
        <v>0</v>
      </c>
      <c r="O184" s="552">
        <v>161</v>
      </c>
      <c r="P184" s="553">
        <v>46052</v>
      </c>
      <c r="Q184" s="553"/>
      <c r="R184" s="554" t="s">
        <v>73</v>
      </c>
      <c r="S184" s="555">
        <f ca="1">IF(R184="Aprobado con comentarios / Emitir Rev_B", NETWORKDAYS(Q184,TODAY(),Hoja1!$C$3:$C$25),0)</f>
        <v>0</v>
      </c>
      <c r="T184" s="555">
        <f ca="1">IF(R184="Revisión INN",NETWORKDAYS(P184,TODAY(),Hoja1!$C$3:$C$25),0)</f>
        <v>0</v>
      </c>
      <c r="U184" s="556">
        <f t="shared" si="6"/>
        <v>1</v>
      </c>
      <c r="V184" s="557">
        <v>0</v>
      </c>
      <c r="W184" s="558">
        <v>161</v>
      </c>
      <c r="X184" s="558"/>
      <c r="Y184" s="559">
        <v>46052</v>
      </c>
      <c r="Z184" s="560"/>
      <c r="AA184" s="561"/>
      <c r="AB184" s="562"/>
      <c r="AC184" s="561"/>
      <c r="AD184" s="563"/>
      <c r="AE184" s="567"/>
      <c r="AF184" s="564"/>
      <c r="AG184" s="565"/>
      <c r="AH184" s="560"/>
      <c r="AI184" s="561"/>
      <c r="AJ184" s="562"/>
      <c r="AK184" s="561"/>
      <c r="AL184" s="563"/>
      <c r="AM184" s="567"/>
      <c r="AN184" s="564"/>
      <c r="AO184" s="565"/>
      <c r="AP184" s="560"/>
      <c r="AQ184" s="561"/>
      <c r="AR184" s="562"/>
      <c r="AS184" s="561"/>
      <c r="AT184" s="563"/>
      <c r="AU184" s="567"/>
      <c r="AV184" s="564"/>
      <c r="AW184" s="565"/>
      <c r="AX184" s="560"/>
      <c r="AY184" s="561"/>
      <c r="AZ184" s="562"/>
      <c r="BA184" s="561"/>
      <c r="BB184" s="563"/>
      <c r="BC184" s="567"/>
      <c r="BD184" s="564"/>
      <c r="BE184" s="565"/>
      <c r="BF184" s="560"/>
      <c r="BG184" s="561"/>
      <c r="BH184" s="562"/>
      <c r="BI184" s="561"/>
      <c r="BJ184" s="563"/>
      <c r="BK184" s="567"/>
      <c r="BL184" s="564"/>
      <c r="BM184" s="565"/>
      <c r="BN184" s="560"/>
      <c r="BO184" s="561"/>
      <c r="BP184" s="562"/>
      <c r="BQ184" s="561"/>
      <c r="BR184" s="563"/>
      <c r="BS184" s="567"/>
      <c r="BT184" s="564"/>
      <c r="BU184" s="565"/>
      <c r="BV184" s="560"/>
      <c r="BW184" s="561"/>
      <c r="BX184" s="562"/>
      <c r="BY184" s="561"/>
      <c r="BZ184" s="563"/>
      <c r="CA184" s="567"/>
      <c r="CB184" s="564"/>
      <c r="CC184" s="565"/>
      <c r="CD184" s="560"/>
      <c r="CE184" s="561"/>
      <c r="CF184" s="562"/>
      <c r="CG184" s="561"/>
      <c r="CH184" s="563"/>
      <c r="CI184" s="564"/>
      <c r="CJ184" s="564"/>
      <c r="CK184" s="564"/>
      <c r="CL184" s="560"/>
      <c r="CM184" s="561"/>
      <c r="CN184" s="562"/>
      <c r="CO184" s="561"/>
      <c r="CP184" s="563"/>
      <c r="CQ184" s="564"/>
      <c r="CR184" s="564"/>
      <c r="CS184" s="564"/>
      <c r="CT184" s="560"/>
      <c r="CU184" s="561"/>
      <c r="CV184" s="562"/>
      <c r="CW184" s="561"/>
      <c r="CX184" s="563"/>
      <c r="CY184" s="564"/>
      <c r="CZ184" s="564"/>
      <c r="DA184" s="564"/>
      <c r="DB184" s="560"/>
      <c r="DC184" s="561"/>
      <c r="DD184" s="562"/>
      <c r="DE184" s="561"/>
      <c r="DF184" s="563"/>
      <c r="DG184" s="564"/>
      <c r="DH184" s="564"/>
      <c r="DI184" s="564"/>
      <c r="DJ184" s="560"/>
      <c r="DK184" s="561"/>
      <c r="DL184" s="562"/>
      <c r="DM184" s="561"/>
      <c r="DN184" s="563"/>
      <c r="DO184" s="564"/>
      <c r="DP184" s="564"/>
      <c r="DQ184" s="564"/>
      <c r="DR184" s="560"/>
      <c r="DS184" s="561"/>
      <c r="DT184" s="562"/>
      <c r="DU184" s="561"/>
      <c r="DV184" s="563"/>
      <c r="DW184" s="564"/>
      <c r="DX184" s="564"/>
      <c r="DY184" s="564"/>
      <c r="DZ184" s="560"/>
      <c r="EA184" s="561"/>
      <c r="EB184" s="562"/>
      <c r="EC184" s="561"/>
      <c r="ED184" s="563"/>
      <c r="EE184" s="564"/>
      <c r="EF184" s="564"/>
      <c r="EG184" s="564"/>
      <c r="EH184" s="560"/>
      <c r="EI184" s="561"/>
      <c r="EJ184" s="562"/>
      <c r="EK184" s="561"/>
      <c r="EL184" s="563"/>
      <c r="EM184" s="564"/>
      <c r="EN184" s="564"/>
      <c r="EO184" s="564"/>
      <c r="EP184" s="560"/>
      <c r="EQ184" s="561"/>
      <c r="ER184" s="562"/>
      <c r="ES184" s="561"/>
      <c r="ET184" s="563"/>
      <c r="EU184" s="564"/>
      <c r="EV184" s="564"/>
      <c r="EW184" s="564"/>
      <c r="EX184" s="560"/>
      <c r="EY184" s="561"/>
      <c r="EZ184" s="562"/>
      <c r="FA184" s="561"/>
      <c r="FB184" s="563"/>
      <c r="FC184" s="564"/>
      <c r="FD184" s="564"/>
      <c r="FE184" s="564"/>
      <c r="FF184" s="560"/>
      <c r="FG184" s="561"/>
      <c r="FH184" s="562"/>
      <c r="FI184" s="561"/>
      <c r="FJ184" s="563"/>
      <c r="FK184" s="564"/>
      <c r="FL184" s="564"/>
      <c r="FM184" s="564"/>
      <c r="FN184" s="560"/>
      <c r="FO184" s="561"/>
      <c r="FP184" s="562"/>
      <c r="FQ184" s="561"/>
      <c r="FR184" s="563"/>
      <c r="FS184" s="564"/>
      <c r="FT184" s="564"/>
      <c r="FU184" s="564"/>
      <c r="FV184" s="560"/>
      <c r="FW184" s="566"/>
      <c r="FX184" s="566"/>
      <c r="FY184" s="566"/>
      <c r="FZ184" s="563"/>
      <c r="GA184" s="564"/>
      <c r="GB184" s="564"/>
      <c r="GC184" s="564"/>
      <c r="GD184" s="560"/>
      <c r="GE184" s="566"/>
      <c r="GF184" s="566"/>
      <c r="GG184" s="566"/>
      <c r="GH184" s="563"/>
      <c r="GI184" s="564"/>
      <c r="GJ184" s="564"/>
      <c r="GK184" s="564"/>
      <c r="GL184" s="560"/>
      <c r="GM184" s="566"/>
      <c r="GN184" s="566"/>
      <c r="GO184" s="566"/>
      <c r="GP184" s="563"/>
      <c r="GQ184" s="564"/>
      <c r="GR184" s="564"/>
      <c r="GS184" s="564"/>
      <c r="GT184" s="560"/>
      <c r="GU184" s="566"/>
      <c r="GV184" s="566"/>
      <c r="GW184" s="566"/>
      <c r="GX184" s="625"/>
      <c r="GY184" s="625"/>
      <c r="GZ184" s="625"/>
      <c r="HA184" s="625"/>
      <c r="HB184" s="625"/>
      <c r="HC184" s="625"/>
    </row>
    <row r="185" spans="2:211" s="506" customFormat="1" ht="24.65" customHeight="1" x14ac:dyDescent="0.35">
      <c r="B185" s="544">
        <v>182</v>
      </c>
      <c r="C185" s="544"/>
      <c r="D185" s="545" t="s">
        <v>44</v>
      </c>
      <c r="E185" s="546" t="s">
        <v>721</v>
      </c>
      <c r="F185" s="546" t="s">
        <v>46</v>
      </c>
      <c r="G185" s="546" t="s">
        <v>46</v>
      </c>
      <c r="H185" s="547" t="s">
        <v>722</v>
      </c>
      <c r="I185" s="547"/>
      <c r="J185" s="547"/>
      <c r="K185" s="547"/>
      <c r="L185" s="547"/>
      <c r="M185" s="569" t="s">
        <v>102</v>
      </c>
      <c r="N185" s="551">
        <v>0</v>
      </c>
      <c r="O185" s="552">
        <v>161</v>
      </c>
      <c r="P185" s="553">
        <v>46052</v>
      </c>
      <c r="Q185" s="553"/>
      <c r="R185" s="554" t="s">
        <v>73</v>
      </c>
      <c r="S185" s="555">
        <f ca="1">IF(R185="Aprobado con comentarios / Emitir Rev_B", NETWORKDAYS(Q185,TODAY(),Hoja1!$C$3:$C$25),0)</f>
        <v>0</v>
      </c>
      <c r="T185" s="555">
        <f ca="1">IF(R185="Revisión INN",NETWORKDAYS(P185,TODAY(),Hoja1!$C$3:$C$25),0)</f>
        <v>0</v>
      </c>
      <c r="U185" s="556">
        <f t="shared" si="6"/>
        <v>1</v>
      </c>
      <c r="V185" s="557">
        <v>0</v>
      </c>
      <c r="W185" s="558">
        <v>161</v>
      </c>
      <c r="X185" s="558"/>
      <c r="Y185" s="559">
        <v>46052</v>
      </c>
      <c r="Z185" s="560"/>
      <c r="AA185" s="561"/>
      <c r="AB185" s="562"/>
      <c r="AC185" s="561"/>
      <c r="AD185" s="563"/>
      <c r="AE185" s="567"/>
      <c r="AF185" s="564"/>
      <c r="AG185" s="565"/>
      <c r="AH185" s="560"/>
      <c r="AI185" s="561"/>
      <c r="AJ185" s="562"/>
      <c r="AK185" s="561"/>
      <c r="AL185" s="563"/>
      <c r="AM185" s="567"/>
      <c r="AN185" s="564"/>
      <c r="AO185" s="565"/>
      <c r="AP185" s="560"/>
      <c r="AQ185" s="561"/>
      <c r="AR185" s="562"/>
      <c r="AS185" s="561"/>
      <c r="AT185" s="563"/>
      <c r="AU185" s="567"/>
      <c r="AV185" s="564"/>
      <c r="AW185" s="565"/>
      <c r="AX185" s="560"/>
      <c r="AY185" s="561"/>
      <c r="AZ185" s="562"/>
      <c r="BA185" s="561"/>
      <c r="BB185" s="563"/>
      <c r="BC185" s="567"/>
      <c r="BD185" s="564"/>
      <c r="BE185" s="565"/>
      <c r="BF185" s="560"/>
      <c r="BG185" s="561"/>
      <c r="BH185" s="562"/>
      <c r="BI185" s="561"/>
      <c r="BJ185" s="563"/>
      <c r="BK185" s="567"/>
      <c r="BL185" s="564"/>
      <c r="BM185" s="565"/>
      <c r="BN185" s="560"/>
      <c r="BO185" s="561"/>
      <c r="BP185" s="562"/>
      <c r="BQ185" s="561"/>
      <c r="BR185" s="563"/>
      <c r="BS185" s="567"/>
      <c r="BT185" s="564"/>
      <c r="BU185" s="565"/>
      <c r="BV185" s="560"/>
      <c r="BW185" s="561"/>
      <c r="BX185" s="562"/>
      <c r="BY185" s="561"/>
      <c r="BZ185" s="563"/>
      <c r="CA185" s="567"/>
      <c r="CB185" s="564"/>
      <c r="CC185" s="565"/>
      <c r="CD185" s="560"/>
      <c r="CE185" s="561"/>
      <c r="CF185" s="562"/>
      <c r="CG185" s="561"/>
      <c r="CH185" s="563"/>
      <c r="CI185" s="564"/>
      <c r="CJ185" s="564"/>
      <c r="CK185" s="564"/>
      <c r="CL185" s="560"/>
      <c r="CM185" s="561"/>
      <c r="CN185" s="562"/>
      <c r="CO185" s="561"/>
      <c r="CP185" s="563"/>
      <c r="CQ185" s="564"/>
      <c r="CR185" s="564"/>
      <c r="CS185" s="564"/>
      <c r="CT185" s="560"/>
      <c r="CU185" s="561"/>
      <c r="CV185" s="562"/>
      <c r="CW185" s="561"/>
      <c r="CX185" s="563"/>
      <c r="CY185" s="564"/>
      <c r="CZ185" s="564"/>
      <c r="DA185" s="564"/>
      <c r="DB185" s="560"/>
      <c r="DC185" s="561"/>
      <c r="DD185" s="562"/>
      <c r="DE185" s="561"/>
      <c r="DF185" s="563"/>
      <c r="DG185" s="564"/>
      <c r="DH185" s="564"/>
      <c r="DI185" s="564"/>
      <c r="DJ185" s="560"/>
      <c r="DK185" s="561"/>
      <c r="DL185" s="562"/>
      <c r="DM185" s="561"/>
      <c r="DN185" s="563"/>
      <c r="DO185" s="564"/>
      <c r="DP185" s="564"/>
      <c r="DQ185" s="564"/>
      <c r="DR185" s="560"/>
      <c r="DS185" s="561"/>
      <c r="DT185" s="562"/>
      <c r="DU185" s="561"/>
      <c r="DV185" s="563"/>
      <c r="DW185" s="564"/>
      <c r="DX185" s="564"/>
      <c r="DY185" s="564"/>
      <c r="DZ185" s="560"/>
      <c r="EA185" s="561"/>
      <c r="EB185" s="562"/>
      <c r="EC185" s="561"/>
      <c r="ED185" s="563"/>
      <c r="EE185" s="564"/>
      <c r="EF185" s="564"/>
      <c r="EG185" s="564"/>
      <c r="EH185" s="560"/>
      <c r="EI185" s="561"/>
      <c r="EJ185" s="562"/>
      <c r="EK185" s="561"/>
      <c r="EL185" s="563"/>
      <c r="EM185" s="564"/>
      <c r="EN185" s="564"/>
      <c r="EO185" s="564"/>
      <c r="EP185" s="560"/>
      <c r="EQ185" s="561"/>
      <c r="ER185" s="562"/>
      <c r="ES185" s="561"/>
      <c r="ET185" s="563"/>
      <c r="EU185" s="564"/>
      <c r="EV185" s="564"/>
      <c r="EW185" s="564"/>
      <c r="EX185" s="560"/>
      <c r="EY185" s="561"/>
      <c r="EZ185" s="562"/>
      <c r="FA185" s="561"/>
      <c r="FB185" s="563"/>
      <c r="FC185" s="564"/>
      <c r="FD185" s="564"/>
      <c r="FE185" s="564"/>
      <c r="FF185" s="560"/>
      <c r="FG185" s="561"/>
      <c r="FH185" s="562"/>
      <c r="FI185" s="561"/>
      <c r="FJ185" s="563"/>
      <c r="FK185" s="564"/>
      <c r="FL185" s="564"/>
      <c r="FM185" s="564"/>
      <c r="FN185" s="560"/>
      <c r="FO185" s="561"/>
      <c r="FP185" s="562"/>
      <c r="FQ185" s="561"/>
      <c r="FR185" s="563"/>
      <c r="FS185" s="564"/>
      <c r="FT185" s="564"/>
      <c r="FU185" s="564"/>
      <c r="FV185" s="560"/>
      <c r="FW185" s="566"/>
      <c r="FX185" s="566"/>
      <c r="FY185" s="566"/>
      <c r="FZ185" s="563"/>
      <c r="GA185" s="564"/>
      <c r="GB185" s="564"/>
      <c r="GC185" s="564"/>
      <c r="GD185" s="560"/>
      <c r="GE185" s="566"/>
      <c r="GF185" s="566"/>
      <c r="GG185" s="566"/>
      <c r="GH185" s="563"/>
      <c r="GI185" s="564"/>
      <c r="GJ185" s="564"/>
      <c r="GK185" s="564"/>
      <c r="GL185" s="560"/>
      <c r="GM185" s="566"/>
      <c r="GN185" s="566"/>
      <c r="GO185" s="566"/>
      <c r="GP185" s="563"/>
      <c r="GQ185" s="564"/>
      <c r="GR185" s="564"/>
      <c r="GS185" s="564"/>
      <c r="GT185" s="560"/>
      <c r="GU185" s="566"/>
      <c r="GV185" s="566"/>
      <c r="GW185" s="566"/>
      <c r="GX185" s="625"/>
      <c r="GY185" s="625"/>
      <c r="GZ185" s="625"/>
      <c r="HA185" s="625"/>
      <c r="HB185" s="625"/>
      <c r="HC185" s="625"/>
    </row>
    <row r="186" spans="2:211" s="506" customFormat="1" ht="24.65" customHeight="1" x14ac:dyDescent="0.35">
      <c r="B186" s="544">
        <v>183</v>
      </c>
      <c r="C186" s="544"/>
      <c r="D186" s="544" t="s">
        <v>44</v>
      </c>
      <c r="E186" s="546" t="s">
        <v>723</v>
      </c>
      <c r="F186" s="545" t="s">
        <v>46</v>
      </c>
      <c r="G186" s="546" t="s">
        <v>46</v>
      </c>
      <c r="H186" s="704" t="s">
        <v>724</v>
      </c>
      <c r="I186" s="548"/>
      <c r="J186" s="548"/>
      <c r="K186" s="568"/>
      <c r="L186" s="572"/>
      <c r="M186" s="569" t="s">
        <v>48</v>
      </c>
      <c r="N186" s="551">
        <v>0</v>
      </c>
      <c r="O186" s="552">
        <v>164</v>
      </c>
      <c r="P186" s="553">
        <v>46057</v>
      </c>
      <c r="Q186" s="554"/>
      <c r="R186" s="554" t="s">
        <v>73</v>
      </c>
      <c r="S186" s="555"/>
      <c r="T186" s="555"/>
      <c r="U186" s="556"/>
      <c r="V186" s="557"/>
      <c r="W186" s="558"/>
      <c r="X186" s="567"/>
      <c r="Y186" s="559"/>
      <c r="Z186" s="560"/>
      <c r="AA186" s="561"/>
      <c r="AB186" s="562"/>
      <c r="AC186" s="561"/>
      <c r="AD186" s="563"/>
      <c r="AE186" s="567"/>
      <c r="AF186" s="564"/>
      <c r="AG186" s="565"/>
      <c r="AH186" s="560"/>
      <c r="AI186" s="561"/>
      <c r="AJ186" s="562"/>
      <c r="AK186" s="561"/>
      <c r="AL186" s="563"/>
      <c r="AM186" s="567"/>
      <c r="AN186" s="564"/>
      <c r="AO186" s="565"/>
      <c r="AP186" s="560"/>
      <c r="AQ186" s="561"/>
      <c r="AR186" s="562"/>
      <c r="AS186" s="561"/>
      <c r="AT186" s="563"/>
      <c r="AU186" s="567"/>
      <c r="AV186" s="564"/>
      <c r="AW186" s="565"/>
      <c r="AX186" s="560"/>
      <c r="AY186" s="561"/>
      <c r="AZ186" s="562"/>
      <c r="BA186" s="561"/>
      <c r="BB186" s="563"/>
      <c r="BC186" s="567"/>
      <c r="BD186" s="564"/>
      <c r="BE186" s="565"/>
      <c r="BF186" s="560"/>
      <c r="BG186" s="561"/>
      <c r="BH186" s="562"/>
      <c r="BI186" s="561"/>
      <c r="BJ186" s="563"/>
      <c r="BK186" s="567"/>
      <c r="BL186" s="564"/>
      <c r="BM186" s="565"/>
      <c r="BN186" s="560"/>
      <c r="BO186" s="561"/>
      <c r="BP186" s="562"/>
      <c r="BQ186" s="561"/>
      <c r="BR186" s="563"/>
      <c r="BS186" s="567"/>
      <c r="BT186" s="564"/>
      <c r="BU186" s="565"/>
      <c r="BV186" s="560"/>
      <c r="BW186" s="561"/>
      <c r="BX186" s="562"/>
      <c r="BY186" s="561"/>
      <c r="BZ186" s="563"/>
      <c r="CA186" s="567"/>
      <c r="CB186" s="564"/>
      <c r="CC186" s="565"/>
      <c r="CD186" s="560"/>
      <c r="CE186" s="561"/>
      <c r="CF186" s="562"/>
      <c r="CG186" s="561"/>
      <c r="CH186" s="563"/>
      <c r="CI186" s="564"/>
      <c r="CJ186" s="564"/>
      <c r="CK186" s="564"/>
      <c r="CL186" s="560"/>
      <c r="CM186" s="561"/>
      <c r="CN186" s="562"/>
      <c r="CO186" s="561"/>
      <c r="CP186" s="563"/>
      <c r="CQ186" s="564"/>
      <c r="CR186" s="564"/>
      <c r="CS186" s="564"/>
      <c r="CT186" s="560"/>
      <c r="CU186" s="561"/>
      <c r="CV186" s="562"/>
      <c r="CW186" s="561"/>
      <c r="CX186" s="563"/>
      <c r="CY186" s="564"/>
      <c r="CZ186" s="564"/>
      <c r="DA186" s="564"/>
      <c r="DB186" s="560"/>
      <c r="DC186" s="561"/>
      <c r="DD186" s="562"/>
      <c r="DE186" s="561"/>
      <c r="DF186" s="563"/>
      <c r="DG186" s="564"/>
      <c r="DH186" s="564"/>
      <c r="DI186" s="564"/>
      <c r="DJ186" s="560"/>
      <c r="DK186" s="561"/>
      <c r="DL186" s="562"/>
      <c r="DM186" s="561"/>
      <c r="DN186" s="563"/>
      <c r="DO186" s="564"/>
      <c r="DP186" s="564"/>
      <c r="DQ186" s="564"/>
      <c r="DR186" s="560"/>
      <c r="DS186" s="561"/>
      <c r="DT186" s="562"/>
      <c r="DU186" s="561"/>
      <c r="DV186" s="563"/>
      <c r="DW186" s="564"/>
      <c r="DX186" s="564"/>
      <c r="DY186" s="564"/>
      <c r="DZ186" s="560"/>
      <c r="EA186" s="561"/>
      <c r="EB186" s="562"/>
      <c r="EC186" s="561"/>
      <c r="ED186" s="563"/>
      <c r="EE186" s="564"/>
      <c r="EF186" s="564"/>
      <c r="EG186" s="564"/>
      <c r="EH186" s="560"/>
      <c r="EI186" s="561"/>
      <c r="EJ186" s="562"/>
      <c r="EK186" s="561"/>
      <c r="EL186" s="563"/>
      <c r="EM186" s="564"/>
      <c r="EN186" s="564"/>
      <c r="EO186" s="564"/>
      <c r="EP186" s="560"/>
      <c r="EQ186" s="561"/>
      <c r="ER186" s="562"/>
      <c r="ES186" s="561"/>
      <c r="ET186" s="563"/>
      <c r="EU186" s="564"/>
      <c r="EV186" s="564"/>
      <c r="EW186" s="564"/>
      <c r="EX186" s="560"/>
      <c r="EY186" s="561"/>
      <c r="EZ186" s="562"/>
      <c r="FA186" s="561"/>
      <c r="FB186" s="563"/>
      <c r="FC186" s="564"/>
      <c r="FD186" s="564"/>
      <c r="FE186" s="564"/>
      <c r="FF186" s="560"/>
      <c r="FG186" s="561"/>
      <c r="FH186" s="562"/>
      <c r="FI186" s="561"/>
      <c r="FJ186" s="563"/>
      <c r="FK186" s="564"/>
      <c r="FL186" s="564"/>
      <c r="FM186" s="564"/>
      <c r="FN186" s="560"/>
      <c r="FO186" s="561"/>
      <c r="FP186" s="562"/>
      <c r="FQ186" s="561"/>
      <c r="FR186" s="563"/>
      <c r="FS186" s="564"/>
      <c r="FT186" s="564"/>
      <c r="FU186" s="564"/>
      <c r="FV186" s="560"/>
      <c r="FW186" s="566"/>
      <c r="FX186" s="566"/>
      <c r="FY186" s="566"/>
      <c r="FZ186" s="563"/>
      <c r="GA186" s="564"/>
      <c r="GB186" s="564"/>
      <c r="GC186" s="564"/>
      <c r="GD186" s="560"/>
      <c r="GE186" s="566"/>
      <c r="GF186" s="566"/>
      <c r="GG186" s="566"/>
      <c r="GH186" s="563"/>
      <c r="GI186" s="564"/>
      <c r="GJ186" s="564"/>
      <c r="GK186" s="564"/>
      <c r="GL186" s="560"/>
      <c r="GM186" s="566"/>
      <c r="GN186" s="566"/>
      <c r="GO186" s="566"/>
      <c r="GP186" s="563"/>
      <c r="GQ186" s="564"/>
      <c r="GR186" s="564"/>
      <c r="GS186" s="564"/>
      <c r="GT186" s="560"/>
      <c r="GU186" s="566"/>
      <c r="GV186" s="566"/>
      <c r="GW186" s="566"/>
      <c r="GX186" s="625"/>
      <c r="GY186" s="625"/>
      <c r="GZ186" s="625"/>
      <c r="HA186" s="625"/>
      <c r="HB186" s="625"/>
      <c r="HC186" s="625"/>
    </row>
    <row r="187" spans="2:211" s="506" customFormat="1" ht="24.65" customHeight="1" x14ac:dyDescent="0.35">
      <c r="B187" s="544">
        <v>184</v>
      </c>
      <c r="C187" s="544"/>
      <c r="D187" s="544" t="s">
        <v>44</v>
      </c>
      <c r="E187" s="546" t="s">
        <v>725</v>
      </c>
      <c r="F187" s="545" t="s">
        <v>46</v>
      </c>
      <c r="G187" s="546" t="s">
        <v>46</v>
      </c>
      <c r="H187" s="704" t="s">
        <v>726</v>
      </c>
      <c r="I187" s="548"/>
      <c r="J187" s="548"/>
      <c r="K187" s="568"/>
      <c r="L187" s="572"/>
      <c r="M187" s="569" t="s">
        <v>48</v>
      </c>
      <c r="N187" s="551">
        <v>0</v>
      </c>
      <c r="O187" s="552">
        <v>180</v>
      </c>
      <c r="P187" s="553">
        <v>46071</v>
      </c>
      <c r="Q187" s="554"/>
      <c r="R187" s="554" t="s">
        <v>73</v>
      </c>
      <c r="S187" s="555"/>
      <c r="T187" s="555"/>
      <c r="U187" s="556"/>
      <c r="V187" s="557"/>
      <c r="W187" s="558"/>
      <c r="X187" s="567"/>
      <c r="Y187" s="559"/>
      <c r="Z187" s="560"/>
      <c r="AA187" s="561"/>
      <c r="AB187" s="562"/>
      <c r="AC187" s="561"/>
      <c r="AD187" s="563"/>
      <c r="AE187" s="567"/>
      <c r="AF187" s="564"/>
      <c r="AG187" s="565"/>
      <c r="AH187" s="560"/>
      <c r="AI187" s="561"/>
      <c r="AJ187" s="562"/>
      <c r="AK187" s="561"/>
      <c r="AL187" s="563"/>
      <c r="AM187" s="567"/>
      <c r="AN187" s="564"/>
      <c r="AO187" s="565"/>
      <c r="AP187" s="560"/>
      <c r="AQ187" s="561"/>
      <c r="AR187" s="562"/>
      <c r="AS187" s="561"/>
      <c r="AT187" s="563"/>
      <c r="AU187" s="567"/>
      <c r="AV187" s="564"/>
      <c r="AW187" s="565"/>
      <c r="AX187" s="560"/>
      <c r="AY187" s="561"/>
      <c r="AZ187" s="562"/>
      <c r="BA187" s="561"/>
      <c r="BB187" s="563"/>
      <c r="BC187" s="567"/>
      <c r="BD187" s="564"/>
      <c r="BE187" s="565"/>
      <c r="BF187" s="560"/>
      <c r="BG187" s="561"/>
      <c r="BH187" s="562"/>
      <c r="BI187" s="561"/>
      <c r="BJ187" s="563"/>
      <c r="BK187" s="567"/>
      <c r="BL187" s="564"/>
      <c r="BM187" s="565"/>
      <c r="BN187" s="560"/>
      <c r="BO187" s="561"/>
      <c r="BP187" s="562"/>
      <c r="BQ187" s="561"/>
      <c r="BR187" s="563"/>
      <c r="BS187" s="567"/>
      <c r="BT187" s="564"/>
      <c r="BU187" s="565"/>
      <c r="BV187" s="560"/>
      <c r="BW187" s="561"/>
      <c r="BX187" s="562"/>
      <c r="BY187" s="561"/>
      <c r="BZ187" s="563"/>
      <c r="CA187" s="567"/>
      <c r="CB187" s="564"/>
      <c r="CC187" s="565"/>
      <c r="CD187" s="560"/>
      <c r="CE187" s="561"/>
      <c r="CF187" s="562"/>
      <c r="CG187" s="561"/>
      <c r="CH187" s="563"/>
      <c r="CI187" s="564"/>
      <c r="CJ187" s="564"/>
      <c r="CK187" s="564"/>
      <c r="CL187" s="560"/>
      <c r="CM187" s="561"/>
      <c r="CN187" s="562"/>
      <c r="CO187" s="561"/>
      <c r="CP187" s="563"/>
      <c r="CQ187" s="564"/>
      <c r="CR187" s="564"/>
      <c r="CS187" s="564"/>
      <c r="CT187" s="560"/>
      <c r="CU187" s="561"/>
      <c r="CV187" s="562"/>
      <c r="CW187" s="561"/>
      <c r="CX187" s="563"/>
      <c r="CY187" s="564"/>
      <c r="CZ187" s="564"/>
      <c r="DA187" s="564"/>
      <c r="DB187" s="560"/>
      <c r="DC187" s="561"/>
      <c r="DD187" s="562"/>
      <c r="DE187" s="561"/>
      <c r="DF187" s="563"/>
      <c r="DG187" s="564"/>
      <c r="DH187" s="564"/>
      <c r="DI187" s="564"/>
      <c r="DJ187" s="560"/>
      <c r="DK187" s="561"/>
      <c r="DL187" s="562"/>
      <c r="DM187" s="561"/>
      <c r="DN187" s="563"/>
      <c r="DO187" s="564"/>
      <c r="DP187" s="564"/>
      <c r="DQ187" s="564"/>
      <c r="DR187" s="560"/>
      <c r="DS187" s="561"/>
      <c r="DT187" s="562"/>
      <c r="DU187" s="561"/>
      <c r="DV187" s="563"/>
      <c r="DW187" s="564"/>
      <c r="DX187" s="564"/>
      <c r="DY187" s="564"/>
      <c r="DZ187" s="560"/>
      <c r="EA187" s="561"/>
      <c r="EB187" s="562"/>
      <c r="EC187" s="561"/>
      <c r="ED187" s="563"/>
      <c r="EE187" s="564"/>
      <c r="EF187" s="564"/>
      <c r="EG187" s="564"/>
      <c r="EH187" s="560"/>
      <c r="EI187" s="561"/>
      <c r="EJ187" s="562"/>
      <c r="EK187" s="561"/>
      <c r="EL187" s="563"/>
      <c r="EM187" s="564"/>
      <c r="EN187" s="564"/>
      <c r="EO187" s="564"/>
      <c r="EP187" s="560"/>
      <c r="EQ187" s="561"/>
      <c r="ER187" s="562"/>
      <c r="ES187" s="561"/>
      <c r="ET187" s="563"/>
      <c r="EU187" s="564"/>
      <c r="EV187" s="564"/>
      <c r="EW187" s="564"/>
      <c r="EX187" s="560"/>
      <c r="EY187" s="561"/>
      <c r="EZ187" s="562"/>
      <c r="FA187" s="561"/>
      <c r="FB187" s="563"/>
      <c r="FC187" s="564"/>
      <c r="FD187" s="564"/>
      <c r="FE187" s="564"/>
      <c r="FF187" s="560"/>
      <c r="FG187" s="561"/>
      <c r="FH187" s="562"/>
      <c r="FI187" s="561"/>
      <c r="FJ187" s="563"/>
      <c r="FK187" s="564"/>
      <c r="FL187" s="564"/>
      <c r="FM187" s="564"/>
      <c r="FN187" s="560"/>
      <c r="FO187" s="561"/>
      <c r="FP187" s="562"/>
      <c r="FQ187" s="561"/>
      <c r="FR187" s="563"/>
      <c r="FS187" s="564"/>
      <c r="FT187" s="564"/>
      <c r="FU187" s="564"/>
      <c r="FV187" s="560"/>
      <c r="FW187" s="566"/>
      <c r="FX187" s="566"/>
      <c r="FY187" s="566"/>
      <c r="FZ187" s="563"/>
      <c r="GA187" s="564"/>
      <c r="GB187" s="564"/>
      <c r="GC187" s="564"/>
      <c r="GD187" s="560"/>
      <c r="GE187" s="566"/>
      <c r="GF187" s="566"/>
      <c r="GG187" s="566"/>
      <c r="GH187" s="563"/>
      <c r="GI187" s="564"/>
      <c r="GJ187" s="564"/>
      <c r="GK187" s="564"/>
      <c r="GL187" s="560"/>
      <c r="GM187" s="566"/>
      <c r="GN187" s="566"/>
      <c r="GO187" s="566"/>
      <c r="GP187" s="563"/>
      <c r="GQ187" s="564"/>
      <c r="GR187" s="564"/>
      <c r="GS187" s="564"/>
      <c r="GT187" s="560"/>
      <c r="GU187" s="566"/>
      <c r="GV187" s="566"/>
      <c r="GW187" s="566"/>
      <c r="GX187" s="625"/>
      <c r="GY187" s="625"/>
      <c r="GZ187" s="625"/>
      <c r="HA187" s="625"/>
      <c r="HB187" s="625"/>
      <c r="HC187" s="625"/>
    </row>
    <row r="188" spans="2:211" s="506" customFormat="1" ht="24.65" customHeight="1" x14ac:dyDescent="0.35">
      <c r="B188" s="544">
        <v>185</v>
      </c>
      <c r="C188" s="544"/>
      <c r="D188" s="544"/>
      <c r="E188" s="546" t="s">
        <v>727</v>
      </c>
      <c r="F188" s="545" t="s">
        <v>46</v>
      </c>
      <c r="G188" s="546" t="s">
        <v>46</v>
      </c>
      <c r="H188" s="704" t="s">
        <v>728</v>
      </c>
      <c r="I188" s="548"/>
      <c r="J188" s="548"/>
      <c r="K188" s="568"/>
      <c r="L188" s="572"/>
      <c r="M188" s="569" t="s">
        <v>48</v>
      </c>
      <c r="N188" s="551">
        <v>0</v>
      </c>
      <c r="O188" s="552">
        <v>204</v>
      </c>
      <c r="P188" s="553">
        <v>46085</v>
      </c>
      <c r="Q188" s="554"/>
      <c r="R188" s="554" t="s">
        <v>49</v>
      </c>
      <c r="S188" s="555">
        <f ca="1">IF(R188="Aprobado con comentarios / Emitir en Rev_0", NETWORKDAYS(Q188,TODAY(),Hoja1!$C$3:$C$25),0)</f>
        <v>0</v>
      </c>
      <c r="T188" s="555">
        <f ca="1">IF(R188="Revisión INN",NETWORKDAYS(P188,TODAY(),Hoja1!$C$3:$C$25),0)</f>
        <v>0</v>
      </c>
      <c r="U188" s="556">
        <f>ROUNDUP(((COUNTA(V188:GW188)/4)/2),0)</f>
        <v>0</v>
      </c>
      <c r="V188" s="557"/>
      <c r="W188" s="558"/>
      <c r="X188" s="567"/>
      <c r="Y188" s="559"/>
      <c r="Z188" s="560"/>
      <c r="AA188" s="561"/>
      <c r="AB188" s="562"/>
      <c r="AC188" s="561"/>
      <c r="AD188" s="563"/>
      <c r="AE188" s="567"/>
      <c r="AF188" s="564"/>
      <c r="AG188" s="565"/>
      <c r="AH188" s="560"/>
      <c r="AI188" s="561"/>
      <c r="AJ188" s="562"/>
      <c r="AK188" s="561"/>
      <c r="AL188" s="563"/>
      <c r="AM188" s="567"/>
      <c r="AN188" s="564"/>
      <c r="AO188" s="565"/>
      <c r="AP188" s="560"/>
      <c r="AQ188" s="561"/>
      <c r="AR188" s="562"/>
      <c r="AS188" s="561"/>
      <c r="AT188" s="563"/>
      <c r="AU188" s="567"/>
      <c r="AV188" s="564"/>
      <c r="AW188" s="565"/>
      <c r="AX188" s="560"/>
      <c r="AY188" s="561"/>
      <c r="AZ188" s="562"/>
      <c r="BA188" s="561"/>
      <c r="BB188" s="563"/>
      <c r="BC188" s="567"/>
      <c r="BD188" s="564"/>
      <c r="BE188" s="565"/>
      <c r="BF188" s="560"/>
      <c r="BG188" s="561"/>
      <c r="BH188" s="562"/>
      <c r="BI188" s="561"/>
      <c r="BJ188" s="563"/>
      <c r="BK188" s="567"/>
      <c r="BL188" s="564"/>
      <c r="BM188" s="565"/>
      <c r="BN188" s="560"/>
      <c r="BO188" s="561"/>
      <c r="BP188" s="562"/>
      <c r="BQ188" s="561"/>
      <c r="BR188" s="563"/>
      <c r="BS188" s="567"/>
      <c r="BT188" s="564"/>
      <c r="BU188" s="565"/>
      <c r="BV188" s="560"/>
      <c r="BW188" s="561"/>
      <c r="BX188" s="562"/>
      <c r="BY188" s="561"/>
      <c r="BZ188" s="563"/>
      <c r="CA188" s="567"/>
      <c r="CB188" s="564"/>
      <c r="CC188" s="565"/>
      <c r="CD188" s="560"/>
      <c r="CE188" s="561"/>
      <c r="CF188" s="562"/>
      <c r="CG188" s="561"/>
      <c r="CH188" s="563"/>
      <c r="CI188" s="564"/>
      <c r="CJ188" s="564"/>
      <c r="CK188" s="564"/>
      <c r="CL188" s="560"/>
      <c r="CM188" s="561"/>
      <c r="CN188" s="562"/>
      <c r="CO188" s="561"/>
      <c r="CP188" s="563"/>
      <c r="CQ188" s="564"/>
      <c r="CR188" s="564"/>
      <c r="CS188" s="564"/>
      <c r="CT188" s="560"/>
      <c r="CU188" s="561"/>
      <c r="CV188" s="562"/>
      <c r="CW188" s="561"/>
      <c r="CX188" s="563"/>
      <c r="CY188" s="564"/>
      <c r="CZ188" s="564"/>
      <c r="DA188" s="564"/>
      <c r="DB188" s="560"/>
      <c r="DC188" s="561"/>
      <c r="DD188" s="562"/>
      <c r="DE188" s="561"/>
      <c r="DF188" s="563"/>
      <c r="DG188" s="564"/>
      <c r="DH188" s="564"/>
      <c r="DI188" s="564"/>
      <c r="DJ188" s="560"/>
      <c r="DK188" s="561"/>
      <c r="DL188" s="562"/>
      <c r="DM188" s="561"/>
      <c r="DN188" s="563"/>
      <c r="DO188" s="564"/>
      <c r="DP188" s="564"/>
      <c r="DQ188" s="564"/>
      <c r="DR188" s="560"/>
      <c r="DS188" s="561"/>
      <c r="DT188" s="562"/>
      <c r="DU188" s="561"/>
      <c r="DV188" s="563"/>
      <c r="DW188" s="564"/>
      <c r="DX188" s="564"/>
      <c r="DY188" s="564"/>
      <c r="DZ188" s="560"/>
      <c r="EA188" s="561"/>
      <c r="EB188" s="562"/>
      <c r="EC188" s="561"/>
      <c r="ED188" s="563"/>
      <c r="EE188" s="564"/>
      <c r="EF188" s="564"/>
      <c r="EG188" s="564"/>
      <c r="EH188" s="560"/>
      <c r="EI188" s="561"/>
      <c r="EJ188" s="562"/>
      <c r="EK188" s="561"/>
      <c r="EL188" s="563"/>
      <c r="EM188" s="564"/>
      <c r="EN188" s="564"/>
      <c r="EO188" s="564"/>
      <c r="EP188" s="560"/>
      <c r="EQ188" s="561"/>
      <c r="ER188" s="562"/>
      <c r="ES188" s="561"/>
      <c r="ET188" s="563"/>
      <c r="EU188" s="564"/>
      <c r="EV188" s="564"/>
      <c r="EW188" s="564"/>
      <c r="EX188" s="560"/>
      <c r="EY188" s="561"/>
      <c r="EZ188" s="562"/>
      <c r="FA188" s="561"/>
      <c r="FB188" s="563"/>
      <c r="FC188" s="564"/>
      <c r="FD188" s="564"/>
      <c r="FE188" s="564"/>
      <c r="FF188" s="560"/>
      <c r="FG188" s="561"/>
      <c r="FH188" s="562"/>
      <c r="FI188" s="561"/>
      <c r="FJ188" s="563"/>
      <c r="FK188" s="564"/>
      <c r="FL188" s="564"/>
      <c r="FM188" s="564"/>
      <c r="FN188" s="560"/>
      <c r="FO188" s="561"/>
      <c r="FP188" s="562"/>
      <c r="FQ188" s="561"/>
      <c r="FR188" s="563"/>
      <c r="FS188" s="564"/>
      <c r="FT188" s="564"/>
      <c r="FU188" s="564"/>
      <c r="FV188" s="560"/>
      <c r="FW188" s="566"/>
      <c r="FX188" s="566"/>
      <c r="FY188" s="566"/>
      <c r="FZ188" s="563"/>
      <c r="GA188" s="564"/>
      <c r="GB188" s="564"/>
      <c r="GC188" s="564"/>
      <c r="GD188" s="560"/>
      <c r="GE188" s="566"/>
      <c r="GF188" s="566"/>
      <c r="GG188" s="566"/>
      <c r="GH188" s="563"/>
      <c r="GI188" s="564"/>
      <c r="GJ188" s="564"/>
      <c r="GK188" s="564"/>
      <c r="GL188" s="560"/>
      <c r="GM188" s="566"/>
      <c r="GN188" s="566"/>
      <c r="GO188" s="566"/>
      <c r="GP188" s="563"/>
      <c r="GQ188" s="564"/>
      <c r="GR188" s="564"/>
      <c r="GS188" s="564"/>
      <c r="GT188" s="560"/>
      <c r="GU188" s="566"/>
      <c r="GV188" s="566"/>
      <c r="GW188" s="566"/>
      <c r="GX188" s="625"/>
      <c r="GY188" s="625"/>
      <c r="GZ188" s="625"/>
      <c r="HA188" s="625"/>
      <c r="HB188" s="625"/>
      <c r="HC188" s="625"/>
    </row>
    <row r="189" spans="2:211" s="506" customFormat="1" ht="24.65" customHeight="1" x14ac:dyDescent="0.35">
      <c r="B189" s="544">
        <v>186</v>
      </c>
      <c r="C189" s="544"/>
      <c r="D189" s="544" t="s">
        <v>44</v>
      </c>
      <c r="E189" s="546" t="s">
        <v>729</v>
      </c>
      <c r="F189" s="545" t="s">
        <v>46</v>
      </c>
      <c r="G189" s="546" t="s">
        <v>46</v>
      </c>
      <c r="H189" s="704" t="s">
        <v>730</v>
      </c>
      <c r="I189" s="548"/>
      <c r="J189" s="548"/>
      <c r="K189" s="568"/>
      <c r="L189" s="572"/>
      <c r="M189" s="569" t="s">
        <v>48</v>
      </c>
      <c r="N189" s="551">
        <v>0</v>
      </c>
      <c r="O189" s="552">
        <v>225</v>
      </c>
      <c r="P189" s="553">
        <v>46099</v>
      </c>
      <c r="Q189" s="554"/>
      <c r="R189" s="554" t="s">
        <v>56</v>
      </c>
      <c r="S189" s="555">
        <f ca="1">IF(R189="Aprobado con comentarios / Emitir en Rev_0", NETWORKDAYS(Q189,TODAY(),Hoja1!$C$3:$C$25),0)</f>
        <v>0</v>
      </c>
      <c r="T189" s="555">
        <f ca="1">IF(R189="Revisión INN",NETWORKDAYS(P189,TODAY(),Hoja1!$C$3:$C$25),0)</f>
        <v>0</v>
      </c>
      <c r="U189" s="556">
        <f>ROUNDUP(((COUNTA(V189:GW189)/4)/2),0)</f>
        <v>1</v>
      </c>
      <c r="V189" s="557">
        <v>0</v>
      </c>
      <c r="W189" s="558">
        <v>225</v>
      </c>
      <c r="X189" s="567"/>
      <c r="Y189" s="559">
        <v>46099</v>
      </c>
      <c r="Z189" s="560"/>
      <c r="AA189" s="561"/>
      <c r="AB189" s="562"/>
      <c r="AC189" s="561"/>
      <c r="AD189" s="563"/>
      <c r="AE189" s="567"/>
      <c r="AF189" s="564"/>
      <c r="AG189" s="565"/>
      <c r="AH189" s="560"/>
      <c r="AI189" s="561"/>
      <c r="AJ189" s="562"/>
      <c r="AK189" s="561"/>
      <c r="AL189" s="563"/>
      <c r="AM189" s="567"/>
      <c r="AN189" s="564"/>
      <c r="AO189" s="565"/>
      <c r="AP189" s="560"/>
      <c r="AQ189" s="561"/>
      <c r="AR189" s="562"/>
      <c r="AS189" s="561"/>
      <c r="AT189" s="563"/>
      <c r="AU189" s="567"/>
      <c r="AV189" s="564"/>
      <c r="AW189" s="565"/>
      <c r="AX189" s="560"/>
      <c r="AY189" s="561"/>
      <c r="AZ189" s="562"/>
      <c r="BA189" s="561"/>
      <c r="BB189" s="563"/>
      <c r="BC189" s="567"/>
      <c r="BD189" s="564"/>
      <c r="BE189" s="565"/>
      <c r="BF189" s="560"/>
      <c r="BG189" s="561"/>
      <c r="BH189" s="562"/>
      <c r="BI189" s="561"/>
      <c r="BJ189" s="563"/>
      <c r="BK189" s="567"/>
      <c r="BL189" s="564"/>
      <c r="BM189" s="565"/>
      <c r="BN189" s="560"/>
      <c r="BO189" s="561"/>
      <c r="BP189" s="562"/>
      <c r="BQ189" s="561"/>
      <c r="BR189" s="563"/>
      <c r="BS189" s="567"/>
      <c r="BT189" s="564"/>
      <c r="BU189" s="565"/>
      <c r="BV189" s="560"/>
      <c r="BW189" s="561"/>
      <c r="BX189" s="562"/>
      <c r="BY189" s="561"/>
      <c r="BZ189" s="563"/>
      <c r="CA189" s="567"/>
      <c r="CB189" s="564"/>
      <c r="CC189" s="565"/>
      <c r="CD189" s="560"/>
      <c r="CE189" s="561"/>
      <c r="CF189" s="562"/>
      <c r="CG189" s="561"/>
      <c r="CH189" s="563"/>
      <c r="CI189" s="564"/>
      <c r="CJ189" s="564"/>
      <c r="CK189" s="564"/>
      <c r="CL189" s="560"/>
      <c r="CM189" s="561"/>
      <c r="CN189" s="562"/>
      <c r="CO189" s="561"/>
      <c r="CP189" s="563"/>
      <c r="CQ189" s="564"/>
      <c r="CR189" s="564"/>
      <c r="CS189" s="564"/>
      <c r="CT189" s="560"/>
      <c r="CU189" s="561"/>
      <c r="CV189" s="562"/>
      <c r="CW189" s="561"/>
      <c r="CX189" s="563"/>
      <c r="CY189" s="564"/>
      <c r="CZ189" s="564"/>
      <c r="DA189" s="564"/>
      <c r="DB189" s="560"/>
      <c r="DC189" s="561"/>
      <c r="DD189" s="562"/>
      <c r="DE189" s="561"/>
      <c r="DF189" s="563"/>
      <c r="DG189" s="564"/>
      <c r="DH189" s="564"/>
      <c r="DI189" s="564"/>
      <c r="DJ189" s="560"/>
      <c r="DK189" s="561"/>
      <c r="DL189" s="562"/>
      <c r="DM189" s="561"/>
      <c r="DN189" s="563"/>
      <c r="DO189" s="564"/>
      <c r="DP189" s="564"/>
      <c r="DQ189" s="564"/>
      <c r="DR189" s="560"/>
      <c r="DS189" s="561"/>
      <c r="DT189" s="562"/>
      <c r="DU189" s="561"/>
      <c r="DV189" s="563"/>
      <c r="DW189" s="564"/>
      <c r="DX189" s="564"/>
      <c r="DY189" s="564"/>
      <c r="DZ189" s="560"/>
      <c r="EA189" s="561"/>
      <c r="EB189" s="562"/>
      <c r="EC189" s="561"/>
      <c r="ED189" s="563"/>
      <c r="EE189" s="564"/>
      <c r="EF189" s="564"/>
      <c r="EG189" s="564"/>
      <c r="EH189" s="560"/>
      <c r="EI189" s="561"/>
      <c r="EJ189" s="562"/>
      <c r="EK189" s="561"/>
      <c r="EL189" s="563"/>
      <c r="EM189" s="564"/>
      <c r="EN189" s="564"/>
      <c r="EO189" s="564"/>
      <c r="EP189" s="560"/>
      <c r="EQ189" s="561"/>
      <c r="ER189" s="562"/>
      <c r="ES189" s="561"/>
      <c r="ET189" s="563"/>
      <c r="EU189" s="564"/>
      <c r="EV189" s="564"/>
      <c r="EW189" s="564"/>
      <c r="EX189" s="560"/>
      <c r="EY189" s="561"/>
      <c r="EZ189" s="562"/>
      <c r="FA189" s="561"/>
      <c r="FB189" s="563"/>
      <c r="FC189" s="564"/>
      <c r="FD189" s="564"/>
      <c r="FE189" s="564"/>
      <c r="FF189" s="560"/>
      <c r="FG189" s="561"/>
      <c r="FH189" s="562"/>
      <c r="FI189" s="561"/>
      <c r="FJ189" s="563"/>
      <c r="FK189" s="564"/>
      <c r="FL189" s="564"/>
      <c r="FM189" s="564"/>
      <c r="FN189" s="560"/>
      <c r="FO189" s="561"/>
      <c r="FP189" s="562"/>
      <c r="FQ189" s="561"/>
      <c r="FR189" s="563"/>
      <c r="FS189" s="564"/>
      <c r="FT189" s="564"/>
      <c r="FU189" s="564"/>
      <c r="FV189" s="560"/>
      <c r="FW189" s="566"/>
      <c r="FX189" s="566"/>
      <c r="FY189" s="566"/>
      <c r="FZ189" s="563"/>
      <c r="GA189" s="564"/>
      <c r="GB189" s="564"/>
      <c r="GC189" s="564"/>
      <c r="GD189" s="560"/>
      <c r="GE189" s="566"/>
      <c r="GF189" s="566"/>
      <c r="GG189" s="566"/>
      <c r="GH189" s="563"/>
      <c r="GI189" s="564"/>
      <c r="GJ189" s="564"/>
      <c r="GK189" s="564"/>
      <c r="GL189" s="560"/>
      <c r="GM189" s="566"/>
      <c r="GN189" s="566"/>
      <c r="GO189" s="566"/>
      <c r="GP189" s="563"/>
      <c r="GQ189" s="564"/>
      <c r="GR189" s="564"/>
      <c r="GS189" s="564"/>
      <c r="GT189" s="560"/>
      <c r="GU189" s="566"/>
      <c r="GV189" s="566"/>
      <c r="GW189" s="566"/>
      <c r="GX189" s="625"/>
      <c r="GY189" s="625"/>
      <c r="GZ189" s="625"/>
      <c r="HA189" s="625"/>
      <c r="HB189" s="625"/>
      <c r="HC189" s="625"/>
    </row>
    <row r="190" spans="2:211" s="506" customFormat="1" ht="24.65" customHeight="1" x14ac:dyDescent="0.35">
      <c r="B190" s="544">
        <v>187</v>
      </c>
      <c r="C190" s="544"/>
      <c r="D190" s="544"/>
      <c r="E190" s="546"/>
      <c r="F190" s="545"/>
      <c r="G190" s="546"/>
      <c r="H190" s="704"/>
      <c r="I190" s="548"/>
      <c r="J190" s="548"/>
      <c r="K190" s="568"/>
      <c r="L190" s="572"/>
      <c r="M190" s="569"/>
      <c r="N190" s="551"/>
      <c r="O190" s="552"/>
      <c r="P190" s="553"/>
      <c r="Q190" s="554"/>
      <c r="R190" s="554"/>
      <c r="S190" s="555"/>
      <c r="T190" s="555"/>
      <c r="U190" s="556"/>
      <c r="V190" s="557"/>
      <c r="W190" s="558"/>
      <c r="X190" s="567"/>
      <c r="Y190" s="559"/>
      <c r="Z190" s="560"/>
      <c r="AA190" s="561"/>
      <c r="AB190" s="562"/>
      <c r="AC190" s="561"/>
      <c r="AD190" s="563"/>
      <c r="AE190" s="567"/>
      <c r="AF190" s="564"/>
      <c r="AG190" s="565"/>
      <c r="AH190" s="560"/>
      <c r="AI190" s="561"/>
      <c r="AJ190" s="562"/>
      <c r="AK190" s="561"/>
      <c r="AL190" s="563"/>
      <c r="AM190" s="567"/>
      <c r="AN190" s="564"/>
      <c r="AO190" s="565"/>
      <c r="AP190" s="560"/>
      <c r="AQ190" s="561"/>
      <c r="AR190" s="562"/>
      <c r="AS190" s="561"/>
      <c r="AT190" s="563"/>
      <c r="AU190" s="567"/>
      <c r="AV190" s="564"/>
      <c r="AW190" s="565"/>
      <c r="AX190" s="560"/>
      <c r="AY190" s="561"/>
      <c r="AZ190" s="562"/>
      <c r="BA190" s="561"/>
      <c r="BB190" s="563"/>
      <c r="BC190" s="567"/>
      <c r="BD190" s="564"/>
      <c r="BE190" s="565"/>
      <c r="BF190" s="560"/>
      <c r="BG190" s="561"/>
      <c r="BH190" s="562"/>
      <c r="BI190" s="561"/>
      <c r="BJ190" s="563"/>
      <c r="BK190" s="567"/>
      <c r="BL190" s="564"/>
      <c r="BM190" s="565"/>
      <c r="BN190" s="560"/>
      <c r="BO190" s="561"/>
      <c r="BP190" s="562"/>
      <c r="BQ190" s="561"/>
      <c r="BR190" s="563"/>
      <c r="BS190" s="567"/>
      <c r="BT190" s="564"/>
      <c r="BU190" s="565"/>
      <c r="BV190" s="560"/>
      <c r="BW190" s="561"/>
      <c r="BX190" s="562"/>
      <c r="BY190" s="561"/>
      <c r="BZ190" s="563"/>
      <c r="CA190" s="567"/>
      <c r="CB190" s="564"/>
      <c r="CC190" s="565"/>
      <c r="CD190" s="560"/>
      <c r="CE190" s="561"/>
      <c r="CF190" s="562"/>
      <c r="CG190" s="561"/>
      <c r="CH190" s="563"/>
      <c r="CI190" s="564"/>
      <c r="CJ190" s="564"/>
      <c r="CK190" s="564"/>
      <c r="CL190" s="560"/>
      <c r="CM190" s="561"/>
      <c r="CN190" s="562"/>
      <c r="CO190" s="561"/>
      <c r="CP190" s="563"/>
      <c r="CQ190" s="564"/>
      <c r="CR190" s="564"/>
      <c r="CS190" s="564"/>
      <c r="CT190" s="560"/>
      <c r="CU190" s="561"/>
      <c r="CV190" s="562"/>
      <c r="CW190" s="561"/>
      <c r="CX190" s="563"/>
      <c r="CY190" s="564"/>
      <c r="CZ190" s="564"/>
      <c r="DA190" s="564"/>
      <c r="DB190" s="560"/>
      <c r="DC190" s="561"/>
      <c r="DD190" s="562"/>
      <c r="DE190" s="561"/>
      <c r="DF190" s="563"/>
      <c r="DG190" s="564"/>
      <c r="DH190" s="564"/>
      <c r="DI190" s="564"/>
      <c r="DJ190" s="560"/>
      <c r="DK190" s="561"/>
      <c r="DL190" s="562"/>
      <c r="DM190" s="561"/>
      <c r="DN190" s="563"/>
      <c r="DO190" s="564"/>
      <c r="DP190" s="564"/>
      <c r="DQ190" s="564"/>
      <c r="DR190" s="560"/>
      <c r="DS190" s="561"/>
      <c r="DT190" s="562"/>
      <c r="DU190" s="561"/>
      <c r="DV190" s="563"/>
      <c r="DW190" s="564"/>
      <c r="DX190" s="564"/>
      <c r="DY190" s="564"/>
      <c r="DZ190" s="560"/>
      <c r="EA190" s="561"/>
      <c r="EB190" s="562"/>
      <c r="EC190" s="561"/>
      <c r="ED190" s="563"/>
      <c r="EE190" s="564"/>
      <c r="EF190" s="564"/>
      <c r="EG190" s="564"/>
      <c r="EH190" s="560"/>
      <c r="EI190" s="561"/>
      <c r="EJ190" s="562"/>
      <c r="EK190" s="561"/>
      <c r="EL190" s="563"/>
      <c r="EM190" s="564"/>
      <c r="EN190" s="564"/>
      <c r="EO190" s="564"/>
      <c r="EP190" s="560"/>
      <c r="EQ190" s="561"/>
      <c r="ER190" s="562"/>
      <c r="ES190" s="561"/>
      <c r="ET190" s="563"/>
      <c r="EU190" s="564"/>
      <c r="EV190" s="564"/>
      <c r="EW190" s="564"/>
      <c r="EX190" s="560"/>
      <c r="EY190" s="561"/>
      <c r="EZ190" s="562"/>
      <c r="FA190" s="561"/>
      <c r="FB190" s="563"/>
      <c r="FC190" s="564"/>
      <c r="FD190" s="564"/>
      <c r="FE190" s="564"/>
      <c r="FF190" s="560"/>
      <c r="FG190" s="561"/>
      <c r="FH190" s="562"/>
      <c r="FI190" s="561"/>
      <c r="FJ190" s="563"/>
      <c r="FK190" s="564"/>
      <c r="FL190" s="564"/>
      <c r="FM190" s="564"/>
      <c r="FN190" s="560"/>
      <c r="FO190" s="561"/>
      <c r="FP190" s="562"/>
      <c r="FQ190" s="561"/>
      <c r="FR190" s="563"/>
      <c r="FS190" s="564"/>
      <c r="FT190" s="564"/>
      <c r="FU190" s="564"/>
      <c r="FV190" s="560"/>
      <c r="FW190" s="566"/>
      <c r="FX190" s="566"/>
      <c r="FY190" s="566"/>
      <c r="FZ190" s="563"/>
      <c r="GA190" s="564"/>
      <c r="GB190" s="564"/>
      <c r="GC190" s="564"/>
      <c r="GD190" s="560"/>
      <c r="GE190" s="566"/>
      <c r="GF190" s="566"/>
      <c r="GG190" s="566"/>
      <c r="GH190" s="563"/>
      <c r="GI190" s="564"/>
      <c r="GJ190" s="564"/>
      <c r="GK190" s="564"/>
      <c r="GL190" s="560"/>
      <c r="GM190" s="566"/>
      <c r="GN190" s="566"/>
      <c r="GO190" s="566"/>
      <c r="GP190" s="563"/>
      <c r="GQ190" s="564"/>
      <c r="GR190" s="564"/>
      <c r="GS190" s="564"/>
      <c r="GT190" s="560"/>
      <c r="GU190" s="566"/>
      <c r="GV190" s="566"/>
      <c r="GW190" s="566"/>
      <c r="GX190" s="625"/>
      <c r="GY190" s="625"/>
      <c r="GZ190" s="625"/>
      <c r="HA190" s="625"/>
      <c r="HB190" s="625"/>
      <c r="HC190" s="625"/>
    </row>
    <row r="191" spans="2:211" s="506" customFormat="1" ht="24.65" customHeight="1" x14ac:dyDescent="0.35">
      <c r="B191" s="544">
        <v>188</v>
      </c>
      <c r="C191" s="544"/>
      <c r="D191" s="654" t="s">
        <v>44</v>
      </c>
      <c r="E191" s="546" t="s">
        <v>731</v>
      </c>
      <c r="F191" s="545" t="s">
        <v>46</v>
      </c>
      <c r="G191" s="546" t="s">
        <v>46</v>
      </c>
      <c r="H191" s="704" t="s">
        <v>732</v>
      </c>
      <c r="I191" s="548"/>
      <c r="J191" s="548"/>
      <c r="K191" s="568"/>
      <c r="L191" s="572"/>
      <c r="M191" s="569" t="s">
        <v>48</v>
      </c>
      <c r="N191" s="551"/>
      <c r="O191" s="552"/>
      <c r="P191" s="553"/>
      <c r="Q191" s="554"/>
      <c r="R191" s="554" t="s">
        <v>56</v>
      </c>
      <c r="S191" s="555">
        <f ca="1">IF(R191="Aprobado con comentarios / Emitir en Rev_0", NETWORKDAYS(Q191,TODAY(),Hoja1!$C$3:$C$25),0)</f>
        <v>0</v>
      </c>
      <c r="T191" s="555">
        <f ca="1">IF(R191="Revisión INN",NETWORKDAYS(P191,TODAY(),Hoja1!$C$3:$C$25),0)</f>
        <v>0</v>
      </c>
      <c r="U191" s="556">
        <f>ROUNDUP(((COUNTA(V191:GW191)/4)/2),0)</f>
        <v>0</v>
      </c>
      <c r="V191" s="557"/>
      <c r="W191" s="558"/>
      <c r="X191" s="567"/>
      <c r="Y191" s="559"/>
      <c r="Z191" s="560"/>
      <c r="AA191" s="561"/>
      <c r="AB191" s="562"/>
      <c r="AC191" s="561"/>
      <c r="AD191" s="563"/>
      <c r="AE191" s="567"/>
      <c r="AF191" s="564"/>
      <c r="AG191" s="565"/>
      <c r="AH191" s="560"/>
      <c r="AI191" s="561"/>
      <c r="AJ191" s="562"/>
      <c r="AK191" s="561"/>
      <c r="AL191" s="563"/>
      <c r="AM191" s="567"/>
      <c r="AN191" s="564"/>
      <c r="AO191" s="565"/>
      <c r="AP191" s="560"/>
      <c r="AQ191" s="561"/>
      <c r="AR191" s="562"/>
      <c r="AS191" s="561"/>
      <c r="AT191" s="563"/>
      <c r="AU191" s="567"/>
      <c r="AV191" s="564"/>
      <c r="AW191" s="565"/>
      <c r="AX191" s="560"/>
      <c r="AY191" s="561"/>
      <c r="AZ191" s="562"/>
      <c r="BA191" s="561"/>
      <c r="BB191" s="563"/>
      <c r="BC191" s="567"/>
      <c r="BD191" s="564"/>
      <c r="BE191" s="565"/>
      <c r="BF191" s="560"/>
      <c r="BG191" s="561"/>
      <c r="BH191" s="562"/>
      <c r="BI191" s="561"/>
      <c r="BJ191" s="563"/>
      <c r="BK191" s="567"/>
      <c r="BL191" s="564"/>
      <c r="BM191" s="565"/>
      <c r="BN191" s="560"/>
      <c r="BO191" s="561"/>
      <c r="BP191" s="562"/>
      <c r="BQ191" s="561"/>
      <c r="BR191" s="563"/>
      <c r="BS191" s="567"/>
      <c r="BT191" s="564"/>
      <c r="BU191" s="565"/>
      <c r="BV191" s="560"/>
      <c r="BW191" s="561"/>
      <c r="BX191" s="562"/>
      <c r="BY191" s="561"/>
      <c r="BZ191" s="563"/>
      <c r="CA191" s="567"/>
      <c r="CB191" s="564"/>
      <c r="CC191" s="565"/>
      <c r="CD191" s="560"/>
      <c r="CE191" s="561"/>
      <c r="CF191" s="562"/>
      <c r="CG191" s="561"/>
      <c r="CH191" s="563"/>
      <c r="CI191" s="564"/>
      <c r="CJ191" s="564"/>
      <c r="CK191" s="564"/>
      <c r="CL191" s="560"/>
      <c r="CM191" s="561"/>
      <c r="CN191" s="562"/>
      <c r="CO191" s="561"/>
      <c r="CP191" s="563"/>
      <c r="CQ191" s="564"/>
      <c r="CR191" s="564"/>
      <c r="CS191" s="564"/>
      <c r="CT191" s="560"/>
      <c r="CU191" s="561"/>
      <c r="CV191" s="562"/>
      <c r="CW191" s="561"/>
      <c r="CX191" s="563"/>
      <c r="CY191" s="564"/>
      <c r="CZ191" s="564"/>
      <c r="DA191" s="564"/>
      <c r="DB191" s="560"/>
      <c r="DC191" s="561"/>
      <c r="DD191" s="562"/>
      <c r="DE191" s="561"/>
      <c r="DF191" s="563"/>
      <c r="DG191" s="564"/>
      <c r="DH191" s="564"/>
      <c r="DI191" s="564"/>
      <c r="DJ191" s="560"/>
      <c r="DK191" s="561"/>
      <c r="DL191" s="562"/>
      <c r="DM191" s="561"/>
      <c r="DN191" s="563"/>
      <c r="DO191" s="564"/>
      <c r="DP191" s="564"/>
      <c r="DQ191" s="564"/>
      <c r="DR191" s="560"/>
      <c r="DS191" s="561"/>
      <c r="DT191" s="562"/>
      <c r="DU191" s="561"/>
      <c r="DV191" s="563"/>
      <c r="DW191" s="564"/>
      <c r="DX191" s="564"/>
      <c r="DY191" s="564"/>
      <c r="DZ191" s="560"/>
      <c r="EA191" s="561"/>
      <c r="EB191" s="562"/>
      <c r="EC191" s="561"/>
      <c r="ED191" s="563"/>
      <c r="EE191" s="564"/>
      <c r="EF191" s="564"/>
      <c r="EG191" s="564"/>
      <c r="EH191" s="560"/>
      <c r="EI191" s="561"/>
      <c r="EJ191" s="562"/>
      <c r="EK191" s="561"/>
      <c r="EL191" s="563"/>
      <c r="EM191" s="564"/>
      <c r="EN191" s="564"/>
      <c r="EO191" s="564"/>
      <c r="EP191" s="560"/>
      <c r="EQ191" s="561"/>
      <c r="ER191" s="562"/>
      <c r="ES191" s="561"/>
      <c r="ET191" s="563"/>
      <c r="EU191" s="564"/>
      <c r="EV191" s="564"/>
      <c r="EW191" s="564"/>
      <c r="EX191" s="560"/>
      <c r="EY191" s="561"/>
      <c r="EZ191" s="562"/>
      <c r="FA191" s="561"/>
      <c r="FB191" s="563"/>
      <c r="FC191" s="564"/>
      <c r="FD191" s="564"/>
      <c r="FE191" s="564"/>
      <c r="FF191" s="560"/>
      <c r="FG191" s="561"/>
      <c r="FH191" s="562"/>
      <c r="FI191" s="561"/>
      <c r="FJ191" s="563"/>
      <c r="FK191" s="564"/>
      <c r="FL191" s="564"/>
      <c r="FM191" s="564"/>
      <c r="FN191" s="560"/>
      <c r="FO191" s="561"/>
      <c r="FP191" s="562"/>
      <c r="FQ191" s="561"/>
      <c r="FR191" s="563"/>
      <c r="FS191" s="564"/>
      <c r="FT191" s="564"/>
      <c r="FU191" s="564"/>
      <c r="FV191" s="560"/>
      <c r="FW191" s="566"/>
      <c r="FX191" s="566"/>
      <c r="FY191" s="566"/>
      <c r="FZ191" s="563"/>
      <c r="GA191" s="564"/>
      <c r="GB191" s="564"/>
      <c r="GC191" s="564"/>
      <c r="GD191" s="560"/>
      <c r="GE191" s="566"/>
      <c r="GF191" s="566"/>
      <c r="GG191" s="566"/>
      <c r="GH191" s="563"/>
      <c r="GI191" s="564"/>
      <c r="GJ191" s="564"/>
      <c r="GK191" s="564"/>
      <c r="GL191" s="560"/>
      <c r="GM191" s="566"/>
      <c r="GN191" s="566"/>
      <c r="GO191" s="566"/>
      <c r="GP191" s="563"/>
      <c r="GQ191" s="564"/>
      <c r="GR191" s="564"/>
      <c r="GS191" s="564"/>
      <c r="GT191" s="560"/>
      <c r="GU191" s="566"/>
      <c r="GV191" s="566"/>
      <c r="GW191" s="566"/>
      <c r="GX191" s="625"/>
      <c r="GY191" s="625"/>
      <c r="GZ191" s="625"/>
      <c r="HA191" s="625"/>
      <c r="HB191" s="625"/>
      <c r="HC191" s="625"/>
    </row>
    <row r="192" spans="2:211" s="506" customFormat="1" ht="24.65" customHeight="1" x14ac:dyDescent="0.35">
      <c r="B192" s="544">
        <v>189</v>
      </c>
      <c r="C192" s="544"/>
      <c r="D192" s="544"/>
      <c r="E192" s="546" t="s">
        <v>733</v>
      </c>
      <c r="F192" s="545" t="s">
        <v>46</v>
      </c>
      <c r="G192" s="546" t="s">
        <v>46</v>
      </c>
      <c r="H192" s="704" t="s">
        <v>734</v>
      </c>
      <c r="I192" s="548"/>
      <c r="J192" s="548"/>
      <c r="K192" s="568"/>
      <c r="L192" s="572"/>
      <c r="M192" s="569" t="s">
        <v>48</v>
      </c>
      <c r="N192" s="551">
        <v>0</v>
      </c>
      <c r="O192" s="552">
        <v>217</v>
      </c>
      <c r="P192" s="553">
        <v>46091</v>
      </c>
      <c r="Q192" s="554"/>
      <c r="R192" s="554" t="s">
        <v>49</v>
      </c>
      <c r="S192" s="555"/>
      <c r="T192" s="555"/>
      <c r="U192" s="556"/>
      <c r="V192" s="557"/>
      <c r="W192" s="558"/>
      <c r="X192" s="567"/>
      <c r="Y192" s="559"/>
      <c r="Z192" s="560"/>
      <c r="AA192" s="561"/>
      <c r="AB192" s="562"/>
      <c r="AC192" s="561"/>
      <c r="AD192" s="563"/>
      <c r="AE192" s="567"/>
      <c r="AF192" s="564"/>
      <c r="AG192" s="565"/>
      <c r="AH192" s="560"/>
      <c r="AI192" s="561"/>
      <c r="AJ192" s="562"/>
      <c r="AK192" s="561"/>
      <c r="AL192" s="563"/>
      <c r="AM192" s="567"/>
      <c r="AN192" s="564"/>
      <c r="AO192" s="565"/>
      <c r="AP192" s="560"/>
      <c r="AQ192" s="561"/>
      <c r="AR192" s="562"/>
      <c r="AS192" s="561"/>
      <c r="AT192" s="563"/>
      <c r="AU192" s="567"/>
      <c r="AV192" s="564"/>
      <c r="AW192" s="565"/>
      <c r="AX192" s="560"/>
      <c r="AY192" s="561"/>
      <c r="AZ192" s="562"/>
      <c r="BA192" s="561"/>
      <c r="BB192" s="563"/>
      <c r="BC192" s="567"/>
      <c r="BD192" s="564"/>
      <c r="BE192" s="565"/>
      <c r="BF192" s="560"/>
      <c r="BG192" s="561"/>
      <c r="BH192" s="562"/>
      <c r="BI192" s="561"/>
      <c r="BJ192" s="563"/>
      <c r="BK192" s="567"/>
      <c r="BL192" s="564"/>
      <c r="BM192" s="565"/>
      <c r="BN192" s="560"/>
      <c r="BO192" s="561"/>
      <c r="BP192" s="562"/>
      <c r="BQ192" s="561"/>
      <c r="BR192" s="563"/>
      <c r="BS192" s="567"/>
      <c r="BT192" s="564"/>
      <c r="BU192" s="565"/>
      <c r="BV192" s="560"/>
      <c r="BW192" s="561"/>
      <c r="BX192" s="562"/>
      <c r="BY192" s="561"/>
      <c r="BZ192" s="563"/>
      <c r="CA192" s="567"/>
      <c r="CB192" s="564"/>
      <c r="CC192" s="565"/>
      <c r="CD192" s="560"/>
      <c r="CE192" s="561"/>
      <c r="CF192" s="562"/>
      <c r="CG192" s="561"/>
      <c r="CH192" s="563"/>
      <c r="CI192" s="564"/>
      <c r="CJ192" s="564"/>
      <c r="CK192" s="564"/>
      <c r="CL192" s="560"/>
      <c r="CM192" s="561"/>
      <c r="CN192" s="562"/>
      <c r="CO192" s="561"/>
      <c r="CP192" s="563"/>
      <c r="CQ192" s="564"/>
      <c r="CR192" s="564"/>
      <c r="CS192" s="564"/>
      <c r="CT192" s="560"/>
      <c r="CU192" s="561"/>
      <c r="CV192" s="562"/>
      <c r="CW192" s="561"/>
      <c r="CX192" s="563"/>
      <c r="CY192" s="564"/>
      <c r="CZ192" s="564"/>
      <c r="DA192" s="564"/>
      <c r="DB192" s="560"/>
      <c r="DC192" s="561"/>
      <c r="DD192" s="562"/>
      <c r="DE192" s="561"/>
      <c r="DF192" s="563"/>
      <c r="DG192" s="564"/>
      <c r="DH192" s="564"/>
      <c r="DI192" s="564"/>
      <c r="DJ192" s="560"/>
      <c r="DK192" s="561"/>
      <c r="DL192" s="562"/>
      <c r="DM192" s="561"/>
      <c r="DN192" s="563"/>
      <c r="DO192" s="564"/>
      <c r="DP192" s="564"/>
      <c r="DQ192" s="564"/>
      <c r="DR192" s="560"/>
      <c r="DS192" s="561"/>
      <c r="DT192" s="562"/>
      <c r="DU192" s="561"/>
      <c r="DV192" s="563"/>
      <c r="DW192" s="564"/>
      <c r="DX192" s="564"/>
      <c r="DY192" s="564"/>
      <c r="DZ192" s="560"/>
      <c r="EA192" s="561"/>
      <c r="EB192" s="562"/>
      <c r="EC192" s="561"/>
      <c r="ED192" s="563"/>
      <c r="EE192" s="564"/>
      <c r="EF192" s="564"/>
      <c r="EG192" s="564"/>
      <c r="EH192" s="560"/>
      <c r="EI192" s="561"/>
      <c r="EJ192" s="562"/>
      <c r="EK192" s="561"/>
      <c r="EL192" s="563"/>
      <c r="EM192" s="564"/>
      <c r="EN192" s="564"/>
      <c r="EO192" s="564"/>
      <c r="EP192" s="560"/>
      <c r="EQ192" s="561"/>
      <c r="ER192" s="562"/>
      <c r="ES192" s="561"/>
      <c r="ET192" s="563"/>
      <c r="EU192" s="564"/>
      <c r="EV192" s="564"/>
      <c r="EW192" s="564"/>
      <c r="EX192" s="560"/>
      <c r="EY192" s="561"/>
      <c r="EZ192" s="562"/>
      <c r="FA192" s="561"/>
      <c r="FB192" s="563"/>
      <c r="FC192" s="564"/>
      <c r="FD192" s="564"/>
      <c r="FE192" s="564"/>
      <c r="FF192" s="560"/>
      <c r="FG192" s="561"/>
      <c r="FH192" s="562"/>
      <c r="FI192" s="561"/>
      <c r="FJ192" s="563"/>
      <c r="FK192" s="564"/>
      <c r="FL192" s="564"/>
      <c r="FM192" s="564"/>
      <c r="FN192" s="560"/>
      <c r="FO192" s="561"/>
      <c r="FP192" s="562"/>
      <c r="FQ192" s="561"/>
      <c r="FR192" s="563"/>
      <c r="FS192" s="564"/>
      <c r="FT192" s="564"/>
      <c r="FU192" s="564"/>
      <c r="FV192" s="560"/>
      <c r="FW192" s="566"/>
      <c r="FX192" s="566"/>
      <c r="FY192" s="566"/>
      <c r="FZ192" s="563"/>
      <c r="GA192" s="564"/>
      <c r="GB192" s="564"/>
      <c r="GC192" s="564"/>
      <c r="GD192" s="560"/>
      <c r="GE192" s="566"/>
      <c r="GF192" s="566"/>
      <c r="GG192" s="566"/>
      <c r="GH192" s="563"/>
      <c r="GI192" s="564"/>
      <c r="GJ192" s="564"/>
      <c r="GK192" s="564"/>
      <c r="GL192" s="560"/>
      <c r="GM192" s="566"/>
      <c r="GN192" s="566"/>
      <c r="GO192" s="566"/>
      <c r="GP192" s="563"/>
      <c r="GQ192" s="564"/>
      <c r="GR192" s="564"/>
      <c r="GS192" s="564"/>
      <c r="GT192" s="560"/>
      <c r="GU192" s="566"/>
      <c r="GV192" s="566"/>
      <c r="GW192" s="566"/>
      <c r="GX192" s="625"/>
      <c r="GY192" s="625"/>
      <c r="GZ192" s="625"/>
      <c r="HA192" s="625"/>
      <c r="HB192" s="625"/>
      <c r="HC192" s="625"/>
    </row>
    <row r="193" spans="2:211" s="506" customFormat="1" ht="48.65" customHeight="1" x14ac:dyDescent="0.35">
      <c r="B193" s="544">
        <v>190</v>
      </c>
      <c r="C193" s="544"/>
      <c r="D193" s="544" t="s">
        <v>44</v>
      </c>
      <c r="E193" s="546" t="s">
        <v>735</v>
      </c>
      <c r="F193" s="545" t="s">
        <v>46</v>
      </c>
      <c r="G193" s="546" t="s">
        <v>46</v>
      </c>
      <c r="H193" s="704" t="s">
        <v>736</v>
      </c>
      <c r="I193" s="548"/>
      <c r="J193" s="548"/>
      <c r="K193" s="568"/>
      <c r="L193" s="572"/>
      <c r="M193" s="569" t="s">
        <v>48</v>
      </c>
      <c r="N193" s="551">
        <v>0</v>
      </c>
      <c r="O193" s="552">
        <v>194</v>
      </c>
      <c r="P193" s="553">
        <v>46077</v>
      </c>
      <c r="Q193" s="554"/>
      <c r="R193" s="554" t="s">
        <v>49</v>
      </c>
      <c r="S193" s="555">
        <f ca="1">IF(R193="Aprobado con comentarios / Emitir en Rev_0", NETWORKDAYS(Q193,TODAY(),Hoja1!$C$3:$C$25),0)</f>
        <v>0</v>
      </c>
      <c r="T193" s="555">
        <f ca="1">IF(R193="Revisión INN",NETWORKDAYS(P193,TODAY(),Hoja1!$C$3:$C$25),0)</f>
        <v>0</v>
      </c>
      <c r="U193" s="556">
        <f>ROUNDUP(((COUNTA(V193:GW193)/4)/2),0)</f>
        <v>1</v>
      </c>
      <c r="V193" s="601">
        <v>0</v>
      </c>
      <c r="W193" s="602">
        <v>194</v>
      </c>
      <c r="X193" s="567"/>
      <c r="Y193" s="596">
        <v>46077</v>
      </c>
      <c r="Z193" s="560"/>
      <c r="AA193" s="561"/>
      <c r="AB193" s="562"/>
      <c r="AC193" s="561"/>
      <c r="AD193" s="563"/>
      <c r="AE193" s="567"/>
      <c r="AF193" s="564"/>
      <c r="AG193" s="565"/>
      <c r="AH193" s="560"/>
      <c r="AI193" s="561"/>
      <c r="AJ193" s="562"/>
      <c r="AK193" s="561"/>
      <c r="AL193" s="563"/>
      <c r="AM193" s="567"/>
      <c r="AN193" s="564"/>
      <c r="AO193" s="565"/>
      <c r="AP193" s="560"/>
      <c r="AQ193" s="561"/>
      <c r="AR193" s="562"/>
      <c r="AS193" s="561"/>
      <c r="AT193" s="563"/>
      <c r="AU193" s="567"/>
      <c r="AV193" s="564"/>
      <c r="AW193" s="565"/>
      <c r="AX193" s="560"/>
      <c r="AY193" s="561"/>
      <c r="AZ193" s="562"/>
      <c r="BA193" s="561"/>
      <c r="BB193" s="563"/>
      <c r="BC193" s="567"/>
      <c r="BD193" s="564"/>
      <c r="BE193" s="565"/>
      <c r="BF193" s="560"/>
      <c r="BG193" s="561"/>
      <c r="BH193" s="562"/>
      <c r="BI193" s="561"/>
      <c r="BJ193" s="563"/>
      <c r="BK193" s="567"/>
      <c r="BL193" s="564"/>
      <c r="BM193" s="565"/>
      <c r="BN193" s="560"/>
      <c r="BO193" s="561"/>
      <c r="BP193" s="562"/>
      <c r="BQ193" s="561"/>
      <c r="BR193" s="563"/>
      <c r="BS193" s="567"/>
      <c r="BT193" s="564"/>
      <c r="BU193" s="565"/>
      <c r="BV193" s="560"/>
      <c r="BW193" s="561"/>
      <c r="BX193" s="562"/>
      <c r="BY193" s="561"/>
      <c r="BZ193" s="563"/>
      <c r="CA193" s="567"/>
      <c r="CB193" s="564"/>
      <c r="CC193" s="565"/>
      <c r="CD193" s="560"/>
      <c r="CE193" s="561"/>
      <c r="CF193" s="562"/>
      <c r="CG193" s="561"/>
      <c r="CH193" s="563"/>
      <c r="CI193" s="564"/>
      <c r="CJ193" s="564"/>
      <c r="CK193" s="564"/>
      <c r="CL193" s="560"/>
      <c r="CM193" s="561"/>
      <c r="CN193" s="562"/>
      <c r="CO193" s="561"/>
      <c r="CP193" s="563"/>
      <c r="CQ193" s="564"/>
      <c r="CR193" s="564"/>
      <c r="CS193" s="564"/>
      <c r="CT193" s="560"/>
      <c r="CU193" s="561"/>
      <c r="CV193" s="562"/>
      <c r="CW193" s="561"/>
      <c r="CX193" s="563"/>
      <c r="CY193" s="564"/>
      <c r="CZ193" s="564"/>
      <c r="DA193" s="564"/>
      <c r="DB193" s="560"/>
      <c r="DC193" s="561"/>
      <c r="DD193" s="562"/>
      <c r="DE193" s="561"/>
      <c r="DF193" s="563"/>
      <c r="DG193" s="564"/>
      <c r="DH193" s="564"/>
      <c r="DI193" s="564"/>
      <c r="DJ193" s="560"/>
      <c r="DK193" s="561"/>
      <c r="DL193" s="562"/>
      <c r="DM193" s="561"/>
      <c r="DN193" s="563"/>
      <c r="DO193" s="564"/>
      <c r="DP193" s="564"/>
      <c r="DQ193" s="564"/>
      <c r="DR193" s="560"/>
      <c r="DS193" s="561"/>
      <c r="DT193" s="562"/>
      <c r="DU193" s="561"/>
      <c r="DV193" s="563"/>
      <c r="DW193" s="564"/>
      <c r="DX193" s="564"/>
      <c r="DY193" s="564"/>
      <c r="DZ193" s="560"/>
      <c r="EA193" s="561"/>
      <c r="EB193" s="562"/>
      <c r="EC193" s="561"/>
      <c r="ED193" s="563"/>
      <c r="EE193" s="564"/>
      <c r="EF193" s="564"/>
      <c r="EG193" s="564"/>
      <c r="EH193" s="560"/>
      <c r="EI193" s="561"/>
      <c r="EJ193" s="562"/>
      <c r="EK193" s="561"/>
      <c r="EL193" s="563"/>
      <c r="EM193" s="564"/>
      <c r="EN193" s="564"/>
      <c r="EO193" s="564"/>
      <c r="EP193" s="560"/>
      <c r="EQ193" s="561"/>
      <c r="ER193" s="562"/>
      <c r="ES193" s="561"/>
      <c r="ET193" s="563"/>
      <c r="EU193" s="564"/>
      <c r="EV193" s="564"/>
      <c r="EW193" s="564"/>
      <c r="EX193" s="560"/>
      <c r="EY193" s="561"/>
      <c r="EZ193" s="562"/>
      <c r="FA193" s="561"/>
      <c r="FB193" s="563"/>
      <c r="FC193" s="564"/>
      <c r="FD193" s="564"/>
      <c r="FE193" s="564"/>
      <c r="FF193" s="560"/>
      <c r="FG193" s="561"/>
      <c r="FH193" s="562"/>
      <c r="FI193" s="561"/>
      <c r="FJ193" s="563"/>
      <c r="FK193" s="564"/>
      <c r="FL193" s="564"/>
      <c r="FM193" s="564"/>
      <c r="FN193" s="560"/>
      <c r="FO193" s="561"/>
      <c r="FP193" s="562"/>
      <c r="FQ193" s="561"/>
      <c r="FR193" s="563"/>
      <c r="FS193" s="564"/>
      <c r="FT193" s="564"/>
      <c r="FU193" s="564"/>
      <c r="FV193" s="560"/>
      <c r="FW193" s="566"/>
      <c r="FX193" s="566"/>
      <c r="FY193" s="566"/>
      <c r="FZ193" s="563"/>
      <c r="GA193" s="564"/>
      <c r="GB193" s="564"/>
      <c r="GC193" s="564"/>
      <c r="GD193" s="560"/>
      <c r="GE193" s="566"/>
      <c r="GF193" s="566"/>
      <c r="GG193" s="566"/>
      <c r="GH193" s="563"/>
      <c r="GI193" s="564"/>
      <c r="GJ193" s="564"/>
      <c r="GK193" s="564"/>
      <c r="GL193" s="560"/>
      <c r="GM193" s="566"/>
      <c r="GN193" s="566"/>
      <c r="GO193" s="566"/>
      <c r="GP193" s="563"/>
      <c r="GQ193" s="564"/>
      <c r="GR193" s="564"/>
      <c r="GS193" s="564"/>
      <c r="GT193" s="560"/>
      <c r="GU193" s="566"/>
      <c r="GV193" s="566"/>
      <c r="GW193" s="566"/>
      <c r="GX193" s="625"/>
      <c r="GY193" s="625"/>
      <c r="GZ193" s="625"/>
      <c r="HA193" s="625"/>
      <c r="HB193" s="625"/>
      <c r="HC193" s="625"/>
    </row>
    <row r="194" spans="2:211" s="506" customFormat="1" ht="48.65" customHeight="1" x14ac:dyDescent="0.35">
      <c r="B194" s="544">
        <v>191</v>
      </c>
      <c r="C194" s="544"/>
      <c r="D194" s="544" t="s">
        <v>44</v>
      </c>
      <c r="E194" s="546" t="s">
        <v>737</v>
      </c>
      <c r="F194" s="545" t="s">
        <v>46</v>
      </c>
      <c r="G194" s="546" t="s">
        <v>46</v>
      </c>
      <c r="H194" s="704" t="s">
        <v>738</v>
      </c>
      <c r="I194" s="548"/>
      <c r="J194" s="548"/>
      <c r="K194" s="568"/>
      <c r="L194" s="572"/>
      <c r="M194" s="569" t="s">
        <v>48</v>
      </c>
      <c r="N194" s="551">
        <v>0</v>
      </c>
      <c r="O194" s="552">
        <v>166</v>
      </c>
      <c r="P194" s="553">
        <v>46064</v>
      </c>
      <c r="Q194" s="554"/>
      <c r="R194" s="554" t="s">
        <v>73</v>
      </c>
      <c r="S194" s="555"/>
      <c r="T194" s="555"/>
      <c r="U194" s="556"/>
      <c r="V194" s="557">
        <v>0</v>
      </c>
      <c r="W194" s="558">
        <v>166</v>
      </c>
      <c r="X194" s="567"/>
      <c r="Y194" s="559">
        <v>46064</v>
      </c>
      <c r="Z194" s="560"/>
      <c r="AA194" s="561"/>
      <c r="AB194" s="562"/>
      <c r="AC194" s="561"/>
      <c r="AD194" s="563"/>
      <c r="AE194" s="567"/>
      <c r="AF194" s="564"/>
      <c r="AG194" s="565"/>
      <c r="AH194" s="560"/>
      <c r="AI194" s="561"/>
      <c r="AJ194" s="562"/>
      <c r="AK194" s="561"/>
      <c r="AL194" s="563"/>
      <c r="AM194" s="567"/>
      <c r="AN194" s="564"/>
      <c r="AO194" s="565"/>
      <c r="AP194" s="560"/>
      <c r="AQ194" s="561"/>
      <c r="AR194" s="562"/>
      <c r="AS194" s="561"/>
      <c r="AT194" s="563"/>
      <c r="AU194" s="567"/>
      <c r="AV194" s="564"/>
      <c r="AW194" s="565"/>
      <c r="AX194" s="560"/>
      <c r="AY194" s="561"/>
      <c r="AZ194" s="562"/>
      <c r="BA194" s="561"/>
      <c r="BB194" s="563"/>
      <c r="BC194" s="567"/>
      <c r="BD194" s="564"/>
      <c r="BE194" s="565"/>
      <c r="BF194" s="560"/>
      <c r="BG194" s="561"/>
      <c r="BH194" s="562"/>
      <c r="BI194" s="561"/>
      <c r="BJ194" s="563"/>
      <c r="BK194" s="567"/>
      <c r="BL194" s="564"/>
      <c r="BM194" s="565"/>
      <c r="BN194" s="560"/>
      <c r="BO194" s="561"/>
      <c r="BP194" s="562"/>
      <c r="BQ194" s="561"/>
      <c r="BR194" s="563"/>
      <c r="BS194" s="567"/>
      <c r="BT194" s="564"/>
      <c r="BU194" s="565"/>
      <c r="BV194" s="560"/>
      <c r="BW194" s="561"/>
      <c r="BX194" s="562"/>
      <c r="BY194" s="561"/>
      <c r="BZ194" s="563"/>
      <c r="CA194" s="567"/>
      <c r="CB194" s="564"/>
      <c r="CC194" s="565"/>
      <c r="CD194" s="560"/>
      <c r="CE194" s="561"/>
      <c r="CF194" s="562"/>
      <c r="CG194" s="561"/>
      <c r="CH194" s="563"/>
      <c r="CI194" s="564"/>
      <c r="CJ194" s="564"/>
      <c r="CK194" s="564"/>
      <c r="CL194" s="560"/>
      <c r="CM194" s="561"/>
      <c r="CN194" s="562"/>
      <c r="CO194" s="561"/>
      <c r="CP194" s="563"/>
      <c r="CQ194" s="564"/>
      <c r="CR194" s="564"/>
      <c r="CS194" s="564"/>
      <c r="CT194" s="560"/>
      <c r="CU194" s="561"/>
      <c r="CV194" s="562"/>
      <c r="CW194" s="561"/>
      <c r="CX194" s="563"/>
      <c r="CY194" s="564"/>
      <c r="CZ194" s="564"/>
      <c r="DA194" s="564"/>
      <c r="DB194" s="560"/>
      <c r="DC194" s="561"/>
      <c r="DD194" s="562"/>
      <c r="DE194" s="561"/>
      <c r="DF194" s="563"/>
      <c r="DG194" s="564"/>
      <c r="DH194" s="564"/>
      <c r="DI194" s="564"/>
      <c r="DJ194" s="560"/>
      <c r="DK194" s="561"/>
      <c r="DL194" s="562"/>
      <c r="DM194" s="561"/>
      <c r="DN194" s="563"/>
      <c r="DO194" s="564"/>
      <c r="DP194" s="564"/>
      <c r="DQ194" s="564"/>
      <c r="DR194" s="560"/>
      <c r="DS194" s="561"/>
      <c r="DT194" s="562"/>
      <c r="DU194" s="561"/>
      <c r="DV194" s="563"/>
      <c r="DW194" s="564"/>
      <c r="DX194" s="564"/>
      <c r="DY194" s="564"/>
      <c r="DZ194" s="560"/>
      <c r="EA194" s="561"/>
      <c r="EB194" s="562"/>
      <c r="EC194" s="561"/>
      <c r="ED194" s="563"/>
      <c r="EE194" s="564"/>
      <c r="EF194" s="564"/>
      <c r="EG194" s="564"/>
      <c r="EH194" s="560"/>
      <c r="EI194" s="561"/>
      <c r="EJ194" s="562"/>
      <c r="EK194" s="561"/>
      <c r="EL194" s="563"/>
      <c r="EM194" s="564"/>
      <c r="EN194" s="564"/>
      <c r="EO194" s="564"/>
      <c r="EP194" s="560"/>
      <c r="EQ194" s="561"/>
      <c r="ER194" s="562"/>
      <c r="ES194" s="561"/>
      <c r="ET194" s="563"/>
      <c r="EU194" s="564"/>
      <c r="EV194" s="564"/>
      <c r="EW194" s="564"/>
      <c r="EX194" s="560"/>
      <c r="EY194" s="561"/>
      <c r="EZ194" s="562"/>
      <c r="FA194" s="561"/>
      <c r="FB194" s="563"/>
      <c r="FC194" s="564"/>
      <c r="FD194" s="564"/>
      <c r="FE194" s="564"/>
      <c r="FF194" s="560"/>
      <c r="FG194" s="561"/>
      <c r="FH194" s="562"/>
      <c r="FI194" s="561"/>
      <c r="FJ194" s="563"/>
      <c r="FK194" s="564"/>
      <c r="FL194" s="564"/>
      <c r="FM194" s="564"/>
      <c r="FN194" s="560"/>
      <c r="FO194" s="561"/>
      <c r="FP194" s="562"/>
      <c r="FQ194" s="561"/>
      <c r="FR194" s="563"/>
      <c r="FS194" s="564"/>
      <c r="FT194" s="564"/>
      <c r="FU194" s="564"/>
      <c r="FV194" s="560"/>
      <c r="FW194" s="566"/>
      <c r="FX194" s="566"/>
      <c r="FY194" s="566"/>
      <c r="FZ194" s="563"/>
      <c r="GA194" s="564"/>
      <c r="GB194" s="564"/>
      <c r="GC194" s="564"/>
      <c r="GD194" s="560"/>
      <c r="GE194" s="566"/>
      <c r="GF194" s="566"/>
      <c r="GG194" s="566"/>
      <c r="GH194" s="563"/>
      <c r="GI194" s="564"/>
      <c r="GJ194" s="564"/>
      <c r="GK194" s="564"/>
      <c r="GL194" s="560"/>
      <c r="GM194" s="566"/>
      <c r="GN194" s="566"/>
      <c r="GO194" s="566"/>
      <c r="GP194" s="563"/>
      <c r="GQ194" s="564"/>
      <c r="GR194" s="564"/>
      <c r="GS194" s="564"/>
      <c r="GT194" s="560"/>
      <c r="GU194" s="566"/>
      <c r="GV194" s="566"/>
      <c r="GW194" s="566"/>
      <c r="GX194" s="625"/>
      <c r="GY194" s="625"/>
      <c r="GZ194" s="625"/>
      <c r="HA194" s="625"/>
      <c r="HB194" s="625"/>
      <c r="HC194" s="625"/>
    </row>
    <row r="195" spans="2:211" s="506" customFormat="1" ht="24.65" customHeight="1" x14ac:dyDescent="0.35">
      <c r="B195" s="544">
        <v>192</v>
      </c>
      <c r="C195" s="544"/>
      <c r="D195" s="544" t="s">
        <v>44</v>
      </c>
      <c r="E195" s="545" t="s">
        <v>739</v>
      </c>
      <c r="F195" s="546" t="s">
        <v>46</v>
      </c>
      <c r="G195" s="546" t="s">
        <v>46</v>
      </c>
      <c r="H195" s="547" t="s">
        <v>740</v>
      </c>
      <c r="I195" s="549"/>
      <c r="J195" s="549"/>
      <c r="K195" s="568"/>
      <c r="L195" s="549"/>
      <c r="M195" s="569" t="s">
        <v>48</v>
      </c>
      <c r="N195" s="551">
        <v>0</v>
      </c>
      <c r="O195" s="552">
        <v>164</v>
      </c>
      <c r="P195" s="553">
        <v>46057</v>
      </c>
      <c r="Q195" s="553"/>
      <c r="R195" s="554" t="s">
        <v>73</v>
      </c>
      <c r="S195" s="555"/>
      <c r="T195" s="555"/>
      <c r="U195" s="556"/>
      <c r="V195" s="557"/>
      <c r="W195" s="558"/>
      <c r="X195" s="567"/>
      <c r="Y195" s="559"/>
      <c r="Z195" s="560"/>
      <c r="AA195" s="561"/>
      <c r="AB195" s="562"/>
      <c r="AC195" s="561"/>
      <c r="AD195" s="563"/>
      <c r="AE195" s="567"/>
      <c r="AF195" s="564"/>
      <c r="AG195" s="565"/>
      <c r="AH195" s="560"/>
      <c r="AI195" s="561"/>
      <c r="AJ195" s="562"/>
      <c r="AK195" s="561"/>
      <c r="AL195" s="563"/>
      <c r="AM195" s="567"/>
      <c r="AN195" s="564"/>
      <c r="AO195" s="565"/>
      <c r="AP195" s="560"/>
      <c r="AQ195" s="561"/>
      <c r="AR195" s="562"/>
      <c r="AS195" s="561"/>
      <c r="AT195" s="563"/>
      <c r="AU195" s="567"/>
      <c r="AV195" s="564"/>
      <c r="AW195" s="565"/>
      <c r="AX195" s="560"/>
      <c r="AY195" s="561"/>
      <c r="AZ195" s="562"/>
      <c r="BA195" s="561"/>
      <c r="BB195" s="563"/>
      <c r="BC195" s="567"/>
      <c r="BD195" s="564"/>
      <c r="BE195" s="565"/>
      <c r="BF195" s="560"/>
      <c r="BG195" s="560"/>
      <c r="BH195" s="560"/>
      <c r="BI195" s="560"/>
      <c r="BJ195" s="563"/>
      <c r="BK195" s="567"/>
      <c r="BL195" s="564"/>
      <c r="BM195" s="565"/>
      <c r="BN195" s="560"/>
      <c r="BO195" s="561"/>
      <c r="BP195" s="562"/>
      <c r="BQ195" s="561"/>
      <c r="BR195" s="563"/>
      <c r="BS195" s="567"/>
      <c r="BT195" s="564"/>
      <c r="BU195" s="565"/>
      <c r="BV195" s="560"/>
      <c r="BW195" s="561"/>
      <c r="BX195" s="562"/>
      <c r="BY195" s="561"/>
      <c r="BZ195" s="563"/>
      <c r="CA195" s="567"/>
      <c r="CB195" s="564"/>
      <c r="CC195" s="565"/>
      <c r="CD195" s="560"/>
      <c r="CE195" s="561"/>
      <c r="CF195" s="562"/>
      <c r="CG195" s="561"/>
      <c r="CH195" s="563"/>
      <c r="CI195" s="564"/>
      <c r="CJ195" s="564"/>
      <c r="CK195" s="590"/>
      <c r="CL195" s="560"/>
      <c r="CM195" s="561"/>
      <c r="CN195" s="562"/>
      <c r="CO195" s="561"/>
      <c r="CP195" s="563"/>
      <c r="CQ195" s="564"/>
      <c r="CR195" s="564"/>
      <c r="CS195" s="590"/>
      <c r="CT195" s="560"/>
      <c r="CU195" s="561"/>
      <c r="CV195" s="562"/>
      <c r="CW195" s="561"/>
      <c r="CX195" s="563"/>
      <c r="CY195" s="564"/>
      <c r="CZ195" s="564"/>
      <c r="DA195" s="565"/>
      <c r="DB195" s="560"/>
      <c r="DC195" s="561"/>
      <c r="DD195" s="562"/>
      <c r="DE195" s="561"/>
      <c r="DF195" s="563"/>
      <c r="DG195" s="564"/>
      <c r="DH195" s="564"/>
      <c r="DI195" s="590"/>
      <c r="DJ195" s="560"/>
      <c r="DK195" s="561"/>
      <c r="DL195" s="562"/>
      <c r="DM195" s="561"/>
      <c r="DN195" s="563"/>
      <c r="DO195" s="564"/>
      <c r="DP195" s="564"/>
      <c r="DQ195" s="590"/>
      <c r="DR195" s="560"/>
      <c r="DS195" s="561"/>
      <c r="DT195" s="562"/>
      <c r="DU195" s="561"/>
      <c r="DV195" s="563"/>
      <c r="DW195" s="564"/>
      <c r="DX195" s="564"/>
      <c r="DY195" s="590"/>
      <c r="DZ195" s="560"/>
      <c r="EA195" s="561"/>
      <c r="EB195" s="562"/>
      <c r="EC195" s="561"/>
      <c r="ED195" s="563"/>
      <c r="EE195" s="564"/>
      <c r="EF195" s="564"/>
      <c r="EG195" s="590"/>
      <c r="EH195" s="560"/>
      <c r="EI195" s="561"/>
      <c r="EJ195" s="562"/>
      <c r="EK195" s="561"/>
      <c r="EL195" s="563"/>
      <c r="EM195" s="564"/>
      <c r="EN195" s="564"/>
      <c r="EO195" s="590"/>
      <c r="EP195" s="560"/>
      <c r="EQ195" s="561"/>
      <c r="ER195" s="562"/>
      <c r="ES195" s="561"/>
      <c r="ET195" s="563"/>
      <c r="EU195" s="564"/>
      <c r="EV195" s="564"/>
      <c r="EW195" s="590"/>
      <c r="EX195" s="560"/>
      <c r="EY195" s="561"/>
      <c r="EZ195" s="562"/>
      <c r="FA195" s="561"/>
      <c r="FB195" s="563"/>
      <c r="FC195" s="564"/>
      <c r="FD195" s="564"/>
      <c r="FE195" s="564"/>
      <c r="FF195" s="560"/>
      <c r="FG195" s="561"/>
      <c r="FH195" s="562"/>
      <c r="FI195" s="561"/>
      <c r="FJ195" s="563"/>
      <c r="FK195" s="564"/>
      <c r="FL195" s="564"/>
      <c r="FM195" s="564"/>
      <c r="FN195" s="560"/>
      <c r="FO195" s="561"/>
      <c r="FP195" s="562"/>
      <c r="FQ195" s="561"/>
      <c r="FR195" s="563"/>
      <c r="FS195" s="564"/>
      <c r="FT195" s="564"/>
      <c r="FU195" s="564"/>
      <c r="FV195" s="560"/>
      <c r="FW195" s="566"/>
      <c r="FX195" s="566"/>
      <c r="FY195" s="566"/>
      <c r="FZ195" s="563"/>
      <c r="GA195" s="564"/>
      <c r="GB195" s="564"/>
      <c r="GC195" s="564"/>
      <c r="GD195" s="560"/>
      <c r="GE195" s="566"/>
      <c r="GF195" s="566"/>
      <c r="GG195" s="566"/>
      <c r="GH195" s="563"/>
      <c r="GI195" s="564"/>
      <c r="GJ195" s="564"/>
      <c r="GK195" s="564"/>
      <c r="GL195" s="560"/>
      <c r="GM195" s="566"/>
      <c r="GN195" s="566"/>
      <c r="GO195" s="566"/>
      <c r="GP195" s="563"/>
      <c r="GQ195" s="564"/>
      <c r="GR195" s="564"/>
      <c r="GS195" s="564"/>
      <c r="GT195" s="560"/>
      <c r="GU195" s="566"/>
      <c r="GV195" s="566"/>
      <c r="GW195" s="566"/>
      <c r="GX195" s="625"/>
      <c r="GY195" s="625"/>
      <c r="GZ195" s="625"/>
      <c r="HA195" s="625"/>
      <c r="HB195" s="625"/>
      <c r="HC195" s="625"/>
    </row>
    <row r="196" spans="2:211" s="506" customFormat="1" ht="24.65" customHeight="1" x14ac:dyDescent="0.35">
      <c r="B196" s="544">
        <v>193</v>
      </c>
      <c r="C196" s="544"/>
      <c r="D196" s="545" t="s">
        <v>44</v>
      </c>
      <c r="E196" s="546" t="s">
        <v>741</v>
      </c>
      <c r="F196" s="546" t="s">
        <v>46</v>
      </c>
      <c r="G196" s="546" t="s">
        <v>46</v>
      </c>
      <c r="H196" s="547" t="s">
        <v>742</v>
      </c>
      <c r="I196" s="547"/>
      <c r="J196" s="547"/>
      <c r="K196" s="547"/>
      <c r="L196" s="547"/>
      <c r="M196" s="569" t="s">
        <v>102</v>
      </c>
      <c r="N196" s="551">
        <v>0</v>
      </c>
      <c r="O196" s="552">
        <v>138</v>
      </c>
      <c r="P196" s="553">
        <v>46037</v>
      </c>
      <c r="Q196" s="553"/>
      <c r="R196" s="554" t="s">
        <v>73</v>
      </c>
      <c r="S196" s="555">
        <f ca="1">IF(R196="Aprobado con comentarios / Emitir Rev_B", NETWORKDAYS(Q196,TODAY(),Hoja1!$C$3:$C$25),0)</f>
        <v>0</v>
      </c>
      <c r="T196" s="555">
        <f ca="1">IF(R196="Revisión INN",NETWORKDAYS(P196,TODAY(),Hoja1!$C$3:$C$25),0)</f>
        <v>0</v>
      </c>
      <c r="U196" s="556">
        <f>ROUNDUP(((COUNTA(V196:GW196)/4)/2),0)</f>
        <v>1</v>
      </c>
      <c r="V196" s="557">
        <v>0</v>
      </c>
      <c r="W196" s="558">
        <v>138</v>
      </c>
      <c r="X196" s="558"/>
      <c r="Y196" s="559">
        <v>46037</v>
      </c>
      <c r="Z196" s="560"/>
      <c r="AA196" s="561"/>
      <c r="AB196" s="562"/>
      <c r="AC196" s="561"/>
      <c r="AD196" s="563"/>
      <c r="AE196" s="567"/>
      <c r="AF196" s="564"/>
      <c r="AG196" s="565"/>
      <c r="AH196" s="560"/>
      <c r="AI196" s="561"/>
      <c r="AJ196" s="562"/>
      <c r="AK196" s="561"/>
      <c r="AL196" s="563"/>
      <c r="AM196" s="567"/>
      <c r="AN196" s="564"/>
      <c r="AO196" s="565"/>
      <c r="AP196" s="560"/>
      <c r="AQ196" s="561"/>
      <c r="AR196" s="562"/>
      <c r="AS196" s="561"/>
      <c r="AT196" s="563"/>
      <c r="AU196" s="567"/>
      <c r="AV196" s="564"/>
      <c r="AW196" s="565"/>
      <c r="AX196" s="560"/>
      <c r="AY196" s="561"/>
      <c r="AZ196" s="562"/>
      <c r="BA196" s="561"/>
      <c r="BB196" s="563"/>
      <c r="BC196" s="567"/>
      <c r="BD196" s="564"/>
      <c r="BE196" s="565"/>
      <c r="BF196" s="560"/>
      <c r="BG196" s="561"/>
      <c r="BH196" s="562"/>
      <c r="BI196" s="561"/>
      <c r="BJ196" s="563"/>
      <c r="BK196" s="567"/>
      <c r="BL196" s="564"/>
      <c r="BM196" s="565"/>
      <c r="BN196" s="560"/>
      <c r="BO196" s="561"/>
      <c r="BP196" s="562"/>
      <c r="BQ196" s="561"/>
      <c r="BR196" s="563"/>
      <c r="BS196" s="567"/>
      <c r="BT196" s="564"/>
      <c r="BU196" s="565"/>
      <c r="BV196" s="560"/>
      <c r="BW196" s="561"/>
      <c r="BX196" s="562"/>
      <c r="BY196" s="561"/>
      <c r="BZ196" s="563"/>
      <c r="CA196" s="567"/>
      <c r="CB196" s="564"/>
      <c r="CC196" s="565"/>
      <c r="CD196" s="560"/>
      <c r="CE196" s="561"/>
      <c r="CF196" s="562"/>
      <c r="CG196" s="561"/>
      <c r="CH196" s="563"/>
      <c r="CI196" s="564"/>
      <c r="CJ196" s="564"/>
      <c r="CK196" s="564"/>
      <c r="CL196" s="560"/>
      <c r="CM196" s="561"/>
      <c r="CN196" s="562"/>
      <c r="CO196" s="561"/>
      <c r="CP196" s="563"/>
      <c r="CQ196" s="564"/>
      <c r="CR196" s="564"/>
      <c r="CS196" s="564"/>
      <c r="CT196" s="560"/>
      <c r="CU196" s="561"/>
      <c r="CV196" s="562"/>
      <c r="CW196" s="561"/>
      <c r="CX196" s="563"/>
      <c r="CY196" s="564"/>
      <c r="CZ196" s="564"/>
      <c r="DA196" s="564"/>
      <c r="DB196" s="560"/>
      <c r="DC196" s="561"/>
      <c r="DD196" s="562"/>
      <c r="DE196" s="561"/>
      <c r="DF196" s="563"/>
      <c r="DG196" s="564"/>
      <c r="DH196" s="564"/>
      <c r="DI196" s="564"/>
      <c r="DJ196" s="560"/>
      <c r="DK196" s="561"/>
      <c r="DL196" s="562"/>
      <c r="DM196" s="561"/>
      <c r="DN196" s="563"/>
      <c r="DO196" s="564"/>
      <c r="DP196" s="564"/>
      <c r="DQ196" s="564"/>
      <c r="DR196" s="560"/>
      <c r="DS196" s="561"/>
      <c r="DT196" s="562"/>
      <c r="DU196" s="561"/>
      <c r="DV196" s="563"/>
      <c r="DW196" s="564"/>
      <c r="DX196" s="564"/>
      <c r="DY196" s="564"/>
      <c r="DZ196" s="560"/>
      <c r="EA196" s="561"/>
      <c r="EB196" s="562"/>
      <c r="EC196" s="561"/>
      <c r="ED196" s="563"/>
      <c r="EE196" s="564"/>
      <c r="EF196" s="564"/>
      <c r="EG196" s="564"/>
      <c r="EH196" s="560"/>
      <c r="EI196" s="561"/>
      <c r="EJ196" s="562"/>
      <c r="EK196" s="561"/>
      <c r="EL196" s="563"/>
      <c r="EM196" s="564"/>
      <c r="EN196" s="564"/>
      <c r="EO196" s="564"/>
      <c r="EP196" s="560"/>
      <c r="EQ196" s="561"/>
      <c r="ER196" s="562"/>
      <c r="ES196" s="561"/>
      <c r="ET196" s="563"/>
      <c r="EU196" s="564"/>
      <c r="EV196" s="564"/>
      <c r="EW196" s="564"/>
      <c r="EX196" s="560"/>
      <c r="EY196" s="561"/>
      <c r="EZ196" s="562"/>
      <c r="FA196" s="561"/>
      <c r="FB196" s="563"/>
      <c r="FC196" s="564"/>
      <c r="FD196" s="564"/>
      <c r="FE196" s="564"/>
      <c r="FF196" s="560"/>
      <c r="FG196" s="561"/>
      <c r="FH196" s="562"/>
      <c r="FI196" s="561"/>
      <c r="FJ196" s="563"/>
      <c r="FK196" s="564"/>
      <c r="FL196" s="564"/>
      <c r="FM196" s="564"/>
      <c r="FN196" s="560"/>
      <c r="FO196" s="561"/>
      <c r="FP196" s="562"/>
      <c r="FQ196" s="561"/>
      <c r="FR196" s="563"/>
      <c r="FS196" s="564"/>
      <c r="FT196" s="564"/>
      <c r="FU196" s="564"/>
      <c r="FV196" s="560"/>
      <c r="FW196" s="566"/>
      <c r="FX196" s="566"/>
      <c r="FY196" s="566"/>
      <c r="FZ196" s="563"/>
      <c r="GA196" s="564"/>
      <c r="GB196" s="564"/>
      <c r="GC196" s="564"/>
      <c r="GD196" s="560"/>
      <c r="GE196" s="566"/>
      <c r="GF196" s="566"/>
      <c r="GG196" s="566"/>
      <c r="GH196" s="563"/>
      <c r="GI196" s="564"/>
      <c r="GJ196" s="564"/>
      <c r="GK196" s="564"/>
      <c r="GL196" s="560"/>
      <c r="GM196" s="566"/>
      <c r="GN196" s="566"/>
      <c r="GO196" s="566"/>
      <c r="GP196" s="563"/>
      <c r="GQ196" s="564"/>
      <c r="GR196" s="564"/>
      <c r="GS196" s="564"/>
      <c r="GT196" s="560"/>
      <c r="GU196" s="566"/>
      <c r="GV196" s="566"/>
      <c r="GW196" s="566"/>
      <c r="GX196" s="625"/>
      <c r="GY196" s="625"/>
      <c r="GZ196" s="625"/>
      <c r="HA196" s="625"/>
      <c r="HB196" s="625"/>
      <c r="HC196" s="625"/>
    </row>
    <row r="197" spans="2:211" s="506" customFormat="1" ht="24.65" customHeight="1" x14ac:dyDescent="0.35">
      <c r="B197" s="544">
        <v>194</v>
      </c>
      <c r="C197" s="544"/>
      <c r="D197" s="544" t="s">
        <v>44</v>
      </c>
      <c r="E197" s="545" t="s">
        <v>743</v>
      </c>
      <c r="F197" s="546" t="s">
        <v>46</v>
      </c>
      <c r="G197" s="546" t="s">
        <v>46</v>
      </c>
      <c r="H197" s="547" t="s">
        <v>744</v>
      </c>
      <c r="I197" s="549"/>
      <c r="J197" s="549"/>
      <c r="K197" s="549"/>
      <c r="L197" s="549"/>
      <c r="M197" s="550" t="s">
        <v>48</v>
      </c>
      <c r="N197" s="551">
        <v>0</v>
      </c>
      <c r="O197" s="552">
        <v>180</v>
      </c>
      <c r="P197" s="553">
        <v>46071</v>
      </c>
      <c r="Q197" s="554"/>
      <c r="R197" s="554" t="s">
        <v>73</v>
      </c>
      <c r="S197" s="555"/>
      <c r="T197" s="555"/>
      <c r="U197" s="556"/>
      <c r="V197" s="557"/>
      <c r="W197" s="558"/>
      <c r="X197" s="558"/>
      <c r="Y197" s="559"/>
      <c r="Z197" s="560"/>
      <c r="AA197" s="561"/>
      <c r="AB197" s="562"/>
      <c r="AC197" s="561"/>
      <c r="AD197" s="563"/>
      <c r="AE197" s="567"/>
      <c r="AF197" s="564"/>
      <c r="AG197" s="565"/>
      <c r="AH197" s="560"/>
      <c r="AI197" s="561"/>
      <c r="AJ197" s="562"/>
      <c r="AK197" s="561"/>
      <c r="AL197" s="563"/>
      <c r="AM197" s="567"/>
      <c r="AN197" s="564"/>
      <c r="AO197" s="565"/>
      <c r="AP197" s="560"/>
      <c r="AQ197" s="561"/>
      <c r="AR197" s="562"/>
      <c r="AS197" s="561"/>
      <c r="AT197" s="563"/>
      <c r="AU197" s="567"/>
      <c r="AV197" s="564"/>
      <c r="AW197" s="565"/>
      <c r="AX197" s="560"/>
      <c r="AY197" s="561"/>
      <c r="AZ197" s="562"/>
      <c r="BA197" s="561"/>
      <c r="BB197" s="563"/>
      <c r="BC197" s="567"/>
      <c r="BD197" s="564"/>
      <c r="BE197" s="565"/>
      <c r="BF197" s="560"/>
      <c r="BG197" s="561"/>
      <c r="BH197" s="562"/>
      <c r="BI197" s="561"/>
      <c r="BJ197" s="563"/>
      <c r="BK197" s="567"/>
      <c r="BL197" s="564"/>
      <c r="BM197" s="565"/>
      <c r="BN197" s="560"/>
      <c r="BO197" s="561"/>
      <c r="BP197" s="562"/>
      <c r="BQ197" s="561"/>
      <c r="BR197" s="563"/>
      <c r="BS197" s="567"/>
      <c r="BT197" s="564"/>
      <c r="BU197" s="565"/>
      <c r="BV197" s="560"/>
      <c r="BW197" s="561"/>
      <c r="BX197" s="562"/>
      <c r="BY197" s="561"/>
      <c r="BZ197" s="563"/>
      <c r="CA197" s="567"/>
      <c r="CB197" s="564"/>
      <c r="CC197" s="565"/>
      <c r="CD197" s="560"/>
      <c r="CE197" s="561"/>
      <c r="CF197" s="562"/>
      <c r="CG197" s="561"/>
      <c r="CH197" s="563"/>
      <c r="CI197" s="564"/>
      <c r="CJ197" s="564"/>
      <c r="CK197" s="564"/>
      <c r="CL197" s="560"/>
      <c r="CM197" s="561"/>
      <c r="CN197" s="562"/>
      <c r="CO197" s="561"/>
      <c r="CP197" s="563"/>
      <c r="CQ197" s="564"/>
      <c r="CR197" s="564"/>
      <c r="CS197" s="564"/>
      <c r="CT197" s="560"/>
      <c r="CU197" s="561"/>
      <c r="CV197" s="562"/>
      <c r="CW197" s="561"/>
      <c r="CX197" s="563"/>
      <c r="CY197" s="564"/>
      <c r="CZ197" s="564"/>
      <c r="DA197" s="564"/>
      <c r="DB197" s="560"/>
      <c r="DC197" s="561"/>
      <c r="DD197" s="562"/>
      <c r="DE197" s="561"/>
      <c r="DF197" s="563"/>
      <c r="DG197" s="564"/>
      <c r="DH197" s="564"/>
      <c r="DI197" s="564"/>
      <c r="DJ197" s="560"/>
      <c r="DK197" s="561"/>
      <c r="DL197" s="562"/>
      <c r="DM197" s="561"/>
      <c r="DN197" s="563"/>
      <c r="DO197" s="564"/>
      <c r="DP197" s="564"/>
      <c r="DQ197" s="564"/>
      <c r="DR197" s="560"/>
      <c r="DS197" s="561"/>
      <c r="DT197" s="562"/>
      <c r="DU197" s="561"/>
      <c r="DV197" s="563"/>
      <c r="DW197" s="564"/>
      <c r="DX197" s="564"/>
      <c r="DY197" s="564"/>
      <c r="DZ197" s="560"/>
      <c r="EA197" s="561"/>
      <c r="EB197" s="562"/>
      <c r="EC197" s="561"/>
      <c r="ED197" s="563"/>
      <c r="EE197" s="564"/>
      <c r="EF197" s="564"/>
      <c r="EG197" s="564"/>
      <c r="EH197" s="560"/>
      <c r="EI197" s="561"/>
      <c r="EJ197" s="562"/>
      <c r="EK197" s="561"/>
      <c r="EL197" s="563"/>
      <c r="EM197" s="564"/>
      <c r="EN197" s="564"/>
      <c r="EO197" s="564"/>
      <c r="EP197" s="560"/>
      <c r="EQ197" s="561"/>
      <c r="ER197" s="562"/>
      <c r="ES197" s="561"/>
      <c r="ET197" s="563"/>
      <c r="EU197" s="564"/>
      <c r="EV197" s="564"/>
      <c r="EW197" s="564"/>
      <c r="EX197" s="560"/>
      <c r="EY197" s="561"/>
      <c r="EZ197" s="562"/>
      <c r="FA197" s="561"/>
      <c r="FB197" s="563"/>
      <c r="FC197" s="564"/>
      <c r="FD197" s="564"/>
      <c r="FE197" s="564"/>
      <c r="FF197" s="560"/>
      <c r="FG197" s="561"/>
      <c r="FH197" s="562"/>
      <c r="FI197" s="561"/>
      <c r="FJ197" s="563"/>
      <c r="FK197" s="564"/>
      <c r="FL197" s="564"/>
      <c r="FM197" s="564"/>
      <c r="FN197" s="560"/>
      <c r="FO197" s="561"/>
      <c r="FP197" s="562"/>
      <c r="FQ197" s="561"/>
      <c r="FR197" s="563"/>
      <c r="FS197" s="564"/>
      <c r="FT197" s="564"/>
      <c r="FU197" s="564"/>
      <c r="FV197" s="560"/>
      <c r="FW197" s="566"/>
      <c r="FX197" s="566"/>
      <c r="FY197" s="566"/>
      <c r="FZ197" s="563"/>
      <c r="GA197" s="564"/>
      <c r="GB197" s="564"/>
      <c r="GC197" s="564"/>
      <c r="GD197" s="560"/>
      <c r="GE197" s="566"/>
      <c r="GF197" s="566"/>
      <c r="GG197" s="566"/>
      <c r="GH197" s="563"/>
      <c r="GI197" s="564"/>
      <c r="GJ197" s="564"/>
      <c r="GK197" s="564"/>
      <c r="GL197" s="560"/>
      <c r="GM197" s="566"/>
      <c r="GN197" s="566"/>
      <c r="GO197" s="566"/>
      <c r="GP197" s="563"/>
      <c r="GQ197" s="564"/>
      <c r="GR197" s="564"/>
      <c r="GS197" s="564"/>
      <c r="GT197" s="560"/>
      <c r="GU197" s="566"/>
      <c r="GV197" s="566"/>
      <c r="GW197" s="566"/>
      <c r="GX197" s="625"/>
      <c r="GY197" s="625"/>
      <c r="GZ197" s="625"/>
      <c r="HA197" s="625"/>
      <c r="HB197" s="625"/>
      <c r="HC197" s="625"/>
    </row>
    <row r="198" spans="2:211" s="506" customFormat="1" ht="24.65" customHeight="1" x14ac:dyDescent="0.35">
      <c r="B198" s="544">
        <v>195</v>
      </c>
      <c r="C198" s="544"/>
      <c r="D198" s="544"/>
      <c r="E198" s="545" t="s">
        <v>745</v>
      </c>
      <c r="F198" s="546" t="s">
        <v>46</v>
      </c>
      <c r="G198" s="546"/>
      <c r="H198" s="547" t="s">
        <v>746</v>
      </c>
      <c r="I198" s="549"/>
      <c r="J198" s="549"/>
      <c r="K198" s="549"/>
      <c r="L198" s="549"/>
      <c r="M198" s="550" t="s">
        <v>48</v>
      </c>
      <c r="N198" s="551">
        <v>0</v>
      </c>
      <c r="O198" s="552">
        <v>204</v>
      </c>
      <c r="P198" s="553">
        <v>46085</v>
      </c>
      <c r="Q198" s="554"/>
      <c r="R198" s="554" t="s">
        <v>49</v>
      </c>
      <c r="S198" s="555">
        <f ca="1">IF(R198="Aprobado con comentarios / Emitir en Rev_0", NETWORKDAYS(Q198,TODAY(),Hoja1!$C$3:$C$25),0)</f>
        <v>0</v>
      </c>
      <c r="T198" s="555">
        <f ca="1">IF(R198="Revisión INN",NETWORKDAYS(P198,TODAY(),Hoja1!$C$3:$C$25),0)</f>
        <v>0</v>
      </c>
      <c r="U198" s="556">
        <f>ROUNDUP(((COUNTA(V198:GW198)/4)/2),0)</f>
        <v>0</v>
      </c>
      <c r="V198" s="557"/>
      <c r="W198" s="558"/>
      <c r="X198" s="558"/>
      <c r="Y198" s="559"/>
      <c r="Z198" s="560"/>
      <c r="AA198" s="561"/>
      <c r="AB198" s="562"/>
      <c r="AC198" s="561"/>
      <c r="AD198" s="563"/>
      <c r="AE198" s="567"/>
      <c r="AF198" s="564"/>
      <c r="AG198" s="565"/>
      <c r="AH198" s="560"/>
      <c r="AI198" s="561"/>
      <c r="AJ198" s="562"/>
      <c r="AK198" s="561"/>
      <c r="AL198" s="563"/>
      <c r="AM198" s="567"/>
      <c r="AN198" s="564"/>
      <c r="AO198" s="565"/>
      <c r="AP198" s="560"/>
      <c r="AQ198" s="561"/>
      <c r="AR198" s="562"/>
      <c r="AS198" s="561"/>
      <c r="AT198" s="563"/>
      <c r="AU198" s="567"/>
      <c r="AV198" s="564"/>
      <c r="AW198" s="565"/>
      <c r="AX198" s="560"/>
      <c r="AY198" s="561"/>
      <c r="AZ198" s="562"/>
      <c r="BA198" s="561"/>
      <c r="BB198" s="563"/>
      <c r="BC198" s="567"/>
      <c r="BD198" s="564"/>
      <c r="BE198" s="565"/>
      <c r="BF198" s="560"/>
      <c r="BG198" s="561"/>
      <c r="BH198" s="562"/>
      <c r="BI198" s="561"/>
      <c r="BJ198" s="563"/>
      <c r="BK198" s="567"/>
      <c r="BL198" s="564"/>
      <c r="BM198" s="565"/>
      <c r="BN198" s="560"/>
      <c r="BO198" s="561"/>
      <c r="BP198" s="562"/>
      <c r="BQ198" s="561"/>
      <c r="BR198" s="563"/>
      <c r="BS198" s="567"/>
      <c r="BT198" s="564"/>
      <c r="BU198" s="565"/>
      <c r="BV198" s="560"/>
      <c r="BW198" s="561"/>
      <c r="BX198" s="562"/>
      <c r="BY198" s="561"/>
      <c r="BZ198" s="563"/>
      <c r="CA198" s="567"/>
      <c r="CB198" s="564"/>
      <c r="CC198" s="565"/>
      <c r="CD198" s="560"/>
      <c r="CE198" s="561"/>
      <c r="CF198" s="562"/>
      <c r="CG198" s="561"/>
      <c r="CH198" s="563"/>
      <c r="CI198" s="564"/>
      <c r="CJ198" s="564"/>
      <c r="CK198" s="564"/>
      <c r="CL198" s="560"/>
      <c r="CM198" s="561"/>
      <c r="CN198" s="562"/>
      <c r="CO198" s="561"/>
      <c r="CP198" s="563"/>
      <c r="CQ198" s="564"/>
      <c r="CR198" s="564"/>
      <c r="CS198" s="564"/>
      <c r="CT198" s="560"/>
      <c r="CU198" s="561"/>
      <c r="CV198" s="562"/>
      <c r="CW198" s="561"/>
      <c r="CX198" s="563"/>
      <c r="CY198" s="564"/>
      <c r="CZ198" s="564"/>
      <c r="DA198" s="564"/>
      <c r="DB198" s="560"/>
      <c r="DC198" s="561"/>
      <c r="DD198" s="562"/>
      <c r="DE198" s="561"/>
      <c r="DF198" s="563"/>
      <c r="DG198" s="564"/>
      <c r="DH198" s="564"/>
      <c r="DI198" s="564"/>
      <c r="DJ198" s="560"/>
      <c r="DK198" s="561"/>
      <c r="DL198" s="562"/>
      <c r="DM198" s="561"/>
      <c r="DN198" s="563"/>
      <c r="DO198" s="564"/>
      <c r="DP198" s="564"/>
      <c r="DQ198" s="564"/>
      <c r="DR198" s="560"/>
      <c r="DS198" s="561"/>
      <c r="DT198" s="562"/>
      <c r="DU198" s="561"/>
      <c r="DV198" s="563"/>
      <c r="DW198" s="564"/>
      <c r="DX198" s="564"/>
      <c r="DY198" s="564"/>
      <c r="DZ198" s="560"/>
      <c r="EA198" s="561"/>
      <c r="EB198" s="562"/>
      <c r="EC198" s="561"/>
      <c r="ED198" s="563"/>
      <c r="EE198" s="564"/>
      <c r="EF198" s="564"/>
      <c r="EG198" s="564"/>
      <c r="EH198" s="560"/>
      <c r="EI198" s="561"/>
      <c r="EJ198" s="562"/>
      <c r="EK198" s="561"/>
      <c r="EL198" s="563"/>
      <c r="EM198" s="564"/>
      <c r="EN198" s="564"/>
      <c r="EO198" s="564"/>
      <c r="EP198" s="560"/>
      <c r="EQ198" s="561"/>
      <c r="ER198" s="562"/>
      <c r="ES198" s="561"/>
      <c r="ET198" s="563"/>
      <c r="EU198" s="564"/>
      <c r="EV198" s="564"/>
      <c r="EW198" s="564"/>
      <c r="EX198" s="560"/>
      <c r="EY198" s="561"/>
      <c r="EZ198" s="562"/>
      <c r="FA198" s="561"/>
      <c r="FB198" s="563"/>
      <c r="FC198" s="564"/>
      <c r="FD198" s="564"/>
      <c r="FE198" s="564"/>
      <c r="FF198" s="560"/>
      <c r="FG198" s="561"/>
      <c r="FH198" s="562"/>
      <c r="FI198" s="561"/>
      <c r="FJ198" s="563"/>
      <c r="FK198" s="564"/>
      <c r="FL198" s="564"/>
      <c r="FM198" s="564"/>
      <c r="FN198" s="560"/>
      <c r="FO198" s="561"/>
      <c r="FP198" s="562"/>
      <c r="FQ198" s="561"/>
      <c r="FR198" s="563"/>
      <c r="FS198" s="564"/>
      <c r="FT198" s="564"/>
      <c r="FU198" s="564"/>
      <c r="FV198" s="560"/>
      <c r="FW198" s="566"/>
      <c r="FX198" s="566"/>
      <c r="FY198" s="566"/>
      <c r="FZ198" s="563"/>
      <c r="GA198" s="564"/>
      <c r="GB198" s="564"/>
      <c r="GC198" s="564"/>
      <c r="GD198" s="560"/>
      <c r="GE198" s="566"/>
      <c r="GF198" s="566"/>
      <c r="GG198" s="566"/>
      <c r="GH198" s="563"/>
      <c r="GI198" s="564"/>
      <c r="GJ198" s="564"/>
      <c r="GK198" s="564"/>
      <c r="GL198" s="560"/>
      <c r="GM198" s="566"/>
      <c r="GN198" s="566"/>
      <c r="GO198" s="566"/>
      <c r="GP198" s="563"/>
      <c r="GQ198" s="564"/>
      <c r="GR198" s="564"/>
      <c r="GS198" s="564"/>
      <c r="GT198" s="560"/>
      <c r="GU198" s="566"/>
      <c r="GV198" s="566"/>
      <c r="GW198" s="566"/>
      <c r="GX198" s="625"/>
      <c r="GY198" s="625"/>
      <c r="GZ198" s="625"/>
      <c r="HA198" s="625"/>
      <c r="HB198" s="625"/>
      <c r="HC198" s="625"/>
    </row>
    <row r="199" spans="2:211" s="506" customFormat="1" ht="24.65" customHeight="1" x14ac:dyDescent="0.35">
      <c r="B199" s="544">
        <v>196</v>
      </c>
      <c r="C199" s="544"/>
      <c r="D199" s="544" t="s">
        <v>44</v>
      </c>
      <c r="E199" s="545" t="s">
        <v>747</v>
      </c>
      <c r="F199" s="546" t="s">
        <v>46</v>
      </c>
      <c r="G199" s="546" t="s">
        <v>46</v>
      </c>
      <c r="H199" s="547" t="s">
        <v>748</v>
      </c>
      <c r="I199" s="549"/>
      <c r="J199" s="549"/>
      <c r="K199" s="549"/>
      <c r="L199" s="549"/>
      <c r="M199" s="550" t="s">
        <v>48</v>
      </c>
      <c r="N199" s="551">
        <v>0</v>
      </c>
      <c r="O199" s="552">
        <v>225</v>
      </c>
      <c r="P199" s="553">
        <v>46099</v>
      </c>
      <c r="Q199" s="554"/>
      <c r="R199" s="554" t="s">
        <v>73</v>
      </c>
      <c r="S199" s="555">
        <f ca="1">IF(R199="Aprobado con comentarios / Emitir en Rev_0", NETWORKDAYS(Q199,TODAY(),Hoja1!$C$3:$C$25),0)</f>
        <v>0</v>
      </c>
      <c r="T199" s="555">
        <f ca="1">IF(R199="Revisión INN",NETWORKDAYS(P199,TODAY(),Hoja1!$C$3:$C$25),0)</f>
        <v>0</v>
      </c>
      <c r="U199" s="556">
        <f>ROUNDUP(((COUNTA(V199:GW199)/4)/2),0)</f>
        <v>1</v>
      </c>
      <c r="V199" s="557">
        <v>0</v>
      </c>
      <c r="W199" s="558">
        <v>225</v>
      </c>
      <c r="X199" s="558"/>
      <c r="Y199" s="559">
        <v>46099</v>
      </c>
      <c r="Z199" s="560"/>
      <c r="AA199" s="561"/>
      <c r="AB199" s="562"/>
      <c r="AC199" s="561"/>
      <c r="AD199" s="563"/>
      <c r="AE199" s="567"/>
      <c r="AF199" s="564"/>
      <c r="AG199" s="565"/>
      <c r="AH199" s="560"/>
      <c r="AI199" s="561"/>
      <c r="AJ199" s="562"/>
      <c r="AK199" s="561"/>
      <c r="AL199" s="563"/>
      <c r="AM199" s="567"/>
      <c r="AN199" s="564"/>
      <c r="AO199" s="565"/>
      <c r="AP199" s="560"/>
      <c r="AQ199" s="561"/>
      <c r="AR199" s="562"/>
      <c r="AS199" s="561"/>
      <c r="AT199" s="563"/>
      <c r="AU199" s="567"/>
      <c r="AV199" s="564"/>
      <c r="AW199" s="565"/>
      <c r="AX199" s="560"/>
      <c r="AY199" s="561"/>
      <c r="AZ199" s="562"/>
      <c r="BA199" s="561"/>
      <c r="BB199" s="563"/>
      <c r="BC199" s="567"/>
      <c r="BD199" s="564"/>
      <c r="BE199" s="565"/>
      <c r="BF199" s="560"/>
      <c r="BG199" s="561"/>
      <c r="BH199" s="562"/>
      <c r="BI199" s="561"/>
      <c r="BJ199" s="563"/>
      <c r="BK199" s="567"/>
      <c r="BL199" s="564"/>
      <c r="BM199" s="565"/>
      <c r="BN199" s="560"/>
      <c r="BO199" s="561"/>
      <c r="BP199" s="562"/>
      <c r="BQ199" s="561"/>
      <c r="BR199" s="563"/>
      <c r="BS199" s="567"/>
      <c r="BT199" s="564"/>
      <c r="BU199" s="565"/>
      <c r="BV199" s="560"/>
      <c r="BW199" s="561"/>
      <c r="BX199" s="562"/>
      <c r="BY199" s="561"/>
      <c r="BZ199" s="563"/>
      <c r="CA199" s="567"/>
      <c r="CB199" s="564"/>
      <c r="CC199" s="565"/>
      <c r="CD199" s="560"/>
      <c r="CE199" s="561"/>
      <c r="CF199" s="562"/>
      <c r="CG199" s="561"/>
      <c r="CH199" s="563"/>
      <c r="CI199" s="564"/>
      <c r="CJ199" s="564"/>
      <c r="CK199" s="564"/>
      <c r="CL199" s="560"/>
      <c r="CM199" s="561"/>
      <c r="CN199" s="562"/>
      <c r="CO199" s="561"/>
      <c r="CP199" s="563"/>
      <c r="CQ199" s="564"/>
      <c r="CR199" s="564"/>
      <c r="CS199" s="564"/>
      <c r="CT199" s="560"/>
      <c r="CU199" s="561"/>
      <c r="CV199" s="562"/>
      <c r="CW199" s="561"/>
      <c r="CX199" s="563"/>
      <c r="CY199" s="564"/>
      <c r="CZ199" s="564"/>
      <c r="DA199" s="564"/>
      <c r="DB199" s="560"/>
      <c r="DC199" s="561"/>
      <c r="DD199" s="562"/>
      <c r="DE199" s="561"/>
      <c r="DF199" s="563"/>
      <c r="DG199" s="564"/>
      <c r="DH199" s="564"/>
      <c r="DI199" s="564"/>
      <c r="DJ199" s="560"/>
      <c r="DK199" s="561"/>
      <c r="DL199" s="562"/>
      <c r="DM199" s="561"/>
      <c r="DN199" s="563"/>
      <c r="DO199" s="564"/>
      <c r="DP199" s="564"/>
      <c r="DQ199" s="564"/>
      <c r="DR199" s="560"/>
      <c r="DS199" s="561"/>
      <c r="DT199" s="562"/>
      <c r="DU199" s="561"/>
      <c r="DV199" s="563"/>
      <c r="DW199" s="564"/>
      <c r="DX199" s="564"/>
      <c r="DY199" s="564"/>
      <c r="DZ199" s="560"/>
      <c r="EA199" s="561"/>
      <c r="EB199" s="562"/>
      <c r="EC199" s="561"/>
      <c r="ED199" s="563"/>
      <c r="EE199" s="564"/>
      <c r="EF199" s="564"/>
      <c r="EG199" s="564"/>
      <c r="EH199" s="560"/>
      <c r="EI199" s="561"/>
      <c r="EJ199" s="562"/>
      <c r="EK199" s="561"/>
      <c r="EL199" s="563"/>
      <c r="EM199" s="564"/>
      <c r="EN199" s="564"/>
      <c r="EO199" s="564"/>
      <c r="EP199" s="560"/>
      <c r="EQ199" s="561"/>
      <c r="ER199" s="562"/>
      <c r="ES199" s="561"/>
      <c r="ET199" s="563"/>
      <c r="EU199" s="564"/>
      <c r="EV199" s="564"/>
      <c r="EW199" s="564"/>
      <c r="EX199" s="560"/>
      <c r="EY199" s="561"/>
      <c r="EZ199" s="562"/>
      <c r="FA199" s="561"/>
      <c r="FB199" s="563"/>
      <c r="FC199" s="564"/>
      <c r="FD199" s="564"/>
      <c r="FE199" s="564"/>
      <c r="FF199" s="560"/>
      <c r="FG199" s="561"/>
      <c r="FH199" s="562"/>
      <c r="FI199" s="561"/>
      <c r="FJ199" s="563"/>
      <c r="FK199" s="564"/>
      <c r="FL199" s="564"/>
      <c r="FM199" s="564"/>
      <c r="FN199" s="560"/>
      <c r="FO199" s="561"/>
      <c r="FP199" s="562"/>
      <c r="FQ199" s="561"/>
      <c r="FR199" s="563"/>
      <c r="FS199" s="564"/>
      <c r="FT199" s="564"/>
      <c r="FU199" s="564"/>
      <c r="FV199" s="560"/>
      <c r="FW199" s="566"/>
      <c r="FX199" s="566"/>
      <c r="FY199" s="566"/>
      <c r="FZ199" s="563"/>
      <c r="GA199" s="564"/>
      <c r="GB199" s="564"/>
      <c r="GC199" s="564"/>
      <c r="GD199" s="560"/>
      <c r="GE199" s="566"/>
      <c r="GF199" s="566"/>
      <c r="GG199" s="566"/>
      <c r="GH199" s="563"/>
      <c r="GI199" s="564"/>
      <c r="GJ199" s="564"/>
      <c r="GK199" s="564"/>
      <c r="GL199" s="560"/>
      <c r="GM199" s="566"/>
      <c r="GN199" s="566"/>
      <c r="GO199" s="566"/>
      <c r="GP199" s="563"/>
      <c r="GQ199" s="564"/>
      <c r="GR199" s="564"/>
      <c r="GS199" s="564"/>
      <c r="GT199" s="560"/>
      <c r="GU199" s="566"/>
      <c r="GV199" s="566"/>
      <c r="GW199" s="566"/>
      <c r="GX199" s="625"/>
      <c r="GY199" s="625"/>
      <c r="GZ199" s="625"/>
      <c r="HA199" s="625"/>
      <c r="HB199" s="625"/>
      <c r="HC199" s="625"/>
    </row>
    <row r="200" spans="2:211" s="506" customFormat="1" ht="24.65" customHeight="1" x14ac:dyDescent="0.35">
      <c r="B200" s="544">
        <v>197</v>
      </c>
      <c r="C200" s="544"/>
      <c r="D200" s="654" t="s">
        <v>44</v>
      </c>
      <c r="E200" s="545" t="s">
        <v>749</v>
      </c>
      <c r="F200" s="546" t="s">
        <v>46</v>
      </c>
      <c r="G200" s="546" t="s">
        <v>46</v>
      </c>
      <c r="H200" s="547" t="s">
        <v>750</v>
      </c>
      <c r="I200" s="549"/>
      <c r="J200" s="549"/>
      <c r="K200" s="549"/>
      <c r="L200" s="549"/>
      <c r="M200" s="550" t="s">
        <v>48</v>
      </c>
      <c r="N200" s="551"/>
      <c r="O200" s="552"/>
      <c r="P200" s="553"/>
      <c r="Q200" s="554"/>
      <c r="R200" s="554"/>
      <c r="S200" s="555"/>
      <c r="T200" s="555"/>
      <c r="U200" s="556"/>
      <c r="V200" s="557"/>
      <c r="W200" s="558"/>
      <c r="X200" s="558"/>
      <c r="Y200" s="559"/>
      <c r="Z200" s="560"/>
      <c r="AA200" s="561"/>
      <c r="AB200" s="562"/>
      <c r="AC200" s="561"/>
      <c r="AD200" s="563"/>
      <c r="AE200" s="567"/>
      <c r="AF200" s="564"/>
      <c r="AG200" s="565"/>
      <c r="AH200" s="560"/>
      <c r="AI200" s="561"/>
      <c r="AJ200" s="562"/>
      <c r="AK200" s="561"/>
      <c r="AL200" s="563"/>
      <c r="AM200" s="567"/>
      <c r="AN200" s="564"/>
      <c r="AO200" s="565"/>
      <c r="AP200" s="560"/>
      <c r="AQ200" s="561"/>
      <c r="AR200" s="562"/>
      <c r="AS200" s="561"/>
      <c r="AT200" s="563"/>
      <c r="AU200" s="567"/>
      <c r="AV200" s="564"/>
      <c r="AW200" s="565"/>
      <c r="AX200" s="560"/>
      <c r="AY200" s="561"/>
      <c r="AZ200" s="562"/>
      <c r="BA200" s="561"/>
      <c r="BB200" s="563"/>
      <c r="BC200" s="567"/>
      <c r="BD200" s="564"/>
      <c r="BE200" s="565"/>
      <c r="BF200" s="560"/>
      <c r="BG200" s="561"/>
      <c r="BH200" s="562"/>
      <c r="BI200" s="561"/>
      <c r="BJ200" s="563"/>
      <c r="BK200" s="567"/>
      <c r="BL200" s="564"/>
      <c r="BM200" s="565"/>
      <c r="BN200" s="560"/>
      <c r="BO200" s="561"/>
      <c r="BP200" s="562"/>
      <c r="BQ200" s="561"/>
      <c r="BR200" s="563"/>
      <c r="BS200" s="567"/>
      <c r="BT200" s="564"/>
      <c r="BU200" s="565"/>
      <c r="BV200" s="560"/>
      <c r="BW200" s="561"/>
      <c r="BX200" s="562"/>
      <c r="BY200" s="561"/>
      <c r="BZ200" s="563"/>
      <c r="CA200" s="567"/>
      <c r="CB200" s="564"/>
      <c r="CC200" s="565"/>
      <c r="CD200" s="560"/>
      <c r="CE200" s="561"/>
      <c r="CF200" s="562"/>
      <c r="CG200" s="561"/>
      <c r="CH200" s="563"/>
      <c r="CI200" s="564"/>
      <c r="CJ200" s="564"/>
      <c r="CK200" s="564"/>
      <c r="CL200" s="560"/>
      <c r="CM200" s="561"/>
      <c r="CN200" s="562"/>
      <c r="CO200" s="561"/>
      <c r="CP200" s="563"/>
      <c r="CQ200" s="564"/>
      <c r="CR200" s="564"/>
      <c r="CS200" s="564"/>
      <c r="CT200" s="560"/>
      <c r="CU200" s="561"/>
      <c r="CV200" s="562"/>
      <c r="CW200" s="561"/>
      <c r="CX200" s="563"/>
      <c r="CY200" s="564"/>
      <c r="CZ200" s="564"/>
      <c r="DA200" s="564"/>
      <c r="DB200" s="560"/>
      <c r="DC200" s="561"/>
      <c r="DD200" s="562"/>
      <c r="DE200" s="561"/>
      <c r="DF200" s="563"/>
      <c r="DG200" s="564"/>
      <c r="DH200" s="564"/>
      <c r="DI200" s="564"/>
      <c r="DJ200" s="560"/>
      <c r="DK200" s="561"/>
      <c r="DL200" s="562"/>
      <c r="DM200" s="561"/>
      <c r="DN200" s="563"/>
      <c r="DO200" s="564"/>
      <c r="DP200" s="564"/>
      <c r="DQ200" s="564"/>
      <c r="DR200" s="560"/>
      <c r="DS200" s="561"/>
      <c r="DT200" s="562"/>
      <c r="DU200" s="561"/>
      <c r="DV200" s="563"/>
      <c r="DW200" s="564"/>
      <c r="DX200" s="564"/>
      <c r="DY200" s="564"/>
      <c r="DZ200" s="560"/>
      <c r="EA200" s="561"/>
      <c r="EB200" s="562"/>
      <c r="EC200" s="561"/>
      <c r="ED200" s="563"/>
      <c r="EE200" s="564"/>
      <c r="EF200" s="564"/>
      <c r="EG200" s="564"/>
      <c r="EH200" s="560"/>
      <c r="EI200" s="561"/>
      <c r="EJ200" s="562"/>
      <c r="EK200" s="561"/>
      <c r="EL200" s="563"/>
      <c r="EM200" s="564"/>
      <c r="EN200" s="564"/>
      <c r="EO200" s="564"/>
      <c r="EP200" s="560"/>
      <c r="EQ200" s="561"/>
      <c r="ER200" s="562"/>
      <c r="ES200" s="561"/>
      <c r="ET200" s="563"/>
      <c r="EU200" s="564"/>
      <c r="EV200" s="564"/>
      <c r="EW200" s="564"/>
      <c r="EX200" s="560"/>
      <c r="EY200" s="561"/>
      <c r="EZ200" s="562"/>
      <c r="FA200" s="561"/>
      <c r="FB200" s="563"/>
      <c r="FC200" s="564"/>
      <c r="FD200" s="564"/>
      <c r="FE200" s="564"/>
      <c r="FF200" s="560"/>
      <c r="FG200" s="561"/>
      <c r="FH200" s="562"/>
      <c r="FI200" s="561"/>
      <c r="FJ200" s="563"/>
      <c r="FK200" s="564"/>
      <c r="FL200" s="564"/>
      <c r="FM200" s="564"/>
      <c r="FN200" s="560"/>
      <c r="FO200" s="561"/>
      <c r="FP200" s="562"/>
      <c r="FQ200" s="561"/>
      <c r="FR200" s="563"/>
      <c r="FS200" s="564"/>
      <c r="FT200" s="564"/>
      <c r="FU200" s="564"/>
      <c r="FV200" s="560"/>
      <c r="FW200" s="566"/>
      <c r="FX200" s="566"/>
      <c r="FY200" s="566"/>
      <c r="FZ200" s="563"/>
      <c r="GA200" s="564"/>
      <c r="GB200" s="564"/>
      <c r="GC200" s="564"/>
      <c r="GD200" s="560"/>
      <c r="GE200" s="566"/>
      <c r="GF200" s="566"/>
      <c r="GG200" s="566"/>
      <c r="GH200" s="563"/>
      <c r="GI200" s="564"/>
      <c r="GJ200" s="564"/>
      <c r="GK200" s="564"/>
      <c r="GL200" s="560"/>
      <c r="GM200" s="566"/>
      <c r="GN200" s="566"/>
      <c r="GO200" s="566"/>
      <c r="GP200" s="563"/>
      <c r="GQ200" s="564"/>
      <c r="GR200" s="564"/>
      <c r="GS200" s="564"/>
      <c r="GT200" s="560"/>
      <c r="GU200" s="566"/>
      <c r="GV200" s="566"/>
      <c r="GW200" s="566"/>
      <c r="GX200" s="625"/>
      <c r="GY200" s="625"/>
      <c r="GZ200" s="625"/>
      <c r="HA200" s="625"/>
      <c r="HB200" s="625"/>
      <c r="HC200" s="625"/>
    </row>
    <row r="201" spans="2:211" s="506" customFormat="1" ht="24.65" customHeight="1" x14ac:dyDescent="0.35">
      <c r="B201" s="544">
        <v>198</v>
      </c>
      <c r="C201" s="544"/>
      <c r="D201" s="544" t="s">
        <v>44</v>
      </c>
      <c r="E201" s="545" t="s">
        <v>751</v>
      </c>
      <c r="F201" s="546" t="s">
        <v>46</v>
      </c>
      <c r="G201" s="546"/>
      <c r="H201" s="547" t="s">
        <v>752</v>
      </c>
      <c r="I201" s="549"/>
      <c r="J201" s="549"/>
      <c r="K201" s="549"/>
      <c r="L201" s="549"/>
      <c r="M201" s="550" t="s">
        <v>48</v>
      </c>
      <c r="N201" s="551">
        <v>0</v>
      </c>
      <c r="O201" s="552">
        <v>217</v>
      </c>
      <c r="P201" s="553">
        <v>46091</v>
      </c>
      <c r="Q201" s="554"/>
      <c r="R201" s="554" t="s">
        <v>49</v>
      </c>
      <c r="S201" s="555"/>
      <c r="T201" s="555"/>
      <c r="U201" s="556"/>
      <c r="V201" s="557"/>
      <c r="W201" s="558"/>
      <c r="X201" s="558"/>
      <c r="Y201" s="559"/>
      <c r="Z201" s="560"/>
      <c r="AA201" s="561"/>
      <c r="AB201" s="562"/>
      <c r="AC201" s="561"/>
      <c r="AD201" s="563"/>
      <c r="AE201" s="567"/>
      <c r="AF201" s="564"/>
      <c r="AG201" s="565"/>
      <c r="AH201" s="560"/>
      <c r="AI201" s="561"/>
      <c r="AJ201" s="562"/>
      <c r="AK201" s="561"/>
      <c r="AL201" s="563"/>
      <c r="AM201" s="567"/>
      <c r="AN201" s="564"/>
      <c r="AO201" s="565"/>
      <c r="AP201" s="560"/>
      <c r="AQ201" s="561"/>
      <c r="AR201" s="562"/>
      <c r="AS201" s="561"/>
      <c r="AT201" s="563"/>
      <c r="AU201" s="567"/>
      <c r="AV201" s="564"/>
      <c r="AW201" s="565"/>
      <c r="AX201" s="560"/>
      <c r="AY201" s="561"/>
      <c r="AZ201" s="562"/>
      <c r="BA201" s="561"/>
      <c r="BB201" s="563"/>
      <c r="BC201" s="567"/>
      <c r="BD201" s="564"/>
      <c r="BE201" s="565"/>
      <c r="BF201" s="560"/>
      <c r="BG201" s="561"/>
      <c r="BH201" s="562"/>
      <c r="BI201" s="561"/>
      <c r="BJ201" s="563"/>
      <c r="BK201" s="567"/>
      <c r="BL201" s="564"/>
      <c r="BM201" s="565"/>
      <c r="BN201" s="560"/>
      <c r="BO201" s="561"/>
      <c r="BP201" s="562"/>
      <c r="BQ201" s="561"/>
      <c r="BR201" s="563"/>
      <c r="BS201" s="567"/>
      <c r="BT201" s="564"/>
      <c r="BU201" s="565"/>
      <c r="BV201" s="560"/>
      <c r="BW201" s="561"/>
      <c r="BX201" s="562"/>
      <c r="BY201" s="561"/>
      <c r="BZ201" s="563"/>
      <c r="CA201" s="567"/>
      <c r="CB201" s="564"/>
      <c r="CC201" s="565"/>
      <c r="CD201" s="560"/>
      <c r="CE201" s="561"/>
      <c r="CF201" s="562"/>
      <c r="CG201" s="561"/>
      <c r="CH201" s="563"/>
      <c r="CI201" s="564"/>
      <c r="CJ201" s="564"/>
      <c r="CK201" s="564"/>
      <c r="CL201" s="560"/>
      <c r="CM201" s="561"/>
      <c r="CN201" s="562"/>
      <c r="CO201" s="561"/>
      <c r="CP201" s="563"/>
      <c r="CQ201" s="564"/>
      <c r="CR201" s="564"/>
      <c r="CS201" s="564"/>
      <c r="CT201" s="560"/>
      <c r="CU201" s="561"/>
      <c r="CV201" s="562"/>
      <c r="CW201" s="561"/>
      <c r="CX201" s="563"/>
      <c r="CY201" s="564"/>
      <c r="CZ201" s="564"/>
      <c r="DA201" s="564"/>
      <c r="DB201" s="560"/>
      <c r="DC201" s="561"/>
      <c r="DD201" s="562"/>
      <c r="DE201" s="561"/>
      <c r="DF201" s="563"/>
      <c r="DG201" s="564"/>
      <c r="DH201" s="564"/>
      <c r="DI201" s="564"/>
      <c r="DJ201" s="560"/>
      <c r="DK201" s="561"/>
      <c r="DL201" s="562"/>
      <c r="DM201" s="561"/>
      <c r="DN201" s="563"/>
      <c r="DO201" s="564"/>
      <c r="DP201" s="564"/>
      <c r="DQ201" s="564"/>
      <c r="DR201" s="560"/>
      <c r="DS201" s="561"/>
      <c r="DT201" s="562"/>
      <c r="DU201" s="561"/>
      <c r="DV201" s="563"/>
      <c r="DW201" s="564"/>
      <c r="DX201" s="564"/>
      <c r="DY201" s="564"/>
      <c r="DZ201" s="560"/>
      <c r="EA201" s="561"/>
      <c r="EB201" s="562"/>
      <c r="EC201" s="561"/>
      <c r="ED201" s="563"/>
      <c r="EE201" s="564"/>
      <c r="EF201" s="564"/>
      <c r="EG201" s="564"/>
      <c r="EH201" s="560"/>
      <c r="EI201" s="561"/>
      <c r="EJ201" s="562"/>
      <c r="EK201" s="561"/>
      <c r="EL201" s="563"/>
      <c r="EM201" s="564"/>
      <c r="EN201" s="564"/>
      <c r="EO201" s="564"/>
      <c r="EP201" s="560"/>
      <c r="EQ201" s="561"/>
      <c r="ER201" s="562"/>
      <c r="ES201" s="561"/>
      <c r="ET201" s="563"/>
      <c r="EU201" s="564"/>
      <c r="EV201" s="564"/>
      <c r="EW201" s="564"/>
      <c r="EX201" s="560"/>
      <c r="EY201" s="561"/>
      <c r="EZ201" s="562"/>
      <c r="FA201" s="561"/>
      <c r="FB201" s="563"/>
      <c r="FC201" s="564"/>
      <c r="FD201" s="564"/>
      <c r="FE201" s="564"/>
      <c r="FF201" s="560"/>
      <c r="FG201" s="561"/>
      <c r="FH201" s="562"/>
      <c r="FI201" s="561"/>
      <c r="FJ201" s="563"/>
      <c r="FK201" s="564"/>
      <c r="FL201" s="564"/>
      <c r="FM201" s="564"/>
      <c r="FN201" s="560"/>
      <c r="FO201" s="561"/>
      <c r="FP201" s="562"/>
      <c r="FQ201" s="561"/>
      <c r="FR201" s="563"/>
      <c r="FS201" s="564"/>
      <c r="FT201" s="564"/>
      <c r="FU201" s="564"/>
      <c r="FV201" s="560"/>
      <c r="FW201" s="566"/>
      <c r="FX201" s="566"/>
      <c r="FY201" s="566"/>
      <c r="FZ201" s="563"/>
      <c r="GA201" s="564"/>
      <c r="GB201" s="564"/>
      <c r="GC201" s="564"/>
      <c r="GD201" s="560"/>
      <c r="GE201" s="566"/>
      <c r="GF201" s="566"/>
      <c r="GG201" s="566"/>
      <c r="GH201" s="563"/>
      <c r="GI201" s="564"/>
      <c r="GJ201" s="564"/>
      <c r="GK201" s="564"/>
      <c r="GL201" s="560"/>
      <c r="GM201" s="566"/>
      <c r="GN201" s="566"/>
      <c r="GO201" s="566"/>
      <c r="GP201" s="563"/>
      <c r="GQ201" s="564"/>
      <c r="GR201" s="564"/>
      <c r="GS201" s="564"/>
      <c r="GT201" s="560"/>
      <c r="GU201" s="566"/>
      <c r="GV201" s="566"/>
      <c r="GW201" s="566"/>
      <c r="GX201" s="625"/>
      <c r="GY201" s="625"/>
      <c r="GZ201" s="625"/>
      <c r="HA201" s="625"/>
      <c r="HB201" s="625"/>
      <c r="HC201" s="625"/>
    </row>
    <row r="202" spans="2:211" s="506" customFormat="1" ht="24.65" customHeight="1" x14ac:dyDescent="0.35">
      <c r="B202" s="544">
        <v>199</v>
      </c>
      <c r="C202" s="544"/>
      <c r="D202" s="544"/>
      <c r="E202" s="545" t="s">
        <v>753</v>
      </c>
      <c r="F202" s="546" t="s">
        <v>46</v>
      </c>
      <c r="G202" s="546" t="s">
        <v>46</v>
      </c>
      <c r="H202" s="547" t="s">
        <v>754</v>
      </c>
      <c r="I202" s="549"/>
      <c r="J202" s="549"/>
      <c r="K202" s="549"/>
      <c r="L202" s="549"/>
      <c r="M202" s="550" t="s">
        <v>48</v>
      </c>
      <c r="N202" s="551">
        <v>0</v>
      </c>
      <c r="O202" s="552">
        <v>194</v>
      </c>
      <c r="P202" s="553">
        <v>46077</v>
      </c>
      <c r="Q202" s="554"/>
      <c r="R202" s="554" t="s">
        <v>49</v>
      </c>
      <c r="S202" s="555">
        <f ca="1">IF(R202="Aprobado con comentarios / Emitir en Rev_0", NETWORKDAYS(Q202,TODAY(),Hoja1!$C$3:$C$25),0)</f>
        <v>0</v>
      </c>
      <c r="T202" s="555">
        <f ca="1">IF(R202="Revisión INN",NETWORKDAYS(P202,TODAY(),Hoja1!$C$3:$C$25),0)</f>
        <v>0</v>
      </c>
      <c r="U202" s="556">
        <f>ROUNDUP(((COUNTA(V202:GW202)/4)/2),0)</f>
        <v>1</v>
      </c>
      <c r="V202" s="601">
        <v>0</v>
      </c>
      <c r="W202" s="602">
        <v>194</v>
      </c>
      <c r="X202" s="558"/>
      <c r="Y202" s="596">
        <v>46077</v>
      </c>
      <c r="Z202" s="560"/>
      <c r="AA202" s="561"/>
      <c r="AB202" s="562"/>
      <c r="AC202" s="561"/>
      <c r="AD202" s="563"/>
      <c r="AE202" s="567"/>
      <c r="AF202" s="564"/>
      <c r="AG202" s="565"/>
      <c r="AH202" s="560"/>
      <c r="AI202" s="561"/>
      <c r="AJ202" s="562"/>
      <c r="AK202" s="561"/>
      <c r="AL202" s="563"/>
      <c r="AM202" s="567"/>
      <c r="AN202" s="564"/>
      <c r="AO202" s="565"/>
      <c r="AP202" s="560"/>
      <c r="AQ202" s="561"/>
      <c r="AR202" s="562"/>
      <c r="AS202" s="561"/>
      <c r="AT202" s="563"/>
      <c r="AU202" s="567"/>
      <c r="AV202" s="564"/>
      <c r="AW202" s="565"/>
      <c r="AX202" s="560"/>
      <c r="AY202" s="561"/>
      <c r="AZ202" s="562"/>
      <c r="BA202" s="561"/>
      <c r="BB202" s="563"/>
      <c r="BC202" s="567"/>
      <c r="BD202" s="564"/>
      <c r="BE202" s="565"/>
      <c r="BF202" s="560"/>
      <c r="BG202" s="561"/>
      <c r="BH202" s="562"/>
      <c r="BI202" s="561"/>
      <c r="BJ202" s="563"/>
      <c r="BK202" s="567"/>
      <c r="BL202" s="564"/>
      <c r="BM202" s="565"/>
      <c r="BN202" s="560"/>
      <c r="BO202" s="561"/>
      <c r="BP202" s="562"/>
      <c r="BQ202" s="561"/>
      <c r="BR202" s="563"/>
      <c r="BS202" s="567"/>
      <c r="BT202" s="564"/>
      <c r="BU202" s="565"/>
      <c r="BV202" s="560"/>
      <c r="BW202" s="561"/>
      <c r="BX202" s="562"/>
      <c r="BY202" s="561"/>
      <c r="BZ202" s="563"/>
      <c r="CA202" s="567"/>
      <c r="CB202" s="564"/>
      <c r="CC202" s="565"/>
      <c r="CD202" s="560"/>
      <c r="CE202" s="561"/>
      <c r="CF202" s="562"/>
      <c r="CG202" s="561"/>
      <c r="CH202" s="563"/>
      <c r="CI202" s="564"/>
      <c r="CJ202" s="564"/>
      <c r="CK202" s="564"/>
      <c r="CL202" s="560"/>
      <c r="CM202" s="561"/>
      <c r="CN202" s="562"/>
      <c r="CO202" s="561"/>
      <c r="CP202" s="563"/>
      <c r="CQ202" s="564"/>
      <c r="CR202" s="564"/>
      <c r="CS202" s="564"/>
      <c r="CT202" s="560"/>
      <c r="CU202" s="561"/>
      <c r="CV202" s="562"/>
      <c r="CW202" s="561"/>
      <c r="CX202" s="563"/>
      <c r="CY202" s="564"/>
      <c r="CZ202" s="564"/>
      <c r="DA202" s="564"/>
      <c r="DB202" s="560"/>
      <c r="DC202" s="561"/>
      <c r="DD202" s="562"/>
      <c r="DE202" s="561"/>
      <c r="DF202" s="563"/>
      <c r="DG202" s="564"/>
      <c r="DH202" s="564"/>
      <c r="DI202" s="564"/>
      <c r="DJ202" s="560"/>
      <c r="DK202" s="561"/>
      <c r="DL202" s="562"/>
      <c r="DM202" s="561"/>
      <c r="DN202" s="563"/>
      <c r="DO202" s="564"/>
      <c r="DP202" s="564"/>
      <c r="DQ202" s="564"/>
      <c r="DR202" s="560"/>
      <c r="DS202" s="561"/>
      <c r="DT202" s="562"/>
      <c r="DU202" s="561"/>
      <c r="DV202" s="563"/>
      <c r="DW202" s="564"/>
      <c r="DX202" s="564"/>
      <c r="DY202" s="564"/>
      <c r="DZ202" s="560"/>
      <c r="EA202" s="561"/>
      <c r="EB202" s="562"/>
      <c r="EC202" s="561"/>
      <c r="ED202" s="563"/>
      <c r="EE202" s="564"/>
      <c r="EF202" s="564"/>
      <c r="EG202" s="564"/>
      <c r="EH202" s="560"/>
      <c r="EI202" s="561"/>
      <c r="EJ202" s="562"/>
      <c r="EK202" s="561"/>
      <c r="EL202" s="563"/>
      <c r="EM202" s="564"/>
      <c r="EN202" s="564"/>
      <c r="EO202" s="564"/>
      <c r="EP202" s="560"/>
      <c r="EQ202" s="561"/>
      <c r="ER202" s="562"/>
      <c r="ES202" s="561"/>
      <c r="ET202" s="563"/>
      <c r="EU202" s="564"/>
      <c r="EV202" s="564"/>
      <c r="EW202" s="564"/>
      <c r="EX202" s="560"/>
      <c r="EY202" s="561"/>
      <c r="EZ202" s="562"/>
      <c r="FA202" s="561"/>
      <c r="FB202" s="563"/>
      <c r="FC202" s="564"/>
      <c r="FD202" s="564"/>
      <c r="FE202" s="564"/>
      <c r="FF202" s="560"/>
      <c r="FG202" s="561"/>
      <c r="FH202" s="562"/>
      <c r="FI202" s="561"/>
      <c r="FJ202" s="563"/>
      <c r="FK202" s="564"/>
      <c r="FL202" s="564"/>
      <c r="FM202" s="564"/>
      <c r="FN202" s="560"/>
      <c r="FO202" s="561"/>
      <c r="FP202" s="562"/>
      <c r="FQ202" s="561"/>
      <c r="FR202" s="563"/>
      <c r="FS202" s="564"/>
      <c r="FT202" s="564"/>
      <c r="FU202" s="564"/>
      <c r="FV202" s="560"/>
      <c r="FW202" s="566"/>
      <c r="FX202" s="566"/>
      <c r="FY202" s="566"/>
      <c r="FZ202" s="563"/>
      <c r="GA202" s="564"/>
      <c r="GB202" s="564"/>
      <c r="GC202" s="564"/>
      <c r="GD202" s="560"/>
      <c r="GE202" s="566"/>
      <c r="GF202" s="566"/>
      <c r="GG202" s="566"/>
      <c r="GH202" s="563"/>
      <c r="GI202" s="564"/>
      <c r="GJ202" s="564"/>
      <c r="GK202" s="564"/>
      <c r="GL202" s="560"/>
      <c r="GM202" s="566"/>
      <c r="GN202" s="566"/>
      <c r="GO202" s="566"/>
      <c r="GP202" s="563"/>
      <c r="GQ202" s="564"/>
      <c r="GR202" s="564"/>
      <c r="GS202" s="564"/>
      <c r="GT202" s="560"/>
      <c r="GU202" s="566"/>
      <c r="GV202" s="566"/>
      <c r="GW202" s="566"/>
      <c r="GX202" s="625"/>
      <c r="GY202" s="625"/>
      <c r="GZ202" s="625"/>
      <c r="HA202" s="625"/>
      <c r="HB202" s="625"/>
      <c r="HC202" s="625"/>
    </row>
    <row r="203" spans="2:211" s="506" customFormat="1" ht="24.65" customHeight="1" x14ac:dyDescent="0.35">
      <c r="B203" s="544">
        <v>200</v>
      </c>
      <c r="C203" s="544"/>
      <c r="D203" s="544" t="s">
        <v>44</v>
      </c>
      <c r="E203" s="545" t="s">
        <v>755</v>
      </c>
      <c r="F203" s="546" t="s">
        <v>46</v>
      </c>
      <c r="G203" s="546" t="s">
        <v>46</v>
      </c>
      <c r="H203" s="547" t="s">
        <v>756</v>
      </c>
      <c r="I203" s="548"/>
      <c r="J203" s="548"/>
      <c r="K203" s="568"/>
      <c r="L203" s="572"/>
      <c r="M203" s="569" t="s">
        <v>48</v>
      </c>
      <c r="N203" s="551">
        <v>0</v>
      </c>
      <c r="O203" s="552">
        <v>166</v>
      </c>
      <c r="P203" s="553">
        <v>46064</v>
      </c>
      <c r="Q203" s="554"/>
      <c r="R203" s="554" t="s">
        <v>73</v>
      </c>
      <c r="S203" s="555"/>
      <c r="T203" s="555"/>
      <c r="U203" s="556"/>
      <c r="V203" s="557"/>
      <c r="W203" s="558"/>
      <c r="X203" s="567"/>
      <c r="Y203" s="559"/>
      <c r="Z203" s="560"/>
      <c r="AA203" s="561"/>
      <c r="AB203" s="562"/>
      <c r="AC203" s="561"/>
      <c r="AD203" s="563"/>
      <c r="AE203" s="567"/>
      <c r="AF203" s="564"/>
      <c r="AG203" s="565"/>
      <c r="AH203" s="560"/>
      <c r="AI203" s="561"/>
      <c r="AJ203" s="562"/>
      <c r="AK203" s="561"/>
      <c r="AL203" s="563"/>
      <c r="AM203" s="567"/>
      <c r="AN203" s="564"/>
      <c r="AO203" s="565"/>
      <c r="AP203" s="560"/>
      <c r="AQ203" s="561"/>
      <c r="AR203" s="562"/>
      <c r="AS203" s="561"/>
      <c r="AT203" s="563"/>
      <c r="AU203" s="567"/>
      <c r="AV203" s="564"/>
      <c r="AW203" s="565"/>
      <c r="AX203" s="560"/>
      <c r="AY203" s="561"/>
      <c r="AZ203" s="562"/>
      <c r="BA203" s="561"/>
      <c r="BB203" s="563"/>
      <c r="BC203" s="567"/>
      <c r="BD203" s="564"/>
      <c r="BE203" s="565"/>
      <c r="BF203" s="560"/>
      <c r="BG203" s="561"/>
      <c r="BH203" s="562"/>
      <c r="BI203" s="561"/>
      <c r="BJ203" s="563"/>
      <c r="BK203" s="567"/>
      <c r="BL203" s="564"/>
      <c r="BM203" s="565"/>
      <c r="BN203" s="560"/>
      <c r="BO203" s="561"/>
      <c r="BP203" s="562"/>
      <c r="BQ203" s="561"/>
      <c r="BR203" s="563"/>
      <c r="BS203" s="567"/>
      <c r="BT203" s="564"/>
      <c r="BU203" s="565"/>
      <c r="BV203" s="560"/>
      <c r="BW203" s="561"/>
      <c r="BX203" s="562"/>
      <c r="BY203" s="561"/>
      <c r="BZ203" s="563"/>
      <c r="CA203" s="567"/>
      <c r="CB203" s="564"/>
      <c r="CC203" s="565"/>
      <c r="CD203" s="560"/>
      <c r="CE203" s="561"/>
      <c r="CF203" s="562"/>
      <c r="CG203" s="561"/>
      <c r="CH203" s="563"/>
      <c r="CI203" s="564"/>
      <c r="CJ203" s="564"/>
      <c r="CK203" s="564"/>
      <c r="CL203" s="560"/>
      <c r="CM203" s="561"/>
      <c r="CN203" s="562"/>
      <c r="CO203" s="561"/>
      <c r="CP203" s="563"/>
      <c r="CQ203" s="564"/>
      <c r="CR203" s="564"/>
      <c r="CS203" s="564"/>
      <c r="CT203" s="560"/>
      <c r="CU203" s="561"/>
      <c r="CV203" s="562"/>
      <c r="CW203" s="561"/>
      <c r="CX203" s="563"/>
      <c r="CY203" s="564"/>
      <c r="CZ203" s="564"/>
      <c r="DA203" s="564"/>
      <c r="DB203" s="560"/>
      <c r="DC203" s="561"/>
      <c r="DD203" s="562"/>
      <c r="DE203" s="561"/>
      <c r="DF203" s="563"/>
      <c r="DG203" s="564"/>
      <c r="DH203" s="564"/>
      <c r="DI203" s="564"/>
      <c r="DJ203" s="560"/>
      <c r="DK203" s="561"/>
      <c r="DL203" s="562"/>
      <c r="DM203" s="561"/>
      <c r="DN203" s="563"/>
      <c r="DO203" s="564"/>
      <c r="DP203" s="564"/>
      <c r="DQ203" s="564"/>
      <c r="DR203" s="560"/>
      <c r="DS203" s="561"/>
      <c r="DT203" s="562"/>
      <c r="DU203" s="561"/>
      <c r="DV203" s="563"/>
      <c r="DW203" s="564"/>
      <c r="DX203" s="564"/>
      <c r="DY203" s="564"/>
      <c r="DZ203" s="560"/>
      <c r="EA203" s="561"/>
      <c r="EB203" s="562"/>
      <c r="EC203" s="561"/>
      <c r="ED203" s="563"/>
      <c r="EE203" s="564"/>
      <c r="EF203" s="564"/>
      <c r="EG203" s="564"/>
      <c r="EH203" s="560"/>
      <c r="EI203" s="561"/>
      <c r="EJ203" s="562"/>
      <c r="EK203" s="561"/>
      <c r="EL203" s="563"/>
      <c r="EM203" s="564"/>
      <c r="EN203" s="564"/>
      <c r="EO203" s="564"/>
      <c r="EP203" s="560"/>
      <c r="EQ203" s="561"/>
      <c r="ER203" s="562"/>
      <c r="ES203" s="561"/>
      <c r="ET203" s="563"/>
      <c r="EU203" s="564"/>
      <c r="EV203" s="564"/>
      <c r="EW203" s="564"/>
      <c r="EX203" s="560"/>
      <c r="EY203" s="561"/>
      <c r="EZ203" s="562"/>
      <c r="FA203" s="561"/>
      <c r="FB203" s="563"/>
      <c r="FC203" s="564"/>
      <c r="FD203" s="564"/>
      <c r="FE203" s="564"/>
      <c r="FF203" s="560"/>
      <c r="FG203" s="561"/>
      <c r="FH203" s="562"/>
      <c r="FI203" s="561"/>
      <c r="FJ203" s="563"/>
      <c r="FK203" s="564"/>
      <c r="FL203" s="564"/>
      <c r="FM203" s="564"/>
      <c r="FN203" s="560"/>
      <c r="FO203" s="561"/>
      <c r="FP203" s="562"/>
      <c r="FQ203" s="561"/>
      <c r="FR203" s="563"/>
      <c r="FS203" s="564"/>
      <c r="FT203" s="564"/>
      <c r="FU203" s="564"/>
      <c r="FV203" s="560"/>
      <c r="FW203" s="566"/>
      <c r="FX203" s="566"/>
      <c r="FY203" s="566"/>
      <c r="FZ203" s="563"/>
      <c r="GA203" s="564"/>
      <c r="GB203" s="564"/>
      <c r="GC203" s="564"/>
      <c r="GD203" s="560"/>
      <c r="GE203" s="566"/>
      <c r="GF203" s="566"/>
      <c r="GG203" s="566"/>
      <c r="GH203" s="563"/>
      <c r="GI203" s="564"/>
      <c r="GJ203" s="564"/>
      <c r="GK203" s="564"/>
      <c r="GL203" s="560"/>
      <c r="GM203" s="566"/>
      <c r="GN203" s="566"/>
      <c r="GO203" s="566"/>
      <c r="GP203" s="563"/>
      <c r="GQ203" s="564"/>
      <c r="GR203" s="564"/>
      <c r="GS203" s="564"/>
      <c r="GT203" s="560"/>
      <c r="GU203" s="566"/>
      <c r="GV203" s="566"/>
      <c r="GW203" s="566"/>
      <c r="GX203" s="625"/>
      <c r="GY203" s="625"/>
      <c r="GZ203" s="625"/>
      <c r="HA203" s="625"/>
      <c r="HB203" s="625"/>
      <c r="HC203" s="625"/>
    </row>
    <row r="204" spans="2:211" s="506" customFormat="1" ht="24.65" customHeight="1" x14ac:dyDescent="0.35">
      <c r="B204" s="544">
        <v>201</v>
      </c>
      <c r="C204" s="544"/>
      <c r="D204" s="544" t="s">
        <v>44</v>
      </c>
      <c r="E204" s="546" t="s">
        <v>50</v>
      </c>
      <c r="F204" s="546" t="s">
        <v>46</v>
      </c>
      <c r="G204" s="545" t="s">
        <v>46</v>
      </c>
      <c r="H204" s="547" t="s">
        <v>757</v>
      </c>
      <c r="I204" s="549"/>
      <c r="J204" s="705"/>
      <c r="K204" s="568"/>
      <c r="L204" s="548"/>
      <c r="M204" s="569" t="s">
        <v>48</v>
      </c>
      <c r="N204" s="551">
        <v>0</v>
      </c>
      <c r="O204" s="552">
        <v>154</v>
      </c>
      <c r="P204" s="553">
        <v>46049</v>
      </c>
      <c r="Q204" s="553"/>
      <c r="R204" s="554" t="s">
        <v>49</v>
      </c>
      <c r="S204" s="555">
        <f ca="1">IF(R204="Aprobado con comentarios / Emitir en Rev_0", NETWORKDAYS(Q204,TODAY(),Hoja1!$C$3:$C$25),0)</f>
        <v>0</v>
      </c>
      <c r="T204" s="555">
        <f ca="1">IF(R204="Revisión INN",NETWORKDAYS(P204,TODAY(),Hoja1!$C$3:$C$25),0)</f>
        <v>0</v>
      </c>
      <c r="U204" s="556">
        <f>ROUNDUP(((COUNTA(V204:GW204)/4)/2),0)</f>
        <v>1</v>
      </c>
      <c r="V204" s="557">
        <v>0</v>
      </c>
      <c r="W204" s="558">
        <v>154</v>
      </c>
      <c r="X204" s="558"/>
      <c r="Y204" s="559">
        <v>46049</v>
      </c>
      <c r="Z204" s="560"/>
      <c r="AA204" s="561"/>
      <c r="AB204" s="562"/>
      <c r="AC204" s="561"/>
      <c r="AD204" s="563"/>
      <c r="AE204" s="567"/>
      <c r="AF204" s="564"/>
      <c r="AG204" s="565"/>
      <c r="AH204" s="560"/>
      <c r="AI204" s="561"/>
      <c r="AJ204" s="562"/>
      <c r="AK204" s="561"/>
      <c r="AL204" s="563"/>
      <c r="AM204" s="567"/>
      <c r="AN204" s="564"/>
      <c r="AO204" s="565"/>
      <c r="AP204" s="560"/>
      <c r="AQ204" s="561"/>
      <c r="AR204" s="562"/>
      <c r="AS204" s="561"/>
      <c r="AT204" s="563"/>
      <c r="AU204" s="567"/>
      <c r="AV204" s="564"/>
      <c r="AW204" s="565"/>
      <c r="AX204" s="560"/>
      <c r="AY204" s="561"/>
      <c r="AZ204" s="562"/>
      <c r="BA204" s="561"/>
      <c r="BB204" s="563"/>
      <c r="BC204" s="567"/>
      <c r="BD204" s="564"/>
      <c r="BE204" s="565"/>
      <c r="BF204" s="560"/>
      <c r="BG204" s="561"/>
      <c r="BH204" s="562"/>
      <c r="BI204" s="561"/>
      <c r="BJ204" s="563"/>
      <c r="BK204" s="567"/>
      <c r="BL204" s="564"/>
      <c r="BM204" s="565"/>
      <c r="BN204" s="560"/>
      <c r="BO204" s="561"/>
      <c r="BP204" s="562"/>
      <c r="BQ204" s="561"/>
      <c r="BR204" s="563"/>
      <c r="BS204" s="567"/>
      <c r="BT204" s="564"/>
      <c r="BU204" s="565"/>
      <c r="BV204" s="560"/>
      <c r="BW204" s="561"/>
      <c r="BX204" s="562"/>
      <c r="BY204" s="561"/>
      <c r="BZ204" s="563"/>
      <c r="CA204" s="567"/>
      <c r="CB204" s="564"/>
      <c r="CC204" s="565"/>
      <c r="CD204" s="560"/>
      <c r="CE204" s="561"/>
      <c r="CF204" s="562"/>
      <c r="CG204" s="561"/>
      <c r="CH204" s="563"/>
      <c r="CI204" s="564"/>
      <c r="CJ204" s="564"/>
      <c r="CK204" s="564"/>
      <c r="CL204" s="560"/>
      <c r="CM204" s="561"/>
      <c r="CN204" s="562"/>
      <c r="CO204" s="561"/>
      <c r="CP204" s="563"/>
      <c r="CQ204" s="564"/>
      <c r="CR204" s="564"/>
      <c r="CS204" s="564"/>
      <c r="CT204" s="560"/>
      <c r="CU204" s="561"/>
      <c r="CV204" s="562"/>
      <c r="CW204" s="561"/>
      <c r="CX204" s="563"/>
      <c r="CY204" s="564"/>
      <c r="CZ204" s="564"/>
      <c r="DA204" s="564"/>
      <c r="DB204" s="560"/>
      <c r="DC204" s="561"/>
      <c r="DD204" s="562"/>
      <c r="DE204" s="561"/>
      <c r="DF204" s="563"/>
      <c r="DG204" s="564"/>
      <c r="DH204" s="564"/>
      <c r="DI204" s="564"/>
      <c r="DJ204" s="560"/>
      <c r="DK204" s="561"/>
      <c r="DL204" s="562"/>
      <c r="DM204" s="561"/>
      <c r="DN204" s="563"/>
      <c r="DO204" s="564"/>
      <c r="DP204" s="564"/>
      <c r="DQ204" s="564"/>
      <c r="DR204" s="560"/>
      <c r="DS204" s="561"/>
      <c r="DT204" s="562"/>
      <c r="DU204" s="561"/>
      <c r="DV204" s="563"/>
      <c r="DW204" s="564"/>
      <c r="DX204" s="564"/>
      <c r="DY204" s="564"/>
      <c r="DZ204" s="560"/>
      <c r="EA204" s="561"/>
      <c r="EB204" s="562"/>
      <c r="EC204" s="561"/>
      <c r="ED204" s="563"/>
      <c r="EE204" s="564"/>
      <c r="EF204" s="564"/>
      <c r="EG204" s="564"/>
      <c r="EH204" s="560"/>
      <c r="EI204" s="561"/>
      <c r="EJ204" s="562"/>
      <c r="EK204" s="561"/>
      <c r="EL204" s="563"/>
      <c r="EM204" s="564"/>
      <c r="EN204" s="564"/>
      <c r="EO204" s="564"/>
      <c r="EP204" s="560"/>
      <c r="EQ204" s="561"/>
      <c r="ER204" s="562"/>
      <c r="ES204" s="561"/>
      <c r="ET204" s="563"/>
      <c r="EU204" s="564"/>
      <c r="EV204" s="564"/>
      <c r="EW204" s="564"/>
      <c r="EX204" s="560"/>
      <c r="EY204" s="561"/>
      <c r="EZ204" s="562"/>
      <c r="FA204" s="561"/>
      <c r="FB204" s="563"/>
      <c r="FC204" s="564"/>
      <c r="FD204" s="564"/>
      <c r="FE204" s="564"/>
      <c r="FF204" s="560"/>
      <c r="FG204" s="561"/>
      <c r="FH204" s="562"/>
      <c r="FI204" s="561"/>
      <c r="FJ204" s="563"/>
      <c r="FK204" s="564"/>
      <c r="FL204" s="564"/>
      <c r="FM204" s="564"/>
      <c r="FN204" s="560"/>
      <c r="FO204" s="561"/>
      <c r="FP204" s="562"/>
      <c r="FQ204" s="561"/>
      <c r="FR204" s="563"/>
      <c r="FS204" s="564"/>
      <c r="FT204" s="564"/>
      <c r="FU204" s="564"/>
      <c r="FV204" s="560"/>
      <c r="FW204" s="566"/>
      <c r="FX204" s="566"/>
      <c r="FY204" s="566"/>
      <c r="FZ204" s="563"/>
      <c r="GA204" s="564"/>
      <c r="GB204" s="564"/>
      <c r="GC204" s="564"/>
      <c r="GD204" s="560"/>
      <c r="GE204" s="566"/>
      <c r="GF204" s="566"/>
      <c r="GG204" s="566"/>
      <c r="GH204" s="563"/>
      <c r="GI204" s="564"/>
      <c r="GJ204" s="564"/>
      <c r="GK204" s="564"/>
      <c r="GL204" s="560"/>
      <c r="GM204" s="566"/>
      <c r="GN204" s="566"/>
      <c r="GO204" s="566"/>
      <c r="GP204" s="563"/>
      <c r="GQ204" s="564"/>
      <c r="GR204" s="564"/>
      <c r="GS204" s="564"/>
      <c r="GT204" s="560"/>
      <c r="GU204" s="566"/>
      <c r="GV204" s="566"/>
      <c r="GW204" s="566"/>
      <c r="GX204" s="625"/>
      <c r="GY204" s="625"/>
      <c r="GZ204" s="625"/>
      <c r="HA204" s="625"/>
      <c r="HB204" s="625"/>
      <c r="HC204" s="625"/>
    </row>
    <row r="205" spans="2:211" s="506" customFormat="1" ht="56.15" customHeight="1" x14ac:dyDescent="0.35">
      <c r="B205" s="544">
        <v>202</v>
      </c>
      <c r="C205" s="544"/>
      <c r="D205" s="545"/>
      <c r="E205" s="546" t="s">
        <v>758</v>
      </c>
      <c r="F205" s="546" t="s">
        <v>46</v>
      </c>
      <c r="G205" s="545" t="s">
        <v>46</v>
      </c>
      <c r="H205" s="547" t="s">
        <v>759</v>
      </c>
      <c r="I205" s="549"/>
      <c r="J205" s="549"/>
      <c r="K205" s="549"/>
      <c r="L205" s="549"/>
      <c r="M205" s="569" t="s">
        <v>132</v>
      </c>
      <c r="N205" s="551">
        <v>0</v>
      </c>
      <c r="O205" s="552">
        <v>188</v>
      </c>
      <c r="P205" s="553">
        <v>46073</v>
      </c>
      <c r="Q205" s="553"/>
      <c r="R205" s="554" t="s">
        <v>673</v>
      </c>
      <c r="S205" s="555"/>
      <c r="T205" s="555"/>
      <c r="U205" s="556"/>
      <c r="V205" s="557"/>
      <c r="W205" s="558"/>
      <c r="X205" s="558"/>
      <c r="Y205" s="559"/>
      <c r="Z205" s="560"/>
      <c r="AA205" s="561"/>
      <c r="AB205" s="562"/>
      <c r="AC205" s="561"/>
      <c r="AD205" s="563"/>
      <c r="AE205" s="567"/>
      <c r="AF205" s="564"/>
      <c r="AG205" s="565"/>
      <c r="AH205" s="560"/>
      <c r="AI205" s="561"/>
      <c r="AJ205" s="562"/>
      <c r="AK205" s="561"/>
      <c r="AL205" s="563"/>
      <c r="AM205" s="567"/>
      <c r="AN205" s="564"/>
      <c r="AO205" s="565"/>
      <c r="AP205" s="560"/>
      <c r="AQ205" s="561"/>
      <c r="AR205" s="562"/>
      <c r="AS205" s="561"/>
      <c r="AT205" s="563"/>
      <c r="AU205" s="567"/>
      <c r="AV205" s="564"/>
      <c r="AW205" s="565"/>
      <c r="AX205" s="560"/>
      <c r="AY205" s="561"/>
      <c r="AZ205" s="562"/>
      <c r="BA205" s="561"/>
      <c r="BB205" s="563"/>
      <c r="BC205" s="567"/>
      <c r="BD205" s="564"/>
      <c r="BE205" s="565"/>
      <c r="BF205" s="560"/>
      <c r="BG205" s="561"/>
      <c r="BH205" s="562"/>
      <c r="BI205" s="561"/>
      <c r="BJ205" s="563"/>
      <c r="BK205" s="567"/>
      <c r="BL205" s="564"/>
      <c r="BM205" s="565"/>
      <c r="BN205" s="560"/>
      <c r="BO205" s="561"/>
      <c r="BP205" s="562"/>
      <c r="BQ205" s="561"/>
      <c r="BR205" s="563"/>
      <c r="BS205" s="567"/>
      <c r="BT205" s="564"/>
      <c r="BU205" s="565"/>
      <c r="BV205" s="560"/>
      <c r="BW205" s="561"/>
      <c r="BX205" s="562"/>
      <c r="BY205" s="561"/>
      <c r="BZ205" s="563"/>
      <c r="CA205" s="567"/>
      <c r="CB205" s="564"/>
      <c r="CC205" s="565"/>
      <c r="CD205" s="560"/>
      <c r="CE205" s="561"/>
      <c r="CF205" s="562"/>
      <c r="CG205" s="561"/>
      <c r="CH205" s="563"/>
      <c r="CI205" s="564"/>
      <c r="CJ205" s="564"/>
      <c r="CK205" s="564"/>
      <c r="CL205" s="560"/>
      <c r="CM205" s="561"/>
      <c r="CN205" s="562"/>
      <c r="CO205" s="561"/>
      <c r="CP205" s="563"/>
      <c r="CQ205" s="564"/>
      <c r="CR205" s="564"/>
      <c r="CS205" s="564"/>
      <c r="CT205" s="560"/>
      <c r="CU205" s="561"/>
      <c r="CV205" s="562"/>
      <c r="CW205" s="561"/>
      <c r="CX205" s="563"/>
      <c r="CY205" s="564"/>
      <c r="CZ205" s="564"/>
      <c r="DA205" s="564"/>
      <c r="DB205" s="560"/>
      <c r="DC205" s="561"/>
      <c r="DD205" s="562"/>
      <c r="DE205" s="561"/>
      <c r="DF205" s="563"/>
      <c r="DG205" s="564"/>
      <c r="DH205" s="564"/>
      <c r="DI205" s="564"/>
      <c r="DJ205" s="560"/>
      <c r="DK205" s="561"/>
      <c r="DL205" s="562"/>
      <c r="DM205" s="561"/>
      <c r="DN205" s="563"/>
      <c r="DO205" s="564"/>
      <c r="DP205" s="564"/>
      <c r="DQ205" s="564"/>
      <c r="DR205" s="560"/>
      <c r="DS205" s="561"/>
      <c r="DT205" s="562"/>
      <c r="DU205" s="561"/>
      <c r="DV205" s="563"/>
      <c r="DW205" s="564"/>
      <c r="DX205" s="564"/>
      <c r="DY205" s="564"/>
      <c r="DZ205" s="560"/>
      <c r="EA205" s="561"/>
      <c r="EB205" s="562"/>
      <c r="EC205" s="561"/>
      <c r="ED205" s="563"/>
      <c r="EE205" s="564"/>
      <c r="EF205" s="564"/>
      <c r="EG205" s="564"/>
      <c r="EH205" s="560"/>
      <c r="EI205" s="561"/>
      <c r="EJ205" s="562"/>
      <c r="EK205" s="561"/>
      <c r="EL205" s="563"/>
      <c r="EM205" s="564"/>
      <c r="EN205" s="564"/>
      <c r="EO205" s="564"/>
      <c r="EP205" s="560"/>
      <c r="EQ205" s="561"/>
      <c r="ER205" s="562"/>
      <c r="ES205" s="561"/>
      <c r="ET205" s="563"/>
      <c r="EU205" s="564"/>
      <c r="EV205" s="564"/>
      <c r="EW205" s="564"/>
      <c r="EX205" s="560"/>
      <c r="EY205" s="561"/>
      <c r="EZ205" s="562"/>
      <c r="FA205" s="561"/>
      <c r="FB205" s="563"/>
      <c r="FC205" s="564"/>
      <c r="FD205" s="564"/>
      <c r="FE205" s="564"/>
      <c r="FF205" s="560"/>
      <c r="FG205" s="561"/>
      <c r="FH205" s="562"/>
      <c r="FI205" s="561"/>
      <c r="FJ205" s="563"/>
      <c r="FK205" s="564"/>
      <c r="FL205" s="564"/>
      <c r="FM205" s="564"/>
      <c r="FN205" s="560"/>
      <c r="FO205" s="561"/>
      <c r="FP205" s="562"/>
      <c r="FQ205" s="561"/>
      <c r="FR205" s="563"/>
      <c r="FS205" s="564"/>
      <c r="FT205" s="564"/>
      <c r="FU205" s="564"/>
      <c r="FV205" s="560"/>
      <c r="FW205" s="566"/>
      <c r="FX205" s="566"/>
      <c r="FY205" s="566"/>
      <c r="FZ205" s="563"/>
      <c r="GA205" s="564"/>
      <c r="GB205" s="564"/>
      <c r="GC205" s="564"/>
      <c r="GD205" s="560"/>
      <c r="GE205" s="566"/>
      <c r="GF205" s="566"/>
      <c r="GG205" s="566"/>
      <c r="GH205" s="563"/>
      <c r="GI205" s="564"/>
      <c r="GJ205" s="564"/>
      <c r="GK205" s="564"/>
      <c r="GL205" s="560"/>
      <c r="GM205" s="566"/>
      <c r="GN205" s="566"/>
      <c r="GO205" s="566"/>
      <c r="GP205" s="563"/>
      <c r="GQ205" s="564"/>
      <c r="GR205" s="564"/>
      <c r="GS205" s="564"/>
      <c r="GT205" s="560"/>
      <c r="GU205" s="566"/>
      <c r="GV205" s="566"/>
      <c r="GW205" s="566"/>
      <c r="GX205" s="625"/>
      <c r="GY205" s="625"/>
      <c r="GZ205" s="625"/>
      <c r="HA205" s="625"/>
      <c r="HB205" s="625"/>
      <c r="HC205" s="625"/>
    </row>
    <row r="206" spans="2:211" s="506" customFormat="1" ht="24.65" customHeight="1" x14ac:dyDescent="0.35">
      <c r="B206" s="544">
        <v>203</v>
      </c>
      <c r="C206" s="544"/>
      <c r="D206" s="545" t="s">
        <v>44</v>
      </c>
      <c r="E206" s="545" t="s">
        <v>760</v>
      </c>
      <c r="F206" s="546" t="s">
        <v>46</v>
      </c>
      <c r="G206" s="546" t="s">
        <v>46</v>
      </c>
      <c r="H206" s="547" t="s">
        <v>761</v>
      </c>
      <c r="I206" s="549"/>
      <c r="J206" s="705"/>
      <c r="K206" s="568"/>
      <c r="L206" s="548"/>
      <c r="M206" s="569" t="s">
        <v>48</v>
      </c>
      <c r="N206" s="551">
        <v>0</v>
      </c>
      <c r="O206" s="552">
        <v>142</v>
      </c>
      <c r="P206" s="553"/>
      <c r="Q206" s="553"/>
      <c r="R206" s="554" t="s">
        <v>73</v>
      </c>
      <c r="S206" s="555">
        <f ca="1">IF(R206="Aprobado con comentarios / Emitir en Rev_0", NETWORKDAYS(Q206,TODAY(),Hoja1!$C$3:$C$25),0)</f>
        <v>0</v>
      </c>
      <c r="T206" s="555">
        <f ca="1">IF(R206="Revisión INN",NETWORKDAYS(P206,TODAY(),Hoja1!$C$3:$C$25),0)</f>
        <v>0</v>
      </c>
      <c r="U206" s="556">
        <f>ROUNDUP(((COUNTA(V206:GW206)/4)/2),0)</f>
        <v>0</v>
      </c>
      <c r="V206" s="601"/>
      <c r="W206" s="602"/>
      <c r="X206" s="558"/>
      <c r="Y206" s="596"/>
      <c r="Z206" s="560"/>
      <c r="AA206" s="561"/>
      <c r="AB206" s="562"/>
      <c r="AC206" s="561"/>
      <c r="AD206" s="563"/>
      <c r="AE206" s="567"/>
      <c r="AF206" s="564"/>
      <c r="AG206" s="565"/>
      <c r="AH206" s="560"/>
      <c r="AI206" s="561"/>
      <c r="AJ206" s="562"/>
      <c r="AK206" s="561"/>
      <c r="AL206" s="563"/>
      <c r="AM206" s="567"/>
      <c r="AN206" s="564"/>
      <c r="AO206" s="565"/>
      <c r="AP206" s="560"/>
      <c r="AQ206" s="561"/>
      <c r="AR206" s="562"/>
      <c r="AS206" s="561"/>
      <c r="AT206" s="563"/>
      <c r="AU206" s="567"/>
      <c r="AV206" s="564"/>
      <c r="AW206" s="565"/>
      <c r="AX206" s="560"/>
      <c r="AY206" s="561"/>
      <c r="AZ206" s="562"/>
      <c r="BA206" s="561"/>
      <c r="BB206" s="563"/>
      <c r="BC206" s="567"/>
      <c r="BD206" s="564"/>
      <c r="BE206" s="565"/>
      <c r="BF206" s="560"/>
      <c r="BG206" s="561"/>
      <c r="BH206" s="562"/>
      <c r="BI206" s="561"/>
      <c r="BJ206" s="563"/>
      <c r="BK206" s="567"/>
      <c r="BL206" s="564"/>
      <c r="BM206" s="565"/>
      <c r="BN206" s="560"/>
      <c r="BO206" s="561"/>
      <c r="BP206" s="562"/>
      <c r="BQ206" s="561"/>
      <c r="BR206" s="563"/>
      <c r="BS206" s="567"/>
      <c r="BT206" s="564"/>
      <c r="BU206" s="565"/>
      <c r="BV206" s="560"/>
      <c r="BW206" s="561"/>
      <c r="BX206" s="562"/>
      <c r="BY206" s="561"/>
      <c r="BZ206" s="563"/>
      <c r="CA206" s="567"/>
      <c r="CB206" s="564"/>
      <c r="CC206" s="565"/>
      <c r="CD206" s="560"/>
      <c r="CE206" s="561"/>
      <c r="CF206" s="562"/>
      <c r="CG206" s="561"/>
      <c r="CH206" s="563"/>
      <c r="CI206" s="564"/>
      <c r="CJ206" s="564"/>
      <c r="CK206" s="564"/>
      <c r="CL206" s="560"/>
      <c r="CM206" s="561"/>
      <c r="CN206" s="562"/>
      <c r="CO206" s="561"/>
      <c r="CP206" s="563"/>
      <c r="CQ206" s="564"/>
      <c r="CR206" s="564"/>
      <c r="CS206" s="564"/>
      <c r="CT206" s="560"/>
      <c r="CU206" s="561"/>
      <c r="CV206" s="562"/>
      <c r="CW206" s="561"/>
      <c r="CX206" s="563"/>
      <c r="CY206" s="564"/>
      <c r="CZ206" s="564"/>
      <c r="DA206" s="564"/>
      <c r="DB206" s="560"/>
      <c r="DC206" s="561"/>
      <c r="DD206" s="562"/>
      <c r="DE206" s="561"/>
      <c r="DF206" s="563"/>
      <c r="DG206" s="564"/>
      <c r="DH206" s="564"/>
      <c r="DI206" s="564"/>
      <c r="DJ206" s="560"/>
      <c r="DK206" s="561"/>
      <c r="DL206" s="562"/>
      <c r="DM206" s="561"/>
      <c r="DN206" s="563"/>
      <c r="DO206" s="564"/>
      <c r="DP206" s="564"/>
      <c r="DQ206" s="564"/>
      <c r="DR206" s="560"/>
      <c r="DS206" s="561"/>
      <c r="DT206" s="562"/>
      <c r="DU206" s="561"/>
      <c r="DV206" s="563"/>
      <c r="DW206" s="564"/>
      <c r="DX206" s="564"/>
      <c r="DY206" s="564"/>
      <c r="DZ206" s="560"/>
      <c r="EA206" s="561"/>
      <c r="EB206" s="562"/>
      <c r="EC206" s="561"/>
      <c r="ED206" s="563"/>
      <c r="EE206" s="564"/>
      <c r="EF206" s="564"/>
      <c r="EG206" s="564"/>
      <c r="EH206" s="560"/>
      <c r="EI206" s="561"/>
      <c r="EJ206" s="562"/>
      <c r="EK206" s="561"/>
      <c r="EL206" s="563"/>
      <c r="EM206" s="564"/>
      <c r="EN206" s="564"/>
      <c r="EO206" s="564"/>
      <c r="EP206" s="560"/>
      <c r="EQ206" s="561"/>
      <c r="ER206" s="562"/>
      <c r="ES206" s="561"/>
      <c r="ET206" s="563"/>
      <c r="EU206" s="564"/>
      <c r="EV206" s="564"/>
      <c r="EW206" s="564"/>
      <c r="EX206" s="560"/>
      <c r="EY206" s="561"/>
      <c r="EZ206" s="562"/>
      <c r="FA206" s="561"/>
      <c r="FB206" s="563"/>
      <c r="FC206" s="564"/>
      <c r="FD206" s="564"/>
      <c r="FE206" s="564"/>
      <c r="FF206" s="560"/>
      <c r="FG206" s="561"/>
      <c r="FH206" s="562"/>
      <c r="FI206" s="561"/>
      <c r="FJ206" s="563"/>
      <c r="FK206" s="564"/>
      <c r="FL206" s="564"/>
      <c r="FM206" s="564"/>
      <c r="FN206" s="560"/>
      <c r="FO206" s="561"/>
      <c r="FP206" s="562"/>
      <c r="FQ206" s="561"/>
      <c r="FR206" s="563"/>
      <c r="FS206" s="564"/>
      <c r="FT206" s="564"/>
      <c r="FU206" s="564"/>
      <c r="FV206" s="560"/>
      <c r="FW206" s="566"/>
      <c r="FX206" s="566"/>
      <c r="FY206" s="566"/>
      <c r="FZ206" s="563"/>
      <c r="GA206" s="564"/>
      <c r="GB206" s="564"/>
      <c r="GC206" s="564"/>
      <c r="GD206" s="560"/>
      <c r="GE206" s="566"/>
      <c r="GF206" s="566"/>
      <c r="GG206" s="566"/>
      <c r="GH206" s="563"/>
      <c r="GI206" s="564"/>
      <c r="GJ206" s="564"/>
      <c r="GK206" s="564"/>
      <c r="GL206" s="560"/>
      <c r="GM206" s="566"/>
      <c r="GN206" s="566"/>
      <c r="GO206" s="566"/>
      <c r="GP206" s="563"/>
      <c r="GQ206" s="564"/>
      <c r="GR206" s="564"/>
      <c r="GS206" s="564"/>
      <c r="GT206" s="560"/>
      <c r="GU206" s="566"/>
      <c r="GV206" s="566"/>
      <c r="GW206" s="566"/>
      <c r="GX206" s="625"/>
      <c r="GY206" s="625"/>
      <c r="GZ206" s="625"/>
      <c r="HA206" s="625"/>
      <c r="HB206" s="625"/>
      <c r="HC206" s="625"/>
    </row>
    <row r="207" spans="2:211" s="506" customFormat="1" ht="24.65" customHeight="1" x14ac:dyDescent="0.35">
      <c r="B207" s="544">
        <v>204</v>
      </c>
      <c r="C207" s="544"/>
      <c r="D207" s="544" t="s">
        <v>44</v>
      </c>
      <c r="E207" s="546" t="s">
        <v>762</v>
      </c>
      <c r="F207" s="545" t="s">
        <v>46</v>
      </c>
      <c r="G207" s="546" t="s">
        <v>46</v>
      </c>
      <c r="H207" s="704" t="s">
        <v>763</v>
      </c>
      <c r="I207" s="548"/>
      <c r="J207" s="548"/>
      <c r="K207" s="568"/>
      <c r="L207" s="572"/>
      <c r="M207" s="550" t="s">
        <v>48</v>
      </c>
      <c r="N207" s="551">
        <v>0</v>
      </c>
      <c r="O207" s="552">
        <v>142</v>
      </c>
      <c r="P207" s="553"/>
      <c r="Q207" s="554"/>
      <c r="R207" s="554" t="s">
        <v>73</v>
      </c>
      <c r="S207" s="555"/>
      <c r="T207" s="555"/>
      <c r="U207" s="556"/>
      <c r="V207" s="557"/>
      <c r="W207" s="558"/>
      <c r="X207" s="567"/>
      <c r="Y207" s="559"/>
      <c r="Z207" s="560"/>
      <c r="AA207" s="561"/>
      <c r="AB207" s="562"/>
      <c r="AC207" s="561"/>
      <c r="AD207" s="563"/>
      <c r="AE207" s="567"/>
      <c r="AF207" s="564"/>
      <c r="AG207" s="565"/>
      <c r="AH207" s="560"/>
      <c r="AI207" s="561"/>
      <c r="AJ207" s="562"/>
      <c r="AK207" s="561"/>
      <c r="AL207" s="563"/>
      <c r="AM207" s="567"/>
      <c r="AN207" s="564"/>
      <c r="AO207" s="565"/>
      <c r="AP207" s="560"/>
      <c r="AQ207" s="561"/>
      <c r="AR207" s="562"/>
      <c r="AS207" s="561"/>
      <c r="AT207" s="563"/>
      <c r="AU207" s="567"/>
      <c r="AV207" s="564"/>
      <c r="AW207" s="565"/>
      <c r="AX207" s="560"/>
      <c r="AY207" s="561"/>
      <c r="AZ207" s="562"/>
      <c r="BA207" s="561"/>
      <c r="BB207" s="563"/>
      <c r="BC207" s="567"/>
      <c r="BD207" s="564"/>
      <c r="BE207" s="565"/>
      <c r="BF207" s="560"/>
      <c r="BG207" s="561"/>
      <c r="BH207" s="562"/>
      <c r="BI207" s="561"/>
      <c r="BJ207" s="563"/>
      <c r="BK207" s="567"/>
      <c r="BL207" s="564"/>
      <c r="BM207" s="565"/>
      <c r="BN207" s="560"/>
      <c r="BO207" s="561"/>
      <c r="BP207" s="562"/>
      <c r="BQ207" s="561"/>
      <c r="BR207" s="563"/>
      <c r="BS207" s="567"/>
      <c r="BT207" s="564"/>
      <c r="BU207" s="565"/>
      <c r="BV207" s="560"/>
      <c r="BW207" s="561"/>
      <c r="BX207" s="562"/>
      <c r="BY207" s="561"/>
      <c r="BZ207" s="563"/>
      <c r="CA207" s="567"/>
      <c r="CB207" s="564"/>
      <c r="CC207" s="565"/>
      <c r="CD207" s="560"/>
      <c r="CE207" s="561"/>
      <c r="CF207" s="562"/>
      <c r="CG207" s="561"/>
      <c r="CH207" s="563"/>
      <c r="CI207" s="564"/>
      <c r="CJ207" s="564"/>
      <c r="CK207" s="564"/>
      <c r="CL207" s="560"/>
      <c r="CM207" s="561"/>
      <c r="CN207" s="562"/>
      <c r="CO207" s="561"/>
      <c r="CP207" s="563"/>
      <c r="CQ207" s="564"/>
      <c r="CR207" s="564"/>
      <c r="CS207" s="564"/>
      <c r="CT207" s="560"/>
      <c r="CU207" s="561"/>
      <c r="CV207" s="562"/>
      <c r="CW207" s="561"/>
      <c r="CX207" s="563"/>
      <c r="CY207" s="564"/>
      <c r="CZ207" s="564"/>
      <c r="DA207" s="564"/>
      <c r="DB207" s="560"/>
      <c r="DC207" s="561"/>
      <c r="DD207" s="562"/>
      <c r="DE207" s="561"/>
      <c r="DF207" s="563"/>
      <c r="DG207" s="564"/>
      <c r="DH207" s="564"/>
      <c r="DI207" s="564"/>
      <c r="DJ207" s="560"/>
      <c r="DK207" s="561"/>
      <c r="DL207" s="562"/>
      <c r="DM207" s="561"/>
      <c r="DN207" s="563"/>
      <c r="DO207" s="564"/>
      <c r="DP207" s="564"/>
      <c r="DQ207" s="564"/>
      <c r="DR207" s="560"/>
      <c r="DS207" s="561"/>
      <c r="DT207" s="562"/>
      <c r="DU207" s="561"/>
      <c r="DV207" s="563"/>
      <c r="DW207" s="564"/>
      <c r="DX207" s="564"/>
      <c r="DY207" s="564"/>
      <c r="DZ207" s="560"/>
      <c r="EA207" s="561"/>
      <c r="EB207" s="562"/>
      <c r="EC207" s="561"/>
      <c r="ED207" s="563"/>
      <c r="EE207" s="564"/>
      <c r="EF207" s="564"/>
      <c r="EG207" s="564"/>
      <c r="EH207" s="560"/>
      <c r="EI207" s="561"/>
      <c r="EJ207" s="562"/>
      <c r="EK207" s="561"/>
      <c r="EL207" s="563"/>
      <c r="EM207" s="564"/>
      <c r="EN207" s="564"/>
      <c r="EO207" s="564"/>
      <c r="EP207" s="560"/>
      <c r="EQ207" s="561"/>
      <c r="ER207" s="562"/>
      <c r="ES207" s="561"/>
      <c r="ET207" s="563"/>
      <c r="EU207" s="564"/>
      <c r="EV207" s="564"/>
      <c r="EW207" s="564"/>
      <c r="EX207" s="560"/>
      <c r="EY207" s="561"/>
      <c r="EZ207" s="562"/>
      <c r="FA207" s="561"/>
      <c r="FB207" s="563"/>
      <c r="FC207" s="564"/>
      <c r="FD207" s="564"/>
      <c r="FE207" s="564"/>
      <c r="FF207" s="560"/>
      <c r="FG207" s="561"/>
      <c r="FH207" s="562"/>
      <c r="FI207" s="561"/>
      <c r="FJ207" s="563"/>
      <c r="FK207" s="564"/>
      <c r="FL207" s="564"/>
      <c r="FM207" s="564"/>
      <c r="FN207" s="560"/>
      <c r="FO207" s="561"/>
      <c r="FP207" s="562"/>
      <c r="FQ207" s="561"/>
      <c r="FR207" s="563"/>
      <c r="FS207" s="564"/>
      <c r="FT207" s="564"/>
      <c r="FU207" s="564"/>
      <c r="FV207" s="560"/>
      <c r="FW207" s="566"/>
      <c r="FX207" s="566"/>
      <c r="FY207" s="566"/>
      <c r="FZ207" s="563"/>
      <c r="GA207" s="564"/>
      <c r="GB207" s="564"/>
      <c r="GC207" s="564"/>
      <c r="GD207" s="560"/>
      <c r="GE207" s="566"/>
      <c r="GF207" s="566"/>
      <c r="GG207" s="566"/>
      <c r="GH207" s="563"/>
      <c r="GI207" s="564"/>
      <c r="GJ207" s="564"/>
      <c r="GK207" s="564"/>
      <c r="GL207" s="560"/>
      <c r="GM207" s="566"/>
      <c r="GN207" s="566"/>
      <c r="GO207" s="566"/>
      <c r="GP207" s="563"/>
      <c r="GQ207" s="564"/>
      <c r="GR207" s="564"/>
      <c r="GS207" s="564"/>
      <c r="GT207" s="560"/>
      <c r="GU207" s="566"/>
      <c r="GV207" s="566"/>
      <c r="GW207" s="566"/>
      <c r="GX207" s="625"/>
      <c r="GY207" s="625"/>
      <c r="GZ207" s="625"/>
      <c r="HA207" s="625"/>
      <c r="HB207" s="625"/>
      <c r="HC207" s="625"/>
    </row>
    <row r="208" spans="2:211" s="506" customFormat="1" ht="24.65" customHeight="1" x14ac:dyDescent="0.35">
      <c r="B208" s="544">
        <v>205</v>
      </c>
      <c r="C208" s="674"/>
      <c r="D208" s="544" t="s">
        <v>44</v>
      </c>
      <c r="E208" s="546" t="s">
        <v>764</v>
      </c>
      <c r="F208" s="545" t="s">
        <v>46</v>
      </c>
      <c r="G208" s="546" t="s">
        <v>46</v>
      </c>
      <c r="H208" s="704" t="s">
        <v>765</v>
      </c>
      <c r="I208" s="548"/>
      <c r="J208" s="548"/>
      <c r="K208" s="568"/>
      <c r="L208" s="572"/>
      <c r="M208" s="550" t="s">
        <v>48</v>
      </c>
      <c r="N208" s="551">
        <v>0</v>
      </c>
      <c r="O208" s="552">
        <v>154</v>
      </c>
      <c r="P208" s="553">
        <v>46049</v>
      </c>
      <c r="Q208" s="554"/>
      <c r="R208" s="554" t="s">
        <v>49</v>
      </c>
      <c r="S208" s="555">
        <f ca="1">IF(R208="Aprobado con comentarios / Emitir en Rev_0", NETWORKDAYS(Q208,TODAY(),Hoja1!$C$3:$C$25),0)</f>
        <v>0</v>
      </c>
      <c r="T208" s="555">
        <f ca="1">IF(R208="Revisión INN",NETWORKDAYS(P208,TODAY(),Hoja1!$C$3:$C$25),0)</f>
        <v>0</v>
      </c>
      <c r="U208" s="556">
        <f>ROUNDUP(((COUNTA(V208:GW208)/4)/2),0)</f>
        <v>1</v>
      </c>
      <c r="V208" s="557">
        <v>0</v>
      </c>
      <c r="W208" s="558">
        <v>154</v>
      </c>
      <c r="X208" s="567"/>
      <c r="Y208" s="559">
        <v>46049</v>
      </c>
      <c r="Z208" s="560"/>
      <c r="AA208" s="561"/>
      <c r="AB208" s="562"/>
      <c r="AC208" s="561"/>
      <c r="AD208" s="563"/>
      <c r="AE208" s="567"/>
      <c r="AF208" s="564"/>
      <c r="AG208" s="565"/>
      <c r="AH208" s="560"/>
      <c r="AI208" s="561"/>
      <c r="AJ208" s="562"/>
      <c r="AK208" s="561"/>
      <c r="AL208" s="563"/>
      <c r="AM208" s="567"/>
      <c r="AN208" s="564"/>
      <c r="AO208" s="565"/>
      <c r="AP208" s="560"/>
      <c r="AQ208" s="561"/>
      <c r="AR208" s="562"/>
      <c r="AS208" s="561"/>
      <c r="AT208" s="563"/>
      <c r="AU208" s="567"/>
      <c r="AV208" s="564"/>
      <c r="AW208" s="565"/>
      <c r="AX208" s="560"/>
      <c r="AY208" s="561"/>
      <c r="AZ208" s="562"/>
      <c r="BA208" s="561"/>
      <c r="BB208" s="563"/>
      <c r="BC208" s="567"/>
      <c r="BD208" s="564"/>
      <c r="BE208" s="565"/>
      <c r="BF208" s="560"/>
      <c r="BG208" s="561"/>
      <c r="BH208" s="562"/>
      <c r="BI208" s="561"/>
      <c r="BJ208" s="563"/>
      <c r="BK208" s="567"/>
      <c r="BL208" s="564"/>
      <c r="BM208" s="565"/>
      <c r="BN208" s="560"/>
      <c r="BO208" s="561"/>
      <c r="BP208" s="562"/>
      <c r="BQ208" s="561"/>
      <c r="BR208" s="563"/>
      <c r="BS208" s="567"/>
      <c r="BT208" s="564"/>
      <c r="BU208" s="565"/>
      <c r="BV208" s="560"/>
      <c r="BW208" s="561"/>
      <c r="BX208" s="562"/>
      <c r="BY208" s="561"/>
      <c r="BZ208" s="563"/>
      <c r="CA208" s="567"/>
      <c r="CB208" s="564"/>
      <c r="CC208" s="565"/>
      <c r="CD208" s="560"/>
      <c r="CE208" s="561"/>
      <c r="CF208" s="562"/>
      <c r="CG208" s="561"/>
      <c r="CH208" s="563"/>
      <c r="CI208" s="564"/>
      <c r="CJ208" s="564"/>
      <c r="CK208" s="564"/>
      <c r="CL208" s="560"/>
      <c r="CM208" s="561"/>
      <c r="CN208" s="562"/>
      <c r="CO208" s="561"/>
      <c r="CP208" s="563"/>
      <c r="CQ208" s="564"/>
      <c r="CR208" s="564"/>
      <c r="CS208" s="564"/>
      <c r="CT208" s="560"/>
      <c r="CU208" s="561"/>
      <c r="CV208" s="562"/>
      <c r="CW208" s="561"/>
      <c r="CX208" s="563"/>
      <c r="CY208" s="564"/>
      <c r="CZ208" s="564"/>
      <c r="DA208" s="564"/>
      <c r="DB208" s="560"/>
      <c r="DC208" s="561"/>
      <c r="DD208" s="562"/>
      <c r="DE208" s="561"/>
      <c r="DF208" s="563"/>
      <c r="DG208" s="564"/>
      <c r="DH208" s="564"/>
      <c r="DI208" s="564"/>
      <c r="DJ208" s="560"/>
      <c r="DK208" s="561"/>
      <c r="DL208" s="562"/>
      <c r="DM208" s="561"/>
      <c r="DN208" s="563"/>
      <c r="DO208" s="564"/>
      <c r="DP208" s="564"/>
      <c r="DQ208" s="564"/>
      <c r="DR208" s="560"/>
      <c r="DS208" s="561"/>
      <c r="DT208" s="562"/>
      <c r="DU208" s="561"/>
      <c r="DV208" s="563"/>
      <c r="DW208" s="564"/>
      <c r="DX208" s="564"/>
      <c r="DY208" s="564"/>
      <c r="DZ208" s="560"/>
      <c r="EA208" s="561"/>
      <c r="EB208" s="562"/>
      <c r="EC208" s="561"/>
      <c r="ED208" s="563"/>
      <c r="EE208" s="564"/>
      <c r="EF208" s="564"/>
      <c r="EG208" s="564"/>
      <c r="EH208" s="560"/>
      <c r="EI208" s="561"/>
      <c r="EJ208" s="562"/>
      <c r="EK208" s="561"/>
      <c r="EL208" s="563"/>
      <c r="EM208" s="564"/>
      <c r="EN208" s="564"/>
      <c r="EO208" s="564"/>
      <c r="EP208" s="560"/>
      <c r="EQ208" s="561"/>
      <c r="ER208" s="562"/>
      <c r="ES208" s="561"/>
      <c r="ET208" s="563"/>
      <c r="EU208" s="564"/>
      <c r="EV208" s="564"/>
      <c r="EW208" s="564"/>
      <c r="EX208" s="560"/>
      <c r="EY208" s="561"/>
      <c r="EZ208" s="562"/>
      <c r="FA208" s="561"/>
      <c r="FB208" s="563"/>
      <c r="FC208" s="564"/>
      <c r="FD208" s="564"/>
      <c r="FE208" s="564"/>
      <c r="FF208" s="560"/>
      <c r="FG208" s="561"/>
      <c r="FH208" s="562"/>
      <c r="FI208" s="561"/>
      <c r="FJ208" s="563"/>
      <c r="FK208" s="564"/>
      <c r="FL208" s="564"/>
      <c r="FM208" s="564"/>
      <c r="FN208" s="560"/>
      <c r="FO208" s="561"/>
      <c r="FP208" s="562"/>
      <c r="FQ208" s="561"/>
      <c r="FR208" s="563"/>
      <c r="FS208" s="564"/>
      <c r="FT208" s="564"/>
      <c r="FU208" s="564"/>
      <c r="FV208" s="560"/>
      <c r="FW208" s="566"/>
      <c r="FX208" s="566"/>
      <c r="FY208" s="566"/>
      <c r="FZ208" s="563"/>
      <c r="GA208" s="564"/>
      <c r="GB208" s="564"/>
      <c r="GC208" s="564"/>
      <c r="GD208" s="560"/>
      <c r="GE208" s="566"/>
      <c r="GF208" s="566"/>
      <c r="GG208" s="566"/>
      <c r="GH208" s="563"/>
      <c r="GI208" s="564"/>
      <c r="GJ208" s="564"/>
      <c r="GK208" s="564"/>
      <c r="GL208" s="560"/>
      <c r="GM208" s="566"/>
      <c r="GN208" s="566"/>
      <c r="GO208" s="566"/>
      <c r="GP208" s="563"/>
      <c r="GQ208" s="564"/>
      <c r="GR208" s="564"/>
      <c r="GS208" s="564"/>
      <c r="GT208" s="560"/>
      <c r="GU208" s="566"/>
      <c r="GV208" s="566"/>
      <c r="GW208" s="566"/>
      <c r="GX208" s="625"/>
      <c r="GY208" s="625"/>
      <c r="GZ208" s="625"/>
      <c r="HA208" s="625"/>
      <c r="HB208" s="625"/>
      <c r="HC208" s="625"/>
    </row>
    <row r="209" spans="2:211" s="506" customFormat="1" ht="24.65" customHeight="1" x14ac:dyDescent="0.35">
      <c r="B209" s="544">
        <v>206</v>
      </c>
      <c r="C209" s="544"/>
      <c r="D209" s="544" t="s">
        <v>44</v>
      </c>
      <c r="E209" s="546" t="s">
        <v>50</v>
      </c>
      <c r="F209" s="546" t="s">
        <v>46</v>
      </c>
      <c r="G209" s="545" t="s">
        <v>46</v>
      </c>
      <c r="H209" s="547" t="s">
        <v>766</v>
      </c>
      <c r="I209" s="548"/>
      <c r="J209" s="548"/>
      <c r="K209" s="568"/>
      <c r="L209" s="572"/>
      <c r="M209" s="569" t="s">
        <v>48</v>
      </c>
      <c r="N209" s="551">
        <v>0</v>
      </c>
      <c r="O209" s="552">
        <v>164</v>
      </c>
      <c r="P209" s="553">
        <v>46057</v>
      </c>
      <c r="Q209" s="554"/>
      <c r="R209" s="554" t="s">
        <v>73</v>
      </c>
      <c r="S209" s="555"/>
      <c r="T209" s="555"/>
      <c r="U209" s="556"/>
      <c r="V209" s="557"/>
      <c r="W209" s="558"/>
      <c r="X209" s="567"/>
      <c r="Y209" s="559"/>
      <c r="Z209" s="560"/>
      <c r="AA209" s="561"/>
      <c r="AB209" s="562"/>
      <c r="AC209" s="561"/>
      <c r="AD209" s="563"/>
      <c r="AE209" s="567"/>
      <c r="AF209" s="564"/>
      <c r="AG209" s="565"/>
      <c r="AH209" s="560"/>
      <c r="AI209" s="561"/>
      <c r="AJ209" s="562"/>
      <c r="AK209" s="561"/>
      <c r="AL209" s="563"/>
      <c r="AM209" s="567"/>
      <c r="AN209" s="564"/>
      <c r="AO209" s="565"/>
      <c r="AP209" s="560"/>
      <c r="AQ209" s="561"/>
      <c r="AR209" s="562"/>
      <c r="AS209" s="561"/>
      <c r="AT209" s="563"/>
      <c r="AU209" s="567"/>
      <c r="AV209" s="564"/>
      <c r="AW209" s="565"/>
      <c r="AX209" s="560"/>
      <c r="AY209" s="561"/>
      <c r="AZ209" s="562"/>
      <c r="BA209" s="561"/>
      <c r="BB209" s="563"/>
      <c r="BC209" s="567"/>
      <c r="BD209" s="564"/>
      <c r="BE209" s="565"/>
      <c r="BF209" s="560"/>
      <c r="BG209" s="561"/>
      <c r="BH209" s="562"/>
      <c r="BI209" s="561"/>
      <c r="BJ209" s="563"/>
      <c r="BK209" s="567"/>
      <c r="BL209" s="564"/>
      <c r="BM209" s="565"/>
      <c r="BN209" s="560"/>
      <c r="BO209" s="561"/>
      <c r="BP209" s="562"/>
      <c r="BQ209" s="561"/>
      <c r="BR209" s="563"/>
      <c r="BS209" s="567"/>
      <c r="BT209" s="564"/>
      <c r="BU209" s="565"/>
      <c r="BV209" s="560"/>
      <c r="BW209" s="561"/>
      <c r="BX209" s="562"/>
      <c r="BY209" s="561"/>
      <c r="BZ209" s="563"/>
      <c r="CA209" s="567"/>
      <c r="CB209" s="564"/>
      <c r="CC209" s="565"/>
      <c r="CD209" s="560"/>
      <c r="CE209" s="561"/>
      <c r="CF209" s="562"/>
      <c r="CG209" s="561"/>
      <c r="CH209" s="563"/>
      <c r="CI209" s="564"/>
      <c r="CJ209" s="564"/>
      <c r="CK209" s="564"/>
      <c r="CL209" s="560"/>
      <c r="CM209" s="561"/>
      <c r="CN209" s="562"/>
      <c r="CO209" s="561"/>
      <c r="CP209" s="563"/>
      <c r="CQ209" s="564"/>
      <c r="CR209" s="564"/>
      <c r="CS209" s="564"/>
      <c r="CT209" s="560"/>
      <c r="CU209" s="561"/>
      <c r="CV209" s="562"/>
      <c r="CW209" s="561"/>
      <c r="CX209" s="563"/>
      <c r="CY209" s="564"/>
      <c r="CZ209" s="564"/>
      <c r="DA209" s="564"/>
      <c r="DB209" s="560"/>
      <c r="DC209" s="561"/>
      <c r="DD209" s="562"/>
      <c r="DE209" s="561"/>
      <c r="DF209" s="563"/>
      <c r="DG209" s="564"/>
      <c r="DH209" s="564"/>
      <c r="DI209" s="564"/>
      <c r="DJ209" s="560"/>
      <c r="DK209" s="561"/>
      <c r="DL209" s="562"/>
      <c r="DM209" s="561"/>
      <c r="DN209" s="563"/>
      <c r="DO209" s="564"/>
      <c r="DP209" s="564"/>
      <c r="DQ209" s="564"/>
      <c r="DR209" s="560"/>
      <c r="DS209" s="561"/>
      <c r="DT209" s="562"/>
      <c r="DU209" s="561"/>
      <c r="DV209" s="563"/>
      <c r="DW209" s="564"/>
      <c r="DX209" s="564"/>
      <c r="DY209" s="564"/>
      <c r="DZ209" s="560"/>
      <c r="EA209" s="561"/>
      <c r="EB209" s="562"/>
      <c r="EC209" s="561"/>
      <c r="ED209" s="563"/>
      <c r="EE209" s="564"/>
      <c r="EF209" s="564"/>
      <c r="EG209" s="564"/>
      <c r="EH209" s="560"/>
      <c r="EI209" s="561"/>
      <c r="EJ209" s="562"/>
      <c r="EK209" s="561"/>
      <c r="EL209" s="563"/>
      <c r="EM209" s="564"/>
      <c r="EN209" s="564"/>
      <c r="EO209" s="564"/>
      <c r="EP209" s="560"/>
      <c r="EQ209" s="561"/>
      <c r="ER209" s="562"/>
      <c r="ES209" s="561"/>
      <c r="ET209" s="563"/>
      <c r="EU209" s="564"/>
      <c r="EV209" s="564"/>
      <c r="EW209" s="564"/>
      <c r="EX209" s="560"/>
      <c r="EY209" s="561"/>
      <c r="EZ209" s="562"/>
      <c r="FA209" s="561"/>
      <c r="FB209" s="563"/>
      <c r="FC209" s="564"/>
      <c r="FD209" s="564"/>
      <c r="FE209" s="564"/>
      <c r="FF209" s="560"/>
      <c r="FG209" s="561"/>
      <c r="FH209" s="562"/>
      <c r="FI209" s="561"/>
      <c r="FJ209" s="563"/>
      <c r="FK209" s="564"/>
      <c r="FL209" s="564"/>
      <c r="FM209" s="564"/>
      <c r="FN209" s="560"/>
      <c r="FO209" s="561"/>
      <c r="FP209" s="562"/>
      <c r="FQ209" s="561"/>
      <c r="FR209" s="563"/>
      <c r="FS209" s="564"/>
      <c r="FT209" s="564"/>
      <c r="FU209" s="564"/>
      <c r="FV209" s="560"/>
      <c r="FW209" s="566"/>
      <c r="FX209" s="566"/>
      <c r="FY209" s="566"/>
      <c r="FZ209" s="563"/>
      <c r="GA209" s="564"/>
      <c r="GB209" s="564"/>
      <c r="GC209" s="564"/>
      <c r="GD209" s="560"/>
      <c r="GE209" s="566"/>
      <c r="GF209" s="566"/>
      <c r="GG209" s="566"/>
      <c r="GH209" s="563"/>
      <c r="GI209" s="564"/>
      <c r="GJ209" s="564"/>
      <c r="GK209" s="564"/>
      <c r="GL209" s="560"/>
      <c r="GM209" s="566"/>
      <c r="GN209" s="566"/>
      <c r="GO209" s="566"/>
      <c r="GP209" s="563"/>
      <c r="GQ209" s="564"/>
      <c r="GR209" s="564"/>
      <c r="GS209" s="564"/>
      <c r="GT209" s="560"/>
      <c r="GU209" s="566"/>
      <c r="GV209" s="566"/>
      <c r="GW209" s="566"/>
      <c r="GX209" s="625"/>
      <c r="GY209" s="625"/>
      <c r="GZ209" s="625"/>
      <c r="HA209" s="625"/>
      <c r="HB209" s="625"/>
      <c r="HC209" s="625"/>
    </row>
    <row r="210" spans="2:211" s="506" customFormat="1" ht="24.65" customHeight="1" x14ac:dyDescent="0.35">
      <c r="B210" s="544">
        <v>207</v>
      </c>
      <c r="C210" s="544"/>
      <c r="D210" s="544" t="s">
        <v>44</v>
      </c>
      <c r="E210" s="546" t="s">
        <v>50</v>
      </c>
      <c r="F210" s="546" t="s">
        <v>46</v>
      </c>
      <c r="G210" s="545" t="s">
        <v>46</v>
      </c>
      <c r="H210" s="547" t="s">
        <v>767</v>
      </c>
      <c r="I210" s="548"/>
      <c r="J210" s="548"/>
      <c r="K210" s="568"/>
      <c r="L210" s="572"/>
      <c r="M210" s="569" t="s">
        <v>48</v>
      </c>
      <c r="N210" s="551">
        <v>0</v>
      </c>
      <c r="O210" s="552">
        <v>180</v>
      </c>
      <c r="P210" s="553">
        <v>46071</v>
      </c>
      <c r="Q210" s="554"/>
      <c r="R210" s="554" t="s">
        <v>49</v>
      </c>
      <c r="S210" s="555"/>
      <c r="T210" s="555"/>
      <c r="U210" s="556"/>
      <c r="V210" s="557"/>
      <c r="W210" s="558"/>
      <c r="X210" s="567"/>
      <c r="Y210" s="559"/>
      <c r="Z210" s="560"/>
      <c r="AA210" s="561"/>
      <c r="AB210" s="562"/>
      <c r="AC210" s="561"/>
      <c r="AD210" s="563"/>
      <c r="AE210" s="567"/>
      <c r="AF210" s="564"/>
      <c r="AG210" s="565"/>
      <c r="AH210" s="560"/>
      <c r="AI210" s="561"/>
      <c r="AJ210" s="562"/>
      <c r="AK210" s="561"/>
      <c r="AL210" s="563"/>
      <c r="AM210" s="567"/>
      <c r="AN210" s="564"/>
      <c r="AO210" s="565"/>
      <c r="AP210" s="560"/>
      <c r="AQ210" s="561"/>
      <c r="AR210" s="562"/>
      <c r="AS210" s="561"/>
      <c r="AT210" s="563"/>
      <c r="AU210" s="567"/>
      <c r="AV210" s="564"/>
      <c r="AW210" s="565"/>
      <c r="AX210" s="560"/>
      <c r="AY210" s="561"/>
      <c r="AZ210" s="562"/>
      <c r="BA210" s="561"/>
      <c r="BB210" s="563"/>
      <c r="BC210" s="567"/>
      <c r="BD210" s="564"/>
      <c r="BE210" s="565"/>
      <c r="BF210" s="560"/>
      <c r="BG210" s="561"/>
      <c r="BH210" s="562"/>
      <c r="BI210" s="561"/>
      <c r="BJ210" s="563"/>
      <c r="BK210" s="567"/>
      <c r="BL210" s="564"/>
      <c r="BM210" s="565"/>
      <c r="BN210" s="560"/>
      <c r="BO210" s="561"/>
      <c r="BP210" s="562"/>
      <c r="BQ210" s="561"/>
      <c r="BR210" s="563"/>
      <c r="BS210" s="567"/>
      <c r="BT210" s="564"/>
      <c r="BU210" s="565"/>
      <c r="BV210" s="560"/>
      <c r="BW210" s="561"/>
      <c r="BX210" s="562"/>
      <c r="BY210" s="561"/>
      <c r="BZ210" s="563"/>
      <c r="CA210" s="567"/>
      <c r="CB210" s="564"/>
      <c r="CC210" s="565"/>
      <c r="CD210" s="560"/>
      <c r="CE210" s="561"/>
      <c r="CF210" s="562"/>
      <c r="CG210" s="561"/>
      <c r="CH210" s="563"/>
      <c r="CI210" s="564"/>
      <c r="CJ210" s="564"/>
      <c r="CK210" s="564"/>
      <c r="CL210" s="560"/>
      <c r="CM210" s="561"/>
      <c r="CN210" s="562"/>
      <c r="CO210" s="561"/>
      <c r="CP210" s="563"/>
      <c r="CQ210" s="564"/>
      <c r="CR210" s="564"/>
      <c r="CS210" s="564"/>
      <c r="CT210" s="560"/>
      <c r="CU210" s="561"/>
      <c r="CV210" s="562"/>
      <c r="CW210" s="561"/>
      <c r="CX210" s="563"/>
      <c r="CY210" s="564"/>
      <c r="CZ210" s="564"/>
      <c r="DA210" s="564"/>
      <c r="DB210" s="560"/>
      <c r="DC210" s="561"/>
      <c r="DD210" s="562"/>
      <c r="DE210" s="561"/>
      <c r="DF210" s="563"/>
      <c r="DG210" s="564"/>
      <c r="DH210" s="564"/>
      <c r="DI210" s="564"/>
      <c r="DJ210" s="560"/>
      <c r="DK210" s="561"/>
      <c r="DL210" s="562"/>
      <c r="DM210" s="561"/>
      <c r="DN210" s="563"/>
      <c r="DO210" s="564"/>
      <c r="DP210" s="564"/>
      <c r="DQ210" s="564"/>
      <c r="DR210" s="560"/>
      <c r="DS210" s="561"/>
      <c r="DT210" s="562"/>
      <c r="DU210" s="561"/>
      <c r="DV210" s="563"/>
      <c r="DW210" s="564"/>
      <c r="DX210" s="564"/>
      <c r="DY210" s="564"/>
      <c r="DZ210" s="560"/>
      <c r="EA210" s="561"/>
      <c r="EB210" s="562"/>
      <c r="EC210" s="561"/>
      <c r="ED210" s="563"/>
      <c r="EE210" s="564"/>
      <c r="EF210" s="564"/>
      <c r="EG210" s="564"/>
      <c r="EH210" s="560"/>
      <c r="EI210" s="561"/>
      <c r="EJ210" s="562"/>
      <c r="EK210" s="561"/>
      <c r="EL210" s="563"/>
      <c r="EM210" s="564"/>
      <c r="EN210" s="564"/>
      <c r="EO210" s="564"/>
      <c r="EP210" s="560"/>
      <c r="EQ210" s="561"/>
      <c r="ER210" s="562"/>
      <c r="ES210" s="561"/>
      <c r="ET210" s="563"/>
      <c r="EU210" s="564"/>
      <c r="EV210" s="564"/>
      <c r="EW210" s="564"/>
      <c r="EX210" s="560"/>
      <c r="EY210" s="561"/>
      <c r="EZ210" s="562"/>
      <c r="FA210" s="561"/>
      <c r="FB210" s="563"/>
      <c r="FC210" s="564"/>
      <c r="FD210" s="564"/>
      <c r="FE210" s="564"/>
      <c r="FF210" s="560"/>
      <c r="FG210" s="561"/>
      <c r="FH210" s="562"/>
      <c r="FI210" s="561"/>
      <c r="FJ210" s="563"/>
      <c r="FK210" s="564"/>
      <c r="FL210" s="564"/>
      <c r="FM210" s="564"/>
      <c r="FN210" s="560"/>
      <c r="FO210" s="561"/>
      <c r="FP210" s="562"/>
      <c r="FQ210" s="561"/>
      <c r="FR210" s="563"/>
      <c r="FS210" s="564"/>
      <c r="FT210" s="564"/>
      <c r="FU210" s="564"/>
      <c r="FV210" s="560"/>
      <c r="FW210" s="566"/>
      <c r="FX210" s="566"/>
      <c r="FY210" s="566"/>
      <c r="FZ210" s="563"/>
      <c r="GA210" s="564"/>
      <c r="GB210" s="564"/>
      <c r="GC210" s="564"/>
      <c r="GD210" s="560"/>
      <c r="GE210" s="566"/>
      <c r="GF210" s="566"/>
      <c r="GG210" s="566"/>
      <c r="GH210" s="563"/>
      <c r="GI210" s="564"/>
      <c r="GJ210" s="564"/>
      <c r="GK210" s="564"/>
      <c r="GL210" s="560"/>
      <c r="GM210" s="566"/>
      <c r="GN210" s="566"/>
      <c r="GO210" s="566"/>
      <c r="GP210" s="563"/>
      <c r="GQ210" s="564"/>
      <c r="GR210" s="564"/>
      <c r="GS210" s="564"/>
      <c r="GT210" s="560"/>
      <c r="GU210" s="566"/>
      <c r="GV210" s="566"/>
      <c r="GW210" s="566"/>
      <c r="GX210" s="625"/>
      <c r="GY210" s="625"/>
      <c r="GZ210" s="625"/>
      <c r="HA210" s="625"/>
      <c r="HB210" s="625"/>
      <c r="HC210" s="625"/>
    </row>
    <row r="211" spans="2:211" s="506" customFormat="1" ht="24.65" customHeight="1" x14ac:dyDescent="0.35">
      <c r="B211" s="544">
        <v>208</v>
      </c>
      <c r="C211" s="544"/>
      <c r="D211" s="544" t="s">
        <v>44</v>
      </c>
      <c r="E211" s="546" t="s">
        <v>50</v>
      </c>
      <c r="F211" s="546" t="s">
        <v>46</v>
      </c>
      <c r="G211" s="545" t="s">
        <v>46</v>
      </c>
      <c r="H211" s="547" t="s">
        <v>768</v>
      </c>
      <c r="I211" s="548"/>
      <c r="J211" s="548"/>
      <c r="K211" s="568"/>
      <c r="L211" s="572"/>
      <c r="M211" s="569" t="s">
        <v>48</v>
      </c>
      <c r="N211" s="551">
        <v>0</v>
      </c>
      <c r="O211" s="552">
        <v>204</v>
      </c>
      <c r="P211" s="553">
        <v>46085</v>
      </c>
      <c r="Q211" s="554"/>
      <c r="R211" s="554" t="s">
        <v>49</v>
      </c>
      <c r="S211" s="555">
        <f ca="1">IF(R211="Aprobado con comentarios / Emitir en Rev_0", NETWORKDAYS(Q211,TODAY(),Hoja1!$C$3:$C$25),0)</f>
        <v>0</v>
      </c>
      <c r="T211" s="555">
        <f ca="1">IF(R211="Revisión INN",NETWORKDAYS(P211,TODAY(),Hoja1!$C$3:$C$25),0)</f>
        <v>0</v>
      </c>
      <c r="U211" s="556">
        <f>ROUNDUP(((COUNTA(V211:GW211)/4)/2),0)</f>
        <v>0</v>
      </c>
      <c r="V211" s="557"/>
      <c r="W211" s="558"/>
      <c r="X211" s="567"/>
      <c r="Y211" s="559"/>
      <c r="Z211" s="560"/>
      <c r="AA211" s="561"/>
      <c r="AB211" s="562"/>
      <c r="AC211" s="561"/>
      <c r="AD211" s="563"/>
      <c r="AE211" s="567"/>
      <c r="AF211" s="564"/>
      <c r="AG211" s="565"/>
      <c r="AH211" s="560"/>
      <c r="AI211" s="561"/>
      <c r="AJ211" s="562"/>
      <c r="AK211" s="561"/>
      <c r="AL211" s="563"/>
      <c r="AM211" s="567"/>
      <c r="AN211" s="564"/>
      <c r="AO211" s="565"/>
      <c r="AP211" s="560"/>
      <c r="AQ211" s="561"/>
      <c r="AR211" s="562"/>
      <c r="AS211" s="561"/>
      <c r="AT211" s="563"/>
      <c r="AU211" s="567"/>
      <c r="AV211" s="564"/>
      <c r="AW211" s="565"/>
      <c r="AX211" s="560"/>
      <c r="AY211" s="561"/>
      <c r="AZ211" s="562"/>
      <c r="BA211" s="561"/>
      <c r="BB211" s="563"/>
      <c r="BC211" s="567"/>
      <c r="BD211" s="564"/>
      <c r="BE211" s="565"/>
      <c r="BF211" s="560"/>
      <c r="BG211" s="561"/>
      <c r="BH211" s="562"/>
      <c r="BI211" s="561"/>
      <c r="BJ211" s="563"/>
      <c r="BK211" s="567"/>
      <c r="BL211" s="564"/>
      <c r="BM211" s="565"/>
      <c r="BN211" s="560"/>
      <c r="BO211" s="561"/>
      <c r="BP211" s="562"/>
      <c r="BQ211" s="561"/>
      <c r="BR211" s="563"/>
      <c r="BS211" s="567"/>
      <c r="BT211" s="564"/>
      <c r="BU211" s="565"/>
      <c r="BV211" s="560"/>
      <c r="BW211" s="561"/>
      <c r="BX211" s="562"/>
      <c r="BY211" s="561"/>
      <c r="BZ211" s="563"/>
      <c r="CA211" s="567"/>
      <c r="CB211" s="564"/>
      <c r="CC211" s="565"/>
      <c r="CD211" s="560"/>
      <c r="CE211" s="561"/>
      <c r="CF211" s="562"/>
      <c r="CG211" s="561"/>
      <c r="CH211" s="563"/>
      <c r="CI211" s="564"/>
      <c r="CJ211" s="564"/>
      <c r="CK211" s="564"/>
      <c r="CL211" s="560"/>
      <c r="CM211" s="561"/>
      <c r="CN211" s="562"/>
      <c r="CO211" s="561"/>
      <c r="CP211" s="563"/>
      <c r="CQ211" s="564"/>
      <c r="CR211" s="564"/>
      <c r="CS211" s="564"/>
      <c r="CT211" s="560"/>
      <c r="CU211" s="561"/>
      <c r="CV211" s="562"/>
      <c r="CW211" s="561"/>
      <c r="CX211" s="563"/>
      <c r="CY211" s="564"/>
      <c r="CZ211" s="564"/>
      <c r="DA211" s="564"/>
      <c r="DB211" s="560"/>
      <c r="DC211" s="561"/>
      <c r="DD211" s="562"/>
      <c r="DE211" s="561"/>
      <c r="DF211" s="563"/>
      <c r="DG211" s="564"/>
      <c r="DH211" s="564"/>
      <c r="DI211" s="564"/>
      <c r="DJ211" s="560"/>
      <c r="DK211" s="561"/>
      <c r="DL211" s="562"/>
      <c r="DM211" s="561"/>
      <c r="DN211" s="563"/>
      <c r="DO211" s="564"/>
      <c r="DP211" s="564"/>
      <c r="DQ211" s="564"/>
      <c r="DR211" s="560"/>
      <c r="DS211" s="561"/>
      <c r="DT211" s="562"/>
      <c r="DU211" s="561"/>
      <c r="DV211" s="563"/>
      <c r="DW211" s="564"/>
      <c r="DX211" s="564"/>
      <c r="DY211" s="564"/>
      <c r="DZ211" s="560"/>
      <c r="EA211" s="561"/>
      <c r="EB211" s="562"/>
      <c r="EC211" s="561"/>
      <c r="ED211" s="563"/>
      <c r="EE211" s="564"/>
      <c r="EF211" s="564"/>
      <c r="EG211" s="564"/>
      <c r="EH211" s="560"/>
      <c r="EI211" s="561"/>
      <c r="EJ211" s="562"/>
      <c r="EK211" s="561"/>
      <c r="EL211" s="563"/>
      <c r="EM211" s="564"/>
      <c r="EN211" s="564"/>
      <c r="EO211" s="564"/>
      <c r="EP211" s="560"/>
      <c r="EQ211" s="561"/>
      <c r="ER211" s="562"/>
      <c r="ES211" s="561"/>
      <c r="ET211" s="563"/>
      <c r="EU211" s="564"/>
      <c r="EV211" s="564"/>
      <c r="EW211" s="564"/>
      <c r="EX211" s="560"/>
      <c r="EY211" s="561"/>
      <c r="EZ211" s="562"/>
      <c r="FA211" s="561"/>
      <c r="FB211" s="563"/>
      <c r="FC211" s="564"/>
      <c r="FD211" s="564"/>
      <c r="FE211" s="564"/>
      <c r="FF211" s="560"/>
      <c r="FG211" s="561"/>
      <c r="FH211" s="562"/>
      <c r="FI211" s="561"/>
      <c r="FJ211" s="563"/>
      <c r="FK211" s="564"/>
      <c r="FL211" s="564"/>
      <c r="FM211" s="564"/>
      <c r="FN211" s="560"/>
      <c r="FO211" s="561"/>
      <c r="FP211" s="562"/>
      <c r="FQ211" s="561"/>
      <c r="FR211" s="563"/>
      <c r="FS211" s="564"/>
      <c r="FT211" s="564"/>
      <c r="FU211" s="564"/>
      <c r="FV211" s="560"/>
      <c r="FW211" s="566"/>
      <c r="FX211" s="566"/>
      <c r="FY211" s="566"/>
      <c r="FZ211" s="563"/>
      <c r="GA211" s="564"/>
      <c r="GB211" s="564"/>
      <c r="GC211" s="564"/>
      <c r="GD211" s="560"/>
      <c r="GE211" s="566"/>
      <c r="GF211" s="566"/>
      <c r="GG211" s="566"/>
      <c r="GH211" s="563"/>
      <c r="GI211" s="564"/>
      <c r="GJ211" s="564"/>
      <c r="GK211" s="564"/>
      <c r="GL211" s="560"/>
      <c r="GM211" s="566"/>
      <c r="GN211" s="566"/>
      <c r="GO211" s="566"/>
      <c r="GP211" s="563"/>
      <c r="GQ211" s="564"/>
      <c r="GR211" s="564"/>
      <c r="GS211" s="564"/>
      <c r="GT211" s="560"/>
      <c r="GU211" s="566"/>
      <c r="GV211" s="566"/>
      <c r="GW211" s="566"/>
      <c r="GX211" s="625"/>
      <c r="GY211" s="625"/>
      <c r="GZ211" s="625"/>
      <c r="HA211" s="625"/>
      <c r="HB211" s="625"/>
      <c r="HC211" s="625"/>
    </row>
    <row r="212" spans="2:211" s="506" customFormat="1" ht="24.65" customHeight="1" x14ac:dyDescent="0.35">
      <c r="B212" s="544">
        <v>209</v>
      </c>
      <c r="C212" s="544"/>
      <c r="D212" s="544" t="s">
        <v>44</v>
      </c>
      <c r="E212" s="546" t="s">
        <v>50</v>
      </c>
      <c r="F212" s="546" t="s">
        <v>46</v>
      </c>
      <c r="G212" s="545" t="s">
        <v>46</v>
      </c>
      <c r="H212" s="547" t="s">
        <v>769</v>
      </c>
      <c r="I212" s="548"/>
      <c r="J212" s="548"/>
      <c r="K212" s="568"/>
      <c r="L212" s="572"/>
      <c r="M212" s="569" t="s">
        <v>48</v>
      </c>
      <c r="N212" s="551">
        <v>0</v>
      </c>
      <c r="O212" s="552">
        <v>217</v>
      </c>
      <c r="P212" s="553">
        <v>46091</v>
      </c>
      <c r="Q212" s="554"/>
      <c r="R212" s="554" t="s">
        <v>49</v>
      </c>
      <c r="S212" s="555"/>
      <c r="T212" s="555"/>
      <c r="U212" s="556"/>
      <c r="V212" s="557"/>
      <c r="W212" s="558"/>
      <c r="X212" s="567"/>
      <c r="Y212" s="559"/>
      <c r="Z212" s="560"/>
      <c r="AA212" s="561"/>
      <c r="AB212" s="562"/>
      <c r="AC212" s="561"/>
      <c r="AD212" s="563"/>
      <c r="AE212" s="567"/>
      <c r="AF212" s="564"/>
      <c r="AG212" s="565"/>
      <c r="AH212" s="560"/>
      <c r="AI212" s="561"/>
      <c r="AJ212" s="562"/>
      <c r="AK212" s="561"/>
      <c r="AL212" s="563"/>
      <c r="AM212" s="567"/>
      <c r="AN212" s="564"/>
      <c r="AO212" s="565"/>
      <c r="AP212" s="560"/>
      <c r="AQ212" s="561"/>
      <c r="AR212" s="562"/>
      <c r="AS212" s="561"/>
      <c r="AT212" s="563"/>
      <c r="AU212" s="567"/>
      <c r="AV212" s="564"/>
      <c r="AW212" s="565"/>
      <c r="AX212" s="560"/>
      <c r="AY212" s="561"/>
      <c r="AZ212" s="562"/>
      <c r="BA212" s="561"/>
      <c r="BB212" s="563"/>
      <c r="BC212" s="567"/>
      <c r="BD212" s="564"/>
      <c r="BE212" s="565"/>
      <c r="BF212" s="560"/>
      <c r="BG212" s="561"/>
      <c r="BH212" s="562"/>
      <c r="BI212" s="561"/>
      <c r="BJ212" s="563"/>
      <c r="BK212" s="567"/>
      <c r="BL212" s="564"/>
      <c r="BM212" s="565"/>
      <c r="BN212" s="560"/>
      <c r="BO212" s="561"/>
      <c r="BP212" s="562"/>
      <c r="BQ212" s="561"/>
      <c r="BR212" s="563"/>
      <c r="BS212" s="567"/>
      <c r="BT212" s="564"/>
      <c r="BU212" s="565"/>
      <c r="BV212" s="560"/>
      <c r="BW212" s="561"/>
      <c r="BX212" s="562"/>
      <c r="BY212" s="561"/>
      <c r="BZ212" s="563"/>
      <c r="CA212" s="567"/>
      <c r="CB212" s="564"/>
      <c r="CC212" s="565"/>
      <c r="CD212" s="560"/>
      <c r="CE212" s="561"/>
      <c r="CF212" s="562"/>
      <c r="CG212" s="561"/>
      <c r="CH212" s="563"/>
      <c r="CI212" s="564"/>
      <c r="CJ212" s="564"/>
      <c r="CK212" s="564"/>
      <c r="CL212" s="560"/>
      <c r="CM212" s="561"/>
      <c r="CN212" s="562"/>
      <c r="CO212" s="561"/>
      <c r="CP212" s="563"/>
      <c r="CQ212" s="564"/>
      <c r="CR212" s="564"/>
      <c r="CS212" s="564"/>
      <c r="CT212" s="560"/>
      <c r="CU212" s="561"/>
      <c r="CV212" s="562"/>
      <c r="CW212" s="561"/>
      <c r="CX212" s="563"/>
      <c r="CY212" s="564"/>
      <c r="CZ212" s="564"/>
      <c r="DA212" s="564"/>
      <c r="DB212" s="560"/>
      <c r="DC212" s="561"/>
      <c r="DD212" s="562"/>
      <c r="DE212" s="561"/>
      <c r="DF212" s="563"/>
      <c r="DG212" s="564"/>
      <c r="DH212" s="564"/>
      <c r="DI212" s="564"/>
      <c r="DJ212" s="560"/>
      <c r="DK212" s="561"/>
      <c r="DL212" s="562"/>
      <c r="DM212" s="561"/>
      <c r="DN212" s="563"/>
      <c r="DO212" s="564"/>
      <c r="DP212" s="564"/>
      <c r="DQ212" s="564"/>
      <c r="DR212" s="560"/>
      <c r="DS212" s="561"/>
      <c r="DT212" s="562"/>
      <c r="DU212" s="561"/>
      <c r="DV212" s="563"/>
      <c r="DW212" s="564"/>
      <c r="DX212" s="564"/>
      <c r="DY212" s="564"/>
      <c r="DZ212" s="560"/>
      <c r="EA212" s="561"/>
      <c r="EB212" s="562"/>
      <c r="EC212" s="561"/>
      <c r="ED212" s="563"/>
      <c r="EE212" s="564"/>
      <c r="EF212" s="564"/>
      <c r="EG212" s="564"/>
      <c r="EH212" s="560"/>
      <c r="EI212" s="561"/>
      <c r="EJ212" s="562"/>
      <c r="EK212" s="561"/>
      <c r="EL212" s="563"/>
      <c r="EM212" s="564"/>
      <c r="EN212" s="564"/>
      <c r="EO212" s="564"/>
      <c r="EP212" s="560"/>
      <c r="EQ212" s="561"/>
      <c r="ER212" s="562"/>
      <c r="ES212" s="561"/>
      <c r="ET212" s="563"/>
      <c r="EU212" s="564"/>
      <c r="EV212" s="564"/>
      <c r="EW212" s="564"/>
      <c r="EX212" s="560"/>
      <c r="EY212" s="561"/>
      <c r="EZ212" s="562"/>
      <c r="FA212" s="561"/>
      <c r="FB212" s="563"/>
      <c r="FC212" s="564"/>
      <c r="FD212" s="564"/>
      <c r="FE212" s="564"/>
      <c r="FF212" s="560"/>
      <c r="FG212" s="561"/>
      <c r="FH212" s="562"/>
      <c r="FI212" s="561"/>
      <c r="FJ212" s="563"/>
      <c r="FK212" s="564"/>
      <c r="FL212" s="564"/>
      <c r="FM212" s="564"/>
      <c r="FN212" s="560"/>
      <c r="FO212" s="561"/>
      <c r="FP212" s="562"/>
      <c r="FQ212" s="561"/>
      <c r="FR212" s="563"/>
      <c r="FS212" s="564"/>
      <c r="FT212" s="564"/>
      <c r="FU212" s="564"/>
      <c r="FV212" s="560"/>
      <c r="FW212" s="566"/>
      <c r="FX212" s="566"/>
      <c r="FY212" s="566"/>
      <c r="FZ212" s="563"/>
      <c r="GA212" s="564"/>
      <c r="GB212" s="564"/>
      <c r="GC212" s="564"/>
      <c r="GD212" s="560"/>
      <c r="GE212" s="566"/>
      <c r="GF212" s="566"/>
      <c r="GG212" s="566"/>
      <c r="GH212" s="563"/>
      <c r="GI212" s="564"/>
      <c r="GJ212" s="564"/>
      <c r="GK212" s="564"/>
      <c r="GL212" s="560"/>
      <c r="GM212" s="566"/>
      <c r="GN212" s="566"/>
      <c r="GO212" s="566"/>
      <c r="GP212" s="563"/>
      <c r="GQ212" s="564"/>
      <c r="GR212" s="564"/>
      <c r="GS212" s="564"/>
      <c r="GT212" s="560"/>
      <c r="GU212" s="566"/>
      <c r="GV212" s="566"/>
      <c r="GW212" s="566"/>
      <c r="GX212" s="625"/>
      <c r="GY212" s="625"/>
      <c r="GZ212" s="625"/>
      <c r="HA212" s="625"/>
      <c r="HB212" s="625"/>
      <c r="HC212" s="625"/>
    </row>
    <row r="213" spans="2:211" s="506" customFormat="1" ht="24.65" customHeight="1" x14ac:dyDescent="0.35">
      <c r="B213" s="544">
        <v>210</v>
      </c>
      <c r="C213" s="544"/>
      <c r="D213" s="654" t="s">
        <v>44</v>
      </c>
      <c r="E213" s="546" t="s">
        <v>50</v>
      </c>
      <c r="F213" s="546" t="s">
        <v>46</v>
      </c>
      <c r="G213" s="545" t="s">
        <v>46</v>
      </c>
      <c r="H213" s="547" t="s">
        <v>770</v>
      </c>
      <c r="I213" s="548"/>
      <c r="J213" s="548"/>
      <c r="K213" s="568"/>
      <c r="L213" s="572"/>
      <c r="M213" s="569" t="s">
        <v>48</v>
      </c>
      <c r="N213" s="551"/>
      <c r="O213" s="552"/>
      <c r="P213" s="553"/>
      <c r="Q213" s="554"/>
      <c r="R213" s="554"/>
      <c r="S213" s="555"/>
      <c r="T213" s="555"/>
      <c r="U213" s="556"/>
      <c r="V213" s="557"/>
      <c r="W213" s="558"/>
      <c r="X213" s="567"/>
      <c r="Y213" s="559"/>
      <c r="Z213" s="560"/>
      <c r="AA213" s="561"/>
      <c r="AB213" s="562"/>
      <c r="AC213" s="561"/>
      <c r="AD213" s="563"/>
      <c r="AE213" s="567"/>
      <c r="AF213" s="564"/>
      <c r="AG213" s="565"/>
      <c r="AH213" s="560"/>
      <c r="AI213" s="561"/>
      <c r="AJ213" s="562"/>
      <c r="AK213" s="561"/>
      <c r="AL213" s="563"/>
      <c r="AM213" s="567"/>
      <c r="AN213" s="564"/>
      <c r="AO213" s="565"/>
      <c r="AP213" s="560"/>
      <c r="AQ213" s="561"/>
      <c r="AR213" s="562"/>
      <c r="AS213" s="561"/>
      <c r="AT213" s="563"/>
      <c r="AU213" s="567"/>
      <c r="AV213" s="564"/>
      <c r="AW213" s="565"/>
      <c r="AX213" s="560"/>
      <c r="AY213" s="561"/>
      <c r="AZ213" s="562"/>
      <c r="BA213" s="561"/>
      <c r="BB213" s="563"/>
      <c r="BC213" s="567"/>
      <c r="BD213" s="564"/>
      <c r="BE213" s="565"/>
      <c r="BF213" s="560"/>
      <c r="BG213" s="561"/>
      <c r="BH213" s="562"/>
      <c r="BI213" s="561"/>
      <c r="BJ213" s="563"/>
      <c r="BK213" s="567"/>
      <c r="BL213" s="564"/>
      <c r="BM213" s="565"/>
      <c r="BN213" s="560"/>
      <c r="BO213" s="561"/>
      <c r="BP213" s="562"/>
      <c r="BQ213" s="561"/>
      <c r="BR213" s="563"/>
      <c r="BS213" s="567"/>
      <c r="BT213" s="564"/>
      <c r="BU213" s="565"/>
      <c r="BV213" s="560"/>
      <c r="BW213" s="561"/>
      <c r="BX213" s="562"/>
      <c r="BY213" s="561"/>
      <c r="BZ213" s="563"/>
      <c r="CA213" s="567"/>
      <c r="CB213" s="564"/>
      <c r="CC213" s="565"/>
      <c r="CD213" s="560"/>
      <c r="CE213" s="561"/>
      <c r="CF213" s="562"/>
      <c r="CG213" s="561"/>
      <c r="CH213" s="563"/>
      <c r="CI213" s="564"/>
      <c r="CJ213" s="564"/>
      <c r="CK213" s="564"/>
      <c r="CL213" s="560"/>
      <c r="CM213" s="561"/>
      <c r="CN213" s="562"/>
      <c r="CO213" s="561"/>
      <c r="CP213" s="563"/>
      <c r="CQ213" s="564"/>
      <c r="CR213" s="564"/>
      <c r="CS213" s="564"/>
      <c r="CT213" s="560"/>
      <c r="CU213" s="561"/>
      <c r="CV213" s="562"/>
      <c r="CW213" s="561"/>
      <c r="CX213" s="563"/>
      <c r="CY213" s="564"/>
      <c r="CZ213" s="564"/>
      <c r="DA213" s="564"/>
      <c r="DB213" s="560"/>
      <c r="DC213" s="561"/>
      <c r="DD213" s="562"/>
      <c r="DE213" s="561"/>
      <c r="DF213" s="563"/>
      <c r="DG213" s="564"/>
      <c r="DH213" s="564"/>
      <c r="DI213" s="564"/>
      <c r="DJ213" s="560"/>
      <c r="DK213" s="561"/>
      <c r="DL213" s="562"/>
      <c r="DM213" s="561"/>
      <c r="DN213" s="563"/>
      <c r="DO213" s="564"/>
      <c r="DP213" s="564"/>
      <c r="DQ213" s="564"/>
      <c r="DR213" s="560"/>
      <c r="DS213" s="561"/>
      <c r="DT213" s="562"/>
      <c r="DU213" s="561"/>
      <c r="DV213" s="563"/>
      <c r="DW213" s="564"/>
      <c r="DX213" s="564"/>
      <c r="DY213" s="564"/>
      <c r="DZ213" s="560"/>
      <c r="EA213" s="561"/>
      <c r="EB213" s="562"/>
      <c r="EC213" s="561"/>
      <c r="ED213" s="563"/>
      <c r="EE213" s="564"/>
      <c r="EF213" s="564"/>
      <c r="EG213" s="564"/>
      <c r="EH213" s="560"/>
      <c r="EI213" s="561"/>
      <c r="EJ213" s="562"/>
      <c r="EK213" s="561"/>
      <c r="EL213" s="563"/>
      <c r="EM213" s="564"/>
      <c r="EN213" s="564"/>
      <c r="EO213" s="564"/>
      <c r="EP213" s="560"/>
      <c r="EQ213" s="561"/>
      <c r="ER213" s="562"/>
      <c r="ES213" s="561"/>
      <c r="ET213" s="563"/>
      <c r="EU213" s="564"/>
      <c r="EV213" s="564"/>
      <c r="EW213" s="564"/>
      <c r="EX213" s="560"/>
      <c r="EY213" s="561"/>
      <c r="EZ213" s="562"/>
      <c r="FA213" s="561"/>
      <c r="FB213" s="563"/>
      <c r="FC213" s="564"/>
      <c r="FD213" s="564"/>
      <c r="FE213" s="564"/>
      <c r="FF213" s="560"/>
      <c r="FG213" s="561"/>
      <c r="FH213" s="562"/>
      <c r="FI213" s="561"/>
      <c r="FJ213" s="563"/>
      <c r="FK213" s="564"/>
      <c r="FL213" s="564"/>
      <c r="FM213" s="564"/>
      <c r="FN213" s="560"/>
      <c r="FO213" s="561"/>
      <c r="FP213" s="562"/>
      <c r="FQ213" s="561"/>
      <c r="FR213" s="563"/>
      <c r="FS213" s="564"/>
      <c r="FT213" s="564"/>
      <c r="FU213" s="564"/>
      <c r="FV213" s="560"/>
      <c r="FW213" s="566"/>
      <c r="FX213" s="566"/>
      <c r="FY213" s="566"/>
      <c r="FZ213" s="563"/>
      <c r="GA213" s="564"/>
      <c r="GB213" s="564"/>
      <c r="GC213" s="564"/>
      <c r="GD213" s="560"/>
      <c r="GE213" s="566"/>
      <c r="GF213" s="566"/>
      <c r="GG213" s="566"/>
      <c r="GH213" s="563"/>
      <c r="GI213" s="564"/>
      <c r="GJ213" s="564"/>
      <c r="GK213" s="564"/>
      <c r="GL213" s="560"/>
      <c r="GM213" s="566"/>
      <c r="GN213" s="566"/>
      <c r="GO213" s="566"/>
      <c r="GP213" s="563"/>
      <c r="GQ213" s="564"/>
      <c r="GR213" s="564"/>
      <c r="GS213" s="564"/>
      <c r="GT213" s="560"/>
      <c r="GU213" s="566"/>
      <c r="GV213" s="566"/>
      <c r="GW213" s="566"/>
      <c r="GX213" s="625"/>
      <c r="GY213" s="625"/>
      <c r="GZ213" s="625"/>
      <c r="HA213" s="625"/>
      <c r="HB213" s="625"/>
      <c r="HC213" s="625"/>
    </row>
    <row r="214" spans="2:211" s="506" customFormat="1" ht="24.65" customHeight="1" x14ac:dyDescent="0.35">
      <c r="B214" s="544">
        <v>211</v>
      </c>
      <c r="C214" s="544"/>
      <c r="D214" s="544" t="s">
        <v>44</v>
      </c>
      <c r="E214" s="546" t="s">
        <v>50</v>
      </c>
      <c r="F214" s="546" t="s">
        <v>46</v>
      </c>
      <c r="G214" s="545" t="s">
        <v>46</v>
      </c>
      <c r="H214" s="547" t="s">
        <v>771</v>
      </c>
      <c r="I214" s="548"/>
      <c r="J214" s="548"/>
      <c r="K214" s="568"/>
      <c r="L214" s="572"/>
      <c r="M214" s="569" t="s">
        <v>48</v>
      </c>
      <c r="N214" s="551"/>
      <c r="O214" s="552">
        <v>225</v>
      </c>
      <c r="P214" s="553">
        <v>46099</v>
      </c>
      <c r="Q214" s="554"/>
      <c r="R214" s="554" t="s">
        <v>73</v>
      </c>
      <c r="S214" s="555">
        <f ca="1">IF(R214="Aprobado con comentarios / Emitir en Rev_0", NETWORKDAYS(Q214,TODAY(),Hoja1!$C$3:$C$25),0)</f>
        <v>0</v>
      </c>
      <c r="T214" s="555">
        <f ca="1">IF(R214="Revisión INN",NETWORKDAYS(P214,TODAY(),Hoja1!$C$3:$C$25),0)</f>
        <v>0</v>
      </c>
      <c r="U214" s="556">
        <f t="shared" ref="U214:U234" si="7">ROUNDUP(((COUNTA(V214:GW214)/4)/2),0)</f>
        <v>0</v>
      </c>
      <c r="V214" s="557"/>
      <c r="W214" s="558"/>
      <c r="X214" s="567"/>
      <c r="Y214" s="559"/>
      <c r="Z214" s="560"/>
      <c r="AA214" s="561"/>
      <c r="AB214" s="562"/>
      <c r="AC214" s="561"/>
      <c r="AD214" s="563"/>
      <c r="AE214" s="567"/>
      <c r="AF214" s="564"/>
      <c r="AG214" s="565"/>
      <c r="AH214" s="560"/>
      <c r="AI214" s="561"/>
      <c r="AJ214" s="562"/>
      <c r="AK214" s="561"/>
      <c r="AL214" s="563"/>
      <c r="AM214" s="567"/>
      <c r="AN214" s="564"/>
      <c r="AO214" s="565"/>
      <c r="AP214" s="560"/>
      <c r="AQ214" s="561"/>
      <c r="AR214" s="562"/>
      <c r="AS214" s="561"/>
      <c r="AT214" s="563"/>
      <c r="AU214" s="567"/>
      <c r="AV214" s="564"/>
      <c r="AW214" s="565"/>
      <c r="AX214" s="560"/>
      <c r="AY214" s="561"/>
      <c r="AZ214" s="562"/>
      <c r="BA214" s="561"/>
      <c r="BB214" s="563"/>
      <c r="BC214" s="567"/>
      <c r="BD214" s="564"/>
      <c r="BE214" s="565"/>
      <c r="BF214" s="560"/>
      <c r="BG214" s="561"/>
      <c r="BH214" s="562"/>
      <c r="BI214" s="561"/>
      <c r="BJ214" s="563"/>
      <c r="BK214" s="567"/>
      <c r="BL214" s="564"/>
      <c r="BM214" s="565"/>
      <c r="BN214" s="560"/>
      <c r="BO214" s="561"/>
      <c r="BP214" s="562"/>
      <c r="BQ214" s="561"/>
      <c r="BR214" s="563"/>
      <c r="BS214" s="567"/>
      <c r="BT214" s="564"/>
      <c r="BU214" s="565"/>
      <c r="BV214" s="560"/>
      <c r="BW214" s="561"/>
      <c r="BX214" s="562"/>
      <c r="BY214" s="561"/>
      <c r="BZ214" s="563"/>
      <c r="CA214" s="567"/>
      <c r="CB214" s="564"/>
      <c r="CC214" s="565"/>
      <c r="CD214" s="560"/>
      <c r="CE214" s="561"/>
      <c r="CF214" s="562"/>
      <c r="CG214" s="561"/>
      <c r="CH214" s="563"/>
      <c r="CI214" s="564"/>
      <c r="CJ214" s="564"/>
      <c r="CK214" s="564"/>
      <c r="CL214" s="560"/>
      <c r="CM214" s="561"/>
      <c r="CN214" s="562"/>
      <c r="CO214" s="561"/>
      <c r="CP214" s="563"/>
      <c r="CQ214" s="564"/>
      <c r="CR214" s="564"/>
      <c r="CS214" s="564"/>
      <c r="CT214" s="560"/>
      <c r="CU214" s="561"/>
      <c r="CV214" s="562"/>
      <c r="CW214" s="561"/>
      <c r="CX214" s="563"/>
      <c r="CY214" s="564"/>
      <c r="CZ214" s="564"/>
      <c r="DA214" s="564"/>
      <c r="DB214" s="560"/>
      <c r="DC214" s="561"/>
      <c r="DD214" s="562"/>
      <c r="DE214" s="561"/>
      <c r="DF214" s="563"/>
      <c r="DG214" s="564"/>
      <c r="DH214" s="564"/>
      <c r="DI214" s="564"/>
      <c r="DJ214" s="560"/>
      <c r="DK214" s="561"/>
      <c r="DL214" s="562"/>
      <c r="DM214" s="561"/>
      <c r="DN214" s="563"/>
      <c r="DO214" s="564"/>
      <c r="DP214" s="564"/>
      <c r="DQ214" s="564"/>
      <c r="DR214" s="560"/>
      <c r="DS214" s="561"/>
      <c r="DT214" s="562"/>
      <c r="DU214" s="561"/>
      <c r="DV214" s="563"/>
      <c r="DW214" s="564"/>
      <c r="DX214" s="564"/>
      <c r="DY214" s="564"/>
      <c r="DZ214" s="560"/>
      <c r="EA214" s="561"/>
      <c r="EB214" s="562"/>
      <c r="EC214" s="561"/>
      <c r="ED214" s="563"/>
      <c r="EE214" s="564"/>
      <c r="EF214" s="564"/>
      <c r="EG214" s="564"/>
      <c r="EH214" s="560"/>
      <c r="EI214" s="561"/>
      <c r="EJ214" s="562"/>
      <c r="EK214" s="561"/>
      <c r="EL214" s="563"/>
      <c r="EM214" s="564"/>
      <c r="EN214" s="564"/>
      <c r="EO214" s="564"/>
      <c r="EP214" s="560"/>
      <c r="EQ214" s="561"/>
      <c r="ER214" s="562"/>
      <c r="ES214" s="561"/>
      <c r="ET214" s="563"/>
      <c r="EU214" s="564"/>
      <c r="EV214" s="564"/>
      <c r="EW214" s="564"/>
      <c r="EX214" s="560"/>
      <c r="EY214" s="561"/>
      <c r="EZ214" s="562"/>
      <c r="FA214" s="561"/>
      <c r="FB214" s="563"/>
      <c r="FC214" s="564"/>
      <c r="FD214" s="564"/>
      <c r="FE214" s="564"/>
      <c r="FF214" s="560"/>
      <c r="FG214" s="561"/>
      <c r="FH214" s="562"/>
      <c r="FI214" s="561"/>
      <c r="FJ214" s="563"/>
      <c r="FK214" s="564"/>
      <c r="FL214" s="564"/>
      <c r="FM214" s="564"/>
      <c r="FN214" s="560"/>
      <c r="FO214" s="561"/>
      <c r="FP214" s="562"/>
      <c r="FQ214" s="561"/>
      <c r="FR214" s="563"/>
      <c r="FS214" s="564"/>
      <c r="FT214" s="564"/>
      <c r="FU214" s="564"/>
      <c r="FV214" s="560"/>
      <c r="FW214" s="566"/>
      <c r="FX214" s="566"/>
      <c r="FY214" s="566"/>
      <c r="FZ214" s="563"/>
      <c r="GA214" s="564"/>
      <c r="GB214" s="564"/>
      <c r="GC214" s="564"/>
      <c r="GD214" s="560"/>
      <c r="GE214" s="566"/>
      <c r="GF214" s="566"/>
      <c r="GG214" s="566"/>
      <c r="GH214" s="563"/>
      <c r="GI214" s="564"/>
      <c r="GJ214" s="564"/>
      <c r="GK214" s="564"/>
      <c r="GL214" s="560"/>
      <c r="GM214" s="566"/>
      <c r="GN214" s="566"/>
      <c r="GO214" s="566"/>
      <c r="GP214" s="563"/>
      <c r="GQ214" s="564"/>
      <c r="GR214" s="564"/>
      <c r="GS214" s="564"/>
      <c r="GT214" s="560"/>
      <c r="GU214" s="566"/>
      <c r="GV214" s="566"/>
      <c r="GW214" s="566"/>
      <c r="GX214" s="625"/>
      <c r="GY214" s="625"/>
      <c r="GZ214" s="625"/>
      <c r="HA214" s="625"/>
      <c r="HB214" s="625"/>
      <c r="HC214" s="625"/>
    </row>
    <row r="215" spans="2:211" s="506" customFormat="1" ht="24.65" customHeight="1" x14ac:dyDescent="0.35">
      <c r="B215" s="544">
        <v>212</v>
      </c>
      <c r="C215" s="544"/>
      <c r="D215" s="544" t="s">
        <v>44</v>
      </c>
      <c r="E215" s="546" t="s">
        <v>50</v>
      </c>
      <c r="F215" s="546" t="s">
        <v>46</v>
      </c>
      <c r="G215" s="545" t="s">
        <v>46</v>
      </c>
      <c r="H215" s="547" t="s">
        <v>772</v>
      </c>
      <c r="I215" s="548"/>
      <c r="J215" s="548"/>
      <c r="K215" s="568"/>
      <c r="L215" s="572"/>
      <c r="M215" s="569" t="s">
        <v>48</v>
      </c>
      <c r="N215" s="551">
        <v>0</v>
      </c>
      <c r="O215" s="552">
        <v>194</v>
      </c>
      <c r="P215" s="553">
        <v>46077</v>
      </c>
      <c r="Q215" s="554"/>
      <c r="R215" s="554" t="s">
        <v>49</v>
      </c>
      <c r="S215" s="555">
        <f ca="1">IF(R215="Aprobado con comentarios / Emitir en Rev_0", NETWORKDAYS(Q215,TODAY(),Hoja1!$C$3:$C$25),0)</f>
        <v>0</v>
      </c>
      <c r="T215" s="555">
        <f ca="1">IF(R215="Revisión INN",NETWORKDAYS(P215,TODAY(),Hoja1!$C$3:$C$25),0)</f>
        <v>0</v>
      </c>
      <c r="U215" s="556">
        <f t="shared" si="7"/>
        <v>1</v>
      </c>
      <c r="V215" s="601">
        <v>0</v>
      </c>
      <c r="W215" s="602">
        <v>194</v>
      </c>
      <c r="X215" s="567"/>
      <c r="Y215" s="596">
        <v>46077</v>
      </c>
      <c r="Z215" s="560"/>
      <c r="AA215" s="561"/>
      <c r="AB215" s="562"/>
      <c r="AC215" s="561"/>
      <c r="AD215" s="563"/>
      <c r="AE215" s="567"/>
      <c r="AF215" s="564"/>
      <c r="AG215" s="565"/>
      <c r="AH215" s="560"/>
      <c r="AI215" s="561"/>
      <c r="AJ215" s="562"/>
      <c r="AK215" s="561"/>
      <c r="AL215" s="563"/>
      <c r="AM215" s="567"/>
      <c r="AN215" s="564"/>
      <c r="AO215" s="565"/>
      <c r="AP215" s="560"/>
      <c r="AQ215" s="561"/>
      <c r="AR215" s="562"/>
      <c r="AS215" s="561"/>
      <c r="AT215" s="563"/>
      <c r="AU215" s="567"/>
      <c r="AV215" s="564"/>
      <c r="AW215" s="565"/>
      <c r="AX215" s="560"/>
      <c r="AY215" s="561"/>
      <c r="AZ215" s="562"/>
      <c r="BA215" s="561"/>
      <c r="BB215" s="563"/>
      <c r="BC215" s="567"/>
      <c r="BD215" s="564"/>
      <c r="BE215" s="565"/>
      <c r="BF215" s="560"/>
      <c r="BG215" s="561"/>
      <c r="BH215" s="562"/>
      <c r="BI215" s="561"/>
      <c r="BJ215" s="563"/>
      <c r="BK215" s="567"/>
      <c r="BL215" s="564"/>
      <c r="BM215" s="565"/>
      <c r="BN215" s="560"/>
      <c r="BO215" s="561"/>
      <c r="BP215" s="562"/>
      <c r="BQ215" s="561"/>
      <c r="BR215" s="563"/>
      <c r="BS215" s="567"/>
      <c r="BT215" s="564"/>
      <c r="BU215" s="565"/>
      <c r="BV215" s="560"/>
      <c r="BW215" s="561"/>
      <c r="BX215" s="562"/>
      <c r="BY215" s="561"/>
      <c r="BZ215" s="563"/>
      <c r="CA215" s="567"/>
      <c r="CB215" s="564"/>
      <c r="CC215" s="565"/>
      <c r="CD215" s="560"/>
      <c r="CE215" s="561"/>
      <c r="CF215" s="562"/>
      <c r="CG215" s="561"/>
      <c r="CH215" s="563"/>
      <c r="CI215" s="564"/>
      <c r="CJ215" s="564"/>
      <c r="CK215" s="564"/>
      <c r="CL215" s="560"/>
      <c r="CM215" s="561"/>
      <c r="CN215" s="562"/>
      <c r="CO215" s="561"/>
      <c r="CP215" s="563"/>
      <c r="CQ215" s="564"/>
      <c r="CR215" s="564"/>
      <c r="CS215" s="564"/>
      <c r="CT215" s="560"/>
      <c r="CU215" s="561"/>
      <c r="CV215" s="562"/>
      <c r="CW215" s="561"/>
      <c r="CX215" s="563"/>
      <c r="CY215" s="564"/>
      <c r="CZ215" s="564"/>
      <c r="DA215" s="564"/>
      <c r="DB215" s="560"/>
      <c r="DC215" s="561"/>
      <c r="DD215" s="562"/>
      <c r="DE215" s="561"/>
      <c r="DF215" s="563"/>
      <c r="DG215" s="564"/>
      <c r="DH215" s="564"/>
      <c r="DI215" s="564"/>
      <c r="DJ215" s="560"/>
      <c r="DK215" s="561"/>
      <c r="DL215" s="562"/>
      <c r="DM215" s="561"/>
      <c r="DN215" s="563"/>
      <c r="DO215" s="564"/>
      <c r="DP215" s="564"/>
      <c r="DQ215" s="564"/>
      <c r="DR215" s="560"/>
      <c r="DS215" s="561"/>
      <c r="DT215" s="562"/>
      <c r="DU215" s="561"/>
      <c r="DV215" s="563"/>
      <c r="DW215" s="564"/>
      <c r="DX215" s="564"/>
      <c r="DY215" s="564"/>
      <c r="DZ215" s="560"/>
      <c r="EA215" s="561"/>
      <c r="EB215" s="562"/>
      <c r="EC215" s="561"/>
      <c r="ED215" s="563"/>
      <c r="EE215" s="564"/>
      <c r="EF215" s="564"/>
      <c r="EG215" s="564"/>
      <c r="EH215" s="560"/>
      <c r="EI215" s="561"/>
      <c r="EJ215" s="562"/>
      <c r="EK215" s="561"/>
      <c r="EL215" s="563"/>
      <c r="EM215" s="564"/>
      <c r="EN215" s="564"/>
      <c r="EO215" s="564"/>
      <c r="EP215" s="560"/>
      <c r="EQ215" s="561"/>
      <c r="ER215" s="562"/>
      <c r="ES215" s="561"/>
      <c r="ET215" s="563"/>
      <c r="EU215" s="564"/>
      <c r="EV215" s="564"/>
      <c r="EW215" s="564"/>
      <c r="EX215" s="560"/>
      <c r="EY215" s="561"/>
      <c r="EZ215" s="562"/>
      <c r="FA215" s="561"/>
      <c r="FB215" s="563"/>
      <c r="FC215" s="564"/>
      <c r="FD215" s="564"/>
      <c r="FE215" s="564"/>
      <c r="FF215" s="560"/>
      <c r="FG215" s="561"/>
      <c r="FH215" s="562"/>
      <c r="FI215" s="561"/>
      <c r="FJ215" s="563"/>
      <c r="FK215" s="564"/>
      <c r="FL215" s="564"/>
      <c r="FM215" s="564"/>
      <c r="FN215" s="560"/>
      <c r="FO215" s="561"/>
      <c r="FP215" s="562"/>
      <c r="FQ215" s="561"/>
      <c r="FR215" s="563"/>
      <c r="FS215" s="564"/>
      <c r="FT215" s="564"/>
      <c r="FU215" s="564"/>
      <c r="FV215" s="560"/>
      <c r="FW215" s="566"/>
      <c r="FX215" s="566"/>
      <c r="FY215" s="566"/>
      <c r="FZ215" s="563"/>
      <c r="GA215" s="564"/>
      <c r="GB215" s="564"/>
      <c r="GC215" s="564"/>
      <c r="GD215" s="560"/>
      <c r="GE215" s="566"/>
      <c r="GF215" s="566"/>
      <c r="GG215" s="566"/>
      <c r="GH215" s="563"/>
      <c r="GI215" s="564"/>
      <c r="GJ215" s="564"/>
      <c r="GK215" s="564"/>
      <c r="GL215" s="560"/>
      <c r="GM215" s="566"/>
      <c r="GN215" s="566"/>
      <c r="GO215" s="566"/>
      <c r="GP215" s="563"/>
      <c r="GQ215" s="564"/>
      <c r="GR215" s="564"/>
      <c r="GS215" s="564"/>
      <c r="GT215" s="560"/>
      <c r="GU215" s="566"/>
      <c r="GV215" s="566"/>
      <c r="GW215" s="566"/>
      <c r="GX215" s="625"/>
      <c r="GY215" s="625"/>
      <c r="GZ215" s="625"/>
      <c r="HA215" s="625"/>
      <c r="HB215" s="625"/>
      <c r="HC215" s="625"/>
    </row>
    <row r="216" spans="2:211" s="506" customFormat="1" ht="24.65" customHeight="1" x14ac:dyDescent="0.35">
      <c r="B216" s="544">
        <v>213</v>
      </c>
      <c r="C216" s="654"/>
      <c r="D216" s="544" t="s">
        <v>44</v>
      </c>
      <c r="E216" s="546" t="s">
        <v>50</v>
      </c>
      <c r="F216" s="546" t="s">
        <v>46</v>
      </c>
      <c r="G216" s="545" t="s">
        <v>46</v>
      </c>
      <c r="H216" s="547" t="s">
        <v>773</v>
      </c>
      <c r="I216" s="548"/>
      <c r="J216" s="548"/>
      <c r="K216" s="568"/>
      <c r="L216" s="572"/>
      <c r="M216" s="569" t="s">
        <v>48</v>
      </c>
      <c r="N216" s="551">
        <v>0</v>
      </c>
      <c r="O216" s="552">
        <v>166</v>
      </c>
      <c r="P216" s="553">
        <v>46064</v>
      </c>
      <c r="Q216" s="554"/>
      <c r="R216" s="554" t="s">
        <v>73</v>
      </c>
      <c r="S216" s="555">
        <f ca="1">IF(R216="Aprobado con comentarios / Emitir en Rev_0", NETWORKDAYS(Q216,TODAY(),Hoja1!$C$3:$C$25),0)</f>
        <v>0</v>
      </c>
      <c r="T216" s="555">
        <f ca="1">IF(R216="Revisión INN",NETWORKDAYS(P216,TODAY(),Hoja1!$C$3:$C$25),0)</f>
        <v>0</v>
      </c>
      <c r="U216" s="556">
        <f t="shared" si="7"/>
        <v>0</v>
      </c>
      <c r="V216" s="557"/>
      <c r="W216" s="558"/>
      <c r="X216" s="567"/>
      <c r="Y216" s="559"/>
      <c r="Z216" s="560"/>
      <c r="AA216" s="561"/>
      <c r="AB216" s="562"/>
      <c r="AC216" s="561"/>
      <c r="AD216" s="563"/>
      <c r="AE216" s="567"/>
      <c r="AF216" s="564"/>
      <c r="AG216" s="565"/>
      <c r="AH216" s="560"/>
      <c r="AI216" s="561"/>
      <c r="AJ216" s="562"/>
      <c r="AK216" s="561"/>
      <c r="AL216" s="563"/>
      <c r="AM216" s="567"/>
      <c r="AN216" s="564"/>
      <c r="AO216" s="565"/>
      <c r="AP216" s="560"/>
      <c r="AQ216" s="561"/>
      <c r="AR216" s="562"/>
      <c r="AS216" s="561"/>
      <c r="AT216" s="563"/>
      <c r="AU216" s="567"/>
      <c r="AV216" s="564"/>
      <c r="AW216" s="565"/>
      <c r="AX216" s="560"/>
      <c r="AY216" s="561"/>
      <c r="AZ216" s="562"/>
      <c r="BA216" s="561"/>
      <c r="BB216" s="563"/>
      <c r="BC216" s="567"/>
      <c r="BD216" s="564"/>
      <c r="BE216" s="565"/>
      <c r="BF216" s="560"/>
      <c r="BG216" s="561"/>
      <c r="BH216" s="562"/>
      <c r="BI216" s="561"/>
      <c r="BJ216" s="563"/>
      <c r="BK216" s="567"/>
      <c r="BL216" s="564"/>
      <c r="BM216" s="565"/>
      <c r="BN216" s="560"/>
      <c r="BO216" s="561"/>
      <c r="BP216" s="562"/>
      <c r="BQ216" s="561"/>
      <c r="BR216" s="563"/>
      <c r="BS216" s="567"/>
      <c r="BT216" s="564"/>
      <c r="BU216" s="565"/>
      <c r="BV216" s="560"/>
      <c r="BW216" s="561"/>
      <c r="BX216" s="562"/>
      <c r="BY216" s="561"/>
      <c r="BZ216" s="563"/>
      <c r="CA216" s="567"/>
      <c r="CB216" s="564"/>
      <c r="CC216" s="565"/>
      <c r="CD216" s="560"/>
      <c r="CE216" s="561"/>
      <c r="CF216" s="562"/>
      <c r="CG216" s="561"/>
      <c r="CH216" s="563"/>
      <c r="CI216" s="564"/>
      <c r="CJ216" s="564"/>
      <c r="CK216" s="564"/>
      <c r="CL216" s="560"/>
      <c r="CM216" s="561"/>
      <c r="CN216" s="562"/>
      <c r="CO216" s="561"/>
      <c r="CP216" s="563"/>
      <c r="CQ216" s="564"/>
      <c r="CR216" s="564"/>
      <c r="CS216" s="564"/>
      <c r="CT216" s="560"/>
      <c r="CU216" s="561"/>
      <c r="CV216" s="562"/>
      <c r="CW216" s="561"/>
      <c r="CX216" s="563"/>
      <c r="CY216" s="564"/>
      <c r="CZ216" s="564"/>
      <c r="DA216" s="564"/>
      <c r="DB216" s="560"/>
      <c r="DC216" s="561"/>
      <c r="DD216" s="562"/>
      <c r="DE216" s="561"/>
      <c r="DF216" s="563"/>
      <c r="DG216" s="564"/>
      <c r="DH216" s="564"/>
      <c r="DI216" s="564"/>
      <c r="DJ216" s="560"/>
      <c r="DK216" s="561"/>
      <c r="DL216" s="562"/>
      <c r="DM216" s="561"/>
      <c r="DN216" s="563"/>
      <c r="DO216" s="564"/>
      <c r="DP216" s="564"/>
      <c r="DQ216" s="564"/>
      <c r="DR216" s="560"/>
      <c r="DS216" s="561"/>
      <c r="DT216" s="562"/>
      <c r="DU216" s="561"/>
      <c r="DV216" s="563"/>
      <c r="DW216" s="564"/>
      <c r="DX216" s="564"/>
      <c r="DY216" s="564"/>
      <c r="DZ216" s="560"/>
      <c r="EA216" s="561"/>
      <c r="EB216" s="562"/>
      <c r="EC216" s="561"/>
      <c r="ED216" s="563"/>
      <c r="EE216" s="564"/>
      <c r="EF216" s="564"/>
      <c r="EG216" s="564"/>
      <c r="EH216" s="560"/>
      <c r="EI216" s="561"/>
      <c r="EJ216" s="562"/>
      <c r="EK216" s="561"/>
      <c r="EL216" s="563"/>
      <c r="EM216" s="564"/>
      <c r="EN216" s="564"/>
      <c r="EO216" s="564"/>
      <c r="EP216" s="560"/>
      <c r="EQ216" s="561"/>
      <c r="ER216" s="562"/>
      <c r="ES216" s="561"/>
      <c r="ET216" s="563"/>
      <c r="EU216" s="564"/>
      <c r="EV216" s="564"/>
      <c r="EW216" s="564"/>
      <c r="EX216" s="560"/>
      <c r="EY216" s="561"/>
      <c r="EZ216" s="562"/>
      <c r="FA216" s="561"/>
      <c r="FB216" s="563"/>
      <c r="FC216" s="564"/>
      <c r="FD216" s="564"/>
      <c r="FE216" s="564"/>
      <c r="FF216" s="560"/>
      <c r="FG216" s="561"/>
      <c r="FH216" s="562"/>
      <c r="FI216" s="561"/>
      <c r="FJ216" s="563"/>
      <c r="FK216" s="564"/>
      <c r="FL216" s="564"/>
      <c r="FM216" s="564"/>
      <c r="FN216" s="560"/>
      <c r="FO216" s="561"/>
      <c r="FP216" s="562"/>
      <c r="FQ216" s="561"/>
      <c r="FR216" s="563"/>
      <c r="FS216" s="564"/>
      <c r="FT216" s="564"/>
      <c r="FU216" s="564"/>
      <c r="FV216" s="560"/>
      <c r="FW216" s="566"/>
      <c r="FX216" s="566"/>
      <c r="FY216" s="566"/>
      <c r="FZ216" s="563"/>
      <c r="GA216" s="564"/>
      <c r="GB216" s="564"/>
      <c r="GC216" s="564"/>
      <c r="GD216" s="560"/>
      <c r="GE216" s="566"/>
      <c r="GF216" s="566"/>
      <c r="GG216" s="566"/>
      <c r="GH216" s="563"/>
      <c r="GI216" s="564"/>
      <c r="GJ216" s="564"/>
      <c r="GK216" s="564"/>
      <c r="GL216" s="560"/>
      <c r="GM216" s="566"/>
      <c r="GN216" s="566"/>
      <c r="GO216" s="566"/>
      <c r="GP216" s="563"/>
      <c r="GQ216" s="564"/>
      <c r="GR216" s="564"/>
      <c r="GS216" s="564"/>
      <c r="GT216" s="560"/>
      <c r="GU216" s="566"/>
      <c r="GV216" s="566"/>
      <c r="GW216" s="566"/>
      <c r="GX216" s="625"/>
      <c r="GY216" s="625"/>
      <c r="GZ216" s="625"/>
      <c r="HA216" s="625"/>
      <c r="HB216" s="625"/>
      <c r="HC216" s="625"/>
    </row>
    <row r="217" spans="2:211" s="506" customFormat="1" ht="24.65" customHeight="1" x14ac:dyDescent="0.35">
      <c r="B217" s="544">
        <v>214</v>
      </c>
      <c r="C217" s="654"/>
      <c r="D217" s="544" t="s">
        <v>44</v>
      </c>
      <c r="E217" s="546" t="s">
        <v>50</v>
      </c>
      <c r="F217" s="546" t="s">
        <v>46</v>
      </c>
      <c r="G217" s="545"/>
      <c r="H217" s="547" t="s">
        <v>774</v>
      </c>
      <c r="I217" s="548"/>
      <c r="J217" s="548"/>
      <c r="K217" s="568"/>
      <c r="L217" s="572"/>
      <c r="M217" s="569" t="s">
        <v>48</v>
      </c>
      <c r="N217" s="551">
        <v>0</v>
      </c>
      <c r="O217" s="552">
        <v>142</v>
      </c>
      <c r="P217" s="553"/>
      <c r="Q217" s="554"/>
      <c r="R217" s="554" t="s">
        <v>73</v>
      </c>
      <c r="S217" s="555">
        <f ca="1">IF(R217="Aprobado con comentarios / Emitir en Rev_0", NETWORKDAYS(Q217,TODAY(),Hoja1!$C$3:$C$25),0)</f>
        <v>0</v>
      </c>
      <c r="T217" s="555">
        <f ca="1">IF(R217="Revisión INN",NETWORKDAYS(P217,TODAY(),Hoja1!$C$3:$C$25),0)</f>
        <v>0</v>
      </c>
      <c r="U217" s="556">
        <f t="shared" si="7"/>
        <v>1</v>
      </c>
      <c r="V217" s="601">
        <v>0</v>
      </c>
      <c r="W217" s="602">
        <v>142</v>
      </c>
      <c r="X217" s="602"/>
      <c r="Y217" s="596">
        <v>46042</v>
      </c>
      <c r="Z217" s="560"/>
      <c r="AA217" s="561"/>
      <c r="AB217" s="562"/>
      <c r="AC217" s="561"/>
      <c r="AD217" s="563"/>
      <c r="AE217" s="567"/>
      <c r="AF217" s="564"/>
      <c r="AG217" s="565"/>
      <c r="AH217" s="560"/>
      <c r="AI217" s="561"/>
      <c r="AJ217" s="562"/>
      <c r="AK217" s="561"/>
      <c r="AL217" s="563"/>
      <c r="AM217" s="567"/>
      <c r="AN217" s="564"/>
      <c r="AO217" s="565"/>
      <c r="AP217" s="560"/>
      <c r="AQ217" s="561"/>
      <c r="AR217" s="562"/>
      <c r="AS217" s="561"/>
      <c r="AT217" s="563"/>
      <c r="AU217" s="567"/>
      <c r="AV217" s="564"/>
      <c r="AW217" s="565"/>
      <c r="AX217" s="560"/>
      <c r="AY217" s="561"/>
      <c r="AZ217" s="562"/>
      <c r="BA217" s="561"/>
      <c r="BB217" s="563"/>
      <c r="BC217" s="567"/>
      <c r="BD217" s="564"/>
      <c r="BE217" s="565"/>
      <c r="BF217" s="560"/>
      <c r="BG217" s="561"/>
      <c r="BH217" s="562"/>
      <c r="BI217" s="561"/>
      <c r="BJ217" s="563"/>
      <c r="BK217" s="567"/>
      <c r="BL217" s="564"/>
      <c r="BM217" s="565"/>
      <c r="BN217" s="560"/>
      <c r="BO217" s="561"/>
      <c r="BP217" s="562"/>
      <c r="BQ217" s="561"/>
      <c r="BR217" s="563"/>
      <c r="BS217" s="567"/>
      <c r="BT217" s="564"/>
      <c r="BU217" s="565"/>
      <c r="BV217" s="560"/>
      <c r="BW217" s="561"/>
      <c r="BX217" s="562"/>
      <c r="BY217" s="561"/>
      <c r="BZ217" s="563"/>
      <c r="CA217" s="567"/>
      <c r="CB217" s="564"/>
      <c r="CC217" s="565"/>
      <c r="CD217" s="560"/>
      <c r="CE217" s="561"/>
      <c r="CF217" s="562"/>
      <c r="CG217" s="561"/>
      <c r="CH217" s="563"/>
      <c r="CI217" s="564"/>
      <c r="CJ217" s="564"/>
      <c r="CK217" s="564"/>
      <c r="CL217" s="560"/>
      <c r="CM217" s="561"/>
      <c r="CN217" s="562"/>
      <c r="CO217" s="561"/>
      <c r="CP217" s="563"/>
      <c r="CQ217" s="564"/>
      <c r="CR217" s="564"/>
      <c r="CS217" s="564"/>
      <c r="CT217" s="560"/>
      <c r="CU217" s="561"/>
      <c r="CV217" s="562"/>
      <c r="CW217" s="561"/>
      <c r="CX217" s="563"/>
      <c r="CY217" s="564"/>
      <c r="CZ217" s="564"/>
      <c r="DA217" s="564"/>
      <c r="DB217" s="560"/>
      <c r="DC217" s="561"/>
      <c r="DD217" s="562"/>
      <c r="DE217" s="561"/>
      <c r="DF217" s="563"/>
      <c r="DG217" s="564"/>
      <c r="DH217" s="564"/>
      <c r="DI217" s="564"/>
      <c r="DJ217" s="560"/>
      <c r="DK217" s="561"/>
      <c r="DL217" s="562"/>
      <c r="DM217" s="561"/>
      <c r="DN217" s="563"/>
      <c r="DO217" s="564"/>
      <c r="DP217" s="564"/>
      <c r="DQ217" s="564"/>
      <c r="DR217" s="560"/>
      <c r="DS217" s="561"/>
      <c r="DT217" s="562"/>
      <c r="DU217" s="561"/>
      <c r="DV217" s="563"/>
      <c r="DW217" s="564"/>
      <c r="DX217" s="564"/>
      <c r="DY217" s="564"/>
      <c r="DZ217" s="560"/>
      <c r="EA217" s="561"/>
      <c r="EB217" s="562"/>
      <c r="EC217" s="561"/>
      <c r="ED217" s="563"/>
      <c r="EE217" s="564"/>
      <c r="EF217" s="564"/>
      <c r="EG217" s="564"/>
      <c r="EH217" s="560"/>
      <c r="EI217" s="561"/>
      <c r="EJ217" s="562"/>
      <c r="EK217" s="561"/>
      <c r="EL217" s="563"/>
      <c r="EM217" s="564"/>
      <c r="EN217" s="564"/>
      <c r="EO217" s="564"/>
      <c r="EP217" s="560"/>
      <c r="EQ217" s="561"/>
      <c r="ER217" s="562"/>
      <c r="ES217" s="561"/>
      <c r="ET217" s="563"/>
      <c r="EU217" s="564"/>
      <c r="EV217" s="564"/>
      <c r="EW217" s="564"/>
      <c r="EX217" s="560"/>
      <c r="EY217" s="561"/>
      <c r="EZ217" s="562"/>
      <c r="FA217" s="561"/>
      <c r="FB217" s="563"/>
      <c r="FC217" s="564"/>
      <c r="FD217" s="564"/>
      <c r="FE217" s="564"/>
      <c r="FF217" s="560"/>
      <c r="FG217" s="561"/>
      <c r="FH217" s="562"/>
      <c r="FI217" s="561"/>
      <c r="FJ217" s="563"/>
      <c r="FK217" s="564"/>
      <c r="FL217" s="564"/>
      <c r="FM217" s="564"/>
      <c r="FN217" s="560"/>
      <c r="FO217" s="561"/>
      <c r="FP217" s="562"/>
      <c r="FQ217" s="561"/>
      <c r="FR217" s="563"/>
      <c r="FS217" s="564"/>
      <c r="FT217" s="564"/>
      <c r="FU217" s="564"/>
      <c r="FV217" s="560"/>
      <c r="FW217" s="566"/>
      <c r="FX217" s="566"/>
      <c r="FY217" s="566"/>
      <c r="FZ217" s="563"/>
      <c r="GA217" s="564"/>
      <c r="GB217" s="564"/>
      <c r="GC217" s="564"/>
      <c r="GD217" s="560"/>
      <c r="GE217" s="566"/>
      <c r="GF217" s="566"/>
      <c r="GG217" s="566"/>
      <c r="GH217" s="563"/>
      <c r="GI217" s="564"/>
      <c r="GJ217" s="564"/>
      <c r="GK217" s="564"/>
      <c r="GL217" s="560"/>
      <c r="GM217" s="566"/>
      <c r="GN217" s="566"/>
      <c r="GO217" s="566"/>
      <c r="GP217" s="563"/>
      <c r="GQ217" s="564"/>
      <c r="GR217" s="564"/>
      <c r="GS217" s="564"/>
      <c r="GT217" s="560"/>
      <c r="GU217" s="566"/>
      <c r="GV217" s="566"/>
      <c r="GW217" s="566"/>
      <c r="GX217" s="625"/>
      <c r="GY217" s="625"/>
      <c r="GZ217" s="625"/>
      <c r="HA217" s="625"/>
      <c r="HB217" s="625"/>
      <c r="HC217" s="625"/>
    </row>
    <row r="218" spans="2:211" s="506" customFormat="1" ht="24.65" customHeight="1" x14ac:dyDescent="0.35">
      <c r="B218" s="544">
        <v>215</v>
      </c>
      <c r="C218" s="654"/>
      <c r="D218" s="544"/>
      <c r="E218" s="546"/>
      <c r="F218" s="546"/>
      <c r="G218" s="545"/>
      <c r="H218" s="547"/>
      <c r="I218" s="548"/>
      <c r="J218" s="548"/>
      <c r="K218" s="568"/>
      <c r="L218" s="572"/>
      <c r="M218" s="569"/>
      <c r="N218" s="551"/>
      <c r="O218" s="552"/>
      <c r="P218" s="553"/>
      <c r="Q218" s="554"/>
      <c r="R218" s="554"/>
      <c r="S218" s="555">
        <f ca="1">IF(R218="Aprobado con comentarios / Emitir en Rev_0", NETWORKDAYS(Q218,TODAY(),Hoja1!$C$3:$C$25),0)</f>
        <v>0</v>
      </c>
      <c r="T218" s="555">
        <f ca="1">IF(R218="Revisión INN",NETWORKDAYS(P218,TODAY(),Hoja1!$C$3:$C$25),0)</f>
        <v>0</v>
      </c>
      <c r="U218" s="556">
        <f t="shared" si="7"/>
        <v>0</v>
      </c>
      <c r="V218" s="557"/>
      <c r="W218" s="558"/>
      <c r="X218" s="558"/>
      <c r="Y218" s="559"/>
      <c r="Z218" s="560"/>
      <c r="AA218" s="561"/>
      <c r="AB218" s="562"/>
      <c r="AC218" s="561"/>
      <c r="AD218" s="563"/>
      <c r="AE218" s="567"/>
      <c r="AF218" s="564"/>
      <c r="AG218" s="565"/>
      <c r="AH218" s="560"/>
      <c r="AI218" s="561"/>
      <c r="AJ218" s="562"/>
      <c r="AK218" s="561"/>
      <c r="AL218" s="563"/>
      <c r="AM218" s="567"/>
      <c r="AN218" s="564"/>
      <c r="AO218" s="565"/>
      <c r="AP218" s="560"/>
      <c r="AQ218" s="561"/>
      <c r="AR218" s="562"/>
      <c r="AS218" s="561"/>
      <c r="AT218" s="563"/>
      <c r="AU218" s="567"/>
      <c r="AV218" s="564"/>
      <c r="AW218" s="565"/>
      <c r="AX218" s="560"/>
      <c r="AY218" s="561"/>
      <c r="AZ218" s="562"/>
      <c r="BA218" s="561"/>
      <c r="BB218" s="563"/>
      <c r="BC218" s="567"/>
      <c r="BD218" s="564"/>
      <c r="BE218" s="565"/>
      <c r="BF218" s="560"/>
      <c r="BG218" s="561"/>
      <c r="BH218" s="562"/>
      <c r="BI218" s="561"/>
      <c r="BJ218" s="563"/>
      <c r="BK218" s="567"/>
      <c r="BL218" s="564"/>
      <c r="BM218" s="565"/>
      <c r="BN218" s="560"/>
      <c r="BO218" s="561"/>
      <c r="BP218" s="562"/>
      <c r="BQ218" s="561"/>
      <c r="BR218" s="563"/>
      <c r="BS218" s="567"/>
      <c r="BT218" s="564"/>
      <c r="BU218" s="565"/>
      <c r="BV218" s="560"/>
      <c r="BW218" s="561"/>
      <c r="BX218" s="562"/>
      <c r="BY218" s="561"/>
      <c r="BZ218" s="563"/>
      <c r="CA218" s="567"/>
      <c r="CB218" s="564"/>
      <c r="CC218" s="565"/>
      <c r="CD218" s="560"/>
      <c r="CE218" s="561"/>
      <c r="CF218" s="562"/>
      <c r="CG218" s="561"/>
      <c r="CH218" s="563"/>
      <c r="CI218" s="564"/>
      <c r="CJ218" s="564"/>
      <c r="CK218" s="564"/>
      <c r="CL218" s="560"/>
      <c r="CM218" s="561"/>
      <c r="CN218" s="562"/>
      <c r="CO218" s="561"/>
      <c r="CP218" s="563"/>
      <c r="CQ218" s="564"/>
      <c r="CR218" s="564"/>
      <c r="CS218" s="564"/>
      <c r="CT218" s="560"/>
      <c r="CU218" s="561"/>
      <c r="CV218" s="562"/>
      <c r="CW218" s="561"/>
      <c r="CX218" s="563"/>
      <c r="CY218" s="564"/>
      <c r="CZ218" s="564"/>
      <c r="DA218" s="564"/>
      <c r="DB218" s="560"/>
      <c r="DC218" s="561"/>
      <c r="DD218" s="562"/>
      <c r="DE218" s="561"/>
      <c r="DF218" s="563"/>
      <c r="DG218" s="564"/>
      <c r="DH218" s="564"/>
      <c r="DI218" s="564"/>
      <c r="DJ218" s="560"/>
      <c r="DK218" s="561"/>
      <c r="DL218" s="562"/>
      <c r="DM218" s="561"/>
      <c r="DN218" s="563"/>
      <c r="DO218" s="564"/>
      <c r="DP218" s="564"/>
      <c r="DQ218" s="564"/>
      <c r="DR218" s="560"/>
      <c r="DS218" s="561"/>
      <c r="DT218" s="562"/>
      <c r="DU218" s="561"/>
      <c r="DV218" s="563"/>
      <c r="DW218" s="564"/>
      <c r="DX218" s="564"/>
      <c r="DY218" s="564"/>
      <c r="DZ218" s="560"/>
      <c r="EA218" s="561"/>
      <c r="EB218" s="562"/>
      <c r="EC218" s="561"/>
      <c r="ED218" s="563"/>
      <c r="EE218" s="564"/>
      <c r="EF218" s="564"/>
      <c r="EG218" s="564"/>
      <c r="EH218" s="560"/>
      <c r="EI218" s="561"/>
      <c r="EJ218" s="562"/>
      <c r="EK218" s="561"/>
      <c r="EL218" s="563"/>
      <c r="EM218" s="564"/>
      <c r="EN218" s="564"/>
      <c r="EO218" s="564"/>
      <c r="EP218" s="560"/>
      <c r="EQ218" s="561"/>
      <c r="ER218" s="562"/>
      <c r="ES218" s="561"/>
      <c r="ET218" s="563"/>
      <c r="EU218" s="564"/>
      <c r="EV218" s="564"/>
      <c r="EW218" s="564"/>
      <c r="EX218" s="560"/>
      <c r="EY218" s="561"/>
      <c r="EZ218" s="562"/>
      <c r="FA218" s="561"/>
      <c r="FB218" s="563"/>
      <c r="FC218" s="564"/>
      <c r="FD218" s="564"/>
      <c r="FE218" s="564"/>
      <c r="FF218" s="560"/>
      <c r="FG218" s="561"/>
      <c r="FH218" s="562"/>
      <c r="FI218" s="561"/>
      <c r="FJ218" s="563"/>
      <c r="FK218" s="564"/>
      <c r="FL218" s="564"/>
      <c r="FM218" s="564"/>
      <c r="FN218" s="560"/>
      <c r="FO218" s="561"/>
      <c r="FP218" s="562"/>
      <c r="FQ218" s="561"/>
      <c r="FR218" s="563"/>
      <c r="FS218" s="564"/>
      <c r="FT218" s="564"/>
      <c r="FU218" s="564"/>
      <c r="FV218" s="560"/>
      <c r="FW218" s="566"/>
      <c r="FX218" s="566"/>
      <c r="FY218" s="566"/>
      <c r="FZ218" s="563"/>
      <c r="GA218" s="564"/>
      <c r="GB218" s="564"/>
      <c r="GC218" s="564"/>
      <c r="GD218" s="560"/>
      <c r="GE218" s="566"/>
      <c r="GF218" s="566"/>
      <c r="GG218" s="566"/>
      <c r="GH218" s="563"/>
      <c r="GI218" s="564"/>
      <c r="GJ218" s="564"/>
      <c r="GK218" s="564"/>
      <c r="GL218" s="560"/>
      <c r="GM218" s="566"/>
      <c r="GN218" s="566"/>
      <c r="GO218" s="566"/>
      <c r="GP218" s="563"/>
      <c r="GQ218" s="564"/>
      <c r="GR218" s="564"/>
      <c r="GS218" s="564"/>
      <c r="GT218" s="560"/>
      <c r="GU218" s="566"/>
      <c r="GV218" s="566"/>
      <c r="GW218" s="566"/>
      <c r="GX218" s="625"/>
      <c r="GY218" s="625"/>
      <c r="GZ218" s="625"/>
      <c r="HA218" s="625"/>
      <c r="HB218" s="625"/>
      <c r="HC218" s="625"/>
    </row>
    <row r="219" spans="2:211" s="506" customFormat="1" ht="38.15" customHeight="1" x14ac:dyDescent="0.35">
      <c r="B219" s="544">
        <v>216</v>
      </c>
      <c r="C219" s="654"/>
      <c r="D219" s="544"/>
      <c r="E219" s="546"/>
      <c r="F219" s="546"/>
      <c r="G219" s="545"/>
      <c r="H219" s="547"/>
      <c r="I219" s="548"/>
      <c r="J219" s="548"/>
      <c r="K219" s="568"/>
      <c r="L219" s="572"/>
      <c r="M219" s="569"/>
      <c r="N219" s="551"/>
      <c r="O219" s="552"/>
      <c r="P219" s="553"/>
      <c r="Q219" s="554"/>
      <c r="R219" s="554"/>
      <c r="S219" s="555">
        <f ca="1">IF(R219="Aprobado con comentarios / Emitir en Rev_0", NETWORKDAYS(Q219,TODAY(),Hoja1!$C$3:$C$25),0)</f>
        <v>0</v>
      </c>
      <c r="T219" s="555">
        <f ca="1">IF(R219="Revisión INN",NETWORKDAYS(P219,TODAY(),Hoja1!$C$3:$C$25),0)</f>
        <v>0</v>
      </c>
      <c r="U219" s="556">
        <f t="shared" si="7"/>
        <v>0</v>
      </c>
      <c r="V219" s="557"/>
      <c r="W219" s="558"/>
      <c r="X219" s="558"/>
      <c r="Y219" s="559"/>
      <c r="Z219" s="560"/>
      <c r="AA219" s="561"/>
      <c r="AB219" s="562"/>
      <c r="AC219" s="561"/>
      <c r="AD219" s="563"/>
      <c r="AE219" s="567"/>
      <c r="AF219" s="564"/>
      <c r="AG219" s="565"/>
      <c r="AH219" s="560"/>
      <c r="AI219" s="561"/>
      <c r="AJ219" s="562"/>
      <c r="AK219" s="561"/>
      <c r="AL219" s="563"/>
      <c r="AM219" s="567"/>
      <c r="AN219" s="564"/>
      <c r="AO219" s="565"/>
      <c r="AP219" s="560"/>
      <c r="AQ219" s="561"/>
      <c r="AR219" s="562"/>
      <c r="AS219" s="561"/>
      <c r="AT219" s="563"/>
      <c r="AU219" s="567"/>
      <c r="AV219" s="564"/>
      <c r="AW219" s="565"/>
      <c r="AX219" s="560"/>
      <c r="AY219" s="561"/>
      <c r="AZ219" s="562"/>
      <c r="BA219" s="561"/>
      <c r="BB219" s="563"/>
      <c r="BC219" s="567"/>
      <c r="BD219" s="564"/>
      <c r="BE219" s="565"/>
      <c r="BF219" s="560"/>
      <c r="BG219" s="561"/>
      <c r="BH219" s="562"/>
      <c r="BI219" s="561"/>
      <c r="BJ219" s="563"/>
      <c r="BK219" s="567"/>
      <c r="BL219" s="564"/>
      <c r="BM219" s="565"/>
      <c r="BN219" s="560"/>
      <c r="BO219" s="561"/>
      <c r="BP219" s="562"/>
      <c r="BQ219" s="561"/>
      <c r="BR219" s="563"/>
      <c r="BS219" s="567"/>
      <c r="BT219" s="564"/>
      <c r="BU219" s="565"/>
      <c r="BV219" s="560"/>
      <c r="BW219" s="561"/>
      <c r="BX219" s="562"/>
      <c r="BY219" s="561"/>
      <c r="BZ219" s="563"/>
      <c r="CA219" s="567"/>
      <c r="CB219" s="564"/>
      <c r="CC219" s="565"/>
      <c r="CD219" s="560"/>
      <c r="CE219" s="561"/>
      <c r="CF219" s="562"/>
      <c r="CG219" s="561"/>
      <c r="CH219" s="563"/>
      <c r="CI219" s="564"/>
      <c r="CJ219" s="564"/>
      <c r="CK219" s="564"/>
      <c r="CL219" s="560"/>
      <c r="CM219" s="561"/>
      <c r="CN219" s="562"/>
      <c r="CO219" s="561"/>
      <c r="CP219" s="563"/>
      <c r="CQ219" s="564"/>
      <c r="CR219" s="564"/>
      <c r="CS219" s="564"/>
      <c r="CT219" s="560"/>
      <c r="CU219" s="561"/>
      <c r="CV219" s="562"/>
      <c r="CW219" s="561"/>
      <c r="CX219" s="563"/>
      <c r="CY219" s="564"/>
      <c r="CZ219" s="564"/>
      <c r="DA219" s="564"/>
      <c r="DB219" s="560"/>
      <c r="DC219" s="561"/>
      <c r="DD219" s="562"/>
      <c r="DE219" s="561"/>
      <c r="DF219" s="563"/>
      <c r="DG219" s="564"/>
      <c r="DH219" s="564"/>
      <c r="DI219" s="564"/>
      <c r="DJ219" s="560"/>
      <c r="DK219" s="561"/>
      <c r="DL219" s="562"/>
      <c r="DM219" s="561"/>
      <c r="DN219" s="563"/>
      <c r="DO219" s="564"/>
      <c r="DP219" s="564"/>
      <c r="DQ219" s="564"/>
      <c r="DR219" s="560"/>
      <c r="DS219" s="561"/>
      <c r="DT219" s="562"/>
      <c r="DU219" s="561"/>
      <c r="DV219" s="563"/>
      <c r="DW219" s="564"/>
      <c r="DX219" s="564"/>
      <c r="DY219" s="564"/>
      <c r="DZ219" s="560"/>
      <c r="EA219" s="561"/>
      <c r="EB219" s="562"/>
      <c r="EC219" s="561"/>
      <c r="ED219" s="563"/>
      <c r="EE219" s="564"/>
      <c r="EF219" s="564"/>
      <c r="EG219" s="564"/>
      <c r="EH219" s="560"/>
      <c r="EI219" s="561"/>
      <c r="EJ219" s="562"/>
      <c r="EK219" s="561"/>
      <c r="EL219" s="563"/>
      <c r="EM219" s="564"/>
      <c r="EN219" s="564"/>
      <c r="EO219" s="564"/>
      <c r="EP219" s="560"/>
      <c r="EQ219" s="561"/>
      <c r="ER219" s="562"/>
      <c r="ES219" s="561"/>
      <c r="ET219" s="563"/>
      <c r="EU219" s="564"/>
      <c r="EV219" s="564"/>
      <c r="EW219" s="564"/>
      <c r="EX219" s="560"/>
      <c r="EY219" s="561"/>
      <c r="EZ219" s="562"/>
      <c r="FA219" s="561"/>
      <c r="FB219" s="563"/>
      <c r="FC219" s="564"/>
      <c r="FD219" s="564"/>
      <c r="FE219" s="564"/>
      <c r="FF219" s="560"/>
      <c r="FG219" s="561"/>
      <c r="FH219" s="562"/>
      <c r="FI219" s="561"/>
      <c r="FJ219" s="563"/>
      <c r="FK219" s="564"/>
      <c r="FL219" s="564"/>
      <c r="FM219" s="564"/>
      <c r="FN219" s="560"/>
      <c r="FO219" s="561"/>
      <c r="FP219" s="562"/>
      <c r="FQ219" s="561"/>
      <c r="FR219" s="563"/>
      <c r="FS219" s="564"/>
      <c r="FT219" s="564"/>
      <c r="FU219" s="564"/>
      <c r="FV219" s="560"/>
      <c r="FW219" s="566"/>
      <c r="FX219" s="566"/>
      <c r="FY219" s="566"/>
      <c r="FZ219" s="563"/>
      <c r="GA219" s="564"/>
      <c r="GB219" s="564"/>
      <c r="GC219" s="564"/>
      <c r="GD219" s="560"/>
      <c r="GE219" s="566"/>
      <c r="GF219" s="566"/>
      <c r="GG219" s="566"/>
      <c r="GH219" s="563"/>
      <c r="GI219" s="564"/>
      <c r="GJ219" s="564"/>
      <c r="GK219" s="564"/>
      <c r="GL219" s="560"/>
      <c r="GM219" s="566"/>
      <c r="GN219" s="566"/>
      <c r="GO219" s="566"/>
      <c r="GP219" s="563"/>
      <c r="GQ219" s="564"/>
      <c r="GR219" s="564"/>
      <c r="GS219" s="564"/>
      <c r="GT219" s="560"/>
      <c r="GU219" s="566"/>
      <c r="GV219" s="566"/>
      <c r="GW219" s="566"/>
      <c r="GX219" s="625"/>
      <c r="GY219" s="625"/>
      <c r="GZ219" s="625"/>
      <c r="HA219" s="625"/>
      <c r="HB219" s="625"/>
      <c r="HC219" s="625"/>
    </row>
    <row r="220" spans="2:211" s="506" customFormat="1" ht="59.15" customHeight="1" x14ac:dyDescent="0.35">
      <c r="B220" s="544">
        <v>217</v>
      </c>
      <c r="C220" s="654"/>
      <c r="D220" s="544"/>
      <c r="E220" s="546"/>
      <c r="F220" s="546"/>
      <c r="G220" s="545"/>
      <c r="H220" s="547"/>
      <c r="I220" s="548"/>
      <c r="J220" s="548"/>
      <c r="K220" s="568"/>
      <c r="L220" s="572"/>
      <c r="M220" s="569"/>
      <c r="N220" s="551"/>
      <c r="O220" s="552"/>
      <c r="P220" s="553"/>
      <c r="Q220" s="554"/>
      <c r="R220" s="554"/>
      <c r="S220" s="555">
        <f ca="1">IF(R220="Aprobado con comentarios / Emitir en Rev_0", NETWORKDAYS(Q220,TODAY(),Hoja1!$C$3:$C$25),0)</f>
        <v>0</v>
      </c>
      <c r="T220" s="555">
        <f ca="1">IF(R220="Revisión INN",NETWORKDAYS(P220,TODAY(),Hoja1!$C$3:$C$25),0)</f>
        <v>0</v>
      </c>
      <c r="U220" s="556">
        <f t="shared" si="7"/>
        <v>0</v>
      </c>
      <c r="V220" s="557"/>
      <c r="W220" s="558"/>
      <c r="X220" s="558"/>
      <c r="Y220" s="559"/>
      <c r="Z220" s="560"/>
      <c r="AA220" s="561"/>
      <c r="AB220" s="562"/>
      <c r="AC220" s="561"/>
      <c r="AD220" s="563"/>
      <c r="AE220" s="567"/>
      <c r="AF220" s="564"/>
      <c r="AG220" s="565"/>
      <c r="AH220" s="560"/>
      <c r="AI220" s="561"/>
      <c r="AJ220" s="562"/>
      <c r="AK220" s="561"/>
      <c r="AL220" s="563"/>
      <c r="AM220" s="567"/>
      <c r="AN220" s="564"/>
      <c r="AO220" s="565"/>
      <c r="AP220" s="560"/>
      <c r="AQ220" s="561"/>
      <c r="AR220" s="562"/>
      <c r="AS220" s="561"/>
      <c r="AT220" s="563"/>
      <c r="AU220" s="567"/>
      <c r="AV220" s="564"/>
      <c r="AW220" s="565"/>
      <c r="AX220" s="560"/>
      <c r="AY220" s="561"/>
      <c r="AZ220" s="562"/>
      <c r="BA220" s="561"/>
      <c r="BB220" s="563"/>
      <c r="BC220" s="567"/>
      <c r="BD220" s="564"/>
      <c r="BE220" s="565"/>
      <c r="BF220" s="560"/>
      <c r="BG220" s="561"/>
      <c r="BH220" s="562"/>
      <c r="BI220" s="561"/>
      <c r="BJ220" s="563"/>
      <c r="BK220" s="567"/>
      <c r="BL220" s="564"/>
      <c r="BM220" s="565"/>
      <c r="BN220" s="560"/>
      <c r="BO220" s="561"/>
      <c r="BP220" s="562"/>
      <c r="BQ220" s="561"/>
      <c r="BR220" s="563"/>
      <c r="BS220" s="567"/>
      <c r="BT220" s="564"/>
      <c r="BU220" s="565"/>
      <c r="BV220" s="560"/>
      <c r="BW220" s="561"/>
      <c r="BX220" s="562"/>
      <c r="BY220" s="561"/>
      <c r="BZ220" s="563"/>
      <c r="CA220" s="567"/>
      <c r="CB220" s="564"/>
      <c r="CC220" s="565"/>
      <c r="CD220" s="560"/>
      <c r="CE220" s="561"/>
      <c r="CF220" s="562"/>
      <c r="CG220" s="561"/>
      <c r="CH220" s="563"/>
      <c r="CI220" s="564"/>
      <c r="CJ220" s="564"/>
      <c r="CK220" s="564"/>
      <c r="CL220" s="560"/>
      <c r="CM220" s="561"/>
      <c r="CN220" s="562"/>
      <c r="CO220" s="561"/>
      <c r="CP220" s="563"/>
      <c r="CQ220" s="564"/>
      <c r="CR220" s="564"/>
      <c r="CS220" s="564"/>
      <c r="CT220" s="560"/>
      <c r="CU220" s="561"/>
      <c r="CV220" s="562"/>
      <c r="CW220" s="561"/>
      <c r="CX220" s="563"/>
      <c r="CY220" s="564"/>
      <c r="CZ220" s="564"/>
      <c r="DA220" s="564"/>
      <c r="DB220" s="560"/>
      <c r="DC220" s="561"/>
      <c r="DD220" s="562"/>
      <c r="DE220" s="561"/>
      <c r="DF220" s="563"/>
      <c r="DG220" s="564"/>
      <c r="DH220" s="564"/>
      <c r="DI220" s="564"/>
      <c r="DJ220" s="560"/>
      <c r="DK220" s="561"/>
      <c r="DL220" s="562"/>
      <c r="DM220" s="561"/>
      <c r="DN220" s="563"/>
      <c r="DO220" s="564"/>
      <c r="DP220" s="564"/>
      <c r="DQ220" s="564"/>
      <c r="DR220" s="560"/>
      <c r="DS220" s="561"/>
      <c r="DT220" s="562"/>
      <c r="DU220" s="561"/>
      <c r="DV220" s="563"/>
      <c r="DW220" s="564"/>
      <c r="DX220" s="564"/>
      <c r="DY220" s="564"/>
      <c r="DZ220" s="560"/>
      <c r="EA220" s="561"/>
      <c r="EB220" s="562"/>
      <c r="EC220" s="561"/>
      <c r="ED220" s="563"/>
      <c r="EE220" s="564"/>
      <c r="EF220" s="564"/>
      <c r="EG220" s="564"/>
      <c r="EH220" s="560"/>
      <c r="EI220" s="561"/>
      <c r="EJ220" s="562"/>
      <c r="EK220" s="561"/>
      <c r="EL220" s="563"/>
      <c r="EM220" s="564"/>
      <c r="EN220" s="564"/>
      <c r="EO220" s="564"/>
      <c r="EP220" s="560"/>
      <c r="EQ220" s="561"/>
      <c r="ER220" s="562"/>
      <c r="ES220" s="561"/>
      <c r="ET220" s="563"/>
      <c r="EU220" s="564"/>
      <c r="EV220" s="564"/>
      <c r="EW220" s="564"/>
      <c r="EX220" s="560"/>
      <c r="EY220" s="561"/>
      <c r="EZ220" s="562"/>
      <c r="FA220" s="561"/>
      <c r="FB220" s="563"/>
      <c r="FC220" s="564"/>
      <c r="FD220" s="564"/>
      <c r="FE220" s="564"/>
      <c r="FF220" s="560"/>
      <c r="FG220" s="561"/>
      <c r="FH220" s="562"/>
      <c r="FI220" s="561"/>
      <c r="FJ220" s="563"/>
      <c r="FK220" s="564"/>
      <c r="FL220" s="564"/>
      <c r="FM220" s="564"/>
      <c r="FN220" s="560"/>
      <c r="FO220" s="561"/>
      <c r="FP220" s="562"/>
      <c r="FQ220" s="561"/>
      <c r="FR220" s="563"/>
      <c r="FS220" s="564"/>
      <c r="FT220" s="564"/>
      <c r="FU220" s="564"/>
      <c r="FV220" s="560"/>
      <c r="FW220" s="566"/>
      <c r="FX220" s="566"/>
      <c r="FY220" s="566"/>
      <c r="FZ220" s="563"/>
      <c r="GA220" s="564"/>
      <c r="GB220" s="564"/>
      <c r="GC220" s="564"/>
      <c r="GD220" s="560"/>
      <c r="GE220" s="566"/>
      <c r="GF220" s="566"/>
      <c r="GG220" s="566"/>
      <c r="GH220" s="563"/>
      <c r="GI220" s="564"/>
      <c r="GJ220" s="564"/>
      <c r="GK220" s="564"/>
      <c r="GL220" s="560"/>
      <c r="GM220" s="566"/>
      <c r="GN220" s="566"/>
      <c r="GO220" s="566"/>
      <c r="GP220" s="563"/>
      <c r="GQ220" s="564"/>
      <c r="GR220" s="564"/>
      <c r="GS220" s="564"/>
      <c r="GT220" s="560"/>
      <c r="GU220" s="566"/>
      <c r="GV220" s="566"/>
      <c r="GW220" s="566"/>
      <c r="GX220" s="625"/>
      <c r="GY220" s="625"/>
      <c r="GZ220" s="625"/>
      <c r="HA220" s="625"/>
      <c r="HB220" s="625"/>
      <c r="HC220" s="625"/>
    </row>
    <row r="221" spans="2:211" s="506" customFormat="1" ht="24.65" customHeight="1" x14ac:dyDescent="0.35">
      <c r="B221" s="544">
        <v>218</v>
      </c>
      <c r="C221" s="654"/>
      <c r="D221" s="544"/>
      <c r="E221" s="546"/>
      <c r="F221" s="546"/>
      <c r="G221" s="545"/>
      <c r="H221" s="547"/>
      <c r="I221" s="548"/>
      <c r="J221" s="548"/>
      <c r="K221" s="568"/>
      <c r="L221" s="572"/>
      <c r="M221" s="569"/>
      <c r="N221" s="551"/>
      <c r="O221" s="552"/>
      <c r="P221" s="553"/>
      <c r="Q221" s="554"/>
      <c r="R221" s="554"/>
      <c r="S221" s="555">
        <f ca="1">IF(R221="Aprobado con comentarios / Emitir en Rev_0", NETWORKDAYS(Q221,TODAY(),Hoja1!$C$3:$C$25),0)</f>
        <v>0</v>
      </c>
      <c r="T221" s="555">
        <f ca="1">IF(R221="Revisión INN",NETWORKDAYS(P221,TODAY(),Hoja1!$C$3:$C$25),0)</f>
        <v>0</v>
      </c>
      <c r="U221" s="556">
        <f t="shared" si="7"/>
        <v>0</v>
      </c>
      <c r="V221" s="557"/>
      <c r="W221" s="558"/>
      <c r="X221" s="558"/>
      <c r="Y221" s="559"/>
      <c r="Z221" s="560"/>
      <c r="AA221" s="561"/>
      <c r="AB221" s="562"/>
      <c r="AC221" s="561"/>
      <c r="AD221" s="563"/>
      <c r="AE221" s="567"/>
      <c r="AF221" s="564"/>
      <c r="AG221" s="565"/>
      <c r="AH221" s="560"/>
      <c r="AI221" s="561"/>
      <c r="AJ221" s="562"/>
      <c r="AK221" s="561"/>
      <c r="AL221" s="563"/>
      <c r="AM221" s="567"/>
      <c r="AN221" s="564"/>
      <c r="AO221" s="565"/>
      <c r="AP221" s="560"/>
      <c r="AQ221" s="561"/>
      <c r="AR221" s="562"/>
      <c r="AS221" s="561"/>
      <c r="AT221" s="563"/>
      <c r="AU221" s="567"/>
      <c r="AV221" s="564"/>
      <c r="AW221" s="565"/>
      <c r="AX221" s="560"/>
      <c r="AY221" s="561"/>
      <c r="AZ221" s="562"/>
      <c r="BA221" s="561"/>
      <c r="BB221" s="563"/>
      <c r="BC221" s="567"/>
      <c r="BD221" s="564"/>
      <c r="BE221" s="565"/>
      <c r="BF221" s="560"/>
      <c r="BG221" s="561"/>
      <c r="BH221" s="562"/>
      <c r="BI221" s="561"/>
      <c r="BJ221" s="563"/>
      <c r="BK221" s="567"/>
      <c r="BL221" s="564"/>
      <c r="BM221" s="565"/>
      <c r="BN221" s="560"/>
      <c r="BO221" s="561"/>
      <c r="BP221" s="562"/>
      <c r="BQ221" s="561"/>
      <c r="BR221" s="563"/>
      <c r="BS221" s="567"/>
      <c r="BT221" s="564"/>
      <c r="BU221" s="565"/>
      <c r="BV221" s="560"/>
      <c r="BW221" s="561"/>
      <c r="BX221" s="562"/>
      <c r="BY221" s="561"/>
      <c r="BZ221" s="563"/>
      <c r="CA221" s="567"/>
      <c r="CB221" s="564"/>
      <c r="CC221" s="565"/>
      <c r="CD221" s="560"/>
      <c r="CE221" s="561"/>
      <c r="CF221" s="562"/>
      <c r="CG221" s="561"/>
      <c r="CH221" s="563"/>
      <c r="CI221" s="564"/>
      <c r="CJ221" s="564"/>
      <c r="CK221" s="564"/>
      <c r="CL221" s="560"/>
      <c r="CM221" s="561"/>
      <c r="CN221" s="562"/>
      <c r="CO221" s="561"/>
      <c r="CP221" s="563"/>
      <c r="CQ221" s="564"/>
      <c r="CR221" s="564"/>
      <c r="CS221" s="564"/>
      <c r="CT221" s="560"/>
      <c r="CU221" s="561"/>
      <c r="CV221" s="562"/>
      <c r="CW221" s="561"/>
      <c r="CX221" s="563"/>
      <c r="CY221" s="564"/>
      <c r="CZ221" s="564"/>
      <c r="DA221" s="564"/>
      <c r="DB221" s="560"/>
      <c r="DC221" s="561"/>
      <c r="DD221" s="562"/>
      <c r="DE221" s="561"/>
      <c r="DF221" s="563"/>
      <c r="DG221" s="564"/>
      <c r="DH221" s="564"/>
      <c r="DI221" s="564"/>
      <c r="DJ221" s="560"/>
      <c r="DK221" s="561"/>
      <c r="DL221" s="562"/>
      <c r="DM221" s="561"/>
      <c r="DN221" s="563"/>
      <c r="DO221" s="564"/>
      <c r="DP221" s="564"/>
      <c r="DQ221" s="564"/>
      <c r="DR221" s="560"/>
      <c r="DS221" s="561"/>
      <c r="DT221" s="562"/>
      <c r="DU221" s="561"/>
      <c r="DV221" s="563"/>
      <c r="DW221" s="564"/>
      <c r="DX221" s="564"/>
      <c r="DY221" s="564"/>
      <c r="DZ221" s="560"/>
      <c r="EA221" s="561"/>
      <c r="EB221" s="562"/>
      <c r="EC221" s="561"/>
      <c r="ED221" s="563"/>
      <c r="EE221" s="564"/>
      <c r="EF221" s="564"/>
      <c r="EG221" s="564"/>
      <c r="EH221" s="560"/>
      <c r="EI221" s="561"/>
      <c r="EJ221" s="562"/>
      <c r="EK221" s="561"/>
      <c r="EL221" s="563"/>
      <c r="EM221" s="564"/>
      <c r="EN221" s="564"/>
      <c r="EO221" s="564"/>
      <c r="EP221" s="560"/>
      <c r="EQ221" s="561"/>
      <c r="ER221" s="562"/>
      <c r="ES221" s="561"/>
      <c r="ET221" s="563"/>
      <c r="EU221" s="564"/>
      <c r="EV221" s="564"/>
      <c r="EW221" s="564"/>
      <c r="EX221" s="560"/>
      <c r="EY221" s="561"/>
      <c r="EZ221" s="562"/>
      <c r="FA221" s="561"/>
      <c r="FB221" s="563"/>
      <c r="FC221" s="564"/>
      <c r="FD221" s="564"/>
      <c r="FE221" s="564"/>
      <c r="FF221" s="560"/>
      <c r="FG221" s="561"/>
      <c r="FH221" s="562"/>
      <c r="FI221" s="561"/>
      <c r="FJ221" s="563"/>
      <c r="FK221" s="564"/>
      <c r="FL221" s="564"/>
      <c r="FM221" s="564"/>
      <c r="FN221" s="560"/>
      <c r="FO221" s="561"/>
      <c r="FP221" s="562"/>
      <c r="FQ221" s="561"/>
      <c r="FR221" s="563"/>
      <c r="FS221" s="564"/>
      <c r="FT221" s="564"/>
      <c r="FU221" s="564"/>
      <c r="FV221" s="560"/>
      <c r="FW221" s="566"/>
      <c r="FX221" s="566"/>
      <c r="FY221" s="566"/>
      <c r="FZ221" s="563"/>
      <c r="GA221" s="564"/>
      <c r="GB221" s="564"/>
      <c r="GC221" s="564"/>
      <c r="GD221" s="560"/>
      <c r="GE221" s="566"/>
      <c r="GF221" s="566"/>
      <c r="GG221" s="566"/>
      <c r="GH221" s="563"/>
      <c r="GI221" s="564"/>
      <c r="GJ221" s="564"/>
      <c r="GK221" s="564"/>
      <c r="GL221" s="560"/>
      <c r="GM221" s="566"/>
      <c r="GN221" s="566"/>
      <c r="GO221" s="566"/>
      <c r="GP221" s="563"/>
      <c r="GQ221" s="564"/>
      <c r="GR221" s="564"/>
      <c r="GS221" s="564"/>
      <c r="GT221" s="560"/>
      <c r="GU221" s="566"/>
      <c r="GV221" s="566"/>
      <c r="GW221" s="566"/>
      <c r="GX221" s="625"/>
      <c r="GY221" s="625"/>
      <c r="GZ221" s="625"/>
      <c r="HA221" s="625"/>
      <c r="HB221" s="625"/>
      <c r="HC221" s="625"/>
    </row>
    <row r="222" spans="2:211" s="506" customFormat="1" ht="59.15" customHeight="1" x14ac:dyDescent="0.35">
      <c r="B222" s="544">
        <v>219</v>
      </c>
      <c r="C222" s="654"/>
      <c r="D222" s="544"/>
      <c r="E222" s="546"/>
      <c r="F222" s="546"/>
      <c r="G222" s="545"/>
      <c r="H222" s="547"/>
      <c r="I222" s="548"/>
      <c r="J222" s="548"/>
      <c r="K222" s="568"/>
      <c r="L222" s="572"/>
      <c r="M222" s="569"/>
      <c r="N222" s="551"/>
      <c r="O222" s="552"/>
      <c r="P222" s="553"/>
      <c r="Q222" s="554"/>
      <c r="R222" s="554"/>
      <c r="S222" s="555">
        <f ca="1">IF(R222="Aprobado con comentarios / Emitir en Rev_0", NETWORKDAYS(Q222,TODAY(),Hoja1!$C$3:$C$25),0)</f>
        <v>0</v>
      </c>
      <c r="T222" s="555">
        <f ca="1">IF(R222="Revisión INN",NETWORKDAYS(P222,TODAY(),Hoja1!$C$3:$C$25),0)</f>
        <v>0</v>
      </c>
      <c r="U222" s="556">
        <f t="shared" si="7"/>
        <v>0</v>
      </c>
      <c r="V222" s="557"/>
      <c r="W222" s="558"/>
      <c r="X222" s="558"/>
      <c r="Y222" s="559"/>
      <c r="Z222" s="560"/>
      <c r="AA222" s="561"/>
      <c r="AB222" s="562"/>
      <c r="AC222" s="561"/>
      <c r="AD222" s="563"/>
      <c r="AE222" s="567"/>
      <c r="AF222" s="564"/>
      <c r="AG222" s="565"/>
      <c r="AH222" s="560"/>
      <c r="AI222" s="561"/>
      <c r="AJ222" s="562"/>
      <c r="AK222" s="561"/>
      <c r="AL222" s="563"/>
      <c r="AM222" s="567"/>
      <c r="AN222" s="564"/>
      <c r="AO222" s="565"/>
      <c r="AP222" s="560"/>
      <c r="AQ222" s="561"/>
      <c r="AR222" s="562"/>
      <c r="AS222" s="561"/>
      <c r="AT222" s="563"/>
      <c r="AU222" s="567"/>
      <c r="AV222" s="564"/>
      <c r="AW222" s="565"/>
      <c r="AX222" s="560"/>
      <c r="AY222" s="561"/>
      <c r="AZ222" s="562"/>
      <c r="BA222" s="561"/>
      <c r="BB222" s="563"/>
      <c r="BC222" s="567"/>
      <c r="BD222" s="564"/>
      <c r="BE222" s="565"/>
      <c r="BF222" s="560"/>
      <c r="BG222" s="561"/>
      <c r="BH222" s="562"/>
      <c r="BI222" s="561"/>
      <c r="BJ222" s="563"/>
      <c r="BK222" s="567"/>
      <c r="BL222" s="564"/>
      <c r="BM222" s="565"/>
      <c r="BN222" s="560"/>
      <c r="BO222" s="561"/>
      <c r="BP222" s="562"/>
      <c r="BQ222" s="561"/>
      <c r="BR222" s="563"/>
      <c r="BS222" s="567"/>
      <c r="BT222" s="564"/>
      <c r="BU222" s="565"/>
      <c r="BV222" s="560"/>
      <c r="BW222" s="561"/>
      <c r="BX222" s="562"/>
      <c r="BY222" s="561"/>
      <c r="BZ222" s="563"/>
      <c r="CA222" s="567"/>
      <c r="CB222" s="564"/>
      <c r="CC222" s="565"/>
      <c r="CD222" s="560"/>
      <c r="CE222" s="561"/>
      <c r="CF222" s="562"/>
      <c r="CG222" s="561"/>
      <c r="CH222" s="563"/>
      <c r="CI222" s="564"/>
      <c r="CJ222" s="564"/>
      <c r="CK222" s="564"/>
      <c r="CL222" s="560"/>
      <c r="CM222" s="561"/>
      <c r="CN222" s="562"/>
      <c r="CO222" s="561"/>
      <c r="CP222" s="563"/>
      <c r="CQ222" s="564"/>
      <c r="CR222" s="564"/>
      <c r="CS222" s="564"/>
      <c r="CT222" s="560"/>
      <c r="CU222" s="561"/>
      <c r="CV222" s="562"/>
      <c r="CW222" s="561"/>
      <c r="CX222" s="563"/>
      <c r="CY222" s="564"/>
      <c r="CZ222" s="564"/>
      <c r="DA222" s="564"/>
      <c r="DB222" s="560"/>
      <c r="DC222" s="561"/>
      <c r="DD222" s="562"/>
      <c r="DE222" s="561"/>
      <c r="DF222" s="563"/>
      <c r="DG222" s="564"/>
      <c r="DH222" s="564"/>
      <c r="DI222" s="564"/>
      <c r="DJ222" s="560"/>
      <c r="DK222" s="561"/>
      <c r="DL222" s="562"/>
      <c r="DM222" s="561"/>
      <c r="DN222" s="563"/>
      <c r="DO222" s="564"/>
      <c r="DP222" s="564"/>
      <c r="DQ222" s="564"/>
      <c r="DR222" s="560"/>
      <c r="DS222" s="561"/>
      <c r="DT222" s="562"/>
      <c r="DU222" s="561"/>
      <c r="DV222" s="563"/>
      <c r="DW222" s="564"/>
      <c r="DX222" s="564"/>
      <c r="DY222" s="564"/>
      <c r="DZ222" s="560"/>
      <c r="EA222" s="561"/>
      <c r="EB222" s="562"/>
      <c r="EC222" s="561"/>
      <c r="ED222" s="563"/>
      <c r="EE222" s="564"/>
      <c r="EF222" s="564"/>
      <c r="EG222" s="564"/>
      <c r="EH222" s="560"/>
      <c r="EI222" s="561"/>
      <c r="EJ222" s="562"/>
      <c r="EK222" s="561"/>
      <c r="EL222" s="563"/>
      <c r="EM222" s="564"/>
      <c r="EN222" s="564"/>
      <c r="EO222" s="564"/>
      <c r="EP222" s="560"/>
      <c r="EQ222" s="561"/>
      <c r="ER222" s="562"/>
      <c r="ES222" s="561"/>
      <c r="ET222" s="563"/>
      <c r="EU222" s="564"/>
      <c r="EV222" s="564"/>
      <c r="EW222" s="564"/>
      <c r="EX222" s="560"/>
      <c r="EY222" s="561"/>
      <c r="EZ222" s="562"/>
      <c r="FA222" s="561"/>
      <c r="FB222" s="563"/>
      <c r="FC222" s="564"/>
      <c r="FD222" s="564"/>
      <c r="FE222" s="564"/>
      <c r="FF222" s="560"/>
      <c r="FG222" s="561"/>
      <c r="FH222" s="562"/>
      <c r="FI222" s="561"/>
      <c r="FJ222" s="563"/>
      <c r="FK222" s="564"/>
      <c r="FL222" s="564"/>
      <c r="FM222" s="564"/>
      <c r="FN222" s="560"/>
      <c r="FO222" s="561"/>
      <c r="FP222" s="562"/>
      <c r="FQ222" s="561"/>
      <c r="FR222" s="563"/>
      <c r="FS222" s="564"/>
      <c r="FT222" s="564"/>
      <c r="FU222" s="564"/>
      <c r="FV222" s="560"/>
      <c r="FW222" s="566"/>
      <c r="FX222" s="566"/>
      <c r="FY222" s="566"/>
      <c r="FZ222" s="563"/>
      <c r="GA222" s="564"/>
      <c r="GB222" s="564"/>
      <c r="GC222" s="564"/>
      <c r="GD222" s="560"/>
      <c r="GE222" s="566"/>
      <c r="GF222" s="566"/>
      <c r="GG222" s="566"/>
      <c r="GH222" s="563"/>
      <c r="GI222" s="564"/>
      <c r="GJ222" s="564"/>
      <c r="GK222" s="564"/>
      <c r="GL222" s="560"/>
      <c r="GM222" s="566"/>
      <c r="GN222" s="566"/>
      <c r="GO222" s="566"/>
      <c r="GP222" s="563"/>
      <c r="GQ222" s="564"/>
      <c r="GR222" s="564"/>
      <c r="GS222" s="564"/>
      <c r="GT222" s="560"/>
      <c r="GU222" s="566"/>
      <c r="GV222" s="566"/>
      <c r="GW222" s="566"/>
      <c r="GX222" s="625"/>
      <c r="GY222" s="625"/>
      <c r="GZ222" s="625"/>
      <c r="HA222" s="625"/>
      <c r="HB222" s="625"/>
      <c r="HC222" s="625"/>
    </row>
    <row r="223" spans="2:211" s="506" customFormat="1" ht="59.15" customHeight="1" x14ac:dyDescent="0.35">
      <c r="B223" s="544">
        <v>220</v>
      </c>
      <c r="C223" s="654"/>
      <c r="D223" s="544"/>
      <c r="E223" s="546"/>
      <c r="F223" s="546"/>
      <c r="G223" s="545"/>
      <c r="H223" s="547"/>
      <c r="I223" s="548"/>
      <c r="J223" s="548"/>
      <c r="K223" s="568"/>
      <c r="L223" s="572"/>
      <c r="M223" s="569"/>
      <c r="N223" s="551"/>
      <c r="O223" s="552"/>
      <c r="P223" s="553"/>
      <c r="Q223" s="554"/>
      <c r="R223" s="554"/>
      <c r="S223" s="555">
        <f ca="1">IF(R223="Aprobado con comentarios / Emitir en Rev_0", NETWORKDAYS(Q223,TODAY(),Hoja1!$C$3:$C$25),0)</f>
        <v>0</v>
      </c>
      <c r="T223" s="555">
        <f ca="1">IF(R223="Revisión INN",NETWORKDAYS(P223,TODAY(),Hoja1!$C$3:$C$25),0)</f>
        <v>0</v>
      </c>
      <c r="U223" s="556">
        <f t="shared" si="7"/>
        <v>0</v>
      </c>
      <c r="V223" s="557"/>
      <c r="W223" s="558"/>
      <c r="X223" s="558"/>
      <c r="Y223" s="559"/>
      <c r="Z223" s="560"/>
      <c r="AA223" s="561"/>
      <c r="AB223" s="562"/>
      <c r="AC223" s="561"/>
      <c r="AD223" s="563"/>
      <c r="AE223" s="567"/>
      <c r="AF223" s="564"/>
      <c r="AG223" s="565"/>
      <c r="AH223" s="560"/>
      <c r="AI223" s="561"/>
      <c r="AJ223" s="562"/>
      <c r="AK223" s="561"/>
      <c r="AL223" s="563"/>
      <c r="AM223" s="567"/>
      <c r="AN223" s="564"/>
      <c r="AO223" s="565"/>
      <c r="AP223" s="560"/>
      <c r="AQ223" s="561"/>
      <c r="AR223" s="562"/>
      <c r="AS223" s="561"/>
      <c r="AT223" s="563"/>
      <c r="AU223" s="567"/>
      <c r="AV223" s="564"/>
      <c r="AW223" s="565"/>
      <c r="AX223" s="560"/>
      <c r="AY223" s="561"/>
      <c r="AZ223" s="562"/>
      <c r="BA223" s="561"/>
      <c r="BB223" s="563"/>
      <c r="BC223" s="567"/>
      <c r="BD223" s="564"/>
      <c r="BE223" s="565"/>
      <c r="BF223" s="560"/>
      <c r="BG223" s="561"/>
      <c r="BH223" s="562"/>
      <c r="BI223" s="561"/>
      <c r="BJ223" s="563"/>
      <c r="BK223" s="567"/>
      <c r="BL223" s="564"/>
      <c r="BM223" s="565"/>
      <c r="BN223" s="560"/>
      <c r="BO223" s="561"/>
      <c r="BP223" s="562"/>
      <c r="BQ223" s="561"/>
      <c r="BR223" s="563"/>
      <c r="BS223" s="567"/>
      <c r="BT223" s="564"/>
      <c r="BU223" s="565"/>
      <c r="BV223" s="560"/>
      <c r="BW223" s="561"/>
      <c r="BX223" s="562"/>
      <c r="BY223" s="561"/>
      <c r="BZ223" s="563"/>
      <c r="CA223" s="567"/>
      <c r="CB223" s="564"/>
      <c r="CC223" s="565"/>
      <c r="CD223" s="560"/>
      <c r="CE223" s="561"/>
      <c r="CF223" s="562"/>
      <c r="CG223" s="561"/>
      <c r="CH223" s="563"/>
      <c r="CI223" s="564"/>
      <c r="CJ223" s="564"/>
      <c r="CK223" s="564"/>
      <c r="CL223" s="560"/>
      <c r="CM223" s="561"/>
      <c r="CN223" s="562"/>
      <c r="CO223" s="561"/>
      <c r="CP223" s="563"/>
      <c r="CQ223" s="564"/>
      <c r="CR223" s="564"/>
      <c r="CS223" s="564"/>
      <c r="CT223" s="560"/>
      <c r="CU223" s="561"/>
      <c r="CV223" s="562"/>
      <c r="CW223" s="561"/>
      <c r="CX223" s="563"/>
      <c r="CY223" s="564"/>
      <c r="CZ223" s="564"/>
      <c r="DA223" s="564"/>
      <c r="DB223" s="560"/>
      <c r="DC223" s="561"/>
      <c r="DD223" s="562"/>
      <c r="DE223" s="561"/>
      <c r="DF223" s="563"/>
      <c r="DG223" s="564"/>
      <c r="DH223" s="564"/>
      <c r="DI223" s="564"/>
      <c r="DJ223" s="560"/>
      <c r="DK223" s="561"/>
      <c r="DL223" s="562"/>
      <c r="DM223" s="561"/>
      <c r="DN223" s="563"/>
      <c r="DO223" s="564"/>
      <c r="DP223" s="564"/>
      <c r="DQ223" s="564"/>
      <c r="DR223" s="560"/>
      <c r="DS223" s="561"/>
      <c r="DT223" s="562"/>
      <c r="DU223" s="561"/>
      <c r="DV223" s="563"/>
      <c r="DW223" s="564"/>
      <c r="DX223" s="564"/>
      <c r="DY223" s="564"/>
      <c r="DZ223" s="560"/>
      <c r="EA223" s="561"/>
      <c r="EB223" s="562"/>
      <c r="EC223" s="561"/>
      <c r="ED223" s="563"/>
      <c r="EE223" s="564"/>
      <c r="EF223" s="564"/>
      <c r="EG223" s="564"/>
      <c r="EH223" s="560"/>
      <c r="EI223" s="561"/>
      <c r="EJ223" s="562"/>
      <c r="EK223" s="561"/>
      <c r="EL223" s="563"/>
      <c r="EM223" s="564"/>
      <c r="EN223" s="564"/>
      <c r="EO223" s="564"/>
      <c r="EP223" s="560"/>
      <c r="EQ223" s="561"/>
      <c r="ER223" s="562"/>
      <c r="ES223" s="561"/>
      <c r="ET223" s="563"/>
      <c r="EU223" s="564"/>
      <c r="EV223" s="564"/>
      <c r="EW223" s="564"/>
      <c r="EX223" s="560"/>
      <c r="EY223" s="561"/>
      <c r="EZ223" s="562"/>
      <c r="FA223" s="561"/>
      <c r="FB223" s="563"/>
      <c r="FC223" s="564"/>
      <c r="FD223" s="564"/>
      <c r="FE223" s="564"/>
      <c r="FF223" s="560"/>
      <c r="FG223" s="561"/>
      <c r="FH223" s="562"/>
      <c r="FI223" s="561"/>
      <c r="FJ223" s="563"/>
      <c r="FK223" s="564"/>
      <c r="FL223" s="564"/>
      <c r="FM223" s="564"/>
      <c r="FN223" s="560"/>
      <c r="FO223" s="561"/>
      <c r="FP223" s="562"/>
      <c r="FQ223" s="561"/>
      <c r="FR223" s="563"/>
      <c r="FS223" s="564"/>
      <c r="FT223" s="564"/>
      <c r="FU223" s="564"/>
      <c r="FV223" s="560"/>
      <c r="FW223" s="566"/>
      <c r="FX223" s="566"/>
      <c r="FY223" s="566"/>
      <c r="FZ223" s="563"/>
      <c r="GA223" s="564"/>
      <c r="GB223" s="564"/>
      <c r="GC223" s="564"/>
      <c r="GD223" s="560"/>
      <c r="GE223" s="566"/>
      <c r="GF223" s="566"/>
      <c r="GG223" s="566"/>
      <c r="GH223" s="563"/>
      <c r="GI223" s="564"/>
      <c r="GJ223" s="564"/>
      <c r="GK223" s="564"/>
      <c r="GL223" s="560"/>
      <c r="GM223" s="566"/>
      <c r="GN223" s="566"/>
      <c r="GO223" s="566"/>
      <c r="GP223" s="563"/>
      <c r="GQ223" s="564"/>
      <c r="GR223" s="564"/>
      <c r="GS223" s="564"/>
      <c r="GT223" s="560"/>
      <c r="GU223" s="566"/>
      <c r="GV223" s="566"/>
      <c r="GW223" s="566"/>
      <c r="GX223" s="625"/>
      <c r="GY223" s="625"/>
      <c r="GZ223" s="625"/>
      <c r="HA223" s="625"/>
      <c r="HB223" s="625"/>
      <c r="HC223" s="625"/>
    </row>
    <row r="224" spans="2:211" s="506" customFormat="1" ht="59.15" customHeight="1" x14ac:dyDescent="0.35">
      <c r="B224" s="544">
        <v>221</v>
      </c>
      <c r="C224" s="654"/>
      <c r="D224" s="544"/>
      <c r="E224" s="546"/>
      <c r="F224" s="546"/>
      <c r="G224" s="545"/>
      <c r="H224" s="547"/>
      <c r="I224" s="548"/>
      <c r="J224" s="548"/>
      <c r="K224" s="568"/>
      <c r="L224" s="572"/>
      <c r="M224" s="569"/>
      <c r="N224" s="551"/>
      <c r="O224" s="552"/>
      <c r="P224" s="553"/>
      <c r="Q224" s="554"/>
      <c r="R224" s="554"/>
      <c r="S224" s="555">
        <f ca="1">IF(R224="Aprobado con comentarios / Emitir en Rev_0", NETWORKDAYS(Q224,TODAY(),Hoja1!$C$3:$C$25),0)</f>
        <v>0</v>
      </c>
      <c r="T224" s="555">
        <f ca="1">IF(R224="Revisión INN",NETWORKDAYS(P224,TODAY(),Hoja1!$C$3:$C$25),0)</f>
        <v>0</v>
      </c>
      <c r="U224" s="556">
        <f t="shared" si="7"/>
        <v>0</v>
      </c>
      <c r="V224" s="557"/>
      <c r="W224" s="558"/>
      <c r="X224" s="558"/>
      <c r="Y224" s="559"/>
      <c r="Z224" s="560"/>
      <c r="AA224" s="561"/>
      <c r="AB224" s="562"/>
      <c r="AC224" s="561"/>
      <c r="AD224" s="563"/>
      <c r="AE224" s="567"/>
      <c r="AF224" s="564"/>
      <c r="AG224" s="565"/>
      <c r="AH224" s="560"/>
      <c r="AI224" s="561"/>
      <c r="AJ224" s="562"/>
      <c r="AK224" s="561"/>
      <c r="AL224" s="563"/>
      <c r="AM224" s="567"/>
      <c r="AN224" s="564"/>
      <c r="AO224" s="565"/>
      <c r="AP224" s="560"/>
      <c r="AQ224" s="561"/>
      <c r="AR224" s="562"/>
      <c r="AS224" s="561"/>
      <c r="AT224" s="563"/>
      <c r="AU224" s="567"/>
      <c r="AV224" s="564"/>
      <c r="AW224" s="565"/>
      <c r="AX224" s="560"/>
      <c r="AY224" s="561"/>
      <c r="AZ224" s="562"/>
      <c r="BA224" s="561"/>
      <c r="BB224" s="563"/>
      <c r="BC224" s="567"/>
      <c r="BD224" s="564"/>
      <c r="BE224" s="565"/>
      <c r="BF224" s="560"/>
      <c r="BG224" s="561"/>
      <c r="BH224" s="562"/>
      <c r="BI224" s="561"/>
      <c r="BJ224" s="563"/>
      <c r="BK224" s="567"/>
      <c r="BL224" s="564"/>
      <c r="BM224" s="565"/>
      <c r="BN224" s="560"/>
      <c r="BO224" s="561"/>
      <c r="BP224" s="562"/>
      <c r="BQ224" s="561"/>
      <c r="BR224" s="563"/>
      <c r="BS224" s="567"/>
      <c r="BT224" s="564"/>
      <c r="BU224" s="565"/>
      <c r="BV224" s="560"/>
      <c r="BW224" s="561"/>
      <c r="BX224" s="562"/>
      <c r="BY224" s="561"/>
      <c r="BZ224" s="563"/>
      <c r="CA224" s="567"/>
      <c r="CB224" s="564"/>
      <c r="CC224" s="565"/>
      <c r="CD224" s="560"/>
      <c r="CE224" s="561"/>
      <c r="CF224" s="562"/>
      <c r="CG224" s="561"/>
      <c r="CH224" s="563"/>
      <c r="CI224" s="564"/>
      <c r="CJ224" s="564"/>
      <c r="CK224" s="564"/>
      <c r="CL224" s="560"/>
      <c r="CM224" s="561"/>
      <c r="CN224" s="562"/>
      <c r="CO224" s="561"/>
      <c r="CP224" s="563"/>
      <c r="CQ224" s="564"/>
      <c r="CR224" s="564"/>
      <c r="CS224" s="564"/>
      <c r="CT224" s="560"/>
      <c r="CU224" s="561"/>
      <c r="CV224" s="562"/>
      <c r="CW224" s="561"/>
      <c r="CX224" s="563"/>
      <c r="CY224" s="564"/>
      <c r="CZ224" s="564"/>
      <c r="DA224" s="564"/>
      <c r="DB224" s="560"/>
      <c r="DC224" s="561"/>
      <c r="DD224" s="562"/>
      <c r="DE224" s="561"/>
      <c r="DF224" s="563"/>
      <c r="DG224" s="564"/>
      <c r="DH224" s="564"/>
      <c r="DI224" s="564"/>
      <c r="DJ224" s="560"/>
      <c r="DK224" s="561"/>
      <c r="DL224" s="562"/>
      <c r="DM224" s="561"/>
      <c r="DN224" s="563"/>
      <c r="DO224" s="564"/>
      <c r="DP224" s="564"/>
      <c r="DQ224" s="564"/>
      <c r="DR224" s="560"/>
      <c r="DS224" s="561"/>
      <c r="DT224" s="562"/>
      <c r="DU224" s="561"/>
      <c r="DV224" s="563"/>
      <c r="DW224" s="564"/>
      <c r="DX224" s="564"/>
      <c r="DY224" s="564"/>
      <c r="DZ224" s="560"/>
      <c r="EA224" s="561"/>
      <c r="EB224" s="562"/>
      <c r="EC224" s="561"/>
      <c r="ED224" s="563"/>
      <c r="EE224" s="564"/>
      <c r="EF224" s="564"/>
      <c r="EG224" s="564"/>
      <c r="EH224" s="560"/>
      <c r="EI224" s="561"/>
      <c r="EJ224" s="562"/>
      <c r="EK224" s="561"/>
      <c r="EL224" s="563"/>
      <c r="EM224" s="564"/>
      <c r="EN224" s="564"/>
      <c r="EO224" s="564"/>
      <c r="EP224" s="560"/>
      <c r="EQ224" s="561"/>
      <c r="ER224" s="562"/>
      <c r="ES224" s="561"/>
      <c r="ET224" s="563"/>
      <c r="EU224" s="564"/>
      <c r="EV224" s="564"/>
      <c r="EW224" s="564"/>
      <c r="EX224" s="560"/>
      <c r="EY224" s="561"/>
      <c r="EZ224" s="562"/>
      <c r="FA224" s="561"/>
      <c r="FB224" s="563"/>
      <c r="FC224" s="564"/>
      <c r="FD224" s="564"/>
      <c r="FE224" s="564"/>
      <c r="FF224" s="560"/>
      <c r="FG224" s="561"/>
      <c r="FH224" s="562"/>
      <c r="FI224" s="561"/>
      <c r="FJ224" s="563"/>
      <c r="FK224" s="564"/>
      <c r="FL224" s="564"/>
      <c r="FM224" s="564"/>
      <c r="FN224" s="560"/>
      <c r="FO224" s="561"/>
      <c r="FP224" s="562"/>
      <c r="FQ224" s="561"/>
      <c r="FR224" s="563"/>
      <c r="FS224" s="564"/>
      <c r="FT224" s="564"/>
      <c r="FU224" s="564"/>
      <c r="FV224" s="560"/>
      <c r="FW224" s="566"/>
      <c r="FX224" s="566"/>
      <c r="FY224" s="566"/>
      <c r="FZ224" s="563"/>
      <c r="GA224" s="564"/>
      <c r="GB224" s="564"/>
      <c r="GC224" s="564"/>
      <c r="GD224" s="560"/>
      <c r="GE224" s="566"/>
      <c r="GF224" s="566"/>
      <c r="GG224" s="566"/>
      <c r="GH224" s="563"/>
      <c r="GI224" s="564"/>
      <c r="GJ224" s="564"/>
      <c r="GK224" s="564"/>
      <c r="GL224" s="560"/>
      <c r="GM224" s="566"/>
      <c r="GN224" s="566"/>
      <c r="GO224" s="566"/>
      <c r="GP224" s="563"/>
      <c r="GQ224" s="564"/>
      <c r="GR224" s="564"/>
      <c r="GS224" s="564"/>
      <c r="GT224" s="560"/>
      <c r="GU224" s="566"/>
      <c r="GV224" s="566"/>
      <c r="GW224" s="566"/>
      <c r="GX224" s="625"/>
      <c r="GY224" s="625"/>
      <c r="GZ224" s="625"/>
      <c r="HA224" s="625"/>
      <c r="HB224" s="625"/>
      <c r="HC224" s="625"/>
    </row>
    <row r="225" spans="2:211" s="506" customFormat="1" ht="59.15" customHeight="1" x14ac:dyDescent="0.35">
      <c r="B225" s="544">
        <v>222</v>
      </c>
      <c r="C225" s="654"/>
      <c r="D225" s="544"/>
      <c r="E225" s="546"/>
      <c r="F225" s="546"/>
      <c r="G225" s="545"/>
      <c r="H225" s="547"/>
      <c r="I225" s="548"/>
      <c r="J225" s="548"/>
      <c r="K225" s="568"/>
      <c r="L225" s="572"/>
      <c r="M225" s="569"/>
      <c r="N225" s="551"/>
      <c r="O225" s="552"/>
      <c r="P225" s="553"/>
      <c r="Q225" s="554"/>
      <c r="R225" s="554"/>
      <c r="S225" s="555">
        <f ca="1">IF(R225="Aprobado con comentarios / Emitir en Rev_0", NETWORKDAYS(Q225,TODAY(),Hoja1!$C$3:$C$25),0)</f>
        <v>0</v>
      </c>
      <c r="T225" s="555">
        <f ca="1">IF(R225="Revisión INN",NETWORKDAYS(P225,TODAY(),Hoja1!$C$3:$C$25),0)</f>
        <v>0</v>
      </c>
      <c r="U225" s="556">
        <f t="shared" si="7"/>
        <v>0</v>
      </c>
      <c r="V225" s="557"/>
      <c r="W225" s="558"/>
      <c r="X225" s="558"/>
      <c r="Y225" s="559"/>
      <c r="Z225" s="560"/>
      <c r="AA225" s="561"/>
      <c r="AB225" s="562"/>
      <c r="AC225" s="561"/>
      <c r="AD225" s="563"/>
      <c r="AE225" s="567"/>
      <c r="AF225" s="564"/>
      <c r="AG225" s="565"/>
      <c r="AH225" s="560"/>
      <c r="AI225" s="561"/>
      <c r="AJ225" s="562"/>
      <c r="AK225" s="561"/>
      <c r="AL225" s="563"/>
      <c r="AM225" s="567"/>
      <c r="AN225" s="564"/>
      <c r="AO225" s="565"/>
      <c r="AP225" s="560"/>
      <c r="AQ225" s="561"/>
      <c r="AR225" s="562"/>
      <c r="AS225" s="561"/>
      <c r="AT225" s="563"/>
      <c r="AU225" s="567"/>
      <c r="AV225" s="564"/>
      <c r="AW225" s="565"/>
      <c r="AX225" s="560"/>
      <c r="AY225" s="561"/>
      <c r="AZ225" s="562"/>
      <c r="BA225" s="561"/>
      <c r="BB225" s="563"/>
      <c r="BC225" s="567"/>
      <c r="BD225" s="564"/>
      <c r="BE225" s="565"/>
      <c r="BF225" s="560"/>
      <c r="BG225" s="561"/>
      <c r="BH225" s="562"/>
      <c r="BI225" s="561"/>
      <c r="BJ225" s="563"/>
      <c r="BK225" s="567"/>
      <c r="BL225" s="564"/>
      <c r="BM225" s="565"/>
      <c r="BN225" s="560"/>
      <c r="BO225" s="561"/>
      <c r="BP225" s="562"/>
      <c r="BQ225" s="561"/>
      <c r="BR225" s="563"/>
      <c r="BS225" s="567"/>
      <c r="BT225" s="564"/>
      <c r="BU225" s="565"/>
      <c r="BV225" s="560"/>
      <c r="BW225" s="561"/>
      <c r="BX225" s="562"/>
      <c r="BY225" s="561"/>
      <c r="BZ225" s="563"/>
      <c r="CA225" s="567"/>
      <c r="CB225" s="564"/>
      <c r="CC225" s="565"/>
      <c r="CD225" s="560"/>
      <c r="CE225" s="561"/>
      <c r="CF225" s="562"/>
      <c r="CG225" s="561"/>
      <c r="CH225" s="563"/>
      <c r="CI225" s="564"/>
      <c r="CJ225" s="564"/>
      <c r="CK225" s="564"/>
      <c r="CL225" s="560"/>
      <c r="CM225" s="561"/>
      <c r="CN225" s="562"/>
      <c r="CO225" s="561"/>
      <c r="CP225" s="563"/>
      <c r="CQ225" s="564"/>
      <c r="CR225" s="564"/>
      <c r="CS225" s="564"/>
      <c r="CT225" s="560"/>
      <c r="CU225" s="561"/>
      <c r="CV225" s="562"/>
      <c r="CW225" s="561"/>
      <c r="CX225" s="563"/>
      <c r="CY225" s="564"/>
      <c r="CZ225" s="564"/>
      <c r="DA225" s="564"/>
      <c r="DB225" s="560"/>
      <c r="DC225" s="561"/>
      <c r="DD225" s="562"/>
      <c r="DE225" s="561"/>
      <c r="DF225" s="563"/>
      <c r="DG225" s="564"/>
      <c r="DH225" s="564"/>
      <c r="DI225" s="564"/>
      <c r="DJ225" s="560"/>
      <c r="DK225" s="561"/>
      <c r="DL225" s="562"/>
      <c r="DM225" s="561"/>
      <c r="DN225" s="563"/>
      <c r="DO225" s="564"/>
      <c r="DP225" s="564"/>
      <c r="DQ225" s="564"/>
      <c r="DR225" s="560"/>
      <c r="DS225" s="561"/>
      <c r="DT225" s="562"/>
      <c r="DU225" s="561"/>
      <c r="DV225" s="563"/>
      <c r="DW225" s="564"/>
      <c r="DX225" s="564"/>
      <c r="DY225" s="564"/>
      <c r="DZ225" s="560"/>
      <c r="EA225" s="561"/>
      <c r="EB225" s="562"/>
      <c r="EC225" s="561"/>
      <c r="ED225" s="563"/>
      <c r="EE225" s="564"/>
      <c r="EF225" s="564"/>
      <c r="EG225" s="564"/>
      <c r="EH225" s="560"/>
      <c r="EI225" s="561"/>
      <c r="EJ225" s="562"/>
      <c r="EK225" s="561"/>
      <c r="EL225" s="563"/>
      <c r="EM225" s="564"/>
      <c r="EN225" s="564"/>
      <c r="EO225" s="564"/>
      <c r="EP225" s="560"/>
      <c r="EQ225" s="561"/>
      <c r="ER225" s="562"/>
      <c r="ES225" s="561"/>
      <c r="ET225" s="563"/>
      <c r="EU225" s="564"/>
      <c r="EV225" s="564"/>
      <c r="EW225" s="564"/>
      <c r="EX225" s="560"/>
      <c r="EY225" s="561"/>
      <c r="EZ225" s="562"/>
      <c r="FA225" s="561"/>
      <c r="FB225" s="563"/>
      <c r="FC225" s="564"/>
      <c r="FD225" s="564"/>
      <c r="FE225" s="564"/>
      <c r="FF225" s="560"/>
      <c r="FG225" s="561"/>
      <c r="FH225" s="562"/>
      <c r="FI225" s="561"/>
      <c r="FJ225" s="563"/>
      <c r="FK225" s="564"/>
      <c r="FL225" s="564"/>
      <c r="FM225" s="564"/>
      <c r="FN225" s="560"/>
      <c r="FO225" s="561"/>
      <c r="FP225" s="562"/>
      <c r="FQ225" s="561"/>
      <c r="FR225" s="563"/>
      <c r="FS225" s="564"/>
      <c r="FT225" s="564"/>
      <c r="FU225" s="564"/>
      <c r="FV225" s="560"/>
      <c r="FW225" s="566"/>
      <c r="FX225" s="566"/>
      <c r="FY225" s="566"/>
      <c r="FZ225" s="563"/>
      <c r="GA225" s="564"/>
      <c r="GB225" s="564"/>
      <c r="GC225" s="564"/>
      <c r="GD225" s="560"/>
      <c r="GE225" s="566"/>
      <c r="GF225" s="566"/>
      <c r="GG225" s="566"/>
      <c r="GH225" s="563"/>
      <c r="GI225" s="564"/>
      <c r="GJ225" s="564"/>
      <c r="GK225" s="564"/>
      <c r="GL225" s="560"/>
      <c r="GM225" s="566"/>
      <c r="GN225" s="566"/>
      <c r="GO225" s="566"/>
      <c r="GP225" s="563"/>
      <c r="GQ225" s="564"/>
      <c r="GR225" s="564"/>
      <c r="GS225" s="564"/>
      <c r="GT225" s="560"/>
      <c r="GU225" s="566"/>
      <c r="GV225" s="566"/>
      <c r="GW225" s="566"/>
      <c r="GX225" s="625"/>
      <c r="GY225" s="625"/>
      <c r="GZ225" s="625"/>
      <c r="HA225" s="625"/>
      <c r="HB225" s="625"/>
      <c r="HC225" s="625"/>
    </row>
    <row r="226" spans="2:211" s="506" customFormat="1" ht="59.15" customHeight="1" x14ac:dyDescent="0.35">
      <c r="B226" s="544">
        <v>223</v>
      </c>
      <c r="C226" s="654"/>
      <c r="D226" s="544"/>
      <c r="E226" s="546"/>
      <c r="F226" s="546"/>
      <c r="G226" s="545"/>
      <c r="H226" s="547"/>
      <c r="I226" s="548"/>
      <c r="J226" s="548"/>
      <c r="K226" s="568"/>
      <c r="L226" s="572"/>
      <c r="M226" s="569"/>
      <c r="N226" s="551"/>
      <c r="O226" s="552"/>
      <c r="P226" s="553"/>
      <c r="Q226" s="554"/>
      <c r="R226" s="554"/>
      <c r="S226" s="555">
        <f ca="1">IF(R226="Aprobado con comentarios / Emitir en Rev_0", NETWORKDAYS(Q226,TODAY(),Hoja1!$C$3:$C$25),0)</f>
        <v>0</v>
      </c>
      <c r="T226" s="555">
        <f ca="1">IF(R226="Revisión INN",NETWORKDAYS(P226,TODAY(),Hoja1!$C$3:$C$25),0)</f>
        <v>0</v>
      </c>
      <c r="U226" s="556">
        <f t="shared" si="7"/>
        <v>0</v>
      </c>
      <c r="V226" s="557"/>
      <c r="W226" s="558"/>
      <c r="X226" s="558"/>
      <c r="Y226" s="559"/>
      <c r="Z226" s="560"/>
      <c r="AA226" s="561"/>
      <c r="AB226" s="562"/>
      <c r="AC226" s="561"/>
      <c r="AD226" s="563"/>
      <c r="AE226" s="567"/>
      <c r="AF226" s="564"/>
      <c r="AG226" s="565"/>
      <c r="AH226" s="560"/>
      <c r="AI226" s="561"/>
      <c r="AJ226" s="562"/>
      <c r="AK226" s="561"/>
      <c r="AL226" s="563"/>
      <c r="AM226" s="567"/>
      <c r="AN226" s="564"/>
      <c r="AO226" s="565"/>
      <c r="AP226" s="560"/>
      <c r="AQ226" s="561"/>
      <c r="AR226" s="562"/>
      <c r="AS226" s="561"/>
      <c r="AT226" s="563"/>
      <c r="AU226" s="567"/>
      <c r="AV226" s="564"/>
      <c r="AW226" s="565"/>
      <c r="AX226" s="560"/>
      <c r="AY226" s="561"/>
      <c r="AZ226" s="562"/>
      <c r="BA226" s="561"/>
      <c r="BB226" s="563"/>
      <c r="BC226" s="567"/>
      <c r="BD226" s="564"/>
      <c r="BE226" s="565"/>
      <c r="BF226" s="560"/>
      <c r="BG226" s="561"/>
      <c r="BH226" s="562"/>
      <c r="BI226" s="561"/>
      <c r="BJ226" s="563"/>
      <c r="BK226" s="567"/>
      <c r="BL226" s="564"/>
      <c r="BM226" s="565"/>
      <c r="BN226" s="560"/>
      <c r="BO226" s="561"/>
      <c r="BP226" s="562"/>
      <c r="BQ226" s="561"/>
      <c r="BR226" s="563"/>
      <c r="BS226" s="567"/>
      <c r="BT226" s="564"/>
      <c r="BU226" s="565"/>
      <c r="BV226" s="560"/>
      <c r="BW226" s="561"/>
      <c r="BX226" s="562"/>
      <c r="BY226" s="561"/>
      <c r="BZ226" s="563"/>
      <c r="CA226" s="567"/>
      <c r="CB226" s="564"/>
      <c r="CC226" s="565"/>
      <c r="CD226" s="560"/>
      <c r="CE226" s="561"/>
      <c r="CF226" s="562"/>
      <c r="CG226" s="561"/>
      <c r="CH226" s="563"/>
      <c r="CI226" s="564"/>
      <c r="CJ226" s="564"/>
      <c r="CK226" s="564"/>
      <c r="CL226" s="560"/>
      <c r="CM226" s="561"/>
      <c r="CN226" s="562"/>
      <c r="CO226" s="561"/>
      <c r="CP226" s="563"/>
      <c r="CQ226" s="564"/>
      <c r="CR226" s="564"/>
      <c r="CS226" s="564"/>
      <c r="CT226" s="560"/>
      <c r="CU226" s="561"/>
      <c r="CV226" s="562"/>
      <c r="CW226" s="561"/>
      <c r="CX226" s="563"/>
      <c r="CY226" s="564"/>
      <c r="CZ226" s="564"/>
      <c r="DA226" s="564"/>
      <c r="DB226" s="560"/>
      <c r="DC226" s="561"/>
      <c r="DD226" s="562"/>
      <c r="DE226" s="561"/>
      <c r="DF226" s="563"/>
      <c r="DG226" s="564"/>
      <c r="DH226" s="564"/>
      <c r="DI226" s="564"/>
      <c r="DJ226" s="560"/>
      <c r="DK226" s="561"/>
      <c r="DL226" s="562"/>
      <c r="DM226" s="561"/>
      <c r="DN226" s="563"/>
      <c r="DO226" s="564"/>
      <c r="DP226" s="564"/>
      <c r="DQ226" s="564"/>
      <c r="DR226" s="560"/>
      <c r="DS226" s="561"/>
      <c r="DT226" s="562"/>
      <c r="DU226" s="561"/>
      <c r="DV226" s="563"/>
      <c r="DW226" s="564"/>
      <c r="DX226" s="564"/>
      <c r="DY226" s="564"/>
      <c r="DZ226" s="560"/>
      <c r="EA226" s="561"/>
      <c r="EB226" s="562"/>
      <c r="EC226" s="561"/>
      <c r="ED226" s="563"/>
      <c r="EE226" s="564"/>
      <c r="EF226" s="564"/>
      <c r="EG226" s="564"/>
      <c r="EH226" s="560"/>
      <c r="EI226" s="561"/>
      <c r="EJ226" s="562"/>
      <c r="EK226" s="561"/>
      <c r="EL226" s="563"/>
      <c r="EM226" s="564"/>
      <c r="EN226" s="564"/>
      <c r="EO226" s="564"/>
      <c r="EP226" s="560"/>
      <c r="EQ226" s="561"/>
      <c r="ER226" s="562"/>
      <c r="ES226" s="561"/>
      <c r="ET226" s="563"/>
      <c r="EU226" s="564"/>
      <c r="EV226" s="564"/>
      <c r="EW226" s="564"/>
      <c r="EX226" s="560"/>
      <c r="EY226" s="561"/>
      <c r="EZ226" s="562"/>
      <c r="FA226" s="561"/>
      <c r="FB226" s="563"/>
      <c r="FC226" s="564"/>
      <c r="FD226" s="564"/>
      <c r="FE226" s="564"/>
      <c r="FF226" s="560"/>
      <c r="FG226" s="561"/>
      <c r="FH226" s="562"/>
      <c r="FI226" s="561"/>
      <c r="FJ226" s="563"/>
      <c r="FK226" s="564"/>
      <c r="FL226" s="564"/>
      <c r="FM226" s="564"/>
      <c r="FN226" s="560"/>
      <c r="FO226" s="561"/>
      <c r="FP226" s="562"/>
      <c r="FQ226" s="561"/>
      <c r="FR226" s="563"/>
      <c r="FS226" s="564"/>
      <c r="FT226" s="564"/>
      <c r="FU226" s="564"/>
      <c r="FV226" s="560"/>
      <c r="FW226" s="566"/>
      <c r="FX226" s="566"/>
      <c r="FY226" s="566"/>
      <c r="FZ226" s="563"/>
      <c r="GA226" s="564"/>
      <c r="GB226" s="564"/>
      <c r="GC226" s="564"/>
      <c r="GD226" s="560"/>
      <c r="GE226" s="566"/>
      <c r="GF226" s="566"/>
      <c r="GG226" s="566"/>
      <c r="GH226" s="563"/>
      <c r="GI226" s="564"/>
      <c r="GJ226" s="564"/>
      <c r="GK226" s="564"/>
      <c r="GL226" s="560"/>
      <c r="GM226" s="566"/>
      <c r="GN226" s="566"/>
      <c r="GO226" s="566"/>
      <c r="GP226" s="563"/>
      <c r="GQ226" s="564"/>
      <c r="GR226" s="564"/>
      <c r="GS226" s="564"/>
      <c r="GT226" s="560"/>
      <c r="GU226" s="566"/>
      <c r="GV226" s="566"/>
      <c r="GW226" s="566"/>
      <c r="GX226" s="625"/>
      <c r="GY226" s="625"/>
      <c r="GZ226" s="625"/>
      <c r="HA226" s="625"/>
      <c r="HB226" s="625"/>
      <c r="HC226" s="625"/>
    </row>
    <row r="227" spans="2:211" s="506" customFormat="1" ht="59.15" customHeight="1" x14ac:dyDescent="0.35">
      <c r="B227" s="544">
        <v>224</v>
      </c>
      <c r="C227" s="654"/>
      <c r="D227" s="544"/>
      <c r="E227" s="546"/>
      <c r="F227" s="546"/>
      <c r="G227" s="545"/>
      <c r="H227" s="547"/>
      <c r="I227" s="548"/>
      <c r="J227" s="548"/>
      <c r="K227" s="568"/>
      <c r="L227" s="572"/>
      <c r="M227" s="569"/>
      <c r="N227" s="551"/>
      <c r="O227" s="552"/>
      <c r="P227" s="553"/>
      <c r="Q227" s="554"/>
      <c r="R227" s="554"/>
      <c r="S227" s="555">
        <f ca="1">IF(R227="Aprobado con comentarios / Emitir en Rev_0", NETWORKDAYS(Q227,TODAY(),Hoja1!$C$3:$C$25),0)</f>
        <v>0</v>
      </c>
      <c r="T227" s="555">
        <f ca="1">IF(R227="Revisión INN",NETWORKDAYS(P227,TODAY(),Hoja1!$C$3:$C$25),0)</f>
        <v>0</v>
      </c>
      <c r="U227" s="556">
        <f t="shared" si="7"/>
        <v>0</v>
      </c>
      <c r="V227" s="557"/>
      <c r="W227" s="558"/>
      <c r="X227" s="558"/>
      <c r="Y227" s="559"/>
      <c r="Z227" s="560"/>
      <c r="AA227" s="561"/>
      <c r="AB227" s="562"/>
      <c r="AC227" s="561"/>
      <c r="AD227" s="563"/>
      <c r="AE227" s="567"/>
      <c r="AF227" s="564"/>
      <c r="AG227" s="565"/>
      <c r="AH227" s="560"/>
      <c r="AI227" s="561"/>
      <c r="AJ227" s="562"/>
      <c r="AK227" s="561"/>
      <c r="AL227" s="563"/>
      <c r="AM227" s="567"/>
      <c r="AN227" s="564"/>
      <c r="AO227" s="565"/>
      <c r="AP227" s="560"/>
      <c r="AQ227" s="561"/>
      <c r="AR227" s="562"/>
      <c r="AS227" s="561"/>
      <c r="AT227" s="563"/>
      <c r="AU227" s="567"/>
      <c r="AV227" s="564"/>
      <c r="AW227" s="565"/>
      <c r="AX227" s="560"/>
      <c r="AY227" s="561"/>
      <c r="AZ227" s="562"/>
      <c r="BA227" s="561"/>
      <c r="BB227" s="563"/>
      <c r="BC227" s="567"/>
      <c r="BD227" s="564"/>
      <c r="BE227" s="565"/>
      <c r="BF227" s="560"/>
      <c r="BG227" s="561"/>
      <c r="BH227" s="562"/>
      <c r="BI227" s="561"/>
      <c r="BJ227" s="563"/>
      <c r="BK227" s="567"/>
      <c r="BL227" s="564"/>
      <c r="BM227" s="565"/>
      <c r="BN227" s="560"/>
      <c r="BO227" s="561"/>
      <c r="BP227" s="562"/>
      <c r="BQ227" s="561"/>
      <c r="BR227" s="563"/>
      <c r="BS227" s="567"/>
      <c r="BT227" s="564"/>
      <c r="BU227" s="565"/>
      <c r="BV227" s="560"/>
      <c r="BW227" s="561"/>
      <c r="BX227" s="562"/>
      <c r="BY227" s="561"/>
      <c r="BZ227" s="563"/>
      <c r="CA227" s="567"/>
      <c r="CB227" s="564"/>
      <c r="CC227" s="565"/>
      <c r="CD227" s="560"/>
      <c r="CE227" s="561"/>
      <c r="CF227" s="562"/>
      <c r="CG227" s="561"/>
      <c r="CH227" s="563"/>
      <c r="CI227" s="564"/>
      <c r="CJ227" s="564"/>
      <c r="CK227" s="564"/>
      <c r="CL227" s="560"/>
      <c r="CM227" s="561"/>
      <c r="CN227" s="562"/>
      <c r="CO227" s="561"/>
      <c r="CP227" s="563"/>
      <c r="CQ227" s="564"/>
      <c r="CR227" s="564"/>
      <c r="CS227" s="564"/>
      <c r="CT227" s="560"/>
      <c r="CU227" s="561"/>
      <c r="CV227" s="562"/>
      <c r="CW227" s="561"/>
      <c r="CX227" s="563"/>
      <c r="CY227" s="564"/>
      <c r="CZ227" s="564"/>
      <c r="DA227" s="564"/>
      <c r="DB227" s="560"/>
      <c r="DC227" s="561"/>
      <c r="DD227" s="562"/>
      <c r="DE227" s="561"/>
      <c r="DF227" s="563"/>
      <c r="DG227" s="564"/>
      <c r="DH227" s="564"/>
      <c r="DI227" s="564"/>
      <c r="DJ227" s="560"/>
      <c r="DK227" s="561"/>
      <c r="DL227" s="562"/>
      <c r="DM227" s="561"/>
      <c r="DN227" s="563"/>
      <c r="DO227" s="564"/>
      <c r="DP227" s="564"/>
      <c r="DQ227" s="564"/>
      <c r="DR227" s="560"/>
      <c r="DS227" s="561"/>
      <c r="DT227" s="562"/>
      <c r="DU227" s="561"/>
      <c r="DV227" s="563"/>
      <c r="DW227" s="564"/>
      <c r="DX227" s="564"/>
      <c r="DY227" s="564"/>
      <c r="DZ227" s="560"/>
      <c r="EA227" s="561"/>
      <c r="EB227" s="562"/>
      <c r="EC227" s="561"/>
      <c r="ED227" s="563"/>
      <c r="EE227" s="564"/>
      <c r="EF227" s="564"/>
      <c r="EG227" s="564"/>
      <c r="EH227" s="560"/>
      <c r="EI227" s="561"/>
      <c r="EJ227" s="562"/>
      <c r="EK227" s="561"/>
      <c r="EL227" s="563"/>
      <c r="EM227" s="564"/>
      <c r="EN227" s="564"/>
      <c r="EO227" s="564"/>
      <c r="EP227" s="560"/>
      <c r="EQ227" s="561"/>
      <c r="ER227" s="562"/>
      <c r="ES227" s="561"/>
      <c r="ET227" s="563"/>
      <c r="EU227" s="564"/>
      <c r="EV227" s="564"/>
      <c r="EW227" s="564"/>
      <c r="EX227" s="560"/>
      <c r="EY227" s="561"/>
      <c r="EZ227" s="562"/>
      <c r="FA227" s="561"/>
      <c r="FB227" s="563"/>
      <c r="FC227" s="564"/>
      <c r="FD227" s="564"/>
      <c r="FE227" s="564"/>
      <c r="FF227" s="560"/>
      <c r="FG227" s="561"/>
      <c r="FH227" s="562"/>
      <c r="FI227" s="561"/>
      <c r="FJ227" s="563"/>
      <c r="FK227" s="564"/>
      <c r="FL227" s="564"/>
      <c r="FM227" s="564"/>
      <c r="FN227" s="560"/>
      <c r="FO227" s="561"/>
      <c r="FP227" s="562"/>
      <c r="FQ227" s="561"/>
      <c r="FR227" s="563"/>
      <c r="FS227" s="564"/>
      <c r="FT227" s="564"/>
      <c r="FU227" s="564"/>
      <c r="FV227" s="560"/>
      <c r="FW227" s="566"/>
      <c r="FX227" s="566"/>
      <c r="FY227" s="566"/>
      <c r="FZ227" s="563"/>
      <c r="GA227" s="564"/>
      <c r="GB227" s="564"/>
      <c r="GC227" s="564"/>
      <c r="GD227" s="560"/>
      <c r="GE227" s="566"/>
      <c r="GF227" s="566"/>
      <c r="GG227" s="566"/>
      <c r="GH227" s="563"/>
      <c r="GI227" s="564"/>
      <c r="GJ227" s="564"/>
      <c r="GK227" s="564"/>
      <c r="GL227" s="560"/>
      <c r="GM227" s="566"/>
      <c r="GN227" s="566"/>
      <c r="GO227" s="566"/>
      <c r="GP227" s="563"/>
      <c r="GQ227" s="564"/>
      <c r="GR227" s="564"/>
      <c r="GS227" s="564"/>
      <c r="GT227" s="560"/>
      <c r="GU227" s="566"/>
      <c r="GV227" s="566"/>
      <c r="GW227" s="566"/>
      <c r="GX227" s="625"/>
      <c r="GY227" s="625"/>
      <c r="GZ227" s="625"/>
      <c r="HA227" s="625"/>
      <c r="HB227" s="625"/>
      <c r="HC227" s="625"/>
    </row>
    <row r="228" spans="2:211" s="506" customFormat="1" ht="59.15" customHeight="1" x14ac:dyDescent="0.35">
      <c r="B228" s="544">
        <v>225</v>
      </c>
      <c r="C228" s="654"/>
      <c r="D228" s="544"/>
      <c r="E228" s="546"/>
      <c r="F228" s="546"/>
      <c r="G228" s="545"/>
      <c r="H228" s="547"/>
      <c r="I228" s="548"/>
      <c r="J228" s="548"/>
      <c r="K228" s="568"/>
      <c r="L228" s="572"/>
      <c r="M228" s="569"/>
      <c r="N228" s="551"/>
      <c r="O228" s="552"/>
      <c r="P228" s="553"/>
      <c r="Q228" s="554"/>
      <c r="R228" s="554"/>
      <c r="S228" s="555">
        <f ca="1">IF(R228="Aprobado con comentarios / Emitir en Rev_0", NETWORKDAYS(Q228,TODAY(),Hoja1!$C$3:$C$25),0)</f>
        <v>0</v>
      </c>
      <c r="T228" s="555">
        <f ca="1">IF(R228="Revisión INN",NETWORKDAYS(P228,TODAY(),Hoja1!$C$3:$C$25),0)</f>
        <v>0</v>
      </c>
      <c r="U228" s="556">
        <f t="shared" si="7"/>
        <v>0</v>
      </c>
      <c r="V228" s="557"/>
      <c r="W228" s="558"/>
      <c r="X228" s="558"/>
      <c r="Y228" s="559"/>
      <c r="Z228" s="560"/>
      <c r="AA228" s="561"/>
      <c r="AB228" s="562"/>
      <c r="AC228" s="561"/>
      <c r="AD228" s="563"/>
      <c r="AE228" s="567"/>
      <c r="AF228" s="564"/>
      <c r="AG228" s="565"/>
      <c r="AH228" s="560"/>
      <c r="AI228" s="561"/>
      <c r="AJ228" s="562"/>
      <c r="AK228" s="561"/>
      <c r="AL228" s="563"/>
      <c r="AM228" s="567"/>
      <c r="AN228" s="564"/>
      <c r="AO228" s="565"/>
      <c r="AP228" s="560"/>
      <c r="AQ228" s="561"/>
      <c r="AR228" s="562"/>
      <c r="AS228" s="561"/>
      <c r="AT228" s="563"/>
      <c r="AU228" s="567"/>
      <c r="AV228" s="564"/>
      <c r="AW228" s="565"/>
      <c r="AX228" s="560"/>
      <c r="AY228" s="561"/>
      <c r="AZ228" s="562"/>
      <c r="BA228" s="561"/>
      <c r="BB228" s="563"/>
      <c r="BC228" s="567"/>
      <c r="BD228" s="564"/>
      <c r="BE228" s="565"/>
      <c r="BF228" s="560"/>
      <c r="BG228" s="561"/>
      <c r="BH228" s="562"/>
      <c r="BI228" s="561"/>
      <c r="BJ228" s="563"/>
      <c r="BK228" s="567"/>
      <c r="BL228" s="564"/>
      <c r="BM228" s="565"/>
      <c r="BN228" s="560"/>
      <c r="BO228" s="561"/>
      <c r="BP228" s="562"/>
      <c r="BQ228" s="561"/>
      <c r="BR228" s="563"/>
      <c r="BS228" s="567"/>
      <c r="BT228" s="564"/>
      <c r="BU228" s="565"/>
      <c r="BV228" s="560"/>
      <c r="BW228" s="561"/>
      <c r="BX228" s="562"/>
      <c r="BY228" s="561"/>
      <c r="BZ228" s="563"/>
      <c r="CA228" s="567"/>
      <c r="CB228" s="564"/>
      <c r="CC228" s="565"/>
      <c r="CD228" s="560"/>
      <c r="CE228" s="561"/>
      <c r="CF228" s="562"/>
      <c r="CG228" s="561"/>
      <c r="CH228" s="563"/>
      <c r="CI228" s="564"/>
      <c r="CJ228" s="564"/>
      <c r="CK228" s="564"/>
      <c r="CL228" s="560"/>
      <c r="CM228" s="561"/>
      <c r="CN228" s="562"/>
      <c r="CO228" s="561"/>
      <c r="CP228" s="563"/>
      <c r="CQ228" s="564"/>
      <c r="CR228" s="564"/>
      <c r="CS228" s="564"/>
      <c r="CT228" s="560"/>
      <c r="CU228" s="561"/>
      <c r="CV228" s="562"/>
      <c r="CW228" s="561"/>
      <c r="CX228" s="563"/>
      <c r="CY228" s="564"/>
      <c r="CZ228" s="564"/>
      <c r="DA228" s="564"/>
      <c r="DB228" s="560"/>
      <c r="DC228" s="561"/>
      <c r="DD228" s="562"/>
      <c r="DE228" s="561"/>
      <c r="DF228" s="563"/>
      <c r="DG228" s="564"/>
      <c r="DH228" s="564"/>
      <c r="DI228" s="564"/>
      <c r="DJ228" s="560"/>
      <c r="DK228" s="561"/>
      <c r="DL228" s="562"/>
      <c r="DM228" s="561"/>
      <c r="DN228" s="563"/>
      <c r="DO228" s="564"/>
      <c r="DP228" s="564"/>
      <c r="DQ228" s="564"/>
      <c r="DR228" s="560"/>
      <c r="DS228" s="561"/>
      <c r="DT228" s="562"/>
      <c r="DU228" s="561"/>
      <c r="DV228" s="563"/>
      <c r="DW228" s="564"/>
      <c r="DX228" s="564"/>
      <c r="DY228" s="564"/>
      <c r="DZ228" s="560"/>
      <c r="EA228" s="561"/>
      <c r="EB228" s="562"/>
      <c r="EC228" s="561"/>
      <c r="ED228" s="563"/>
      <c r="EE228" s="564"/>
      <c r="EF228" s="564"/>
      <c r="EG228" s="564"/>
      <c r="EH228" s="560"/>
      <c r="EI228" s="561"/>
      <c r="EJ228" s="562"/>
      <c r="EK228" s="561"/>
      <c r="EL228" s="563"/>
      <c r="EM228" s="564"/>
      <c r="EN228" s="564"/>
      <c r="EO228" s="564"/>
      <c r="EP228" s="560"/>
      <c r="EQ228" s="561"/>
      <c r="ER228" s="562"/>
      <c r="ES228" s="561"/>
      <c r="ET228" s="563"/>
      <c r="EU228" s="564"/>
      <c r="EV228" s="564"/>
      <c r="EW228" s="564"/>
      <c r="EX228" s="560"/>
      <c r="EY228" s="561"/>
      <c r="EZ228" s="562"/>
      <c r="FA228" s="561"/>
      <c r="FB228" s="563"/>
      <c r="FC228" s="564"/>
      <c r="FD228" s="564"/>
      <c r="FE228" s="564"/>
      <c r="FF228" s="560"/>
      <c r="FG228" s="561"/>
      <c r="FH228" s="562"/>
      <c r="FI228" s="561"/>
      <c r="FJ228" s="563"/>
      <c r="FK228" s="564"/>
      <c r="FL228" s="564"/>
      <c r="FM228" s="564"/>
      <c r="FN228" s="560"/>
      <c r="FO228" s="561"/>
      <c r="FP228" s="562"/>
      <c r="FQ228" s="561"/>
      <c r="FR228" s="563"/>
      <c r="FS228" s="564"/>
      <c r="FT228" s="564"/>
      <c r="FU228" s="564"/>
      <c r="FV228" s="560"/>
      <c r="FW228" s="566"/>
      <c r="FX228" s="566"/>
      <c r="FY228" s="566"/>
      <c r="FZ228" s="563"/>
      <c r="GA228" s="564"/>
      <c r="GB228" s="564"/>
      <c r="GC228" s="564"/>
      <c r="GD228" s="560"/>
      <c r="GE228" s="566"/>
      <c r="GF228" s="566"/>
      <c r="GG228" s="566"/>
      <c r="GH228" s="563"/>
      <c r="GI228" s="564"/>
      <c r="GJ228" s="564"/>
      <c r="GK228" s="564"/>
      <c r="GL228" s="560"/>
      <c r="GM228" s="566"/>
      <c r="GN228" s="566"/>
      <c r="GO228" s="566"/>
      <c r="GP228" s="563"/>
      <c r="GQ228" s="564"/>
      <c r="GR228" s="564"/>
      <c r="GS228" s="564"/>
      <c r="GT228" s="560"/>
      <c r="GU228" s="566"/>
      <c r="GV228" s="566"/>
      <c r="GW228" s="566"/>
      <c r="GX228" s="625"/>
      <c r="GY228" s="625"/>
      <c r="GZ228" s="625"/>
      <c r="HA228" s="625"/>
      <c r="HB228" s="625"/>
      <c r="HC228" s="625"/>
    </row>
    <row r="229" spans="2:211" s="506" customFormat="1" ht="59.15" customHeight="1" x14ac:dyDescent="0.35">
      <c r="B229" s="544">
        <v>226</v>
      </c>
      <c r="C229" s="654"/>
      <c r="D229" s="544"/>
      <c r="E229" s="546"/>
      <c r="F229" s="546"/>
      <c r="G229" s="545"/>
      <c r="H229" s="547"/>
      <c r="I229" s="548"/>
      <c r="J229" s="548"/>
      <c r="K229" s="568"/>
      <c r="L229" s="572"/>
      <c r="M229" s="569"/>
      <c r="N229" s="551"/>
      <c r="O229" s="552"/>
      <c r="P229" s="553"/>
      <c r="Q229" s="554"/>
      <c r="R229" s="554"/>
      <c r="S229" s="555">
        <f ca="1">IF(R229="Aprobado con comentarios / Emitir en Rev_0", NETWORKDAYS(Q229,TODAY(),Hoja1!$C$3:$C$25),0)</f>
        <v>0</v>
      </c>
      <c r="T229" s="555">
        <f ca="1">IF(R229="Revisión INN",NETWORKDAYS(P229,TODAY(),Hoja1!$C$3:$C$25),0)</f>
        <v>0</v>
      </c>
      <c r="U229" s="556">
        <f t="shared" si="7"/>
        <v>0</v>
      </c>
      <c r="V229" s="557"/>
      <c r="W229" s="558"/>
      <c r="X229" s="558"/>
      <c r="Y229" s="559"/>
      <c r="Z229" s="560"/>
      <c r="AA229" s="561"/>
      <c r="AB229" s="562"/>
      <c r="AC229" s="561"/>
      <c r="AD229" s="563"/>
      <c r="AE229" s="567"/>
      <c r="AF229" s="564"/>
      <c r="AG229" s="565"/>
      <c r="AH229" s="560"/>
      <c r="AI229" s="561"/>
      <c r="AJ229" s="562"/>
      <c r="AK229" s="561"/>
      <c r="AL229" s="563"/>
      <c r="AM229" s="567"/>
      <c r="AN229" s="564"/>
      <c r="AO229" s="565"/>
      <c r="AP229" s="560"/>
      <c r="AQ229" s="561"/>
      <c r="AR229" s="562"/>
      <c r="AS229" s="561"/>
      <c r="AT229" s="563"/>
      <c r="AU229" s="567"/>
      <c r="AV229" s="564"/>
      <c r="AW229" s="565"/>
      <c r="AX229" s="560"/>
      <c r="AY229" s="561"/>
      <c r="AZ229" s="562"/>
      <c r="BA229" s="561"/>
      <c r="BB229" s="563"/>
      <c r="BC229" s="567"/>
      <c r="BD229" s="564"/>
      <c r="BE229" s="565"/>
      <c r="BF229" s="560"/>
      <c r="BG229" s="561"/>
      <c r="BH229" s="562"/>
      <c r="BI229" s="561"/>
      <c r="BJ229" s="563"/>
      <c r="BK229" s="567"/>
      <c r="BL229" s="564"/>
      <c r="BM229" s="565"/>
      <c r="BN229" s="560"/>
      <c r="BO229" s="561"/>
      <c r="BP229" s="562"/>
      <c r="BQ229" s="561"/>
      <c r="BR229" s="563"/>
      <c r="BS229" s="567"/>
      <c r="BT229" s="564"/>
      <c r="BU229" s="565"/>
      <c r="BV229" s="560"/>
      <c r="BW229" s="561"/>
      <c r="BX229" s="562"/>
      <c r="BY229" s="561"/>
      <c r="BZ229" s="563"/>
      <c r="CA229" s="567"/>
      <c r="CB229" s="564"/>
      <c r="CC229" s="565"/>
      <c r="CD229" s="560"/>
      <c r="CE229" s="561"/>
      <c r="CF229" s="562"/>
      <c r="CG229" s="561"/>
      <c r="CH229" s="563"/>
      <c r="CI229" s="564"/>
      <c r="CJ229" s="564"/>
      <c r="CK229" s="564"/>
      <c r="CL229" s="560"/>
      <c r="CM229" s="561"/>
      <c r="CN229" s="562"/>
      <c r="CO229" s="561"/>
      <c r="CP229" s="563"/>
      <c r="CQ229" s="564"/>
      <c r="CR229" s="564"/>
      <c r="CS229" s="564"/>
      <c r="CT229" s="560"/>
      <c r="CU229" s="561"/>
      <c r="CV229" s="562"/>
      <c r="CW229" s="561"/>
      <c r="CX229" s="563"/>
      <c r="CY229" s="564"/>
      <c r="CZ229" s="564"/>
      <c r="DA229" s="564"/>
      <c r="DB229" s="560"/>
      <c r="DC229" s="561"/>
      <c r="DD229" s="562"/>
      <c r="DE229" s="561"/>
      <c r="DF229" s="563"/>
      <c r="DG229" s="564"/>
      <c r="DH229" s="564"/>
      <c r="DI229" s="564"/>
      <c r="DJ229" s="560"/>
      <c r="DK229" s="561"/>
      <c r="DL229" s="562"/>
      <c r="DM229" s="561"/>
      <c r="DN229" s="563"/>
      <c r="DO229" s="564"/>
      <c r="DP229" s="564"/>
      <c r="DQ229" s="564"/>
      <c r="DR229" s="560"/>
      <c r="DS229" s="561"/>
      <c r="DT229" s="562"/>
      <c r="DU229" s="561"/>
      <c r="DV229" s="563"/>
      <c r="DW229" s="564"/>
      <c r="DX229" s="564"/>
      <c r="DY229" s="564"/>
      <c r="DZ229" s="560"/>
      <c r="EA229" s="561"/>
      <c r="EB229" s="562"/>
      <c r="EC229" s="561"/>
      <c r="ED229" s="563"/>
      <c r="EE229" s="564"/>
      <c r="EF229" s="564"/>
      <c r="EG229" s="564"/>
      <c r="EH229" s="560"/>
      <c r="EI229" s="561"/>
      <c r="EJ229" s="562"/>
      <c r="EK229" s="561"/>
      <c r="EL229" s="563"/>
      <c r="EM229" s="564"/>
      <c r="EN229" s="564"/>
      <c r="EO229" s="564"/>
      <c r="EP229" s="560"/>
      <c r="EQ229" s="561"/>
      <c r="ER229" s="562"/>
      <c r="ES229" s="561"/>
      <c r="ET229" s="563"/>
      <c r="EU229" s="564"/>
      <c r="EV229" s="564"/>
      <c r="EW229" s="564"/>
      <c r="EX229" s="560"/>
      <c r="EY229" s="561"/>
      <c r="EZ229" s="562"/>
      <c r="FA229" s="561"/>
      <c r="FB229" s="563"/>
      <c r="FC229" s="564"/>
      <c r="FD229" s="564"/>
      <c r="FE229" s="564"/>
      <c r="FF229" s="560"/>
      <c r="FG229" s="561"/>
      <c r="FH229" s="562"/>
      <c r="FI229" s="561"/>
      <c r="FJ229" s="563"/>
      <c r="FK229" s="564"/>
      <c r="FL229" s="564"/>
      <c r="FM229" s="564"/>
      <c r="FN229" s="560"/>
      <c r="FO229" s="561"/>
      <c r="FP229" s="562"/>
      <c r="FQ229" s="561"/>
      <c r="FR229" s="563"/>
      <c r="FS229" s="564"/>
      <c r="FT229" s="564"/>
      <c r="FU229" s="564"/>
      <c r="FV229" s="560"/>
      <c r="FW229" s="566"/>
      <c r="FX229" s="566"/>
      <c r="FY229" s="566"/>
      <c r="FZ229" s="563"/>
      <c r="GA229" s="564"/>
      <c r="GB229" s="564"/>
      <c r="GC229" s="564"/>
      <c r="GD229" s="560"/>
      <c r="GE229" s="566"/>
      <c r="GF229" s="566"/>
      <c r="GG229" s="566"/>
      <c r="GH229" s="563"/>
      <c r="GI229" s="564"/>
      <c r="GJ229" s="564"/>
      <c r="GK229" s="564"/>
      <c r="GL229" s="560"/>
      <c r="GM229" s="566"/>
      <c r="GN229" s="566"/>
      <c r="GO229" s="566"/>
      <c r="GP229" s="563"/>
      <c r="GQ229" s="564"/>
      <c r="GR229" s="564"/>
      <c r="GS229" s="564"/>
      <c r="GT229" s="560"/>
      <c r="GU229" s="566"/>
      <c r="GV229" s="566"/>
      <c r="GW229" s="566"/>
      <c r="GX229" s="625"/>
      <c r="GY229" s="625"/>
      <c r="GZ229" s="625"/>
      <c r="HA229" s="625"/>
      <c r="HB229" s="625"/>
      <c r="HC229" s="625"/>
    </row>
    <row r="230" spans="2:211" s="506" customFormat="1" ht="59.15" customHeight="1" x14ac:dyDescent="0.35">
      <c r="B230" s="544">
        <v>227</v>
      </c>
      <c r="C230" s="654"/>
      <c r="D230" s="544"/>
      <c r="E230" s="546"/>
      <c r="F230" s="546"/>
      <c r="G230" s="545"/>
      <c r="H230" s="547"/>
      <c r="I230" s="548"/>
      <c r="J230" s="548"/>
      <c r="K230" s="568"/>
      <c r="L230" s="572"/>
      <c r="M230" s="569"/>
      <c r="N230" s="551"/>
      <c r="O230" s="552"/>
      <c r="P230" s="553"/>
      <c r="Q230" s="554"/>
      <c r="R230" s="554"/>
      <c r="S230" s="555">
        <f ca="1">IF(R230="Aprobado con comentarios / Emitir en Rev_0", NETWORKDAYS(Q230,TODAY(),Hoja1!$C$3:$C$25),0)</f>
        <v>0</v>
      </c>
      <c r="T230" s="555">
        <f ca="1">IF(R230="Revisión INN",NETWORKDAYS(P230,TODAY(),Hoja1!$C$3:$C$25),0)</f>
        <v>0</v>
      </c>
      <c r="U230" s="556">
        <f t="shared" si="7"/>
        <v>0</v>
      </c>
      <c r="V230" s="557"/>
      <c r="W230" s="558"/>
      <c r="X230" s="567"/>
      <c r="Y230" s="559"/>
      <c r="Z230" s="560"/>
      <c r="AA230" s="561"/>
      <c r="AB230" s="562"/>
      <c r="AC230" s="561"/>
      <c r="AD230" s="563"/>
      <c r="AE230" s="567"/>
      <c r="AF230" s="564"/>
      <c r="AG230" s="565"/>
      <c r="AH230" s="560"/>
      <c r="AI230" s="561"/>
      <c r="AJ230" s="562"/>
      <c r="AK230" s="561"/>
      <c r="AL230" s="563"/>
      <c r="AM230" s="567"/>
      <c r="AN230" s="564"/>
      <c r="AO230" s="565"/>
      <c r="AP230" s="560"/>
      <c r="AQ230" s="561"/>
      <c r="AR230" s="562"/>
      <c r="AS230" s="561"/>
      <c r="AT230" s="563"/>
      <c r="AU230" s="567"/>
      <c r="AV230" s="564"/>
      <c r="AW230" s="565"/>
      <c r="AX230" s="560"/>
      <c r="AY230" s="561"/>
      <c r="AZ230" s="562"/>
      <c r="BA230" s="561"/>
      <c r="BB230" s="563"/>
      <c r="BC230" s="567"/>
      <c r="BD230" s="564"/>
      <c r="BE230" s="565"/>
      <c r="BF230" s="560"/>
      <c r="BG230" s="561"/>
      <c r="BH230" s="562"/>
      <c r="BI230" s="561"/>
      <c r="BJ230" s="563"/>
      <c r="BK230" s="567"/>
      <c r="BL230" s="564"/>
      <c r="BM230" s="565"/>
      <c r="BN230" s="560"/>
      <c r="BO230" s="561"/>
      <c r="BP230" s="562"/>
      <c r="BQ230" s="561"/>
      <c r="BR230" s="563"/>
      <c r="BS230" s="567"/>
      <c r="BT230" s="564"/>
      <c r="BU230" s="565"/>
      <c r="BV230" s="560"/>
      <c r="BW230" s="561"/>
      <c r="BX230" s="562"/>
      <c r="BY230" s="561"/>
      <c r="BZ230" s="563"/>
      <c r="CA230" s="567"/>
      <c r="CB230" s="564"/>
      <c r="CC230" s="565"/>
      <c r="CD230" s="560"/>
      <c r="CE230" s="561"/>
      <c r="CF230" s="562"/>
      <c r="CG230" s="561"/>
      <c r="CH230" s="563"/>
      <c r="CI230" s="564"/>
      <c r="CJ230" s="564"/>
      <c r="CK230" s="564"/>
      <c r="CL230" s="560"/>
      <c r="CM230" s="561"/>
      <c r="CN230" s="562"/>
      <c r="CO230" s="561"/>
      <c r="CP230" s="563"/>
      <c r="CQ230" s="564"/>
      <c r="CR230" s="564"/>
      <c r="CS230" s="564"/>
      <c r="CT230" s="560"/>
      <c r="CU230" s="561"/>
      <c r="CV230" s="562"/>
      <c r="CW230" s="561"/>
      <c r="CX230" s="563"/>
      <c r="CY230" s="564"/>
      <c r="CZ230" s="564"/>
      <c r="DA230" s="564"/>
      <c r="DB230" s="560"/>
      <c r="DC230" s="561"/>
      <c r="DD230" s="562"/>
      <c r="DE230" s="561"/>
      <c r="DF230" s="563"/>
      <c r="DG230" s="564"/>
      <c r="DH230" s="564"/>
      <c r="DI230" s="564"/>
      <c r="DJ230" s="560"/>
      <c r="DK230" s="561"/>
      <c r="DL230" s="562"/>
      <c r="DM230" s="561"/>
      <c r="DN230" s="563"/>
      <c r="DO230" s="564"/>
      <c r="DP230" s="564"/>
      <c r="DQ230" s="564"/>
      <c r="DR230" s="560"/>
      <c r="DS230" s="561"/>
      <c r="DT230" s="562"/>
      <c r="DU230" s="561"/>
      <c r="DV230" s="563"/>
      <c r="DW230" s="564"/>
      <c r="DX230" s="564"/>
      <c r="DY230" s="564"/>
      <c r="DZ230" s="560"/>
      <c r="EA230" s="561"/>
      <c r="EB230" s="562"/>
      <c r="EC230" s="561"/>
      <c r="ED230" s="563"/>
      <c r="EE230" s="564"/>
      <c r="EF230" s="564"/>
      <c r="EG230" s="564"/>
      <c r="EH230" s="560"/>
      <c r="EI230" s="561"/>
      <c r="EJ230" s="562"/>
      <c r="EK230" s="561"/>
      <c r="EL230" s="563"/>
      <c r="EM230" s="564"/>
      <c r="EN230" s="564"/>
      <c r="EO230" s="564"/>
      <c r="EP230" s="560"/>
      <c r="EQ230" s="561"/>
      <c r="ER230" s="562"/>
      <c r="ES230" s="561"/>
      <c r="ET230" s="563"/>
      <c r="EU230" s="564"/>
      <c r="EV230" s="564"/>
      <c r="EW230" s="564"/>
      <c r="EX230" s="560"/>
      <c r="EY230" s="561"/>
      <c r="EZ230" s="562"/>
      <c r="FA230" s="561"/>
      <c r="FB230" s="563"/>
      <c r="FC230" s="564"/>
      <c r="FD230" s="564"/>
      <c r="FE230" s="564"/>
      <c r="FF230" s="560"/>
      <c r="FG230" s="561"/>
      <c r="FH230" s="562"/>
      <c r="FI230" s="561"/>
      <c r="FJ230" s="563"/>
      <c r="FK230" s="564"/>
      <c r="FL230" s="564"/>
      <c r="FM230" s="564"/>
      <c r="FN230" s="560"/>
      <c r="FO230" s="561"/>
      <c r="FP230" s="562"/>
      <c r="FQ230" s="561"/>
      <c r="FR230" s="563"/>
      <c r="FS230" s="564"/>
      <c r="FT230" s="564"/>
      <c r="FU230" s="564"/>
      <c r="FV230" s="560"/>
      <c r="FW230" s="566"/>
      <c r="FX230" s="566"/>
      <c r="FY230" s="566"/>
      <c r="FZ230" s="563"/>
      <c r="GA230" s="564"/>
      <c r="GB230" s="564"/>
      <c r="GC230" s="564"/>
      <c r="GD230" s="560"/>
      <c r="GE230" s="566"/>
      <c r="GF230" s="566"/>
      <c r="GG230" s="566"/>
      <c r="GH230" s="563"/>
      <c r="GI230" s="564"/>
      <c r="GJ230" s="564"/>
      <c r="GK230" s="564"/>
      <c r="GL230" s="560"/>
      <c r="GM230" s="566"/>
      <c r="GN230" s="566"/>
      <c r="GO230" s="566"/>
      <c r="GP230" s="563"/>
      <c r="GQ230" s="564"/>
      <c r="GR230" s="564"/>
      <c r="GS230" s="564"/>
      <c r="GT230" s="560"/>
      <c r="GU230" s="566"/>
      <c r="GV230" s="566"/>
      <c r="GW230" s="566"/>
      <c r="GX230" s="625"/>
      <c r="GY230" s="625"/>
      <c r="GZ230" s="625"/>
      <c r="HA230" s="625"/>
      <c r="HB230" s="625"/>
      <c r="HC230" s="625"/>
    </row>
    <row r="231" spans="2:211" s="506" customFormat="1" ht="59.15" customHeight="1" x14ac:dyDescent="0.35">
      <c r="B231" s="544">
        <v>228</v>
      </c>
      <c r="C231" s="654"/>
      <c r="D231" s="544"/>
      <c r="E231" s="546"/>
      <c r="F231" s="546"/>
      <c r="G231" s="545"/>
      <c r="H231" s="547"/>
      <c r="I231" s="548"/>
      <c r="J231" s="548"/>
      <c r="K231" s="568"/>
      <c r="L231" s="572"/>
      <c r="M231" s="569"/>
      <c r="N231" s="551"/>
      <c r="O231" s="552"/>
      <c r="P231" s="553"/>
      <c r="Q231" s="554"/>
      <c r="R231" s="554"/>
      <c r="S231" s="555">
        <f ca="1">IF(R231="Aprobado con comentarios / Emitir en Rev_0", NETWORKDAYS(Q231,TODAY(),Hoja1!$C$3:$C$25),0)</f>
        <v>0</v>
      </c>
      <c r="T231" s="555">
        <f ca="1">IF(R231="Revisión INN",NETWORKDAYS(P231,TODAY(),Hoja1!$C$3:$C$25),0)</f>
        <v>0</v>
      </c>
      <c r="U231" s="556">
        <f t="shared" si="7"/>
        <v>0</v>
      </c>
      <c r="V231" s="557"/>
      <c r="W231" s="558"/>
      <c r="X231" s="567"/>
      <c r="Y231" s="559"/>
      <c r="Z231" s="560"/>
      <c r="AA231" s="561"/>
      <c r="AB231" s="562"/>
      <c r="AC231" s="561"/>
      <c r="AD231" s="563"/>
      <c r="AE231" s="567"/>
      <c r="AF231" s="564"/>
      <c r="AG231" s="565"/>
      <c r="AH231" s="560"/>
      <c r="AI231" s="561"/>
      <c r="AJ231" s="562"/>
      <c r="AK231" s="561"/>
      <c r="AL231" s="563"/>
      <c r="AM231" s="567"/>
      <c r="AN231" s="564"/>
      <c r="AO231" s="565"/>
      <c r="AP231" s="560"/>
      <c r="AQ231" s="561"/>
      <c r="AR231" s="562"/>
      <c r="AS231" s="561"/>
      <c r="AT231" s="563"/>
      <c r="AU231" s="567"/>
      <c r="AV231" s="564"/>
      <c r="AW231" s="565"/>
      <c r="AX231" s="560"/>
      <c r="AY231" s="561"/>
      <c r="AZ231" s="562"/>
      <c r="BA231" s="561"/>
      <c r="BB231" s="563"/>
      <c r="BC231" s="567"/>
      <c r="BD231" s="564"/>
      <c r="BE231" s="565"/>
      <c r="BF231" s="560"/>
      <c r="BG231" s="561"/>
      <c r="BH231" s="562"/>
      <c r="BI231" s="561"/>
      <c r="BJ231" s="563"/>
      <c r="BK231" s="567"/>
      <c r="BL231" s="564"/>
      <c r="BM231" s="565"/>
      <c r="BN231" s="560"/>
      <c r="BO231" s="561"/>
      <c r="BP231" s="562"/>
      <c r="BQ231" s="561"/>
      <c r="BR231" s="563"/>
      <c r="BS231" s="567"/>
      <c r="BT231" s="564"/>
      <c r="BU231" s="565"/>
      <c r="BV231" s="560"/>
      <c r="BW231" s="561"/>
      <c r="BX231" s="562"/>
      <c r="BY231" s="561"/>
      <c r="BZ231" s="563"/>
      <c r="CA231" s="567"/>
      <c r="CB231" s="564"/>
      <c r="CC231" s="565"/>
      <c r="CD231" s="560"/>
      <c r="CE231" s="561"/>
      <c r="CF231" s="562"/>
      <c r="CG231" s="561"/>
      <c r="CH231" s="563"/>
      <c r="CI231" s="564"/>
      <c r="CJ231" s="564"/>
      <c r="CK231" s="564"/>
      <c r="CL231" s="560"/>
      <c r="CM231" s="561"/>
      <c r="CN231" s="562"/>
      <c r="CO231" s="561"/>
      <c r="CP231" s="563"/>
      <c r="CQ231" s="564"/>
      <c r="CR231" s="564"/>
      <c r="CS231" s="564"/>
      <c r="CT231" s="560"/>
      <c r="CU231" s="561"/>
      <c r="CV231" s="562"/>
      <c r="CW231" s="561"/>
      <c r="CX231" s="563"/>
      <c r="CY231" s="564"/>
      <c r="CZ231" s="564"/>
      <c r="DA231" s="564"/>
      <c r="DB231" s="560"/>
      <c r="DC231" s="561"/>
      <c r="DD231" s="562"/>
      <c r="DE231" s="561"/>
      <c r="DF231" s="563"/>
      <c r="DG231" s="564"/>
      <c r="DH231" s="564"/>
      <c r="DI231" s="564"/>
      <c r="DJ231" s="560"/>
      <c r="DK231" s="561"/>
      <c r="DL231" s="562"/>
      <c r="DM231" s="561"/>
      <c r="DN231" s="563"/>
      <c r="DO231" s="564"/>
      <c r="DP231" s="564"/>
      <c r="DQ231" s="564"/>
      <c r="DR231" s="560"/>
      <c r="DS231" s="561"/>
      <c r="DT231" s="562"/>
      <c r="DU231" s="561"/>
      <c r="DV231" s="563"/>
      <c r="DW231" s="564"/>
      <c r="DX231" s="564"/>
      <c r="DY231" s="564"/>
      <c r="DZ231" s="560"/>
      <c r="EA231" s="561"/>
      <c r="EB231" s="562"/>
      <c r="EC231" s="561"/>
      <c r="ED231" s="563"/>
      <c r="EE231" s="564"/>
      <c r="EF231" s="564"/>
      <c r="EG231" s="564"/>
      <c r="EH231" s="560"/>
      <c r="EI231" s="561"/>
      <c r="EJ231" s="562"/>
      <c r="EK231" s="561"/>
      <c r="EL231" s="563"/>
      <c r="EM231" s="564"/>
      <c r="EN231" s="564"/>
      <c r="EO231" s="564"/>
      <c r="EP231" s="560"/>
      <c r="EQ231" s="561"/>
      <c r="ER231" s="562"/>
      <c r="ES231" s="561"/>
      <c r="ET231" s="563"/>
      <c r="EU231" s="564"/>
      <c r="EV231" s="564"/>
      <c r="EW231" s="564"/>
      <c r="EX231" s="560"/>
      <c r="EY231" s="561"/>
      <c r="EZ231" s="562"/>
      <c r="FA231" s="561"/>
      <c r="FB231" s="563"/>
      <c r="FC231" s="564"/>
      <c r="FD231" s="564"/>
      <c r="FE231" s="564"/>
      <c r="FF231" s="560"/>
      <c r="FG231" s="561"/>
      <c r="FH231" s="562"/>
      <c r="FI231" s="561"/>
      <c r="FJ231" s="563"/>
      <c r="FK231" s="564"/>
      <c r="FL231" s="564"/>
      <c r="FM231" s="564"/>
      <c r="FN231" s="560"/>
      <c r="FO231" s="561"/>
      <c r="FP231" s="562"/>
      <c r="FQ231" s="561"/>
      <c r="FR231" s="563"/>
      <c r="FS231" s="564"/>
      <c r="FT231" s="564"/>
      <c r="FU231" s="564"/>
      <c r="FV231" s="560"/>
      <c r="FW231" s="566"/>
      <c r="FX231" s="566"/>
      <c r="FY231" s="566"/>
      <c r="FZ231" s="563"/>
      <c r="GA231" s="564"/>
      <c r="GB231" s="564"/>
      <c r="GC231" s="564"/>
      <c r="GD231" s="560"/>
      <c r="GE231" s="566"/>
      <c r="GF231" s="566"/>
      <c r="GG231" s="566"/>
      <c r="GH231" s="563"/>
      <c r="GI231" s="564"/>
      <c r="GJ231" s="564"/>
      <c r="GK231" s="564"/>
      <c r="GL231" s="560"/>
      <c r="GM231" s="566"/>
      <c r="GN231" s="566"/>
      <c r="GO231" s="566"/>
      <c r="GP231" s="563"/>
      <c r="GQ231" s="564"/>
      <c r="GR231" s="564"/>
      <c r="GS231" s="564"/>
      <c r="GT231" s="560"/>
      <c r="GU231" s="566"/>
      <c r="GV231" s="566"/>
      <c r="GW231" s="566"/>
      <c r="GX231" s="625"/>
      <c r="GY231" s="625"/>
      <c r="GZ231" s="625"/>
      <c r="HA231" s="625"/>
      <c r="HB231" s="625"/>
      <c r="HC231" s="625"/>
    </row>
    <row r="232" spans="2:211" s="506" customFormat="1" ht="59.15" customHeight="1" x14ac:dyDescent="0.35">
      <c r="B232" s="544">
        <v>229</v>
      </c>
      <c r="C232" s="654"/>
      <c r="D232" s="544"/>
      <c r="E232" s="546"/>
      <c r="F232" s="546"/>
      <c r="G232" s="545"/>
      <c r="H232" s="547"/>
      <c r="I232" s="548"/>
      <c r="J232" s="548"/>
      <c r="K232" s="568"/>
      <c r="L232" s="572"/>
      <c r="M232" s="569"/>
      <c r="N232" s="551"/>
      <c r="O232" s="552"/>
      <c r="P232" s="553"/>
      <c r="Q232" s="554"/>
      <c r="R232" s="554"/>
      <c r="S232" s="555">
        <f ca="1">IF(R232="Aprobado con comentarios / Emitir en Rev_0", NETWORKDAYS(Q232,TODAY(),Hoja1!$C$3:$C$25),0)</f>
        <v>0</v>
      </c>
      <c r="T232" s="555">
        <f ca="1">IF(R232="Revisión INN",NETWORKDAYS(P232,TODAY(),Hoja1!$C$3:$C$25),0)</f>
        <v>0</v>
      </c>
      <c r="U232" s="556">
        <f t="shared" si="7"/>
        <v>0</v>
      </c>
      <c r="V232" s="557"/>
      <c r="W232" s="558"/>
      <c r="X232" s="567"/>
      <c r="Y232" s="559"/>
      <c r="Z232" s="560"/>
      <c r="AA232" s="561"/>
      <c r="AB232" s="562"/>
      <c r="AC232" s="561"/>
      <c r="AD232" s="563"/>
      <c r="AE232" s="567"/>
      <c r="AF232" s="564"/>
      <c r="AG232" s="565"/>
      <c r="AH232" s="560"/>
      <c r="AI232" s="561"/>
      <c r="AJ232" s="562"/>
      <c r="AK232" s="561"/>
      <c r="AL232" s="563"/>
      <c r="AM232" s="567"/>
      <c r="AN232" s="564"/>
      <c r="AO232" s="565"/>
      <c r="AP232" s="560"/>
      <c r="AQ232" s="561"/>
      <c r="AR232" s="562"/>
      <c r="AS232" s="561"/>
      <c r="AT232" s="563"/>
      <c r="AU232" s="567"/>
      <c r="AV232" s="564"/>
      <c r="AW232" s="565"/>
      <c r="AX232" s="560"/>
      <c r="AY232" s="561"/>
      <c r="AZ232" s="562"/>
      <c r="BA232" s="561"/>
      <c r="BB232" s="563"/>
      <c r="BC232" s="567"/>
      <c r="BD232" s="564"/>
      <c r="BE232" s="565"/>
      <c r="BF232" s="560"/>
      <c r="BG232" s="561"/>
      <c r="BH232" s="562"/>
      <c r="BI232" s="561"/>
      <c r="BJ232" s="563"/>
      <c r="BK232" s="567"/>
      <c r="BL232" s="564"/>
      <c r="BM232" s="565"/>
      <c r="BN232" s="560"/>
      <c r="BO232" s="561"/>
      <c r="BP232" s="562"/>
      <c r="BQ232" s="561"/>
      <c r="BR232" s="563"/>
      <c r="BS232" s="567"/>
      <c r="BT232" s="564"/>
      <c r="BU232" s="565"/>
      <c r="BV232" s="560"/>
      <c r="BW232" s="561"/>
      <c r="BX232" s="562"/>
      <c r="BY232" s="561"/>
      <c r="BZ232" s="563"/>
      <c r="CA232" s="567"/>
      <c r="CB232" s="564"/>
      <c r="CC232" s="565"/>
      <c r="CD232" s="560"/>
      <c r="CE232" s="561"/>
      <c r="CF232" s="562"/>
      <c r="CG232" s="561"/>
      <c r="CH232" s="563"/>
      <c r="CI232" s="564"/>
      <c r="CJ232" s="564"/>
      <c r="CK232" s="564"/>
      <c r="CL232" s="560"/>
      <c r="CM232" s="561"/>
      <c r="CN232" s="562"/>
      <c r="CO232" s="561"/>
      <c r="CP232" s="563"/>
      <c r="CQ232" s="564"/>
      <c r="CR232" s="564"/>
      <c r="CS232" s="564"/>
      <c r="CT232" s="560"/>
      <c r="CU232" s="561"/>
      <c r="CV232" s="562"/>
      <c r="CW232" s="561"/>
      <c r="CX232" s="563"/>
      <c r="CY232" s="564"/>
      <c r="CZ232" s="564"/>
      <c r="DA232" s="564"/>
      <c r="DB232" s="560"/>
      <c r="DC232" s="561"/>
      <c r="DD232" s="562"/>
      <c r="DE232" s="561"/>
      <c r="DF232" s="563"/>
      <c r="DG232" s="564"/>
      <c r="DH232" s="564"/>
      <c r="DI232" s="564"/>
      <c r="DJ232" s="560"/>
      <c r="DK232" s="561"/>
      <c r="DL232" s="562"/>
      <c r="DM232" s="561"/>
      <c r="DN232" s="563"/>
      <c r="DO232" s="564"/>
      <c r="DP232" s="564"/>
      <c r="DQ232" s="564"/>
      <c r="DR232" s="560"/>
      <c r="DS232" s="561"/>
      <c r="DT232" s="562"/>
      <c r="DU232" s="561"/>
      <c r="DV232" s="563"/>
      <c r="DW232" s="564"/>
      <c r="DX232" s="564"/>
      <c r="DY232" s="564"/>
      <c r="DZ232" s="560"/>
      <c r="EA232" s="561"/>
      <c r="EB232" s="562"/>
      <c r="EC232" s="561"/>
      <c r="ED232" s="563"/>
      <c r="EE232" s="564"/>
      <c r="EF232" s="564"/>
      <c r="EG232" s="564"/>
      <c r="EH232" s="560"/>
      <c r="EI232" s="561"/>
      <c r="EJ232" s="562"/>
      <c r="EK232" s="561"/>
      <c r="EL232" s="563"/>
      <c r="EM232" s="564"/>
      <c r="EN232" s="564"/>
      <c r="EO232" s="564"/>
      <c r="EP232" s="560"/>
      <c r="EQ232" s="561"/>
      <c r="ER232" s="562"/>
      <c r="ES232" s="561"/>
      <c r="ET232" s="563"/>
      <c r="EU232" s="564"/>
      <c r="EV232" s="564"/>
      <c r="EW232" s="564"/>
      <c r="EX232" s="560"/>
      <c r="EY232" s="561"/>
      <c r="EZ232" s="562"/>
      <c r="FA232" s="561"/>
      <c r="FB232" s="563"/>
      <c r="FC232" s="564"/>
      <c r="FD232" s="564"/>
      <c r="FE232" s="564"/>
      <c r="FF232" s="560"/>
      <c r="FG232" s="561"/>
      <c r="FH232" s="562"/>
      <c r="FI232" s="561"/>
      <c r="FJ232" s="563"/>
      <c r="FK232" s="564"/>
      <c r="FL232" s="564"/>
      <c r="FM232" s="564"/>
      <c r="FN232" s="560"/>
      <c r="FO232" s="561"/>
      <c r="FP232" s="562"/>
      <c r="FQ232" s="561"/>
      <c r="FR232" s="563"/>
      <c r="FS232" s="564"/>
      <c r="FT232" s="564"/>
      <c r="FU232" s="564"/>
      <c r="FV232" s="560"/>
      <c r="FW232" s="566"/>
      <c r="FX232" s="566"/>
      <c r="FY232" s="566"/>
      <c r="FZ232" s="563"/>
      <c r="GA232" s="564"/>
      <c r="GB232" s="564"/>
      <c r="GC232" s="564"/>
      <c r="GD232" s="560"/>
      <c r="GE232" s="566"/>
      <c r="GF232" s="566"/>
      <c r="GG232" s="566"/>
      <c r="GH232" s="563"/>
      <c r="GI232" s="564"/>
      <c r="GJ232" s="564"/>
      <c r="GK232" s="564"/>
      <c r="GL232" s="560"/>
      <c r="GM232" s="566"/>
      <c r="GN232" s="566"/>
      <c r="GO232" s="566"/>
      <c r="GP232" s="563"/>
      <c r="GQ232" s="564"/>
      <c r="GR232" s="564"/>
      <c r="GS232" s="564"/>
      <c r="GT232" s="560"/>
      <c r="GU232" s="566"/>
      <c r="GV232" s="566"/>
      <c r="GW232" s="566"/>
      <c r="GX232" s="625"/>
      <c r="GY232" s="625"/>
      <c r="GZ232" s="625"/>
      <c r="HA232" s="625"/>
      <c r="HB232" s="625"/>
      <c r="HC232" s="625"/>
    </row>
    <row r="233" spans="2:211" s="506" customFormat="1" ht="59.15" customHeight="1" x14ac:dyDescent="0.35">
      <c r="B233" s="544">
        <v>230</v>
      </c>
      <c r="C233" s="654"/>
      <c r="D233" s="544"/>
      <c r="E233" s="546"/>
      <c r="F233" s="546"/>
      <c r="G233" s="545"/>
      <c r="H233" s="547"/>
      <c r="I233" s="548"/>
      <c r="J233" s="548"/>
      <c r="K233" s="568"/>
      <c r="L233" s="572"/>
      <c r="M233" s="569"/>
      <c r="N233" s="551"/>
      <c r="O233" s="552"/>
      <c r="P233" s="553"/>
      <c r="Q233" s="554"/>
      <c r="R233" s="554"/>
      <c r="S233" s="555">
        <f ca="1">IF(R233="Aprobado con comentarios / Emitir en Rev_0", NETWORKDAYS(Q233,TODAY(),Hoja1!$C$3:$C$25),0)</f>
        <v>0</v>
      </c>
      <c r="T233" s="555">
        <f ca="1">IF(R233="Revisión INN",NETWORKDAYS(P233,TODAY(),Hoja1!$C$3:$C$25),0)</f>
        <v>0</v>
      </c>
      <c r="U233" s="556">
        <f t="shared" si="7"/>
        <v>0</v>
      </c>
      <c r="V233" s="557"/>
      <c r="W233" s="558"/>
      <c r="X233" s="567"/>
      <c r="Y233" s="559"/>
      <c r="Z233" s="560"/>
      <c r="AA233" s="561"/>
      <c r="AB233" s="562"/>
      <c r="AC233" s="561"/>
      <c r="AD233" s="563"/>
      <c r="AE233" s="567"/>
      <c r="AF233" s="564"/>
      <c r="AG233" s="565"/>
      <c r="AH233" s="560"/>
      <c r="AI233" s="561"/>
      <c r="AJ233" s="562"/>
      <c r="AK233" s="561"/>
      <c r="AL233" s="563"/>
      <c r="AM233" s="567"/>
      <c r="AN233" s="564"/>
      <c r="AO233" s="565"/>
      <c r="AP233" s="560"/>
      <c r="AQ233" s="561"/>
      <c r="AR233" s="562"/>
      <c r="AS233" s="561"/>
      <c r="AT233" s="563"/>
      <c r="AU233" s="567"/>
      <c r="AV233" s="564"/>
      <c r="AW233" s="565"/>
      <c r="AX233" s="560"/>
      <c r="AY233" s="561"/>
      <c r="AZ233" s="562"/>
      <c r="BA233" s="561"/>
      <c r="BB233" s="563"/>
      <c r="BC233" s="567"/>
      <c r="BD233" s="564"/>
      <c r="BE233" s="565"/>
      <c r="BF233" s="560"/>
      <c r="BG233" s="561"/>
      <c r="BH233" s="562"/>
      <c r="BI233" s="561"/>
      <c r="BJ233" s="563"/>
      <c r="BK233" s="567"/>
      <c r="BL233" s="564"/>
      <c r="BM233" s="565"/>
      <c r="BN233" s="560"/>
      <c r="BO233" s="561"/>
      <c r="BP233" s="562"/>
      <c r="BQ233" s="561"/>
      <c r="BR233" s="563"/>
      <c r="BS233" s="567"/>
      <c r="BT233" s="564"/>
      <c r="BU233" s="565"/>
      <c r="BV233" s="560"/>
      <c r="BW233" s="561"/>
      <c r="BX233" s="562"/>
      <c r="BY233" s="561"/>
      <c r="BZ233" s="563"/>
      <c r="CA233" s="567"/>
      <c r="CB233" s="564"/>
      <c r="CC233" s="565"/>
      <c r="CD233" s="560"/>
      <c r="CE233" s="561"/>
      <c r="CF233" s="562"/>
      <c r="CG233" s="561"/>
      <c r="CH233" s="563"/>
      <c r="CI233" s="564"/>
      <c r="CJ233" s="564"/>
      <c r="CK233" s="564"/>
      <c r="CL233" s="560"/>
      <c r="CM233" s="561"/>
      <c r="CN233" s="562"/>
      <c r="CO233" s="561"/>
      <c r="CP233" s="563"/>
      <c r="CQ233" s="564"/>
      <c r="CR233" s="564"/>
      <c r="CS233" s="564"/>
      <c r="CT233" s="560"/>
      <c r="CU233" s="561"/>
      <c r="CV233" s="562"/>
      <c r="CW233" s="561"/>
      <c r="CX233" s="563"/>
      <c r="CY233" s="564"/>
      <c r="CZ233" s="564"/>
      <c r="DA233" s="564"/>
      <c r="DB233" s="560"/>
      <c r="DC233" s="561"/>
      <c r="DD233" s="562"/>
      <c r="DE233" s="561"/>
      <c r="DF233" s="563"/>
      <c r="DG233" s="564"/>
      <c r="DH233" s="564"/>
      <c r="DI233" s="564"/>
      <c r="DJ233" s="560"/>
      <c r="DK233" s="561"/>
      <c r="DL233" s="562"/>
      <c r="DM233" s="561"/>
      <c r="DN233" s="563"/>
      <c r="DO233" s="564"/>
      <c r="DP233" s="564"/>
      <c r="DQ233" s="564"/>
      <c r="DR233" s="560"/>
      <c r="DS233" s="561"/>
      <c r="DT233" s="562"/>
      <c r="DU233" s="561"/>
      <c r="DV233" s="563"/>
      <c r="DW233" s="564"/>
      <c r="DX233" s="564"/>
      <c r="DY233" s="564"/>
      <c r="DZ233" s="560"/>
      <c r="EA233" s="561"/>
      <c r="EB233" s="562"/>
      <c r="EC233" s="561"/>
      <c r="ED233" s="563"/>
      <c r="EE233" s="564"/>
      <c r="EF233" s="564"/>
      <c r="EG233" s="564"/>
      <c r="EH233" s="560"/>
      <c r="EI233" s="561"/>
      <c r="EJ233" s="562"/>
      <c r="EK233" s="561"/>
      <c r="EL233" s="563"/>
      <c r="EM233" s="564"/>
      <c r="EN233" s="564"/>
      <c r="EO233" s="564"/>
      <c r="EP233" s="560"/>
      <c r="EQ233" s="561"/>
      <c r="ER233" s="562"/>
      <c r="ES233" s="561"/>
      <c r="ET233" s="563"/>
      <c r="EU233" s="564"/>
      <c r="EV233" s="564"/>
      <c r="EW233" s="564"/>
      <c r="EX233" s="560"/>
      <c r="EY233" s="561"/>
      <c r="EZ233" s="562"/>
      <c r="FA233" s="561"/>
      <c r="FB233" s="563"/>
      <c r="FC233" s="564"/>
      <c r="FD233" s="564"/>
      <c r="FE233" s="564"/>
      <c r="FF233" s="560"/>
      <c r="FG233" s="561"/>
      <c r="FH233" s="562"/>
      <c r="FI233" s="561"/>
      <c r="FJ233" s="563"/>
      <c r="FK233" s="564"/>
      <c r="FL233" s="564"/>
      <c r="FM233" s="564"/>
      <c r="FN233" s="560"/>
      <c r="FO233" s="561"/>
      <c r="FP233" s="562"/>
      <c r="FQ233" s="561"/>
      <c r="FR233" s="563"/>
      <c r="FS233" s="564"/>
      <c r="FT233" s="564"/>
      <c r="FU233" s="564"/>
      <c r="FV233" s="560"/>
      <c r="FW233" s="566"/>
      <c r="FX233" s="566"/>
      <c r="FY233" s="566"/>
      <c r="FZ233" s="563"/>
      <c r="GA233" s="564"/>
      <c r="GB233" s="564"/>
      <c r="GC233" s="564"/>
      <c r="GD233" s="560"/>
      <c r="GE233" s="566"/>
      <c r="GF233" s="566"/>
      <c r="GG233" s="566"/>
      <c r="GH233" s="563"/>
      <c r="GI233" s="564"/>
      <c r="GJ233" s="564"/>
      <c r="GK233" s="564"/>
      <c r="GL233" s="560"/>
      <c r="GM233" s="566"/>
      <c r="GN233" s="566"/>
      <c r="GO233" s="566"/>
      <c r="GP233" s="563"/>
      <c r="GQ233" s="564"/>
      <c r="GR233" s="564"/>
      <c r="GS233" s="564"/>
      <c r="GT233" s="560"/>
      <c r="GU233" s="566"/>
      <c r="GV233" s="566"/>
      <c r="GW233" s="566"/>
      <c r="GX233" s="625"/>
      <c r="GY233" s="625"/>
      <c r="GZ233" s="625"/>
      <c r="HA233" s="625"/>
      <c r="HB233" s="625"/>
      <c r="HC233" s="625"/>
    </row>
    <row r="234" spans="2:211" s="506" customFormat="1" ht="59.15" customHeight="1" x14ac:dyDescent="0.35">
      <c r="B234" s="544">
        <v>231</v>
      </c>
      <c r="C234" s="654"/>
      <c r="D234" s="544"/>
      <c r="E234" s="546"/>
      <c r="F234" s="546"/>
      <c r="G234" s="545"/>
      <c r="H234" s="547"/>
      <c r="I234" s="548"/>
      <c r="J234" s="548"/>
      <c r="K234" s="568"/>
      <c r="L234" s="572"/>
      <c r="M234" s="569"/>
      <c r="N234" s="551"/>
      <c r="O234" s="552"/>
      <c r="P234" s="553"/>
      <c r="Q234" s="554"/>
      <c r="R234" s="554"/>
      <c r="S234" s="555">
        <f ca="1">IF(R234="Aprobado con comentarios / Emitir en Rev_0", NETWORKDAYS(Q234,TODAY(),Hoja1!$C$3:$C$25),0)</f>
        <v>0</v>
      </c>
      <c r="T234" s="555">
        <f ca="1">IF(R234="Revisión INN",NETWORKDAYS(P234,TODAY(),Hoja1!$C$3:$C$25),0)</f>
        <v>0</v>
      </c>
      <c r="U234" s="556">
        <f t="shared" si="7"/>
        <v>0</v>
      </c>
      <c r="V234" s="557"/>
      <c r="W234" s="558"/>
      <c r="X234" s="567"/>
      <c r="Y234" s="559"/>
      <c r="Z234" s="560"/>
      <c r="AA234" s="561"/>
      <c r="AB234" s="562"/>
      <c r="AC234" s="561"/>
      <c r="AD234" s="563"/>
      <c r="AE234" s="567"/>
      <c r="AF234" s="564"/>
      <c r="AG234" s="565"/>
      <c r="AH234" s="560"/>
      <c r="AI234" s="561"/>
      <c r="AJ234" s="562"/>
      <c r="AK234" s="561"/>
      <c r="AL234" s="563"/>
      <c r="AM234" s="567"/>
      <c r="AN234" s="564"/>
      <c r="AO234" s="565"/>
      <c r="AP234" s="560"/>
      <c r="AQ234" s="561"/>
      <c r="AR234" s="562"/>
      <c r="AS234" s="561"/>
      <c r="AT234" s="563"/>
      <c r="AU234" s="567"/>
      <c r="AV234" s="564"/>
      <c r="AW234" s="565"/>
      <c r="AX234" s="560"/>
      <c r="AY234" s="561"/>
      <c r="AZ234" s="562"/>
      <c r="BA234" s="561"/>
      <c r="BB234" s="563"/>
      <c r="BC234" s="567"/>
      <c r="BD234" s="564"/>
      <c r="BE234" s="565"/>
      <c r="BF234" s="560"/>
      <c r="BG234" s="561"/>
      <c r="BH234" s="562"/>
      <c r="BI234" s="561"/>
      <c r="BJ234" s="563"/>
      <c r="BK234" s="567"/>
      <c r="BL234" s="564"/>
      <c r="BM234" s="565"/>
      <c r="BN234" s="560"/>
      <c r="BO234" s="561"/>
      <c r="BP234" s="562"/>
      <c r="BQ234" s="561"/>
      <c r="BR234" s="563"/>
      <c r="BS234" s="567"/>
      <c r="BT234" s="564"/>
      <c r="BU234" s="565"/>
      <c r="BV234" s="560"/>
      <c r="BW234" s="561"/>
      <c r="BX234" s="562"/>
      <c r="BY234" s="561"/>
      <c r="BZ234" s="563"/>
      <c r="CA234" s="567"/>
      <c r="CB234" s="564"/>
      <c r="CC234" s="565"/>
      <c r="CD234" s="560"/>
      <c r="CE234" s="561"/>
      <c r="CF234" s="562"/>
      <c r="CG234" s="561"/>
      <c r="CH234" s="563"/>
      <c r="CI234" s="564"/>
      <c r="CJ234" s="564"/>
      <c r="CK234" s="564"/>
      <c r="CL234" s="560"/>
      <c r="CM234" s="561"/>
      <c r="CN234" s="562"/>
      <c r="CO234" s="561"/>
      <c r="CP234" s="563"/>
      <c r="CQ234" s="564"/>
      <c r="CR234" s="564"/>
      <c r="CS234" s="564"/>
      <c r="CT234" s="560"/>
      <c r="CU234" s="561"/>
      <c r="CV234" s="562"/>
      <c r="CW234" s="561"/>
      <c r="CX234" s="563"/>
      <c r="CY234" s="564"/>
      <c r="CZ234" s="564"/>
      <c r="DA234" s="564"/>
      <c r="DB234" s="560"/>
      <c r="DC234" s="561"/>
      <c r="DD234" s="562"/>
      <c r="DE234" s="561"/>
      <c r="DF234" s="563"/>
      <c r="DG234" s="564"/>
      <c r="DH234" s="564"/>
      <c r="DI234" s="564"/>
      <c r="DJ234" s="560"/>
      <c r="DK234" s="561"/>
      <c r="DL234" s="562"/>
      <c r="DM234" s="561"/>
      <c r="DN234" s="563"/>
      <c r="DO234" s="564"/>
      <c r="DP234" s="564"/>
      <c r="DQ234" s="564"/>
      <c r="DR234" s="560"/>
      <c r="DS234" s="561"/>
      <c r="DT234" s="562"/>
      <c r="DU234" s="561"/>
      <c r="DV234" s="563"/>
      <c r="DW234" s="564"/>
      <c r="DX234" s="564"/>
      <c r="DY234" s="564"/>
      <c r="DZ234" s="560"/>
      <c r="EA234" s="561"/>
      <c r="EB234" s="562"/>
      <c r="EC234" s="561"/>
      <c r="ED234" s="563"/>
      <c r="EE234" s="564"/>
      <c r="EF234" s="564"/>
      <c r="EG234" s="564"/>
      <c r="EH234" s="560"/>
      <c r="EI234" s="561"/>
      <c r="EJ234" s="562"/>
      <c r="EK234" s="561"/>
      <c r="EL234" s="563"/>
      <c r="EM234" s="564"/>
      <c r="EN234" s="564"/>
      <c r="EO234" s="564"/>
      <c r="EP234" s="560"/>
      <c r="EQ234" s="561"/>
      <c r="ER234" s="562"/>
      <c r="ES234" s="561"/>
      <c r="ET234" s="563"/>
      <c r="EU234" s="564"/>
      <c r="EV234" s="564"/>
      <c r="EW234" s="564"/>
      <c r="EX234" s="560"/>
      <c r="EY234" s="561"/>
      <c r="EZ234" s="562"/>
      <c r="FA234" s="561"/>
      <c r="FB234" s="563"/>
      <c r="FC234" s="564"/>
      <c r="FD234" s="564"/>
      <c r="FE234" s="564"/>
      <c r="FF234" s="560"/>
      <c r="FG234" s="561"/>
      <c r="FH234" s="562"/>
      <c r="FI234" s="561"/>
      <c r="FJ234" s="563"/>
      <c r="FK234" s="564"/>
      <c r="FL234" s="564"/>
      <c r="FM234" s="564"/>
      <c r="FN234" s="560"/>
      <c r="FO234" s="561"/>
      <c r="FP234" s="562"/>
      <c r="FQ234" s="561"/>
      <c r="FR234" s="563"/>
      <c r="FS234" s="564"/>
      <c r="FT234" s="564"/>
      <c r="FU234" s="564"/>
      <c r="FV234" s="560"/>
      <c r="FW234" s="566"/>
      <c r="FX234" s="566"/>
      <c r="FY234" s="566"/>
      <c r="FZ234" s="563"/>
      <c r="GA234" s="564"/>
      <c r="GB234" s="564"/>
      <c r="GC234" s="564"/>
      <c r="GD234" s="560"/>
      <c r="GE234" s="566"/>
      <c r="GF234" s="566"/>
      <c r="GG234" s="566"/>
      <c r="GH234" s="563"/>
      <c r="GI234" s="564"/>
      <c r="GJ234" s="564"/>
      <c r="GK234" s="564"/>
      <c r="GL234" s="560"/>
      <c r="GM234" s="566"/>
      <c r="GN234" s="566"/>
      <c r="GO234" s="566"/>
      <c r="GP234" s="563"/>
      <c r="GQ234" s="564"/>
      <c r="GR234" s="564"/>
      <c r="GS234" s="564"/>
      <c r="GT234" s="560"/>
      <c r="GU234" s="566"/>
      <c r="GV234" s="566"/>
      <c r="GW234" s="566"/>
      <c r="GX234" s="625"/>
      <c r="GY234" s="625"/>
      <c r="GZ234" s="625"/>
      <c r="HA234" s="625"/>
      <c r="HB234" s="625"/>
      <c r="HC234" s="625"/>
    </row>
    <row r="235" spans="2:211" s="506" customFormat="1" ht="59.15" customHeight="1" x14ac:dyDescent="0.35">
      <c r="B235" s="544">
        <v>232</v>
      </c>
      <c r="C235" s="544"/>
      <c r="D235" s="544"/>
      <c r="E235" s="546"/>
      <c r="F235" s="546"/>
      <c r="G235" s="546"/>
      <c r="H235" s="547"/>
      <c r="I235" s="549"/>
      <c r="J235" s="705"/>
      <c r="K235" s="568"/>
      <c r="L235" s="548"/>
      <c r="M235" s="569"/>
      <c r="N235" s="551"/>
      <c r="O235" s="552"/>
      <c r="P235" s="553"/>
      <c r="Q235" s="553"/>
      <c r="R235" s="554"/>
      <c r="S235" s="555"/>
      <c r="T235" s="555"/>
      <c r="U235" s="556"/>
      <c r="V235" s="557"/>
      <c r="W235" s="558"/>
      <c r="X235" s="558"/>
      <c r="Y235" s="559"/>
      <c r="Z235" s="560"/>
      <c r="AA235" s="561"/>
      <c r="AB235" s="562"/>
      <c r="AC235" s="561"/>
      <c r="AD235" s="563"/>
      <c r="AE235" s="567"/>
      <c r="AF235" s="564"/>
      <c r="AG235" s="565"/>
      <c r="AH235" s="560"/>
      <c r="AI235" s="561"/>
      <c r="AJ235" s="562"/>
      <c r="AK235" s="561"/>
      <c r="AL235" s="563"/>
      <c r="AM235" s="567"/>
      <c r="AN235" s="564"/>
      <c r="AO235" s="565"/>
      <c r="AP235" s="560"/>
      <c r="AQ235" s="561"/>
      <c r="AR235" s="562"/>
      <c r="AS235" s="561"/>
      <c r="AT235" s="563"/>
      <c r="AU235" s="567"/>
      <c r="AV235" s="564"/>
      <c r="AW235" s="565"/>
      <c r="AX235" s="560"/>
      <c r="AY235" s="561"/>
      <c r="AZ235" s="562"/>
      <c r="BA235" s="561"/>
      <c r="BB235" s="563"/>
      <c r="BC235" s="567"/>
      <c r="BD235" s="564"/>
      <c r="BE235" s="565"/>
      <c r="BF235" s="560"/>
      <c r="BG235" s="561"/>
      <c r="BH235" s="562"/>
      <c r="BI235" s="561"/>
      <c r="BJ235" s="563"/>
      <c r="BK235" s="567"/>
      <c r="BL235" s="564"/>
      <c r="BM235" s="565"/>
      <c r="BN235" s="560"/>
      <c r="BO235" s="561"/>
      <c r="BP235" s="562"/>
      <c r="BQ235" s="561"/>
      <c r="BR235" s="563"/>
      <c r="BS235" s="567"/>
      <c r="BT235" s="564"/>
      <c r="BU235" s="565"/>
      <c r="BV235" s="560"/>
      <c r="BW235" s="561"/>
      <c r="BX235" s="562"/>
      <c r="BY235" s="561"/>
      <c r="BZ235" s="563"/>
      <c r="CA235" s="567"/>
      <c r="CB235" s="564"/>
      <c r="CC235" s="565"/>
      <c r="CD235" s="560"/>
      <c r="CE235" s="561"/>
      <c r="CF235" s="562"/>
      <c r="CG235" s="561"/>
      <c r="CH235" s="563"/>
      <c r="CI235" s="564"/>
      <c r="CJ235" s="564"/>
      <c r="CK235" s="564"/>
      <c r="CL235" s="560"/>
      <c r="CM235" s="561"/>
      <c r="CN235" s="562"/>
      <c r="CO235" s="561"/>
      <c r="CP235" s="563"/>
      <c r="CQ235" s="564"/>
      <c r="CR235" s="564"/>
      <c r="CS235" s="564"/>
      <c r="CT235" s="560"/>
      <c r="CU235" s="561"/>
      <c r="CV235" s="562"/>
      <c r="CW235" s="561"/>
      <c r="CX235" s="563"/>
      <c r="CY235" s="564"/>
      <c r="CZ235" s="564"/>
      <c r="DA235" s="564"/>
      <c r="DB235" s="560"/>
      <c r="DC235" s="561"/>
      <c r="DD235" s="562"/>
      <c r="DE235" s="561"/>
      <c r="DF235" s="563"/>
      <c r="DG235" s="564"/>
      <c r="DH235" s="564"/>
      <c r="DI235" s="564"/>
      <c r="DJ235" s="560"/>
      <c r="DK235" s="561"/>
      <c r="DL235" s="562"/>
      <c r="DM235" s="561"/>
      <c r="DN235" s="563"/>
      <c r="DO235" s="564"/>
      <c r="DP235" s="564"/>
      <c r="DQ235" s="564"/>
      <c r="DR235" s="560"/>
      <c r="DS235" s="561"/>
      <c r="DT235" s="562"/>
      <c r="DU235" s="561"/>
      <c r="DV235" s="563"/>
      <c r="DW235" s="564"/>
      <c r="DX235" s="564"/>
      <c r="DY235" s="564"/>
      <c r="DZ235" s="560"/>
      <c r="EA235" s="561"/>
      <c r="EB235" s="562"/>
      <c r="EC235" s="561"/>
      <c r="ED235" s="563"/>
      <c r="EE235" s="564"/>
      <c r="EF235" s="564"/>
      <c r="EG235" s="564"/>
      <c r="EH235" s="560"/>
      <c r="EI235" s="561"/>
      <c r="EJ235" s="562"/>
      <c r="EK235" s="561"/>
      <c r="EL235" s="563"/>
      <c r="EM235" s="564"/>
      <c r="EN235" s="564"/>
      <c r="EO235" s="564"/>
      <c r="EP235" s="560"/>
      <c r="EQ235" s="561"/>
      <c r="ER235" s="562"/>
      <c r="ES235" s="561"/>
      <c r="ET235" s="563"/>
      <c r="EU235" s="564"/>
      <c r="EV235" s="564"/>
      <c r="EW235" s="564"/>
      <c r="EX235" s="560"/>
      <c r="EY235" s="561"/>
      <c r="EZ235" s="562"/>
      <c r="FA235" s="561"/>
      <c r="FB235" s="563"/>
      <c r="FC235" s="564"/>
      <c r="FD235" s="564"/>
      <c r="FE235" s="564"/>
      <c r="FF235" s="560"/>
      <c r="FG235" s="561"/>
      <c r="FH235" s="562"/>
      <c r="FI235" s="561"/>
      <c r="FJ235" s="563"/>
      <c r="FK235" s="564"/>
      <c r="FL235" s="564"/>
      <c r="FM235" s="564"/>
      <c r="FN235" s="560"/>
      <c r="FO235" s="561"/>
      <c r="FP235" s="562"/>
      <c r="FQ235" s="561"/>
      <c r="FR235" s="563"/>
      <c r="FS235" s="564"/>
      <c r="FT235" s="564"/>
      <c r="FU235" s="564"/>
      <c r="FV235" s="560"/>
      <c r="FW235" s="566"/>
      <c r="FX235" s="566"/>
      <c r="FY235" s="566"/>
      <c r="FZ235" s="563"/>
      <c r="GA235" s="564"/>
      <c r="GB235" s="564"/>
      <c r="GC235" s="564"/>
      <c r="GD235" s="560"/>
      <c r="GE235" s="566"/>
      <c r="GF235" s="566"/>
      <c r="GG235" s="566"/>
      <c r="GH235" s="563"/>
      <c r="GI235" s="564"/>
      <c r="GJ235" s="564"/>
      <c r="GK235" s="564"/>
      <c r="GL235" s="560"/>
      <c r="GM235" s="566"/>
      <c r="GN235" s="566"/>
      <c r="GO235" s="566"/>
      <c r="GP235" s="563"/>
      <c r="GQ235" s="564"/>
      <c r="GR235" s="564"/>
      <c r="GS235" s="564"/>
      <c r="GT235" s="560"/>
      <c r="GU235" s="566"/>
      <c r="GV235" s="566"/>
      <c r="GW235" s="566"/>
      <c r="GX235" s="625"/>
      <c r="GY235" s="625"/>
      <c r="GZ235" s="625"/>
      <c r="HA235" s="625"/>
      <c r="HB235" s="625"/>
      <c r="HC235" s="625"/>
    </row>
    <row r="236" spans="2:211" s="506" customFormat="1" ht="59.15" customHeight="1" x14ac:dyDescent="0.35">
      <c r="B236" s="544"/>
      <c r="C236" s="544"/>
      <c r="D236" s="544"/>
      <c r="E236" s="546" t="s">
        <v>50</v>
      </c>
      <c r="F236" s="546" t="s">
        <v>46</v>
      </c>
      <c r="G236" s="545" t="s">
        <v>46</v>
      </c>
      <c r="H236" s="547" t="s">
        <v>775</v>
      </c>
      <c r="I236" s="548"/>
      <c r="J236" s="548"/>
      <c r="K236" s="568"/>
      <c r="L236" s="572"/>
      <c r="M236" s="569" t="s">
        <v>48</v>
      </c>
      <c r="N236" s="551">
        <v>0</v>
      </c>
      <c r="O236" s="552">
        <v>249</v>
      </c>
      <c r="P236" s="553">
        <v>46113</v>
      </c>
      <c r="Q236" s="554"/>
      <c r="R236" s="554" t="s">
        <v>56</v>
      </c>
      <c r="S236" s="555">
        <f ca="1">IF(R236="Aprobado con comentarios / Emitir en Rev_0", NETWORKDAYS(Q236,TODAY(),Hoja1!$C$3:$C$25),0)</f>
        <v>0</v>
      </c>
      <c r="T236" s="555">
        <f ca="1">IF(R236="Revisión INN",NETWORKDAYS(P236,TODAY(),Hoja1!$C$3:$C$25),0)</f>
        <v>0</v>
      </c>
      <c r="U236" s="556">
        <f t="shared" ref="U236:U243" si="8">ROUNDUP(((COUNTA(V236:GW236)/4)/2),0)</f>
        <v>0</v>
      </c>
      <c r="V236" s="557"/>
      <c r="W236" s="558"/>
      <c r="X236" s="567"/>
      <c r="Y236" s="559"/>
      <c r="Z236" s="560"/>
      <c r="AA236" s="561"/>
      <c r="AB236" s="562"/>
      <c r="AC236" s="561"/>
      <c r="AD236" s="563"/>
      <c r="AE236" s="567"/>
      <c r="AF236" s="564"/>
      <c r="AG236" s="565"/>
      <c r="AH236" s="560"/>
      <c r="AI236" s="561"/>
      <c r="AJ236" s="562"/>
      <c r="AK236" s="561"/>
      <c r="AL236" s="563"/>
      <c r="AM236" s="567"/>
      <c r="AN236" s="564"/>
      <c r="AO236" s="565"/>
      <c r="AP236" s="560"/>
      <c r="AQ236" s="561"/>
      <c r="AR236" s="562"/>
      <c r="AS236" s="561"/>
      <c r="AT236" s="563"/>
      <c r="AU236" s="567"/>
      <c r="AV236" s="564"/>
      <c r="AW236" s="565"/>
      <c r="AX236" s="560"/>
      <c r="AY236" s="561"/>
      <c r="AZ236" s="562"/>
      <c r="BA236" s="561"/>
      <c r="BB236" s="563"/>
      <c r="BC236" s="567"/>
      <c r="BD236" s="564"/>
      <c r="BE236" s="565"/>
      <c r="BF236" s="560"/>
      <c r="BG236" s="561"/>
      <c r="BH236" s="562"/>
      <c r="BI236" s="561"/>
      <c r="BJ236" s="563"/>
      <c r="BK236" s="567"/>
      <c r="BL236" s="564"/>
      <c r="BM236" s="565"/>
      <c r="BN236" s="560"/>
      <c r="BO236" s="561"/>
      <c r="BP236" s="562"/>
      <c r="BQ236" s="561"/>
      <c r="BR236" s="563"/>
      <c r="BS236" s="567"/>
      <c r="BT236" s="564"/>
      <c r="BU236" s="565"/>
      <c r="BV236" s="560"/>
      <c r="BW236" s="561"/>
      <c r="BX236" s="562"/>
      <c r="BY236" s="561"/>
      <c r="BZ236" s="563"/>
      <c r="CA236" s="567"/>
      <c r="CB236" s="564"/>
      <c r="CC236" s="565"/>
      <c r="CD236" s="560"/>
      <c r="CE236" s="561"/>
      <c r="CF236" s="562"/>
      <c r="CG236" s="561"/>
      <c r="CH236" s="563"/>
      <c r="CI236" s="564"/>
      <c r="CJ236" s="564"/>
      <c r="CK236" s="564"/>
      <c r="CL236" s="560"/>
      <c r="CM236" s="561"/>
      <c r="CN236" s="562"/>
      <c r="CO236" s="561"/>
      <c r="CP236" s="563"/>
      <c r="CQ236" s="564"/>
      <c r="CR236" s="564"/>
      <c r="CS236" s="564"/>
      <c r="CT236" s="560"/>
      <c r="CU236" s="561"/>
      <c r="CV236" s="562"/>
      <c r="CW236" s="561"/>
      <c r="CX236" s="563"/>
      <c r="CY236" s="564"/>
      <c r="CZ236" s="564"/>
      <c r="DA236" s="564"/>
      <c r="DB236" s="560"/>
      <c r="DC236" s="561"/>
      <c r="DD236" s="562"/>
      <c r="DE236" s="561"/>
      <c r="DF236" s="563"/>
      <c r="DG236" s="564"/>
      <c r="DH236" s="564"/>
      <c r="DI236" s="564"/>
      <c r="DJ236" s="560"/>
      <c r="DK236" s="561"/>
      <c r="DL236" s="562"/>
      <c r="DM236" s="561"/>
      <c r="DN236" s="563"/>
      <c r="DO236" s="564"/>
      <c r="DP236" s="564"/>
      <c r="DQ236" s="564"/>
      <c r="DR236" s="560"/>
      <c r="DS236" s="561"/>
      <c r="DT236" s="562"/>
      <c r="DU236" s="561"/>
      <c r="DV236" s="563"/>
      <c r="DW236" s="564"/>
      <c r="DX236" s="564"/>
      <c r="DY236" s="564"/>
      <c r="DZ236" s="560"/>
      <c r="EA236" s="561"/>
      <c r="EB236" s="562"/>
      <c r="EC236" s="561"/>
      <c r="ED236" s="563"/>
      <c r="EE236" s="564"/>
      <c r="EF236" s="564"/>
      <c r="EG236" s="564"/>
      <c r="EH236" s="560"/>
      <c r="EI236" s="561"/>
      <c r="EJ236" s="562"/>
      <c r="EK236" s="561"/>
      <c r="EL236" s="563"/>
      <c r="EM236" s="564"/>
      <c r="EN236" s="564"/>
      <c r="EO236" s="564"/>
      <c r="EP236" s="560"/>
      <c r="EQ236" s="561"/>
      <c r="ER236" s="562"/>
      <c r="ES236" s="561"/>
      <c r="ET236" s="563"/>
      <c r="EU236" s="564"/>
      <c r="EV236" s="564"/>
      <c r="EW236" s="564"/>
      <c r="EX236" s="560"/>
      <c r="EY236" s="561"/>
      <c r="EZ236" s="562"/>
      <c r="FA236" s="561"/>
      <c r="FB236" s="563"/>
      <c r="FC236" s="564"/>
      <c r="FD236" s="564"/>
      <c r="FE236" s="564"/>
      <c r="FF236" s="560"/>
      <c r="FG236" s="561"/>
      <c r="FH236" s="562"/>
      <c r="FI236" s="561"/>
      <c r="FJ236" s="563"/>
      <c r="FK236" s="564"/>
      <c r="FL236" s="564"/>
      <c r="FM236" s="564"/>
      <c r="FN236" s="560"/>
      <c r="FO236" s="561"/>
      <c r="FP236" s="562"/>
      <c r="FQ236" s="561"/>
      <c r="FR236" s="563"/>
      <c r="FS236" s="564"/>
      <c r="FT236" s="564"/>
      <c r="FU236" s="564"/>
      <c r="FV236" s="560"/>
      <c r="FW236" s="566"/>
      <c r="FX236" s="566"/>
      <c r="FY236" s="566"/>
      <c r="FZ236" s="563"/>
      <c r="GA236" s="564"/>
      <c r="GB236" s="564"/>
      <c r="GC236" s="564"/>
      <c r="GD236" s="560"/>
      <c r="GE236" s="566"/>
      <c r="GF236" s="566"/>
      <c r="GG236" s="566"/>
      <c r="GH236" s="563"/>
      <c r="GI236" s="564"/>
      <c r="GJ236" s="564"/>
      <c r="GK236" s="564"/>
      <c r="GL236" s="560"/>
      <c r="GM236" s="566"/>
      <c r="GN236" s="566"/>
      <c r="GO236" s="566"/>
      <c r="GP236" s="563"/>
      <c r="GQ236" s="564"/>
      <c r="GR236" s="564"/>
      <c r="GS236" s="564"/>
      <c r="GT236" s="560"/>
      <c r="GU236" s="566"/>
      <c r="GV236" s="566"/>
      <c r="GW236" s="566"/>
      <c r="GX236" s="625"/>
      <c r="GY236" s="625"/>
      <c r="GZ236" s="625"/>
      <c r="HA236" s="625"/>
      <c r="HB236" s="625"/>
      <c r="HC236" s="625"/>
    </row>
    <row r="237" spans="2:211" s="506" customFormat="1" ht="59.15" customHeight="1" x14ac:dyDescent="0.35">
      <c r="B237" s="544">
        <v>6</v>
      </c>
      <c r="C237" s="544" t="s">
        <v>46</v>
      </c>
      <c r="D237" s="544" t="s">
        <v>139</v>
      </c>
      <c r="E237" s="545" t="s">
        <v>776</v>
      </c>
      <c r="F237" s="546" t="s">
        <v>46</v>
      </c>
      <c r="G237" s="545" t="s">
        <v>46</v>
      </c>
      <c r="H237" s="547" t="s">
        <v>777</v>
      </c>
      <c r="I237" s="549" t="s">
        <v>62</v>
      </c>
      <c r="J237" s="549"/>
      <c r="K237" s="568" t="s">
        <v>62</v>
      </c>
      <c r="L237" s="549"/>
      <c r="M237" s="569" t="s">
        <v>48</v>
      </c>
      <c r="N237" s="551">
        <v>0</v>
      </c>
      <c r="O237" s="552">
        <v>262</v>
      </c>
      <c r="P237" s="553">
        <v>46126</v>
      </c>
      <c r="Q237" s="553">
        <v>45937</v>
      </c>
      <c r="R237" s="554" t="s">
        <v>56</v>
      </c>
      <c r="S237" s="555">
        <f ca="1">IF(R237="Aprobado con comentarios / Emitir en Rev_0", NETWORKDAYS(Q237,TODAY(),Hoja1!$C$3:$C$25),0)</f>
        <v>0</v>
      </c>
      <c r="T237" s="555">
        <f ca="1">IF(R237="Revisión INN",NETWORKDAYS(P237,TODAY(),Hoja1!$C$3:$C$25),0)</f>
        <v>0</v>
      </c>
      <c r="U237" s="556">
        <f t="shared" si="8"/>
        <v>13</v>
      </c>
      <c r="V237" s="557" t="s">
        <v>63</v>
      </c>
      <c r="W237" s="558">
        <v>5</v>
      </c>
      <c r="X237" s="567" t="s">
        <v>62</v>
      </c>
      <c r="Y237" s="559">
        <v>45895</v>
      </c>
      <c r="Z237" s="560">
        <v>12</v>
      </c>
      <c r="AA237" s="561">
        <v>45904</v>
      </c>
      <c r="AB237" s="562">
        <f>AA237-Y237</f>
        <v>9</v>
      </c>
      <c r="AC237" s="561" t="s">
        <v>64</v>
      </c>
      <c r="AD237" s="563" t="s">
        <v>65</v>
      </c>
      <c r="AE237" s="567">
        <v>17</v>
      </c>
      <c r="AF237" s="564">
        <f>AG237-AA237</f>
        <v>7</v>
      </c>
      <c r="AG237" s="565">
        <v>45911</v>
      </c>
      <c r="AH237" s="560">
        <v>25</v>
      </c>
      <c r="AI237" s="561">
        <v>45926</v>
      </c>
      <c r="AJ237" s="562">
        <f>AG237-AI237</f>
        <v>-15</v>
      </c>
      <c r="AK237" s="561" t="s">
        <v>66</v>
      </c>
      <c r="AL237" s="563">
        <v>0</v>
      </c>
      <c r="AM237" s="567">
        <v>30</v>
      </c>
      <c r="AN237" s="564">
        <f>AO237-AI237</f>
        <v>4</v>
      </c>
      <c r="AO237" s="565">
        <v>45930</v>
      </c>
      <c r="AP237" s="560">
        <v>32</v>
      </c>
      <c r="AQ237" s="561">
        <v>45937</v>
      </c>
      <c r="AR237" s="562">
        <f>AQ237-AO237</f>
        <v>7</v>
      </c>
      <c r="AS237" s="561" t="s">
        <v>67</v>
      </c>
      <c r="AT237" s="563">
        <v>0</v>
      </c>
      <c r="AU237" s="567">
        <v>35</v>
      </c>
      <c r="AV237" s="564">
        <f>AW237-AQ237</f>
        <v>0</v>
      </c>
      <c r="AW237" s="565">
        <v>45937</v>
      </c>
      <c r="AX237" s="560" t="s">
        <v>62</v>
      </c>
      <c r="AY237" s="561" t="s">
        <v>62</v>
      </c>
      <c r="AZ237" s="562" t="s">
        <v>62</v>
      </c>
      <c r="BA237" s="561" t="s">
        <v>62</v>
      </c>
      <c r="BB237" s="563">
        <v>0</v>
      </c>
      <c r="BC237" s="567">
        <v>57</v>
      </c>
      <c r="BD237" s="564"/>
      <c r="BE237" s="565">
        <v>45958</v>
      </c>
      <c r="BF237" s="560" t="s">
        <v>62</v>
      </c>
      <c r="BG237" s="560" t="s">
        <v>62</v>
      </c>
      <c r="BH237" s="560" t="s">
        <v>62</v>
      </c>
      <c r="BI237" s="560" t="s">
        <v>62</v>
      </c>
      <c r="BJ237" s="563">
        <v>0</v>
      </c>
      <c r="BK237" s="567">
        <v>64</v>
      </c>
      <c r="BL237" s="564" t="s">
        <v>62</v>
      </c>
      <c r="BM237" s="565">
        <v>45966</v>
      </c>
      <c r="BN237" s="560"/>
      <c r="BO237" s="561"/>
      <c r="BP237" s="562"/>
      <c r="BQ237" s="561"/>
      <c r="BR237" s="563">
        <v>0</v>
      </c>
      <c r="BS237" s="567">
        <v>70</v>
      </c>
      <c r="BT237" s="564"/>
      <c r="BU237" s="565">
        <v>45972</v>
      </c>
      <c r="BV237" s="560" t="s">
        <v>62</v>
      </c>
      <c r="BW237" s="561" t="s">
        <v>62</v>
      </c>
      <c r="BX237" s="562" t="s">
        <v>62</v>
      </c>
      <c r="BY237" s="561" t="s">
        <v>62</v>
      </c>
      <c r="BZ237" s="563">
        <v>0</v>
      </c>
      <c r="CA237" s="567">
        <v>83</v>
      </c>
      <c r="CB237" s="564"/>
      <c r="CC237" s="565">
        <v>45986</v>
      </c>
      <c r="CD237" s="560"/>
      <c r="CE237" s="561"/>
      <c r="CF237" s="562"/>
      <c r="CG237" s="561"/>
      <c r="CH237" s="563">
        <v>0</v>
      </c>
      <c r="CI237" s="564">
        <v>92</v>
      </c>
      <c r="CJ237" s="564" t="s">
        <v>62</v>
      </c>
      <c r="CK237" s="590">
        <v>45993</v>
      </c>
      <c r="CL237" s="560"/>
      <c r="CM237" s="561"/>
      <c r="CN237" s="562"/>
      <c r="CO237" s="561"/>
      <c r="CP237" s="563">
        <v>0</v>
      </c>
      <c r="CQ237" s="564">
        <v>102</v>
      </c>
      <c r="CR237" s="564"/>
      <c r="CS237" s="590">
        <v>46000</v>
      </c>
      <c r="CT237" s="560"/>
      <c r="CU237" s="561"/>
      <c r="CV237" s="562"/>
      <c r="CW237" s="561"/>
      <c r="CX237" s="563">
        <v>0</v>
      </c>
      <c r="CY237" s="564">
        <v>86</v>
      </c>
      <c r="CZ237" s="564"/>
      <c r="DA237" s="565">
        <v>46008</v>
      </c>
      <c r="DB237" s="560"/>
      <c r="DC237" s="561"/>
      <c r="DD237" s="562"/>
      <c r="DE237" s="561"/>
      <c r="DF237" s="563">
        <v>0</v>
      </c>
      <c r="DG237" s="564">
        <v>117</v>
      </c>
      <c r="DH237" s="564"/>
      <c r="DI237" s="590">
        <v>46014</v>
      </c>
      <c r="DJ237" s="560"/>
      <c r="DK237" s="561"/>
      <c r="DL237" s="562"/>
      <c r="DM237" s="561"/>
      <c r="DN237" s="563">
        <v>0</v>
      </c>
      <c r="DO237" s="564">
        <v>126</v>
      </c>
      <c r="DP237" s="564"/>
      <c r="DQ237" s="590">
        <v>46022</v>
      </c>
      <c r="DR237" s="560"/>
      <c r="DS237" s="561"/>
      <c r="DT237" s="562"/>
      <c r="DU237" s="561"/>
      <c r="DV237" s="563">
        <v>0</v>
      </c>
      <c r="DW237" s="564">
        <v>128</v>
      </c>
      <c r="DX237" s="564"/>
      <c r="DY237" s="590">
        <v>46028</v>
      </c>
      <c r="DZ237" s="560"/>
      <c r="EA237" s="561"/>
      <c r="EB237" s="562"/>
      <c r="EC237" s="561"/>
      <c r="ED237" s="563">
        <v>0</v>
      </c>
      <c r="EE237" s="564">
        <v>136</v>
      </c>
      <c r="EF237" s="564"/>
      <c r="EG237" s="590">
        <v>46036</v>
      </c>
      <c r="EH237" s="560"/>
      <c r="EI237" s="561"/>
      <c r="EJ237" s="562"/>
      <c r="EK237" s="561"/>
      <c r="EL237" s="563">
        <v>0</v>
      </c>
      <c r="EM237" s="564">
        <v>142</v>
      </c>
      <c r="EN237" s="564"/>
      <c r="EO237" s="590">
        <v>46042</v>
      </c>
      <c r="EP237" s="560"/>
      <c r="EQ237" s="561"/>
      <c r="ER237" s="562"/>
      <c r="ES237" s="561"/>
      <c r="ET237" s="563">
        <v>0</v>
      </c>
      <c r="EU237" s="564">
        <v>154</v>
      </c>
      <c r="EV237" s="564"/>
      <c r="EW237" s="590">
        <v>46049</v>
      </c>
      <c r="EX237" s="560"/>
      <c r="EY237" s="561"/>
      <c r="EZ237" s="562"/>
      <c r="FA237" s="561"/>
      <c r="FB237" s="563">
        <v>0</v>
      </c>
      <c r="FC237" s="564">
        <v>164</v>
      </c>
      <c r="FD237" s="564"/>
      <c r="FE237" s="590">
        <v>46057</v>
      </c>
      <c r="FF237" s="560"/>
      <c r="FG237" s="561"/>
      <c r="FH237" s="562"/>
      <c r="FI237" s="561"/>
      <c r="FJ237" s="563">
        <v>0</v>
      </c>
      <c r="FK237" s="564">
        <v>166</v>
      </c>
      <c r="FL237" s="564"/>
      <c r="FM237" s="590">
        <v>46064</v>
      </c>
      <c r="FN237" s="560"/>
      <c r="FO237" s="561"/>
      <c r="FP237" s="562"/>
      <c r="FQ237" s="561"/>
      <c r="FR237" s="563">
        <v>0</v>
      </c>
      <c r="FS237" s="564">
        <v>194</v>
      </c>
      <c r="FT237" s="564"/>
      <c r="FU237" s="590">
        <v>46077</v>
      </c>
      <c r="FV237" s="560"/>
      <c r="FW237" s="566"/>
      <c r="FX237" s="566"/>
      <c r="FY237" s="566"/>
      <c r="FZ237" s="595">
        <v>0</v>
      </c>
      <c r="GA237" s="851">
        <v>225</v>
      </c>
      <c r="GB237" s="564"/>
      <c r="GC237" s="852">
        <v>46099</v>
      </c>
      <c r="GD237" s="560"/>
      <c r="GE237" s="566"/>
      <c r="GF237" s="566"/>
      <c r="GG237" s="566"/>
      <c r="GH237" s="853">
        <v>0</v>
      </c>
      <c r="GI237" s="854">
        <v>255</v>
      </c>
      <c r="GJ237" s="564"/>
      <c r="GK237" s="850">
        <v>46119</v>
      </c>
      <c r="GL237" s="560"/>
      <c r="GM237" s="566"/>
      <c r="GN237" s="566"/>
      <c r="GO237" s="566"/>
      <c r="GP237" s="591">
        <v>0</v>
      </c>
      <c r="GQ237" s="630">
        <v>262</v>
      </c>
      <c r="GR237" s="630"/>
      <c r="GS237" s="631">
        <v>46126</v>
      </c>
      <c r="GT237" s="560"/>
      <c r="GU237" s="566"/>
      <c r="GV237" s="566"/>
      <c r="GW237" s="566"/>
      <c r="GX237" s="625"/>
      <c r="GY237" s="625"/>
      <c r="GZ237" s="625"/>
      <c r="HA237" s="625"/>
      <c r="HB237" s="625"/>
      <c r="HC237" s="625"/>
    </row>
    <row r="238" spans="2:211" s="506" customFormat="1" ht="59.15" customHeight="1" x14ac:dyDescent="0.35">
      <c r="B238" s="544"/>
      <c r="C238" s="674"/>
      <c r="D238" s="654"/>
      <c r="E238" s="546" t="s">
        <v>50</v>
      </c>
      <c r="F238" s="546" t="s">
        <v>46</v>
      </c>
      <c r="G238" s="545" t="s">
        <v>46</v>
      </c>
      <c r="H238" s="547" t="s">
        <v>778</v>
      </c>
      <c r="I238" s="548"/>
      <c r="J238" s="548"/>
      <c r="K238" s="568"/>
      <c r="L238" s="549"/>
      <c r="M238" s="569" t="s">
        <v>48</v>
      </c>
      <c r="N238" s="551">
        <v>0</v>
      </c>
      <c r="O238" s="552">
        <v>255</v>
      </c>
      <c r="P238" s="553">
        <v>46119</v>
      </c>
      <c r="Q238" s="553"/>
      <c r="R238" s="554" t="s">
        <v>56</v>
      </c>
      <c r="S238" s="555">
        <f ca="1">IF(R238="Aprobado con comentarios / Emitir en Rev_0", NETWORKDAYS(Q238,TODAY(),Hoja1!$C$3:$C$25),0)</f>
        <v>0</v>
      </c>
      <c r="T238" s="555">
        <f ca="1">IF(R238="Revisión INN",NETWORKDAYS(P238,TODAY(),Hoja1!$C$3:$C$25),0)</f>
        <v>0</v>
      </c>
      <c r="U238" s="556">
        <f t="shared" si="8"/>
        <v>0</v>
      </c>
      <c r="V238" s="557"/>
      <c r="W238" s="558"/>
      <c r="X238" s="567"/>
      <c r="Y238" s="559"/>
      <c r="Z238" s="560"/>
      <c r="AA238" s="561"/>
      <c r="AB238" s="562"/>
      <c r="AC238" s="561"/>
      <c r="AD238" s="563"/>
      <c r="AE238" s="567"/>
      <c r="AF238" s="564"/>
      <c r="AG238" s="565"/>
      <c r="AH238" s="560"/>
      <c r="AI238" s="561"/>
      <c r="AJ238" s="562"/>
      <c r="AK238" s="561"/>
      <c r="AL238" s="563"/>
      <c r="AM238" s="567"/>
      <c r="AN238" s="564"/>
      <c r="AO238" s="565"/>
      <c r="AP238" s="560"/>
      <c r="AQ238" s="561"/>
      <c r="AR238" s="562"/>
      <c r="AS238" s="561"/>
      <c r="AT238" s="563"/>
      <c r="AU238" s="567"/>
      <c r="AV238" s="564"/>
      <c r="AW238" s="565"/>
      <c r="AX238" s="560"/>
      <c r="AY238" s="561"/>
      <c r="AZ238" s="562"/>
      <c r="BA238" s="561"/>
      <c r="BB238" s="563"/>
      <c r="BC238" s="567"/>
      <c r="BD238" s="564"/>
      <c r="BE238" s="565"/>
      <c r="BF238" s="560"/>
      <c r="BG238" s="560"/>
      <c r="BH238" s="560"/>
      <c r="BI238" s="560"/>
      <c r="BJ238" s="563"/>
      <c r="BK238" s="567"/>
      <c r="BL238" s="564"/>
      <c r="BM238" s="565"/>
      <c r="BN238" s="560"/>
      <c r="BO238" s="561"/>
      <c r="BP238" s="562"/>
      <c r="BQ238" s="561"/>
      <c r="BR238" s="563"/>
      <c r="BS238" s="567"/>
      <c r="BT238" s="564"/>
      <c r="BU238" s="565"/>
      <c r="BV238" s="560"/>
      <c r="BW238" s="561"/>
      <c r="BX238" s="562"/>
      <c r="BY238" s="561"/>
      <c r="BZ238" s="563"/>
      <c r="CA238" s="567"/>
      <c r="CB238" s="564"/>
      <c r="CC238" s="565"/>
      <c r="CD238" s="560"/>
      <c r="CE238" s="561"/>
      <c r="CF238" s="562"/>
      <c r="CG238" s="561"/>
      <c r="CH238" s="563"/>
      <c r="CI238" s="564"/>
      <c r="CJ238" s="564"/>
      <c r="CK238" s="590"/>
      <c r="CL238" s="560"/>
      <c r="CM238" s="561"/>
      <c r="CN238" s="562"/>
      <c r="CO238" s="561"/>
      <c r="CP238" s="563"/>
      <c r="CQ238" s="564"/>
      <c r="CR238" s="564"/>
      <c r="CS238" s="590"/>
      <c r="CT238" s="560"/>
      <c r="CU238" s="561"/>
      <c r="CV238" s="562"/>
      <c r="CW238" s="561"/>
      <c r="CX238" s="563"/>
      <c r="CY238" s="564"/>
      <c r="CZ238" s="564"/>
      <c r="DA238" s="565"/>
      <c r="DB238" s="560"/>
      <c r="DC238" s="561"/>
      <c r="DD238" s="562"/>
      <c r="DE238" s="561"/>
      <c r="DF238" s="563"/>
      <c r="DG238" s="564"/>
      <c r="DH238" s="564"/>
      <c r="DI238" s="590"/>
      <c r="DJ238" s="560"/>
      <c r="DK238" s="561"/>
      <c r="DL238" s="562"/>
      <c r="DM238" s="561"/>
      <c r="DN238" s="563"/>
      <c r="DO238" s="564"/>
      <c r="DP238" s="564"/>
      <c r="DQ238" s="590"/>
      <c r="DR238" s="560"/>
      <c r="DS238" s="561"/>
      <c r="DT238" s="562"/>
      <c r="DU238" s="561"/>
      <c r="DV238" s="563"/>
      <c r="DW238" s="564"/>
      <c r="DX238" s="564"/>
      <c r="DY238" s="590"/>
      <c r="DZ238" s="560"/>
      <c r="EA238" s="561"/>
      <c r="EB238" s="562"/>
      <c r="EC238" s="561"/>
      <c r="ED238" s="563"/>
      <c r="EE238" s="564"/>
      <c r="EF238" s="564"/>
      <c r="EG238" s="590"/>
      <c r="EH238" s="560"/>
      <c r="EI238" s="561"/>
      <c r="EJ238" s="562"/>
      <c r="EK238" s="561"/>
      <c r="EL238" s="563"/>
      <c r="EM238" s="564"/>
      <c r="EN238" s="564"/>
      <c r="EO238" s="590"/>
      <c r="EP238" s="560"/>
      <c r="EQ238" s="561"/>
      <c r="ER238" s="562"/>
      <c r="ES238" s="561"/>
      <c r="ET238" s="563"/>
      <c r="EU238" s="564"/>
      <c r="EV238" s="564"/>
      <c r="EW238" s="590"/>
      <c r="EX238" s="560"/>
      <c r="EY238" s="561"/>
      <c r="EZ238" s="562"/>
      <c r="FA238" s="561"/>
      <c r="FB238" s="563"/>
      <c r="FC238" s="564"/>
      <c r="FD238" s="564"/>
      <c r="FE238" s="590"/>
      <c r="FF238" s="560"/>
      <c r="FG238" s="561"/>
      <c r="FH238" s="562"/>
      <c r="FI238" s="561"/>
      <c r="FJ238" s="563"/>
      <c r="FK238" s="564"/>
      <c r="FL238" s="564"/>
      <c r="FM238" s="590"/>
      <c r="FN238" s="560"/>
      <c r="FO238" s="561"/>
      <c r="FP238" s="562"/>
      <c r="FQ238" s="561"/>
      <c r="FR238" s="563"/>
      <c r="FS238" s="564"/>
      <c r="FT238" s="564"/>
      <c r="FU238" s="590"/>
      <c r="FV238" s="560"/>
      <c r="FW238" s="566"/>
      <c r="FX238" s="566"/>
      <c r="FY238" s="566"/>
      <c r="FZ238" s="563"/>
      <c r="GA238" s="564"/>
      <c r="GB238" s="564"/>
      <c r="GC238" s="590"/>
      <c r="GD238" s="560"/>
      <c r="GE238" s="566"/>
      <c r="GF238" s="566"/>
      <c r="GG238" s="566"/>
      <c r="GH238" s="563"/>
      <c r="GI238" s="564"/>
      <c r="GJ238" s="564"/>
      <c r="GK238" s="564"/>
      <c r="GL238" s="560"/>
      <c r="GM238" s="566"/>
      <c r="GN238" s="566"/>
      <c r="GO238" s="566"/>
      <c r="GP238" s="563"/>
      <c r="GQ238" s="564"/>
      <c r="GR238" s="564"/>
      <c r="GS238" s="564"/>
      <c r="GT238" s="560"/>
      <c r="GU238" s="566"/>
      <c r="GV238" s="566"/>
      <c r="GW238" s="566"/>
      <c r="GX238" s="625"/>
      <c r="GY238" s="625"/>
      <c r="GZ238" s="625"/>
      <c r="HA238" s="625"/>
      <c r="HB238" s="625"/>
      <c r="HC238" s="625"/>
    </row>
    <row r="239" spans="2:211" s="506" customFormat="1" ht="59.15" customHeight="1" x14ac:dyDescent="0.35">
      <c r="B239" s="544"/>
      <c r="C239" s="654"/>
      <c r="D239" s="544"/>
      <c r="E239" s="545" t="s">
        <v>779</v>
      </c>
      <c r="F239" s="546" t="s">
        <v>46</v>
      </c>
      <c r="G239" s="546" t="s">
        <v>46</v>
      </c>
      <c r="H239" s="547" t="s">
        <v>780</v>
      </c>
      <c r="I239" s="773"/>
      <c r="J239" s="773"/>
      <c r="K239" s="773"/>
      <c r="L239" s="773"/>
      <c r="M239" s="550" t="s">
        <v>48</v>
      </c>
      <c r="N239" s="551">
        <v>0</v>
      </c>
      <c r="O239" s="552">
        <v>255</v>
      </c>
      <c r="P239" s="553">
        <v>46119</v>
      </c>
      <c r="Q239" s="554"/>
      <c r="R239" s="554" t="s">
        <v>56</v>
      </c>
      <c r="S239" s="555">
        <f ca="1">IF(R239="Aprobado con comentarios / Emitir en Rev_0", NETWORKDAYS(Q239,TODAY(),Hoja1!$C$3:$C$25),0)</f>
        <v>0</v>
      </c>
      <c r="T239" s="555">
        <f ca="1">IF(R239="Revisión INN",NETWORKDAYS(P239,TODAY(),Hoja1!$C$3:$C$25),0)</f>
        <v>0</v>
      </c>
      <c r="U239" s="556">
        <f t="shared" si="8"/>
        <v>0</v>
      </c>
      <c r="V239" s="557"/>
      <c r="W239" s="558"/>
      <c r="X239" s="558"/>
      <c r="Y239" s="559"/>
      <c r="Z239" s="560"/>
      <c r="AA239" s="561"/>
      <c r="AB239" s="562"/>
      <c r="AC239" s="561"/>
      <c r="AD239" s="563"/>
      <c r="AE239" s="567"/>
      <c r="AF239" s="564"/>
      <c r="AG239" s="565"/>
      <c r="AH239" s="560"/>
      <c r="AI239" s="561"/>
      <c r="AJ239" s="562"/>
      <c r="AK239" s="561"/>
      <c r="AL239" s="563"/>
      <c r="AM239" s="567"/>
      <c r="AN239" s="564"/>
      <c r="AO239" s="565"/>
      <c r="AP239" s="560"/>
      <c r="AQ239" s="561"/>
      <c r="AR239" s="562"/>
      <c r="AS239" s="561"/>
      <c r="AT239" s="563"/>
      <c r="AU239" s="567"/>
      <c r="AV239" s="564"/>
      <c r="AW239" s="565"/>
      <c r="AX239" s="560"/>
      <c r="AY239" s="561"/>
      <c r="AZ239" s="562"/>
      <c r="BA239" s="561"/>
      <c r="BB239" s="563"/>
      <c r="BC239" s="567"/>
      <c r="BD239" s="564"/>
      <c r="BE239" s="565"/>
      <c r="BF239" s="560"/>
      <c r="BG239" s="561"/>
      <c r="BH239" s="562"/>
      <c r="BI239" s="561"/>
      <c r="BJ239" s="563"/>
      <c r="BK239" s="567"/>
      <c r="BL239" s="564"/>
      <c r="BM239" s="565"/>
      <c r="BN239" s="560"/>
      <c r="BO239" s="561"/>
      <c r="BP239" s="562"/>
      <c r="BQ239" s="561"/>
      <c r="BR239" s="563"/>
      <c r="BS239" s="567"/>
      <c r="BT239" s="564"/>
      <c r="BU239" s="565"/>
      <c r="BV239" s="560"/>
      <c r="BW239" s="561"/>
      <c r="BX239" s="562"/>
      <c r="BY239" s="561"/>
      <c r="BZ239" s="563"/>
      <c r="CA239" s="567"/>
      <c r="CB239" s="564"/>
      <c r="CC239" s="565"/>
      <c r="CD239" s="560"/>
      <c r="CE239" s="561"/>
      <c r="CF239" s="562"/>
      <c r="CG239" s="561"/>
      <c r="CH239" s="563"/>
      <c r="CI239" s="564"/>
      <c r="CJ239" s="564"/>
      <c r="CK239" s="564"/>
      <c r="CL239" s="560"/>
      <c r="CM239" s="561"/>
      <c r="CN239" s="562"/>
      <c r="CO239" s="561"/>
      <c r="CP239" s="563"/>
      <c r="CQ239" s="564"/>
      <c r="CR239" s="564"/>
      <c r="CS239" s="564"/>
      <c r="CT239" s="560"/>
      <c r="CU239" s="561"/>
      <c r="CV239" s="562"/>
      <c r="CW239" s="561"/>
      <c r="CX239" s="563"/>
      <c r="CY239" s="564"/>
      <c r="CZ239" s="564"/>
      <c r="DA239" s="564"/>
      <c r="DB239" s="560"/>
      <c r="DC239" s="561"/>
      <c r="DD239" s="562"/>
      <c r="DE239" s="561"/>
      <c r="DF239" s="563"/>
      <c r="DG239" s="564"/>
      <c r="DH239" s="564"/>
      <c r="DI239" s="564"/>
      <c r="DJ239" s="560"/>
      <c r="DK239" s="561"/>
      <c r="DL239" s="562"/>
      <c r="DM239" s="561"/>
      <c r="DN239" s="563"/>
      <c r="DO239" s="564"/>
      <c r="DP239" s="564"/>
      <c r="DQ239" s="564"/>
      <c r="DR239" s="560"/>
      <c r="DS239" s="561"/>
      <c r="DT239" s="562"/>
      <c r="DU239" s="561"/>
      <c r="DV239" s="563"/>
      <c r="DW239" s="564"/>
      <c r="DX239" s="564"/>
      <c r="DY239" s="564"/>
      <c r="DZ239" s="560"/>
      <c r="EA239" s="561"/>
      <c r="EB239" s="562"/>
      <c r="EC239" s="561"/>
      <c r="ED239" s="563"/>
      <c r="EE239" s="564"/>
      <c r="EF239" s="564"/>
      <c r="EG239" s="564"/>
      <c r="EH239" s="560"/>
      <c r="EI239" s="561"/>
      <c r="EJ239" s="562"/>
      <c r="EK239" s="561"/>
      <c r="EL239" s="563"/>
      <c r="EM239" s="564"/>
      <c r="EN239" s="564"/>
      <c r="EO239" s="564"/>
      <c r="EP239" s="560"/>
      <c r="EQ239" s="561"/>
      <c r="ER239" s="562"/>
      <c r="ES239" s="561"/>
      <c r="ET239" s="563"/>
      <c r="EU239" s="564"/>
      <c r="EV239" s="564"/>
      <c r="EW239" s="564"/>
      <c r="EX239" s="560"/>
      <c r="EY239" s="561"/>
      <c r="EZ239" s="562"/>
      <c r="FA239" s="561"/>
      <c r="FB239" s="563"/>
      <c r="FC239" s="564"/>
      <c r="FD239" s="564"/>
      <c r="FE239" s="564"/>
      <c r="FF239" s="560"/>
      <c r="FG239" s="561"/>
      <c r="FH239" s="562"/>
      <c r="FI239" s="561"/>
      <c r="FJ239" s="563"/>
      <c r="FK239" s="564"/>
      <c r="FL239" s="564"/>
      <c r="FM239" s="564"/>
      <c r="FN239" s="560"/>
      <c r="FO239" s="561"/>
      <c r="FP239" s="562"/>
      <c r="FQ239" s="561"/>
      <c r="FR239" s="563"/>
      <c r="FS239" s="564"/>
      <c r="FT239" s="564"/>
      <c r="FU239" s="564"/>
      <c r="FV239" s="560"/>
      <c r="FW239" s="566"/>
      <c r="FX239" s="566"/>
      <c r="FY239" s="566"/>
      <c r="FZ239" s="563"/>
      <c r="GA239" s="564"/>
      <c r="GB239" s="564"/>
      <c r="GC239" s="564"/>
      <c r="GD239" s="560"/>
      <c r="GE239" s="566"/>
      <c r="GF239" s="566"/>
      <c r="GG239" s="566"/>
      <c r="GH239" s="563"/>
      <c r="GI239" s="564"/>
      <c r="GJ239" s="564"/>
      <c r="GK239" s="564"/>
      <c r="GL239" s="560"/>
      <c r="GM239" s="566"/>
      <c r="GN239" s="566"/>
      <c r="GO239" s="566"/>
      <c r="GP239" s="563"/>
      <c r="GQ239" s="564"/>
      <c r="GR239" s="564"/>
      <c r="GS239" s="564"/>
      <c r="GT239" s="560"/>
      <c r="GU239" s="566"/>
      <c r="GV239" s="566"/>
      <c r="GW239" s="566"/>
      <c r="GX239" s="625"/>
      <c r="GY239" s="625"/>
      <c r="GZ239" s="625"/>
      <c r="HA239" s="625"/>
      <c r="HB239" s="625"/>
      <c r="HC239" s="625"/>
    </row>
    <row r="240" spans="2:211" s="506" customFormat="1" ht="59.15" customHeight="1" x14ac:dyDescent="0.35">
      <c r="B240" s="544">
        <v>7</v>
      </c>
      <c r="C240" s="544" t="s">
        <v>46</v>
      </c>
      <c r="D240" s="544" t="s">
        <v>44</v>
      </c>
      <c r="E240" s="545" t="s">
        <v>781</v>
      </c>
      <c r="F240" s="546" t="s">
        <v>46</v>
      </c>
      <c r="G240" s="545" t="s">
        <v>46</v>
      </c>
      <c r="H240" s="547" t="s">
        <v>782</v>
      </c>
      <c r="I240" s="548"/>
      <c r="J240" s="548"/>
      <c r="K240" s="568">
        <v>45959</v>
      </c>
      <c r="L240" s="549"/>
      <c r="M240" s="569" t="s">
        <v>48</v>
      </c>
      <c r="N240" s="551">
        <v>0</v>
      </c>
      <c r="O240" s="552">
        <v>262</v>
      </c>
      <c r="P240" s="553">
        <v>46126</v>
      </c>
      <c r="Q240" s="553">
        <v>45937</v>
      </c>
      <c r="R240" s="554" t="s">
        <v>56</v>
      </c>
      <c r="S240" s="555">
        <f ca="1">IF(R240="Aprobado con comentarios / Emitir en Rev_0", NETWORKDAYS(Q240,TODAY(),Hoja1!$C$3:$C$25),0)</f>
        <v>0</v>
      </c>
      <c r="T240" s="555">
        <f ca="1">IF(R240="Revisión INN",NETWORKDAYS(P240,TODAY(),Hoja1!$C$3:$C$25),0)</f>
        <v>0</v>
      </c>
      <c r="U240" s="556">
        <f t="shared" si="8"/>
        <v>13</v>
      </c>
      <c r="V240" s="557" t="s">
        <v>63</v>
      </c>
      <c r="W240" s="558">
        <v>5</v>
      </c>
      <c r="X240" s="567" t="s">
        <v>62</v>
      </c>
      <c r="Y240" s="559">
        <v>45895</v>
      </c>
      <c r="Z240" s="560">
        <v>12</v>
      </c>
      <c r="AA240" s="561">
        <v>45904</v>
      </c>
      <c r="AB240" s="562">
        <f>AA240-Y240</f>
        <v>9</v>
      </c>
      <c r="AC240" s="561" t="s">
        <v>64</v>
      </c>
      <c r="AD240" s="563" t="s">
        <v>65</v>
      </c>
      <c r="AE240" s="567">
        <v>18</v>
      </c>
      <c r="AF240" s="564">
        <f>AG240-AA240</f>
        <v>11</v>
      </c>
      <c r="AG240" s="565">
        <v>45915</v>
      </c>
      <c r="AH240" s="560">
        <v>25</v>
      </c>
      <c r="AI240" s="561">
        <v>45926</v>
      </c>
      <c r="AJ240" s="562">
        <f>AG240-AI240</f>
        <v>-11</v>
      </c>
      <c r="AK240" s="561" t="s">
        <v>783</v>
      </c>
      <c r="AL240" s="563" t="s">
        <v>495</v>
      </c>
      <c r="AM240" s="567">
        <v>30</v>
      </c>
      <c r="AN240" s="564">
        <f>AO240-AI240</f>
        <v>4</v>
      </c>
      <c r="AO240" s="565">
        <v>45930</v>
      </c>
      <c r="AP240" s="560">
        <v>32</v>
      </c>
      <c r="AQ240" s="561">
        <v>45937</v>
      </c>
      <c r="AR240" s="562">
        <f>AQ240-AO240</f>
        <v>7</v>
      </c>
      <c r="AS240" s="561" t="s">
        <v>186</v>
      </c>
      <c r="AT240" s="563">
        <v>0</v>
      </c>
      <c r="AU240" s="567">
        <v>35</v>
      </c>
      <c r="AV240" s="564">
        <f>AW240-AQ240</f>
        <v>0</v>
      </c>
      <c r="AW240" s="565">
        <v>45937</v>
      </c>
      <c r="AX240" s="560" t="s">
        <v>62</v>
      </c>
      <c r="AY240" s="561" t="s">
        <v>62</v>
      </c>
      <c r="AZ240" s="562" t="s">
        <v>62</v>
      </c>
      <c r="BA240" s="561" t="s">
        <v>62</v>
      </c>
      <c r="BB240" s="563">
        <v>0</v>
      </c>
      <c r="BC240" s="567">
        <v>57</v>
      </c>
      <c r="BD240" s="564"/>
      <c r="BE240" s="565">
        <v>45958</v>
      </c>
      <c r="BF240" s="560" t="s">
        <v>62</v>
      </c>
      <c r="BG240" s="560" t="s">
        <v>62</v>
      </c>
      <c r="BH240" s="560" t="s">
        <v>62</v>
      </c>
      <c r="BI240" s="560" t="s">
        <v>62</v>
      </c>
      <c r="BJ240" s="563">
        <v>0</v>
      </c>
      <c r="BK240" s="567">
        <v>64</v>
      </c>
      <c r="BL240" s="564" t="s">
        <v>62</v>
      </c>
      <c r="BM240" s="565">
        <v>45966</v>
      </c>
      <c r="BN240" s="560"/>
      <c r="BO240" s="561"/>
      <c r="BP240" s="562"/>
      <c r="BQ240" s="561"/>
      <c r="BR240" s="563">
        <v>0</v>
      </c>
      <c r="BS240" s="567">
        <v>70</v>
      </c>
      <c r="BT240" s="564"/>
      <c r="BU240" s="565">
        <v>45972</v>
      </c>
      <c r="BV240" s="560" t="s">
        <v>62</v>
      </c>
      <c r="BW240" s="561" t="s">
        <v>62</v>
      </c>
      <c r="BX240" s="562" t="s">
        <v>62</v>
      </c>
      <c r="BY240" s="561" t="s">
        <v>62</v>
      </c>
      <c r="BZ240" s="563">
        <v>0</v>
      </c>
      <c r="CA240" s="567">
        <v>83</v>
      </c>
      <c r="CB240" s="564"/>
      <c r="CC240" s="565">
        <v>45986</v>
      </c>
      <c r="CD240" s="560"/>
      <c r="CE240" s="561"/>
      <c r="CF240" s="562"/>
      <c r="CG240" s="561"/>
      <c r="CH240" s="563">
        <v>0</v>
      </c>
      <c r="CI240" s="564">
        <v>92</v>
      </c>
      <c r="CJ240" s="564" t="s">
        <v>62</v>
      </c>
      <c r="CK240" s="590">
        <v>45993</v>
      </c>
      <c r="CL240" s="560"/>
      <c r="CM240" s="561"/>
      <c r="CN240" s="562"/>
      <c r="CO240" s="561"/>
      <c r="CP240" s="563">
        <v>0</v>
      </c>
      <c r="CQ240" s="564">
        <v>102</v>
      </c>
      <c r="CR240" s="564"/>
      <c r="CS240" s="590">
        <v>46000</v>
      </c>
      <c r="CT240" s="560"/>
      <c r="CU240" s="561"/>
      <c r="CV240" s="562"/>
      <c r="CW240" s="561"/>
      <c r="CX240" s="563">
        <v>0</v>
      </c>
      <c r="CY240" s="564">
        <v>86</v>
      </c>
      <c r="CZ240" s="564"/>
      <c r="DA240" s="565">
        <v>46008</v>
      </c>
      <c r="DB240" s="560"/>
      <c r="DC240" s="561"/>
      <c r="DD240" s="562"/>
      <c r="DE240" s="561"/>
      <c r="DF240" s="563">
        <v>0</v>
      </c>
      <c r="DG240" s="564">
        <v>117</v>
      </c>
      <c r="DH240" s="564"/>
      <c r="DI240" s="590">
        <v>46014</v>
      </c>
      <c r="DJ240" s="560"/>
      <c r="DK240" s="561"/>
      <c r="DL240" s="562"/>
      <c r="DM240" s="561"/>
      <c r="DN240" s="563">
        <v>0</v>
      </c>
      <c r="DO240" s="564">
        <v>126</v>
      </c>
      <c r="DP240" s="564"/>
      <c r="DQ240" s="590">
        <v>46022</v>
      </c>
      <c r="DR240" s="560"/>
      <c r="DS240" s="561"/>
      <c r="DT240" s="562"/>
      <c r="DU240" s="561"/>
      <c r="DV240" s="563">
        <v>0</v>
      </c>
      <c r="DW240" s="564">
        <v>128</v>
      </c>
      <c r="DX240" s="564"/>
      <c r="DY240" s="590">
        <v>46028</v>
      </c>
      <c r="DZ240" s="560"/>
      <c r="EA240" s="561"/>
      <c r="EB240" s="562"/>
      <c r="EC240" s="561"/>
      <c r="ED240" s="563">
        <v>0</v>
      </c>
      <c r="EE240" s="564">
        <v>136</v>
      </c>
      <c r="EF240" s="564"/>
      <c r="EG240" s="590">
        <v>46036</v>
      </c>
      <c r="EH240" s="560"/>
      <c r="EI240" s="561"/>
      <c r="EJ240" s="562"/>
      <c r="EK240" s="561"/>
      <c r="EL240" s="563">
        <v>0</v>
      </c>
      <c r="EM240" s="564">
        <v>142</v>
      </c>
      <c r="EN240" s="564"/>
      <c r="EO240" s="590">
        <v>46042</v>
      </c>
      <c r="EP240" s="560"/>
      <c r="EQ240" s="561"/>
      <c r="ER240" s="562"/>
      <c r="ES240" s="561"/>
      <c r="ET240" s="563">
        <v>0</v>
      </c>
      <c r="EU240" s="564">
        <v>154</v>
      </c>
      <c r="EV240" s="564"/>
      <c r="EW240" s="590">
        <v>46049</v>
      </c>
      <c r="EX240" s="560"/>
      <c r="EY240" s="561"/>
      <c r="EZ240" s="562"/>
      <c r="FA240" s="561"/>
      <c r="FB240" s="563">
        <v>0</v>
      </c>
      <c r="FC240" s="564">
        <v>164</v>
      </c>
      <c r="FD240" s="564"/>
      <c r="FE240" s="590">
        <v>46057</v>
      </c>
      <c r="FF240" s="560"/>
      <c r="FG240" s="561"/>
      <c r="FH240" s="562"/>
      <c r="FI240" s="561"/>
      <c r="FJ240" s="563">
        <v>0</v>
      </c>
      <c r="FK240" s="564">
        <v>166</v>
      </c>
      <c r="FL240" s="564"/>
      <c r="FM240" s="590">
        <v>46064</v>
      </c>
      <c r="FN240" s="560"/>
      <c r="FO240" s="561"/>
      <c r="FP240" s="562"/>
      <c r="FQ240" s="561"/>
      <c r="FR240" s="563">
        <v>0</v>
      </c>
      <c r="FS240" s="564">
        <v>194</v>
      </c>
      <c r="FT240" s="564"/>
      <c r="FU240" s="590">
        <v>46077</v>
      </c>
      <c r="FV240" s="560"/>
      <c r="FW240" s="566"/>
      <c r="FX240" s="566"/>
      <c r="FY240" s="566"/>
      <c r="FZ240" s="595">
        <v>0</v>
      </c>
      <c r="GA240" s="851">
        <v>225</v>
      </c>
      <c r="GB240" s="564"/>
      <c r="GC240" s="852">
        <v>46099</v>
      </c>
      <c r="GD240" s="560"/>
      <c r="GE240" s="566"/>
      <c r="GF240" s="566"/>
      <c r="GG240" s="566"/>
      <c r="GH240" s="853">
        <v>0</v>
      </c>
      <c r="GI240" s="854">
        <v>255</v>
      </c>
      <c r="GJ240" s="564"/>
      <c r="GK240" s="850">
        <v>46119</v>
      </c>
      <c r="GL240" s="560"/>
      <c r="GM240" s="566"/>
      <c r="GN240" s="566"/>
      <c r="GO240" s="566"/>
      <c r="GP240" s="591">
        <v>0</v>
      </c>
      <c r="GQ240" s="630">
        <v>262</v>
      </c>
      <c r="GR240" s="630"/>
      <c r="GS240" s="631">
        <v>46126</v>
      </c>
      <c r="GT240" s="560"/>
      <c r="GU240" s="566"/>
      <c r="GV240" s="566"/>
      <c r="GW240" s="566"/>
      <c r="GX240" s="625"/>
      <c r="GY240" s="625"/>
      <c r="GZ240" s="625"/>
      <c r="HA240" s="625"/>
      <c r="HB240" s="625"/>
      <c r="HC240" s="625"/>
    </row>
    <row r="241" spans="2:211" s="506" customFormat="1" ht="59.15" customHeight="1" x14ac:dyDescent="0.35">
      <c r="B241" s="544"/>
      <c r="C241" s="544"/>
      <c r="D241" s="544"/>
      <c r="E241" s="545" t="s">
        <v>784</v>
      </c>
      <c r="F241" s="546" t="s">
        <v>46</v>
      </c>
      <c r="G241" s="546" t="s">
        <v>46</v>
      </c>
      <c r="H241" s="547" t="s">
        <v>785</v>
      </c>
      <c r="I241" s="549"/>
      <c r="J241" s="549"/>
      <c r="K241" s="549"/>
      <c r="L241" s="549"/>
      <c r="M241" s="550" t="s">
        <v>48</v>
      </c>
      <c r="N241" s="551">
        <v>0</v>
      </c>
      <c r="O241" s="552">
        <v>249</v>
      </c>
      <c r="P241" s="553">
        <v>46113</v>
      </c>
      <c r="Q241" s="554"/>
      <c r="R241" s="554" t="s">
        <v>56</v>
      </c>
      <c r="S241" s="555">
        <f ca="1">IF(R241="Aprobado con comentarios / Emitir en Rev_0", NETWORKDAYS(Q241,TODAY(),Hoja1!$C$3:$C$25),0)</f>
        <v>0</v>
      </c>
      <c r="T241" s="555">
        <f ca="1">IF(R241="Revisión INN",NETWORKDAYS(P241,TODAY(),Hoja1!$C$3:$C$25),0)</f>
        <v>0</v>
      </c>
      <c r="U241" s="556">
        <f t="shared" si="8"/>
        <v>0</v>
      </c>
      <c r="V241" s="557"/>
      <c r="W241" s="558"/>
      <c r="X241" s="558"/>
      <c r="Y241" s="559"/>
      <c r="Z241" s="560"/>
      <c r="AA241" s="561"/>
      <c r="AB241" s="562"/>
      <c r="AC241" s="561"/>
      <c r="AD241" s="563"/>
      <c r="AE241" s="567"/>
      <c r="AF241" s="564"/>
      <c r="AG241" s="565"/>
      <c r="AH241" s="560"/>
      <c r="AI241" s="561"/>
      <c r="AJ241" s="562"/>
      <c r="AK241" s="561"/>
      <c r="AL241" s="563"/>
      <c r="AM241" s="567"/>
      <c r="AN241" s="564"/>
      <c r="AO241" s="565"/>
      <c r="AP241" s="560"/>
      <c r="AQ241" s="561"/>
      <c r="AR241" s="562"/>
      <c r="AS241" s="561"/>
      <c r="AT241" s="563"/>
      <c r="AU241" s="567"/>
      <c r="AV241" s="564"/>
      <c r="AW241" s="565"/>
      <c r="AX241" s="560"/>
      <c r="AY241" s="561"/>
      <c r="AZ241" s="562"/>
      <c r="BA241" s="561"/>
      <c r="BB241" s="563"/>
      <c r="BC241" s="567"/>
      <c r="BD241" s="564"/>
      <c r="BE241" s="565"/>
      <c r="BF241" s="560"/>
      <c r="BG241" s="561"/>
      <c r="BH241" s="562"/>
      <c r="BI241" s="561"/>
      <c r="BJ241" s="563"/>
      <c r="BK241" s="567"/>
      <c r="BL241" s="564"/>
      <c r="BM241" s="565"/>
      <c r="BN241" s="560"/>
      <c r="BO241" s="561"/>
      <c r="BP241" s="562"/>
      <c r="BQ241" s="561"/>
      <c r="BR241" s="563"/>
      <c r="BS241" s="567"/>
      <c r="BT241" s="564"/>
      <c r="BU241" s="565"/>
      <c r="BV241" s="560"/>
      <c r="BW241" s="561"/>
      <c r="BX241" s="562"/>
      <c r="BY241" s="561"/>
      <c r="BZ241" s="563"/>
      <c r="CA241" s="567"/>
      <c r="CB241" s="564"/>
      <c r="CC241" s="565"/>
      <c r="CD241" s="560"/>
      <c r="CE241" s="561"/>
      <c r="CF241" s="562"/>
      <c r="CG241" s="561"/>
      <c r="CH241" s="563"/>
      <c r="CI241" s="564"/>
      <c r="CJ241" s="564"/>
      <c r="CK241" s="564"/>
      <c r="CL241" s="560"/>
      <c r="CM241" s="561"/>
      <c r="CN241" s="562"/>
      <c r="CO241" s="561"/>
      <c r="CP241" s="563"/>
      <c r="CQ241" s="564"/>
      <c r="CR241" s="564"/>
      <c r="CS241" s="564"/>
      <c r="CT241" s="560"/>
      <c r="CU241" s="561"/>
      <c r="CV241" s="562"/>
      <c r="CW241" s="561"/>
      <c r="CX241" s="563"/>
      <c r="CY241" s="564"/>
      <c r="CZ241" s="564"/>
      <c r="DA241" s="564"/>
      <c r="DB241" s="560"/>
      <c r="DC241" s="561"/>
      <c r="DD241" s="562"/>
      <c r="DE241" s="561"/>
      <c r="DF241" s="563"/>
      <c r="DG241" s="564"/>
      <c r="DH241" s="564"/>
      <c r="DI241" s="564"/>
      <c r="DJ241" s="560"/>
      <c r="DK241" s="561"/>
      <c r="DL241" s="562"/>
      <c r="DM241" s="561"/>
      <c r="DN241" s="563"/>
      <c r="DO241" s="564"/>
      <c r="DP241" s="564"/>
      <c r="DQ241" s="564"/>
      <c r="DR241" s="560"/>
      <c r="DS241" s="561"/>
      <c r="DT241" s="562"/>
      <c r="DU241" s="561"/>
      <c r="DV241" s="563"/>
      <c r="DW241" s="564"/>
      <c r="DX241" s="564"/>
      <c r="DY241" s="564"/>
      <c r="DZ241" s="560"/>
      <c r="EA241" s="561"/>
      <c r="EB241" s="562"/>
      <c r="EC241" s="561"/>
      <c r="ED241" s="563"/>
      <c r="EE241" s="564"/>
      <c r="EF241" s="564"/>
      <c r="EG241" s="564"/>
      <c r="EH241" s="560"/>
      <c r="EI241" s="561"/>
      <c r="EJ241" s="562"/>
      <c r="EK241" s="561"/>
      <c r="EL241" s="563"/>
      <c r="EM241" s="564"/>
      <c r="EN241" s="564"/>
      <c r="EO241" s="564"/>
      <c r="EP241" s="560"/>
      <c r="EQ241" s="561"/>
      <c r="ER241" s="562"/>
      <c r="ES241" s="561"/>
      <c r="ET241" s="563"/>
      <c r="EU241" s="564"/>
      <c r="EV241" s="564"/>
      <c r="EW241" s="564"/>
      <c r="EX241" s="560"/>
      <c r="EY241" s="561"/>
      <c r="EZ241" s="562"/>
      <c r="FA241" s="561"/>
      <c r="FB241" s="563"/>
      <c r="FC241" s="564"/>
      <c r="FD241" s="564"/>
      <c r="FE241" s="564"/>
      <c r="FF241" s="560"/>
      <c r="FG241" s="561"/>
      <c r="FH241" s="562"/>
      <c r="FI241" s="561"/>
      <c r="FJ241" s="563"/>
      <c r="FK241" s="564"/>
      <c r="FL241" s="564"/>
      <c r="FM241" s="564"/>
      <c r="FN241" s="560"/>
      <c r="FO241" s="561"/>
      <c r="FP241" s="562"/>
      <c r="FQ241" s="561"/>
      <c r="FR241" s="563"/>
      <c r="FS241" s="564"/>
      <c r="FT241" s="564"/>
      <c r="FU241" s="564"/>
      <c r="FV241" s="560"/>
      <c r="FW241" s="566"/>
      <c r="FX241" s="566"/>
      <c r="FY241" s="566"/>
      <c r="FZ241" s="563"/>
      <c r="GA241" s="564"/>
      <c r="GB241" s="564"/>
      <c r="GC241" s="564"/>
      <c r="GD241" s="560"/>
      <c r="GE241" s="566"/>
      <c r="GF241" s="566"/>
      <c r="GG241" s="566"/>
      <c r="GH241" s="563"/>
      <c r="GI241" s="564"/>
      <c r="GJ241" s="564"/>
      <c r="GK241" s="564"/>
      <c r="GL241" s="560"/>
      <c r="GM241" s="566"/>
      <c r="GN241" s="566"/>
      <c r="GO241" s="566"/>
      <c r="GP241" s="563"/>
      <c r="GQ241" s="564"/>
      <c r="GR241" s="564"/>
      <c r="GS241" s="564"/>
      <c r="GT241" s="560"/>
      <c r="GU241" s="566"/>
      <c r="GV241" s="566"/>
      <c r="GW241" s="566"/>
      <c r="GX241" s="625"/>
      <c r="GY241" s="625"/>
      <c r="GZ241" s="625"/>
      <c r="HA241" s="625"/>
      <c r="HB241" s="625"/>
      <c r="HC241" s="625"/>
    </row>
    <row r="242" spans="2:211" s="506" customFormat="1" ht="59.15" customHeight="1" x14ac:dyDescent="0.35">
      <c r="B242" s="544"/>
      <c r="C242" s="674"/>
      <c r="D242" s="544"/>
      <c r="E242" s="546" t="s">
        <v>786</v>
      </c>
      <c r="F242" s="545" t="s">
        <v>46</v>
      </c>
      <c r="G242" s="546" t="s">
        <v>46</v>
      </c>
      <c r="H242" s="849" t="s">
        <v>787</v>
      </c>
      <c r="I242" s="549"/>
      <c r="J242" s="549"/>
      <c r="K242" s="568"/>
      <c r="L242" s="549"/>
      <c r="M242" s="569" t="s">
        <v>48</v>
      </c>
      <c r="N242" s="551">
        <v>0</v>
      </c>
      <c r="O242" s="552">
        <v>255</v>
      </c>
      <c r="P242" s="553">
        <v>46119</v>
      </c>
      <c r="Q242" s="553"/>
      <c r="R242" s="554" t="s">
        <v>56</v>
      </c>
      <c r="S242" s="555">
        <f ca="1">IF(R242="Aprobado con comentarios / Emitir en Rev_0", NETWORKDAYS(Q242,TODAY(),Hoja1!$C$3:$C$25),0)</f>
        <v>0</v>
      </c>
      <c r="T242" s="555">
        <f ca="1">IF(R242="Revisión INN",NETWORKDAYS(P242,TODAY(),Hoja1!$C$3:$C$25),0)</f>
        <v>0</v>
      </c>
      <c r="U242" s="556">
        <f t="shared" si="8"/>
        <v>0</v>
      </c>
      <c r="V242" s="557"/>
      <c r="W242" s="558"/>
      <c r="X242" s="567"/>
      <c r="Y242" s="559"/>
      <c r="Z242" s="560"/>
      <c r="AA242" s="561"/>
      <c r="AB242" s="562"/>
      <c r="AC242" s="561"/>
      <c r="AD242" s="563"/>
      <c r="AE242" s="567"/>
      <c r="AF242" s="564"/>
      <c r="AG242" s="565"/>
      <c r="AH242" s="560"/>
      <c r="AI242" s="561"/>
      <c r="AJ242" s="562"/>
      <c r="AK242" s="561"/>
      <c r="AL242" s="563"/>
      <c r="AM242" s="567"/>
      <c r="AN242" s="564"/>
      <c r="AO242" s="565"/>
      <c r="AP242" s="560"/>
      <c r="AQ242" s="561"/>
      <c r="AR242" s="562"/>
      <c r="AS242" s="561"/>
      <c r="AT242" s="563"/>
      <c r="AU242" s="567"/>
      <c r="AV242" s="564"/>
      <c r="AW242" s="565"/>
      <c r="AX242" s="560"/>
      <c r="AY242" s="561"/>
      <c r="AZ242" s="562"/>
      <c r="BA242" s="561"/>
      <c r="BB242" s="563"/>
      <c r="BC242" s="567"/>
      <c r="BD242" s="564"/>
      <c r="BE242" s="565"/>
      <c r="BF242" s="560"/>
      <c r="BG242" s="560"/>
      <c r="BH242" s="560"/>
      <c r="BI242" s="560"/>
      <c r="BJ242" s="563"/>
      <c r="BK242" s="567"/>
      <c r="BL242" s="564"/>
      <c r="BM242" s="565"/>
      <c r="BN242" s="560"/>
      <c r="BO242" s="561"/>
      <c r="BP242" s="562"/>
      <c r="BQ242" s="561"/>
      <c r="BR242" s="563"/>
      <c r="BS242" s="567"/>
      <c r="BT242" s="564"/>
      <c r="BU242" s="565"/>
      <c r="BV242" s="560"/>
      <c r="BW242" s="561"/>
      <c r="BX242" s="562"/>
      <c r="BY242" s="561"/>
      <c r="BZ242" s="563"/>
      <c r="CA242" s="567"/>
      <c r="CB242" s="564"/>
      <c r="CC242" s="565"/>
      <c r="CD242" s="560"/>
      <c r="CE242" s="561"/>
      <c r="CF242" s="562"/>
      <c r="CG242" s="561"/>
      <c r="CH242" s="563"/>
      <c r="CI242" s="564"/>
      <c r="CJ242" s="564"/>
      <c r="CK242" s="590"/>
      <c r="CL242" s="560"/>
      <c r="CM242" s="561"/>
      <c r="CN242" s="562"/>
      <c r="CO242" s="561"/>
      <c r="CP242" s="563"/>
      <c r="CQ242" s="564"/>
      <c r="CR242" s="564"/>
      <c r="CS242" s="590"/>
      <c r="CT242" s="560"/>
      <c r="CU242" s="561"/>
      <c r="CV242" s="562"/>
      <c r="CW242" s="561"/>
      <c r="CX242" s="563"/>
      <c r="CY242" s="564"/>
      <c r="CZ242" s="564"/>
      <c r="DA242" s="565"/>
      <c r="DB242" s="560"/>
      <c r="DC242" s="561"/>
      <c r="DD242" s="562"/>
      <c r="DE242" s="561"/>
      <c r="DF242" s="563"/>
      <c r="DG242" s="564"/>
      <c r="DH242" s="564"/>
      <c r="DI242" s="590"/>
      <c r="DJ242" s="560"/>
      <c r="DK242" s="561"/>
      <c r="DL242" s="562"/>
      <c r="DM242" s="561"/>
      <c r="DN242" s="563"/>
      <c r="DO242" s="564"/>
      <c r="DP242" s="564"/>
      <c r="DQ242" s="590"/>
      <c r="DR242" s="560"/>
      <c r="DS242" s="561"/>
      <c r="DT242" s="562"/>
      <c r="DU242" s="561"/>
      <c r="DV242" s="563"/>
      <c r="DW242" s="564"/>
      <c r="DX242" s="564"/>
      <c r="DY242" s="590"/>
      <c r="DZ242" s="560"/>
      <c r="EA242" s="561"/>
      <c r="EB242" s="562"/>
      <c r="EC242" s="561"/>
      <c r="ED242" s="563"/>
      <c r="EE242" s="564"/>
      <c r="EF242" s="564"/>
      <c r="EG242" s="590"/>
      <c r="EH242" s="560"/>
      <c r="EI242" s="561"/>
      <c r="EJ242" s="562"/>
      <c r="EK242" s="561"/>
      <c r="EL242" s="563"/>
      <c r="EM242" s="564"/>
      <c r="EN242" s="564"/>
      <c r="EO242" s="590"/>
      <c r="EP242" s="560"/>
      <c r="EQ242" s="561"/>
      <c r="ER242" s="562"/>
      <c r="ES242" s="561"/>
      <c r="ET242" s="563"/>
      <c r="EU242" s="564"/>
      <c r="EV242" s="564"/>
      <c r="EW242" s="590"/>
      <c r="EX242" s="560"/>
      <c r="EY242" s="561"/>
      <c r="EZ242" s="562"/>
      <c r="FA242" s="561"/>
      <c r="FB242" s="563"/>
      <c r="FC242" s="564"/>
      <c r="FD242" s="564"/>
      <c r="FE242" s="590"/>
      <c r="FF242" s="560"/>
      <c r="FG242" s="561"/>
      <c r="FH242" s="562"/>
      <c r="FI242" s="561"/>
      <c r="FJ242" s="563"/>
      <c r="FK242" s="564"/>
      <c r="FL242" s="564"/>
      <c r="FM242" s="590"/>
      <c r="FN242" s="560"/>
      <c r="FO242" s="561"/>
      <c r="FP242" s="562"/>
      <c r="FQ242" s="561"/>
      <c r="FR242" s="563"/>
      <c r="FS242" s="564"/>
      <c r="FT242" s="564"/>
      <c r="FU242" s="590"/>
      <c r="FV242" s="560"/>
      <c r="FW242" s="566"/>
      <c r="FX242" s="566"/>
      <c r="FY242" s="566"/>
      <c r="FZ242" s="591"/>
      <c r="GA242" s="630"/>
      <c r="GB242" s="564"/>
      <c r="GC242" s="631"/>
      <c r="GD242" s="560"/>
      <c r="GE242" s="566"/>
      <c r="GF242" s="566"/>
      <c r="GG242" s="566"/>
      <c r="GH242" s="563"/>
      <c r="GI242" s="564"/>
      <c r="GJ242" s="564"/>
      <c r="GK242" s="564"/>
      <c r="GL242" s="560"/>
      <c r="GM242" s="566"/>
      <c r="GN242" s="566"/>
      <c r="GO242" s="566"/>
      <c r="GP242" s="563"/>
      <c r="GQ242" s="564"/>
      <c r="GR242" s="564"/>
      <c r="GS242" s="564"/>
      <c r="GT242" s="560"/>
      <c r="GU242" s="566"/>
      <c r="GV242" s="566"/>
      <c r="GW242" s="566"/>
      <c r="GX242" s="625"/>
      <c r="GY242" s="625"/>
      <c r="GZ242" s="625"/>
      <c r="HA242" s="625"/>
      <c r="HB242" s="625"/>
      <c r="HC242" s="625"/>
    </row>
    <row r="243" spans="2:211" s="506" customFormat="1" ht="59.15" customHeight="1" x14ac:dyDescent="0.35">
      <c r="B243" s="544"/>
      <c r="C243" s="544"/>
      <c r="D243" s="544"/>
      <c r="E243" s="546" t="s">
        <v>50</v>
      </c>
      <c r="F243" s="546" t="s">
        <v>46</v>
      </c>
      <c r="G243" s="545"/>
      <c r="H243" s="547" t="s">
        <v>788</v>
      </c>
      <c r="I243" s="548"/>
      <c r="J243" s="548"/>
      <c r="K243" s="568"/>
      <c r="L243" s="572"/>
      <c r="M243" s="569" t="s">
        <v>48</v>
      </c>
      <c r="N243" s="551">
        <v>0</v>
      </c>
      <c r="O243" s="552">
        <v>262</v>
      </c>
      <c r="P243" s="553">
        <v>46126</v>
      </c>
      <c r="Q243" s="554"/>
      <c r="R243" s="554" t="s">
        <v>56</v>
      </c>
      <c r="S243" s="555">
        <f ca="1">IF(R243="Aprobado con comentarios / Emitir en Rev_0", NETWORKDAYS(Q243,TODAY(),Hoja1!$C$3:$C$25),0)</f>
        <v>0</v>
      </c>
      <c r="T243" s="555">
        <f ca="1">IF(R243="Revisión INN",NETWORKDAYS(P243,TODAY(),Hoja1!$C$3:$C$25),0)</f>
        <v>0</v>
      </c>
      <c r="U243" s="556">
        <f t="shared" si="8"/>
        <v>0</v>
      </c>
      <c r="V243" s="557"/>
      <c r="W243" s="558"/>
      <c r="X243" s="567"/>
      <c r="Y243" s="559"/>
      <c r="Z243" s="560"/>
      <c r="AA243" s="561"/>
      <c r="AB243" s="562"/>
      <c r="AC243" s="561"/>
      <c r="AD243" s="563"/>
      <c r="AE243" s="567"/>
      <c r="AF243" s="564"/>
      <c r="AG243" s="565"/>
      <c r="AH243" s="560"/>
      <c r="AI243" s="561"/>
      <c r="AJ243" s="562"/>
      <c r="AK243" s="561"/>
      <c r="AL243" s="563"/>
      <c r="AM243" s="567"/>
      <c r="AN243" s="564"/>
      <c r="AO243" s="565"/>
      <c r="AP243" s="560"/>
      <c r="AQ243" s="561"/>
      <c r="AR243" s="562"/>
      <c r="AS243" s="561"/>
      <c r="AT243" s="563"/>
      <c r="AU243" s="567"/>
      <c r="AV243" s="564"/>
      <c r="AW243" s="565"/>
      <c r="AX243" s="560"/>
      <c r="AY243" s="561"/>
      <c r="AZ243" s="562"/>
      <c r="BA243" s="561"/>
      <c r="BB243" s="563"/>
      <c r="BC243" s="567"/>
      <c r="BD243" s="564"/>
      <c r="BE243" s="565"/>
      <c r="BF243" s="560"/>
      <c r="BG243" s="561"/>
      <c r="BH243" s="562"/>
      <c r="BI243" s="561"/>
      <c r="BJ243" s="563"/>
      <c r="BK243" s="567"/>
      <c r="BL243" s="564"/>
      <c r="BM243" s="565"/>
      <c r="BN243" s="560"/>
      <c r="BO243" s="561"/>
      <c r="BP243" s="562"/>
      <c r="BQ243" s="561"/>
      <c r="BR243" s="563"/>
      <c r="BS243" s="567"/>
      <c r="BT243" s="564"/>
      <c r="BU243" s="565"/>
      <c r="BV243" s="560"/>
      <c r="BW243" s="561"/>
      <c r="BX243" s="562"/>
      <c r="BY243" s="561"/>
      <c r="BZ243" s="563"/>
      <c r="CA243" s="567"/>
      <c r="CB243" s="564"/>
      <c r="CC243" s="565"/>
      <c r="CD243" s="560"/>
      <c r="CE243" s="561"/>
      <c r="CF243" s="562"/>
      <c r="CG243" s="561"/>
      <c r="CH243" s="563"/>
      <c r="CI243" s="564"/>
      <c r="CJ243" s="564"/>
      <c r="CK243" s="564"/>
      <c r="CL243" s="560"/>
      <c r="CM243" s="561"/>
      <c r="CN243" s="562"/>
      <c r="CO243" s="561"/>
      <c r="CP243" s="563"/>
      <c r="CQ243" s="564"/>
      <c r="CR243" s="564"/>
      <c r="CS243" s="564"/>
      <c r="CT243" s="560"/>
      <c r="CU243" s="561"/>
      <c r="CV243" s="562"/>
      <c r="CW243" s="561"/>
      <c r="CX243" s="563"/>
      <c r="CY243" s="564"/>
      <c r="CZ243" s="564"/>
      <c r="DA243" s="564"/>
      <c r="DB243" s="560"/>
      <c r="DC243" s="561"/>
      <c r="DD243" s="562"/>
      <c r="DE243" s="561"/>
      <c r="DF243" s="563"/>
      <c r="DG243" s="564"/>
      <c r="DH243" s="564"/>
      <c r="DI243" s="564"/>
      <c r="DJ243" s="560"/>
      <c r="DK243" s="561"/>
      <c r="DL243" s="562"/>
      <c r="DM243" s="561"/>
      <c r="DN243" s="563"/>
      <c r="DO243" s="564"/>
      <c r="DP243" s="564"/>
      <c r="DQ243" s="564"/>
      <c r="DR243" s="560"/>
      <c r="DS243" s="561"/>
      <c r="DT243" s="562"/>
      <c r="DU243" s="561"/>
      <c r="DV243" s="563"/>
      <c r="DW243" s="564"/>
      <c r="DX243" s="564"/>
      <c r="DY243" s="564"/>
      <c r="DZ243" s="560"/>
      <c r="EA243" s="561"/>
      <c r="EB243" s="562"/>
      <c r="EC243" s="561"/>
      <c r="ED243" s="563"/>
      <c r="EE243" s="564"/>
      <c r="EF243" s="564"/>
      <c r="EG243" s="564"/>
      <c r="EH243" s="560"/>
      <c r="EI243" s="561"/>
      <c r="EJ243" s="562"/>
      <c r="EK243" s="561"/>
      <c r="EL243" s="563"/>
      <c r="EM243" s="564"/>
      <c r="EN243" s="564"/>
      <c r="EO243" s="564"/>
      <c r="EP243" s="560"/>
      <c r="EQ243" s="561"/>
      <c r="ER243" s="562"/>
      <c r="ES243" s="561"/>
      <c r="ET243" s="563"/>
      <c r="EU243" s="564"/>
      <c r="EV243" s="564"/>
      <c r="EW243" s="564"/>
      <c r="EX243" s="560"/>
      <c r="EY243" s="561"/>
      <c r="EZ243" s="562"/>
      <c r="FA243" s="561"/>
      <c r="FB243" s="563"/>
      <c r="FC243" s="564"/>
      <c r="FD243" s="564"/>
      <c r="FE243" s="564"/>
      <c r="FF243" s="560"/>
      <c r="FG243" s="561"/>
      <c r="FH243" s="562"/>
      <c r="FI243" s="561"/>
      <c r="FJ243" s="563"/>
      <c r="FK243" s="564"/>
      <c r="FL243" s="564"/>
      <c r="FM243" s="564"/>
      <c r="FN243" s="560"/>
      <c r="FO243" s="561"/>
      <c r="FP243" s="562"/>
      <c r="FQ243" s="561"/>
      <c r="FR243" s="563"/>
      <c r="FS243" s="564"/>
      <c r="FT243" s="564"/>
      <c r="FU243" s="564"/>
      <c r="FV243" s="560"/>
      <c r="FW243" s="566"/>
      <c r="FX243" s="566"/>
      <c r="FY243" s="566"/>
      <c r="FZ243" s="563"/>
      <c r="GA243" s="564"/>
      <c r="GB243" s="564"/>
      <c r="GC243" s="564"/>
      <c r="GD243" s="560"/>
      <c r="GE243" s="566"/>
      <c r="GF243" s="566"/>
      <c r="GG243" s="566"/>
      <c r="GH243" s="563"/>
      <c r="GI243" s="564"/>
      <c r="GJ243" s="564"/>
      <c r="GK243" s="564"/>
      <c r="GL243" s="560"/>
      <c r="GM243" s="566"/>
      <c r="GN243" s="566"/>
      <c r="GO243" s="566"/>
      <c r="GP243" s="563"/>
      <c r="GQ243" s="564"/>
      <c r="GR243" s="564"/>
      <c r="GS243" s="564"/>
      <c r="GT243" s="560"/>
      <c r="GU243" s="566"/>
      <c r="GV243" s="566"/>
      <c r="GW243" s="566"/>
      <c r="GX243" s="625"/>
      <c r="GY243" s="625"/>
      <c r="GZ243" s="625"/>
      <c r="HA243" s="625"/>
      <c r="HB243" s="625"/>
      <c r="HC243" s="625"/>
    </row>
    <row r="244" spans="2:211" s="506" customFormat="1" ht="41.15" customHeight="1" x14ac:dyDescent="0.35">
      <c r="B244" s="544"/>
      <c r="C244" s="544"/>
      <c r="D244" s="544"/>
      <c r="E244" s="546" t="s">
        <v>789</v>
      </c>
      <c r="F244" s="545" t="s">
        <v>46</v>
      </c>
      <c r="G244" s="546" t="s">
        <v>46</v>
      </c>
      <c r="H244" s="849" t="s">
        <v>790</v>
      </c>
      <c r="I244" s="548"/>
      <c r="J244" s="548"/>
      <c r="K244" s="568"/>
      <c r="L244" s="572"/>
      <c r="M244" s="569" t="s">
        <v>48</v>
      </c>
      <c r="N244" s="551">
        <v>0</v>
      </c>
      <c r="O244" s="552">
        <v>249</v>
      </c>
      <c r="P244" s="553">
        <v>46113</v>
      </c>
      <c r="Q244" s="554"/>
      <c r="R244" s="554" t="s">
        <v>56</v>
      </c>
      <c r="S244" s="555">
        <f ca="1">IF(R244="Aprobado con comentarios / Emitir en Rev_0", NETWORKDAYS(Q244,TODAY(),Hoja1!$C$3:$C$25),0)</f>
        <v>0</v>
      </c>
      <c r="T244" s="555">
        <f ca="1">IF(R244="Revisión INN",NETWORKDAYS(P244,TODAY(),Hoja1!$C$3:$C$25),0)</f>
        <v>0</v>
      </c>
      <c r="U244" s="556">
        <f t="shared" ref="U244" si="9">ROUNDUP(((COUNTA(V244:GW244)/4)/2),0)</f>
        <v>0</v>
      </c>
      <c r="V244" s="557"/>
      <c r="W244" s="558"/>
      <c r="X244" s="567"/>
      <c r="Y244" s="559"/>
      <c r="Z244" s="560"/>
      <c r="AA244" s="561"/>
      <c r="AB244" s="562"/>
      <c r="AC244" s="561"/>
      <c r="AD244" s="563"/>
      <c r="AE244" s="567"/>
      <c r="AF244" s="564"/>
      <c r="AG244" s="565"/>
      <c r="AH244" s="560"/>
      <c r="AI244" s="561"/>
      <c r="AJ244" s="562"/>
      <c r="AK244" s="561"/>
      <c r="AL244" s="563"/>
      <c r="AM244" s="567"/>
      <c r="AN244" s="564"/>
      <c r="AO244" s="565"/>
      <c r="AP244" s="560"/>
      <c r="AQ244" s="561"/>
      <c r="AR244" s="562"/>
      <c r="AS244" s="561"/>
      <c r="AT244" s="563"/>
      <c r="AU244" s="567"/>
      <c r="AV244" s="564"/>
      <c r="AW244" s="565"/>
      <c r="AX244" s="560"/>
      <c r="AY244" s="561"/>
      <c r="AZ244" s="562"/>
      <c r="BA244" s="561"/>
      <c r="BB244" s="563"/>
      <c r="BC244" s="567"/>
      <c r="BD244" s="564"/>
      <c r="BE244" s="565"/>
      <c r="BF244" s="560"/>
      <c r="BG244" s="561"/>
      <c r="BH244" s="562"/>
      <c r="BI244" s="561"/>
      <c r="BJ244" s="563"/>
      <c r="BK244" s="567"/>
      <c r="BL244" s="564"/>
      <c r="BM244" s="565"/>
      <c r="BN244" s="560"/>
      <c r="BO244" s="561"/>
      <c r="BP244" s="562"/>
      <c r="BQ244" s="561"/>
      <c r="BR244" s="563"/>
      <c r="BS244" s="567"/>
      <c r="BT244" s="564"/>
      <c r="BU244" s="565"/>
      <c r="BV244" s="560"/>
      <c r="BW244" s="561"/>
      <c r="BX244" s="562"/>
      <c r="BY244" s="561"/>
      <c r="BZ244" s="563"/>
      <c r="CA244" s="567"/>
      <c r="CB244" s="564"/>
      <c r="CC244" s="565"/>
      <c r="CD244" s="560"/>
      <c r="CE244" s="561"/>
      <c r="CF244" s="562"/>
      <c r="CG244" s="561"/>
      <c r="CH244" s="563"/>
      <c r="CI244" s="564"/>
      <c r="CJ244" s="564"/>
      <c r="CK244" s="564"/>
      <c r="CL244" s="560"/>
      <c r="CM244" s="561"/>
      <c r="CN244" s="562"/>
      <c r="CO244" s="561"/>
      <c r="CP244" s="563"/>
      <c r="CQ244" s="564"/>
      <c r="CR244" s="564"/>
      <c r="CS244" s="564"/>
      <c r="CT244" s="560"/>
      <c r="CU244" s="561"/>
      <c r="CV244" s="562"/>
      <c r="CW244" s="561"/>
      <c r="CX244" s="563"/>
      <c r="CY244" s="564"/>
      <c r="CZ244" s="564"/>
      <c r="DA244" s="564"/>
      <c r="DB244" s="560"/>
      <c r="DC244" s="561"/>
      <c r="DD244" s="562"/>
      <c r="DE244" s="561"/>
      <c r="DF244" s="563"/>
      <c r="DG244" s="564"/>
      <c r="DH244" s="564"/>
      <c r="DI244" s="564"/>
      <c r="DJ244" s="560"/>
      <c r="DK244" s="561"/>
      <c r="DL244" s="562"/>
      <c r="DM244" s="561"/>
      <c r="DN244" s="563"/>
      <c r="DO244" s="564"/>
      <c r="DP244" s="564"/>
      <c r="DQ244" s="564"/>
      <c r="DR244" s="560"/>
      <c r="DS244" s="561"/>
      <c r="DT244" s="562"/>
      <c r="DU244" s="561"/>
      <c r="DV244" s="563"/>
      <c r="DW244" s="564"/>
      <c r="DX244" s="564"/>
      <c r="DY244" s="564"/>
      <c r="DZ244" s="560"/>
      <c r="EA244" s="561"/>
      <c r="EB244" s="562"/>
      <c r="EC244" s="561"/>
      <c r="ED244" s="563"/>
      <c r="EE244" s="564"/>
      <c r="EF244" s="564"/>
      <c r="EG244" s="564"/>
      <c r="EH244" s="560"/>
      <c r="EI244" s="561"/>
      <c r="EJ244" s="562"/>
      <c r="EK244" s="561"/>
      <c r="EL244" s="563"/>
      <c r="EM244" s="564"/>
      <c r="EN244" s="564"/>
      <c r="EO244" s="564"/>
      <c r="EP244" s="560"/>
      <c r="EQ244" s="561"/>
      <c r="ER244" s="562"/>
      <c r="ES244" s="561"/>
      <c r="ET244" s="563"/>
      <c r="EU244" s="564"/>
      <c r="EV244" s="564"/>
      <c r="EW244" s="564"/>
      <c r="EX244" s="560"/>
      <c r="EY244" s="561"/>
      <c r="EZ244" s="562"/>
      <c r="FA244" s="561"/>
      <c r="FB244" s="563"/>
      <c r="FC244" s="564"/>
      <c r="FD244" s="564"/>
      <c r="FE244" s="564"/>
      <c r="FF244" s="560"/>
      <c r="FG244" s="561"/>
      <c r="FH244" s="562"/>
      <c r="FI244" s="561"/>
      <c r="FJ244" s="563"/>
      <c r="FK244" s="564"/>
      <c r="FL244" s="564"/>
      <c r="FM244" s="564"/>
      <c r="FN244" s="560"/>
      <c r="FO244" s="561"/>
      <c r="FP244" s="562"/>
      <c r="FQ244" s="561"/>
      <c r="FR244" s="563"/>
      <c r="FS244" s="564"/>
      <c r="FT244" s="564"/>
      <c r="FU244" s="564"/>
      <c r="FV244" s="560"/>
      <c r="FW244" s="566"/>
      <c r="FX244" s="566"/>
      <c r="FY244" s="566"/>
      <c r="FZ244" s="563"/>
      <c r="GA244" s="564"/>
      <c r="GB244" s="564"/>
      <c r="GC244" s="564"/>
      <c r="GD244" s="560"/>
      <c r="GE244" s="566"/>
      <c r="GF244" s="566"/>
      <c r="GG244" s="566"/>
      <c r="GH244" s="563"/>
      <c r="GI244" s="564"/>
      <c r="GJ244" s="564"/>
      <c r="GK244" s="564"/>
      <c r="GL244" s="560"/>
      <c r="GM244" s="566"/>
      <c r="GN244" s="566"/>
      <c r="GO244" s="566"/>
      <c r="GP244" s="563"/>
      <c r="GQ244" s="564"/>
      <c r="GR244" s="564"/>
      <c r="GS244" s="564"/>
      <c r="GT244" s="560"/>
      <c r="GU244" s="566"/>
      <c r="GV244" s="566"/>
      <c r="GW244" s="566"/>
      <c r="GX244" s="625"/>
      <c r="GY244" s="625"/>
      <c r="GZ244" s="625"/>
      <c r="HA244" s="625"/>
      <c r="HB244" s="625"/>
      <c r="HC244" s="625"/>
    </row>
    <row r="245" spans="2:211" s="506" customFormat="1" ht="19" customHeight="1" x14ac:dyDescent="0.35">
      <c r="B245" s="604"/>
      <c r="C245" s="604"/>
      <c r="D245" s="605"/>
      <c r="E245" s="605"/>
      <c r="F245" s="606"/>
      <c r="G245" s="606"/>
      <c r="H245" s="607"/>
      <c r="I245" s="608"/>
      <c r="J245" s="608"/>
      <c r="K245" s="609"/>
      <c r="L245" s="610"/>
      <c r="M245" s="611"/>
      <c r="N245" s="612"/>
      <c r="O245" s="855"/>
      <c r="P245" s="614"/>
      <c r="Q245" s="615"/>
      <c r="R245" s="615"/>
      <c r="S245" s="616"/>
      <c r="T245" s="616"/>
      <c r="U245" s="617"/>
      <c r="V245" s="618"/>
      <c r="W245" s="505"/>
      <c r="X245" s="505"/>
      <c r="Y245" s="619"/>
      <c r="Z245" s="620"/>
      <c r="AA245" s="621"/>
      <c r="AB245" s="622"/>
      <c r="AC245" s="621"/>
      <c r="AD245" s="623"/>
      <c r="AE245" s="624"/>
      <c r="AF245" s="507"/>
      <c r="AG245" s="512"/>
      <c r="AH245" s="620"/>
      <c r="AI245" s="621"/>
      <c r="AJ245" s="622"/>
      <c r="AK245" s="621"/>
      <c r="AL245" s="623"/>
      <c r="AM245" s="624"/>
      <c r="AN245" s="507"/>
      <c r="AO245" s="512"/>
      <c r="AP245" s="620"/>
      <c r="AQ245" s="621"/>
      <c r="AR245" s="622"/>
      <c r="AS245" s="621"/>
      <c r="AT245" s="623"/>
      <c r="AU245" s="624"/>
      <c r="AV245" s="507"/>
      <c r="AW245" s="512"/>
      <c r="AX245" s="620"/>
      <c r="AY245" s="621"/>
      <c r="AZ245" s="622"/>
      <c r="BA245" s="621"/>
      <c r="BB245" s="623"/>
      <c r="BC245" s="624"/>
      <c r="BD245" s="507"/>
      <c r="BE245" s="512"/>
      <c r="BF245" s="620"/>
      <c r="BG245" s="621"/>
      <c r="BH245" s="622"/>
      <c r="BI245" s="621"/>
      <c r="BJ245" s="623"/>
      <c r="BK245" s="624"/>
      <c r="BL245" s="507"/>
      <c r="BM245" s="565"/>
      <c r="BN245" s="620"/>
      <c r="BO245" s="621"/>
      <c r="BP245" s="622"/>
      <c r="BQ245" s="621"/>
      <c r="BR245" s="623"/>
      <c r="BS245" s="624"/>
      <c r="BT245" s="507"/>
      <c r="BU245" s="512"/>
      <c r="BV245" s="620"/>
      <c r="BW245" s="621"/>
      <c r="BX245" s="622"/>
      <c r="BY245" s="621"/>
      <c r="BZ245" s="623"/>
      <c r="CA245" s="624"/>
      <c r="CB245" s="507"/>
      <c r="CC245" s="512"/>
      <c r="CD245" s="620"/>
      <c r="CE245" s="621"/>
      <c r="CF245" s="622"/>
      <c r="CG245" s="621"/>
      <c r="CH245" s="623"/>
      <c r="CI245" s="507"/>
      <c r="CJ245" s="507"/>
      <c r="CK245" s="507"/>
      <c r="CL245" s="620"/>
      <c r="CM245" s="621"/>
      <c r="CN245" s="622"/>
      <c r="CO245" s="621"/>
      <c r="CP245" s="623"/>
      <c r="CQ245" s="507"/>
      <c r="CR245" s="507"/>
      <c r="CS245" s="507"/>
      <c r="CT245" s="620"/>
      <c r="CU245" s="621"/>
      <c r="CV245" s="622"/>
      <c r="CW245" s="621"/>
      <c r="CX245" s="623"/>
      <c r="CY245" s="507"/>
      <c r="CZ245" s="507"/>
      <c r="DA245" s="507"/>
      <c r="DB245" s="620"/>
      <c r="DC245" s="621"/>
      <c r="DD245" s="622"/>
      <c r="DE245" s="621"/>
      <c r="DF245" s="623"/>
      <c r="DG245" s="507"/>
      <c r="DH245" s="507"/>
      <c r="DI245" s="507"/>
      <c r="DJ245" s="620"/>
      <c r="DK245" s="621"/>
      <c r="DL245" s="622"/>
      <c r="DM245" s="621"/>
      <c r="DN245" s="623"/>
      <c r="DO245" s="507"/>
      <c r="DP245" s="507"/>
      <c r="DQ245" s="507"/>
      <c r="DR245" s="620"/>
      <c r="DS245" s="621"/>
      <c r="DT245" s="622"/>
      <c r="DU245" s="621"/>
      <c r="DV245" s="623"/>
      <c r="DW245" s="507"/>
      <c r="DX245" s="507"/>
      <c r="DY245" s="507"/>
      <c r="DZ245" s="620"/>
      <c r="EA245" s="621"/>
      <c r="EB245" s="622"/>
      <c r="EC245" s="621"/>
      <c r="ED245" s="623"/>
      <c r="EE245" s="507"/>
      <c r="EF245" s="507"/>
      <c r="EG245" s="507"/>
      <c r="EH245" s="620"/>
      <c r="EI245" s="621"/>
      <c r="EJ245" s="622"/>
      <c r="EK245" s="621"/>
      <c r="EL245" s="623"/>
      <c r="EM245" s="507"/>
      <c r="EN245" s="507"/>
      <c r="EO245" s="507"/>
      <c r="EP245" s="620"/>
      <c r="EQ245" s="621"/>
      <c r="ER245" s="622"/>
      <c r="ES245" s="621"/>
      <c r="ET245" s="623"/>
      <c r="EU245" s="507"/>
      <c r="EV245" s="507"/>
      <c r="EW245" s="507"/>
      <c r="EX245" s="620"/>
      <c r="EY245" s="621"/>
      <c r="EZ245" s="622"/>
      <c r="FA245" s="621"/>
      <c r="FB245" s="623"/>
      <c r="FC245" s="507"/>
      <c r="FD245" s="507"/>
      <c r="FE245" s="507"/>
      <c r="FF245" s="620"/>
      <c r="FG245" s="621"/>
      <c r="FH245" s="622"/>
      <c r="FI245" s="621"/>
      <c r="FJ245" s="623"/>
      <c r="FK245" s="507"/>
      <c r="FL245" s="507"/>
      <c r="FM245" s="507"/>
      <c r="FN245" s="620"/>
      <c r="FO245" s="621"/>
      <c r="FP245" s="622"/>
      <c r="FQ245" s="621"/>
      <c r="FR245" s="623"/>
      <c r="FS245" s="507"/>
      <c r="FT245" s="507"/>
      <c r="FU245" s="507"/>
      <c r="FV245" s="620"/>
      <c r="FW245" s="625"/>
      <c r="FX245" s="625"/>
      <c r="FY245" s="625"/>
      <c r="FZ245" s="623"/>
      <c r="GA245" s="507"/>
      <c r="GB245" s="507"/>
      <c r="GC245" s="507"/>
      <c r="GD245" s="620"/>
      <c r="GE245" s="625"/>
      <c r="GF245" s="625"/>
      <c r="GG245" s="625"/>
      <c r="GH245" s="623"/>
      <c r="GI245" s="507"/>
      <c r="GJ245" s="507"/>
      <c r="GK245" s="507"/>
      <c r="GL245" s="620"/>
      <c r="GM245" s="625"/>
      <c r="GN245" s="625"/>
      <c r="GO245" s="625"/>
      <c r="GP245" s="623"/>
      <c r="GQ245" s="507"/>
      <c r="GR245" s="507"/>
      <c r="GS245" s="507"/>
      <c r="GT245" s="620"/>
      <c r="GU245" s="625"/>
      <c r="GV245" s="625"/>
      <c r="GW245" s="625"/>
      <c r="GX245" s="625"/>
      <c r="GY245" s="625"/>
      <c r="GZ245" s="625"/>
      <c r="HA245" s="625"/>
      <c r="HB245" s="625"/>
      <c r="HC245" s="625"/>
    </row>
    <row r="246" spans="2:211" s="506" customFormat="1" ht="27" customHeight="1" x14ac:dyDescent="0.35">
      <c r="B246" s="604"/>
      <c r="C246" s="604"/>
      <c r="D246" s="605"/>
      <c r="E246" s="605"/>
      <c r="F246" s="606"/>
      <c r="G246" s="606"/>
      <c r="H246" s="607"/>
      <c r="I246" s="608"/>
      <c r="J246" s="608"/>
      <c r="K246" s="609"/>
      <c r="L246" s="610"/>
      <c r="M246" s="611"/>
      <c r="N246" s="612"/>
      <c r="O246" s="613"/>
      <c r="P246" s="614"/>
      <c r="Q246" s="615"/>
      <c r="R246" s="615"/>
      <c r="S246" s="616"/>
      <c r="T246" s="616"/>
      <c r="U246" s="617"/>
      <c r="V246" s="618"/>
      <c r="W246" s="505"/>
      <c r="X246" s="505"/>
      <c r="Y246" s="619"/>
      <c r="Z246" s="620"/>
      <c r="AA246" s="621"/>
      <c r="AB246" s="622"/>
      <c r="AC246" s="621"/>
      <c r="AD246" s="623"/>
      <c r="AE246" s="624"/>
      <c r="AF246" s="507"/>
      <c r="AG246" s="512"/>
      <c r="AH246" s="620"/>
      <c r="AI246" s="621"/>
      <c r="AJ246" s="622"/>
      <c r="AK246" s="621"/>
      <c r="AL246" s="623"/>
      <c r="AM246" s="624"/>
      <c r="AN246" s="507"/>
      <c r="AO246" s="512"/>
      <c r="AP246" s="620"/>
      <c r="AQ246" s="621"/>
      <c r="AR246" s="622"/>
      <c r="AS246" s="621"/>
      <c r="AT246" s="623"/>
      <c r="AU246" s="624"/>
      <c r="AV246" s="507"/>
      <c r="AW246" s="512"/>
      <c r="AX246" s="620"/>
      <c r="AY246" s="621"/>
      <c r="AZ246" s="622"/>
      <c r="BA246" s="621"/>
      <c r="BB246" s="623"/>
      <c r="BC246" s="624"/>
      <c r="BD246" s="507"/>
      <c r="BE246" s="512"/>
      <c r="BF246" s="620"/>
      <c r="BG246" s="621"/>
      <c r="BH246" s="622"/>
      <c r="BI246" s="621"/>
      <c r="BJ246" s="623"/>
      <c r="BK246" s="624"/>
      <c r="BL246" s="507"/>
      <c r="BM246" s="565"/>
      <c r="BN246" s="620"/>
      <c r="BO246" s="621"/>
      <c r="BP246" s="622"/>
      <c r="BQ246" s="621"/>
      <c r="BR246" s="623"/>
      <c r="BS246" s="624"/>
      <c r="BT246" s="507"/>
      <c r="BU246" s="512"/>
      <c r="BV246" s="620"/>
      <c r="BW246" s="621"/>
      <c r="BX246" s="622"/>
      <c r="BY246" s="621"/>
      <c r="BZ246" s="623"/>
      <c r="CA246" s="624"/>
      <c r="CB246" s="507"/>
      <c r="CC246" s="512"/>
      <c r="CD246" s="620"/>
      <c r="CE246" s="621"/>
      <c r="CF246" s="622"/>
      <c r="CG246" s="621"/>
      <c r="CH246" s="623"/>
      <c r="CI246" s="507"/>
      <c r="CJ246" s="507"/>
      <c r="CK246" s="507"/>
      <c r="CL246" s="620"/>
      <c r="CM246" s="621"/>
      <c r="CN246" s="622"/>
      <c r="CO246" s="621"/>
      <c r="CP246" s="623"/>
      <c r="CQ246" s="507"/>
      <c r="CR246" s="507"/>
      <c r="CS246" s="507"/>
      <c r="CT246" s="620"/>
      <c r="CU246" s="621"/>
      <c r="CV246" s="622"/>
      <c r="CW246" s="621"/>
      <c r="CX246" s="623"/>
      <c r="CY246" s="507"/>
      <c r="CZ246" s="507"/>
      <c r="DA246" s="507"/>
      <c r="DB246" s="620"/>
      <c r="DC246" s="621"/>
      <c r="DD246" s="622"/>
      <c r="DE246" s="621"/>
      <c r="DF246" s="623"/>
      <c r="DG246" s="507"/>
      <c r="DH246" s="507"/>
      <c r="DI246" s="507"/>
      <c r="DJ246" s="620"/>
      <c r="DK246" s="621"/>
      <c r="DL246" s="622"/>
      <c r="DM246" s="621"/>
      <c r="DN246" s="623"/>
      <c r="DO246" s="507"/>
      <c r="DP246" s="507"/>
      <c r="DQ246" s="507"/>
      <c r="DR246" s="620"/>
      <c r="DS246" s="621"/>
      <c r="DT246" s="622"/>
      <c r="DU246" s="621"/>
      <c r="DV246" s="623"/>
      <c r="DW246" s="507"/>
      <c r="DX246" s="507"/>
      <c r="DY246" s="507"/>
      <c r="DZ246" s="620"/>
      <c r="EA246" s="621"/>
      <c r="EB246" s="622"/>
      <c r="EC246" s="621"/>
      <c r="ED246" s="623"/>
      <c r="EE246" s="507"/>
      <c r="EF246" s="507"/>
      <c r="EG246" s="507"/>
      <c r="EH246" s="620"/>
      <c r="EI246" s="621"/>
      <c r="EJ246" s="622"/>
      <c r="EK246" s="621"/>
      <c r="EL246" s="623"/>
      <c r="EM246" s="507"/>
      <c r="EN246" s="507"/>
      <c r="EO246" s="507"/>
      <c r="EP246" s="620"/>
      <c r="EQ246" s="621"/>
      <c r="ER246" s="622"/>
      <c r="ES246" s="621"/>
      <c r="ET246" s="623"/>
      <c r="EU246" s="507"/>
      <c r="EV246" s="507"/>
      <c r="EW246" s="507"/>
      <c r="EX246" s="620"/>
      <c r="EY246" s="621"/>
      <c r="EZ246" s="622"/>
      <c r="FA246" s="621"/>
      <c r="FB246" s="623"/>
      <c r="FC246" s="507"/>
      <c r="FD246" s="507"/>
      <c r="FE246" s="507"/>
      <c r="FF246" s="620"/>
      <c r="FG246" s="621"/>
      <c r="FH246" s="622"/>
      <c r="FI246" s="621"/>
      <c r="FJ246" s="623"/>
      <c r="FK246" s="507"/>
      <c r="FL246" s="507"/>
      <c r="FM246" s="507"/>
      <c r="FN246" s="620"/>
      <c r="FO246" s="621"/>
      <c r="FP246" s="622"/>
      <c r="FQ246" s="621"/>
      <c r="FR246" s="623"/>
      <c r="FS246" s="507"/>
      <c r="FT246" s="507"/>
      <c r="FU246" s="507"/>
      <c r="FV246" s="620"/>
      <c r="FW246" s="625"/>
      <c r="FX246" s="625"/>
      <c r="FY246" s="625"/>
      <c r="FZ246" s="623"/>
      <c r="GA246" s="507"/>
      <c r="GB246" s="507"/>
      <c r="GC246" s="507"/>
      <c r="GD246" s="620"/>
      <c r="GE246" s="625"/>
      <c r="GF246" s="625"/>
      <c r="GG246" s="625"/>
      <c r="GH246" s="623"/>
      <c r="GI246" s="507"/>
      <c r="GJ246" s="507"/>
      <c r="GK246" s="507"/>
      <c r="GL246" s="620"/>
      <c r="GM246" s="625"/>
      <c r="GN246" s="625"/>
      <c r="GO246" s="625"/>
      <c r="GP246" s="623"/>
      <c r="GQ246" s="507"/>
      <c r="GR246" s="507"/>
      <c r="GS246" s="507"/>
      <c r="GT246" s="620"/>
      <c r="GU246" s="625"/>
      <c r="GV246" s="625"/>
      <c r="GW246" s="625"/>
      <c r="GX246" s="625"/>
      <c r="GY246" s="625"/>
      <c r="GZ246" s="625"/>
      <c r="HA246" s="625"/>
      <c r="HB246" s="625"/>
      <c r="HC246" s="625"/>
    </row>
    <row r="247" spans="2:211" x14ac:dyDescent="0.35">
      <c r="BM247" s="565"/>
    </row>
  </sheetData>
  <autoFilter ref="A3:GW244" xr:uid="{00000000-0001-0000-0000-000000000000}"/>
  <mergeCells count="1">
    <mergeCell ref="R1:U1"/>
  </mergeCells>
  <phoneticPr fontId="11" type="noConversion"/>
  <conditionalFormatting sqref="E247:G65351 E1:G2">
    <cfRule type="duplicateValues" dxfId="13" priority="115"/>
  </conditionalFormatting>
  <conditionalFormatting sqref="E247:G65351">
    <cfRule type="duplicateValues" dxfId="12" priority="117"/>
  </conditionalFormatting>
  <conditionalFormatting sqref="S4:T246">
    <cfRule type="cellIs" dxfId="11" priority="1" operator="greaterThan">
      <formula>4</formula>
    </cfRule>
    <cfRule type="cellIs" dxfId="10" priority="2" operator="greaterThan">
      <formula>5</formula>
    </cfRule>
    <cfRule type="cellIs" dxfId="9" priority="3" operator="greaterThan">
      <formula>5</formula>
    </cfRule>
  </conditionalFormatting>
  <printOptions horizontalCentered="1"/>
  <pageMargins left="0.98425196850393704" right="0.59055118110236227" top="0.59055118110236227" bottom="0.78740157480314965" header="1.299212598425197" footer="0.51181102362204722"/>
  <pageSetup paperSize="8" scale="10" fitToHeight="0" orientation="landscape" horizontalDpi="300" verticalDpi="300" r:id="rId1"/>
  <headerFooter alignWithMargins="0">
    <oddHeader>&amp;R&amp;P de &amp;N
&amp;D</oddHeader>
    <oddFooter>&amp;C&amp;6Este documento es propiedad de Pares&amp;&amp;Alvarez.  No podrá ser copiado, emitido o utilizado con otro propósito que no sea el estipulado en el contrato con el Cliente.</oddFooter>
  </headerFooter>
  <colBreaks count="1" manualBreakCount="1">
    <brk id="52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0A1B-416C-45BC-9BE4-BEFDD48438DA}">
  <sheetPr filterMode="1">
    <pageSetUpPr fitToPage="1"/>
  </sheetPr>
  <dimension ref="A1:BQ7645"/>
  <sheetViews>
    <sheetView showGridLines="0" topLeftCell="A13" zoomScale="30" zoomScaleNormal="30" zoomScaleSheetLayoutView="53" workbookViewId="0">
      <pane xSplit="11" ySplit="2" topLeftCell="AI21" activePane="bottomRight" state="frozen"/>
      <selection pane="topRight" activeCell="O13" sqref="O13"/>
      <selection pane="bottomLeft" activeCell="A15" sqref="A15"/>
      <selection pane="bottomRight" activeCell="E21" sqref="E21"/>
    </sheetView>
  </sheetViews>
  <sheetFormatPr baseColWidth="10" defaultColWidth="8.453125" defaultRowHeight="15.75" customHeight="1" x14ac:dyDescent="0.35"/>
  <cols>
    <col min="1" max="2" width="21" style="123" customWidth="1"/>
    <col min="3" max="3" width="33.26953125" style="123" bestFit="1" customWidth="1"/>
    <col min="4" max="4" width="70.453125" style="2" customWidth="1"/>
    <col min="5" max="5" width="110.453125" style="3" customWidth="1"/>
    <col min="6" max="6" width="17.1796875" style="4" customWidth="1"/>
    <col min="7" max="7" width="18.81640625" style="2" customWidth="1"/>
    <col min="8" max="8" width="20.1796875" style="2" customWidth="1"/>
    <col min="9" max="9" width="22.1796875" style="125" customWidth="1"/>
    <col min="10" max="10" width="28" style="125" customWidth="1"/>
    <col min="11" max="11" width="12.1796875" style="2" customWidth="1"/>
    <col min="12" max="12" width="32.26953125" style="129" customWidth="1"/>
    <col min="13" max="13" width="13.453125" style="39" customWidth="1"/>
    <col min="14" max="14" width="20.1796875" style="40" customWidth="1"/>
    <col min="15" max="15" width="26.54296875" style="80" customWidth="1"/>
    <col min="16" max="16" width="16.54296875" style="144" customWidth="1"/>
    <col min="17" max="17" width="11.1796875" style="50" customWidth="1"/>
    <col min="18" max="18" width="25.453125" style="50" customWidth="1"/>
    <col min="19" max="19" width="32.1796875" style="145" customWidth="1"/>
    <col min="20" max="20" width="11.1796875" style="5" customWidth="1"/>
    <col min="21" max="21" width="26.453125" style="5" bestFit="1" customWidth="1"/>
    <col min="22" max="22" width="18.81640625" style="6" customWidth="1"/>
    <col min="23" max="23" width="25.54296875" style="6" customWidth="1"/>
    <col min="24" max="24" width="23.54296875" style="45" customWidth="1"/>
    <col min="25" max="25" width="17.453125" style="45" customWidth="1"/>
    <col min="26" max="26" width="18.81640625" style="52" customWidth="1"/>
    <col min="27" max="27" width="24.81640625" style="52" customWidth="1"/>
    <col min="28" max="28" width="20.453125" style="5" customWidth="1"/>
    <col min="29" max="29" width="10.453125" style="5" customWidth="1"/>
    <col min="30" max="30" width="23.54296875" style="5" customWidth="1"/>
    <col min="31" max="31" width="25.7265625" style="5" customWidth="1"/>
    <col min="32" max="34" width="11.54296875" style="45" customWidth="1"/>
    <col min="35" max="35" width="22.453125" style="45" customWidth="1"/>
    <col min="36" max="36" width="12.26953125" style="5" customWidth="1"/>
    <col min="37" max="37" width="11.7265625" style="5" customWidth="1"/>
    <col min="38" max="38" width="19.54296875" style="5" customWidth="1"/>
    <col min="39" max="39" width="25.7265625" style="5" customWidth="1"/>
    <col min="40" max="41" width="8.453125" style="5"/>
    <col min="42" max="42" width="12.1796875" style="5" bestFit="1" customWidth="1"/>
    <col min="43" max="43" width="24.81640625" style="5" customWidth="1"/>
    <col min="44" max="44" width="13.26953125" style="5" customWidth="1"/>
    <col min="45" max="45" width="15" style="5" customWidth="1"/>
    <col min="46" max="46" width="11.7265625" style="5" customWidth="1"/>
    <col min="47" max="16384" width="8.453125" style="5"/>
  </cols>
  <sheetData>
    <row r="1" spans="1:63" s="1" customFormat="1" ht="19.399999999999999" customHeight="1" x14ac:dyDescent="0.35">
      <c r="A1" s="123"/>
      <c r="B1" s="123"/>
      <c r="C1" s="123"/>
      <c r="D1" s="2"/>
      <c r="E1" s="3"/>
      <c r="F1" s="4"/>
      <c r="G1" s="2"/>
      <c r="H1" s="2"/>
      <c r="I1" s="125"/>
      <c r="J1" s="125"/>
      <c r="K1" s="2"/>
      <c r="L1" s="126"/>
      <c r="M1" s="127"/>
      <c r="N1" s="127"/>
      <c r="O1" s="128"/>
      <c r="P1" s="141"/>
      <c r="Q1" s="142"/>
      <c r="R1" s="142"/>
      <c r="S1" s="143"/>
      <c r="T1" s="5"/>
      <c r="U1" s="5"/>
      <c r="V1" s="6"/>
      <c r="W1" s="6"/>
      <c r="X1" s="45"/>
      <c r="Y1" s="45"/>
      <c r="Z1" s="52"/>
      <c r="AA1" s="52"/>
      <c r="AB1" s="5"/>
      <c r="AC1" s="5"/>
      <c r="AD1" s="5"/>
      <c r="AE1" s="5"/>
      <c r="AF1" s="45"/>
      <c r="AG1" s="45"/>
      <c r="AH1" s="45"/>
      <c r="AI1" s="45"/>
    </row>
    <row r="2" spans="1:63" s="1" customFormat="1" ht="19.399999999999999" customHeight="1" x14ac:dyDescent="0.35">
      <c r="A2" s="123"/>
      <c r="B2" s="123"/>
      <c r="C2" s="123"/>
      <c r="D2" s="2"/>
      <c r="E2" s="3"/>
      <c r="F2" s="4"/>
      <c r="G2" s="2"/>
      <c r="H2" s="2"/>
      <c r="I2" s="125"/>
      <c r="J2" s="125"/>
      <c r="K2" s="2"/>
      <c r="L2" s="129"/>
      <c r="M2" s="39"/>
      <c r="N2" s="39"/>
      <c r="O2" s="130"/>
      <c r="P2" s="144"/>
      <c r="Q2" s="50"/>
      <c r="R2" s="50"/>
      <c r="S2" s="145"/>
      <c r="T2" s="5"/>
      <c r="U2" s="5"/>
      <c r="V2" s="6"/>
      <c r="W2" s="6"/>
      <c r="X2" s="45"/>
      <c r="Y2" s="45"/>
      <c r="Z2" s="52"/>
      <c r="AA2" s="52"/>
      <c r="AB2" s="5"/>
      <c r="AC2" s="5"/>
      <c r="AD2" s="5"/>
      <c r="AE2" s="5"/>
      <c r="AF2" s="45"/>
      <c r="AG2" s="45"/>
      <c r="AH2" s="45"/>
      <c r="AI2" s="45"/>
    </row>
    <row r="3" spans="1:63" s="1" customFormat="1" ht="19.399999999999999" customHeight="1" x14ac:dyDescent="0.35">
      <c r="A3" s="123"/>
      <c r="B3" s="123"/>
      <c r="C3" s="123"/>
      <c r="D3" s="120"/>
      <c r="E3" s="3"/>
      <c r="F3" s="4"/>
      <c r="G3" s="2"/>
      <c r="H3" s="2"/>
      <c r="I3" s="125"/>
      <c r="J3" s="125"/>
      <c r="K3" s="2"/>
      <c r="L3" s="129"/>
      <c r="M3" s="39"/>
      <c r="N3" s="39"/>
      <c r="O3" s="130"/>
      <c r="P3" s="144"/>
      <c r="Q3" s="50"/>
      <c r="R3" s="50"/>
      <c r="S3" s="145"/>
      <c r="T3" s="5"/>
      <c r="U3" s="5"/>
      <c r="V3" s="6"/>
      <c r="W3" s="6"/>
      <c r="X3" s="45"/>
      <c r="Y3" s="45"/>
      <c r="Z3" s="52"/>
      <c r="AA3" s="52"/>
      <c r="AB3" s="5"/>
      <c r="AC3" s="5"/>
      <c r="AD3" s="5"/>
      <c r="AE3" s="5"/>
      <c r="AF3" s="45"/>
      <c r="AG3" s="45"/>
      <c r="AH3" s="45"/>
      <c r="AI3" s="45"/>
    </row>
    <row r="4" spans="1:63" s="1" customFormat="1" ht="19.399999999999999" customHeight="1" x14ac:dyDescent="0.35">
      <c r="A4" s="123"/>
      <c r="B4" s="123"/>
      <c r="C4" s="123"/>
      <c r="D4" s="64"/>
      <c r="E4" s="3"/>
      <c r="F4" s="4"/>
      <c r="G4" s="2"/>
      <c r="H4" s="2"/>
      <c r="I4" s="125"/>
      <c r="J4" s="125"/>
      <c r="K4" s="2"/>
      <c r="L4" s="129"/>
      <c r="M4" s="39"/>
      <c r="N4" s="131"/>
      <c r="O4" s="132"/>
      <c r="P4" s="144"/>
      <c r="Q4" s="50"/>
      <c r="R4" s="50"/>
      <c r="S4" s="145"/>
      <c r="T4" s="5"/>
      <c r="U4" s="5"/>
      <c r="V4" s="6"/>
      <c r="W4" s="6"/>
      <c r="X4" s="45"/>
      <c r="Y4" s="45"/>
      <c r="Z4" s="52"/>
      <c r="AA4" s="52"/>
      <c r="AB4" s="5"/>
      <c r="AC4" s="5"/>
      <c r="AD4" s="5"/>
      <c r="AE4" s="5"/>
      <c r="AF4" s="45"/>
      <c r="AG4" s="45"/>
      <c r="AH4" s="45"/>
      <c r="AI4" s="45"/>
    </row>
    <row r="5" spans="1:63" s="1" customFormat="1" ht="19.399999999999999" customHeight="1" x14ac:dyDescent="0.35">
      <c r="A5" s="123"/>
      <c r="B5" s="123"/>
      <c r="C5" s="123"/>
      <c r="D5" s="2"/>
      <c r="E5" s="3"/>
      <c r="F5" s="4"/>
      <c r="G5" s="2"/>
      <c r="H5" s="2"/>
      <c r="I5" s="125"/>
      <c r="J5" s="125"/>
      <c r="K5" s="133" t="s">
        <v>791</v>
      </c>
      <c r="L5" s="129"/>
      <c r="M5" s="39"/>
      <c r="N5" s="39"/>
      <c r="O5" s="130"/>
      <c r="P5" s="144"/>
      <c r="Q5" s="50"/>
      <c r="R5" s="50"/>
      <c r="S5" s="145"/>
      <c r="T5" s="5"/>
      <c r="U5" s="5"/>
      <c r="V5" s="6"/>
      <c r="W5" s="6"/>
      <c r="X5" s="45"/>
      <c r="Y5" s="45"/>
      <c r="Z5" s="52"/>
      <c r="AA5" s="52"/>
      <c r="AB5" s="5"/>
      <c r="AC5" s="5"/>
      <c r="AD5" s="5"/>
      <c r="AE5" s="5"/>
      <c r="AF5" s="45"/>
      <c r="AG5" s="45"/>
      <c r="AH5" s="45"/>
      <c r="AI5" s="45"/>
    </row>
    <row r="6" spans="1:63" s="1" customFormat="1" ht="19.399999999999999" customHeight="1" x14ac:dyDescent="0.35">
      <c r="A6" s="123"/>
      <c r="B6" s="123"/>
      <c r="C6" s="123"/>
      <c r="D6" s="121"/>
      <c r="E6" s="3"/>
      <c r="F6" s="4"/>
      <c r="G6" s="2"/>
      <c r="H6" s="2"/>
      <c r="I6" s="125"/>
      <c r="J6" s="125"/>
      <c r="K6" s="2"/>
      <c r="L6" s="129"/>
      <c r="M6" s="39"/>
      <c r="N6" s="39"/>
      <c r="O6" s="130"/>
      <c r="P6" s="144"/>
      <c r="Q6" s="50"/>
      <c r="R6" s="50"/>
      <c r="S6" s="145"/>
      <c r="T6" s="5"/>
      <c r="U6" s="5"/>
      <c r="V6" s="6"/>
      <c r="W6" s="6"/>
      <c r="X6" s="45"/>
      <c r="Y6" s="45"/>
      <c r="Z6" s="52"/>
      <c r="AA6" s="52"/>
      <c r="AB6" s="5"/>
      <c r="AC6" s="5"/>
      <c r="AD6" s="5"/>
      <c r="AE6" s="5"/>
      <c r="AF6" s="45"/>
      <c r="AG6" s="45"/>
      <c r="AH6" s="45"/>
      <c r="AI6" s="45"/>
    </row>
    <row r="7" spans="1:63" s="1" customFormat="1" ht="19.399999999999999" customHeight="1" x14ac:dyDescent="0.35">
      <c r="A7" s="123"/>
      <c r="B7" s="123"/>
      <c r="C7" s="123"/>
      <c r="D7" s="2"/>
      <c r="E7" s="5"/>
      <c r="F7" s="4"/>
      <c r="G7" s="2"/>
      <c r="H7" s="2"/>
      <c r="I7" s="125"/>
      <c r="J7" s="125"/>
      <c r="K7" s="2"/>
      <c r="L7" s="129"/>
      <c r="M7" s="39"/>
      <c r="N7" s="134"/>
      <c r="O7" s="135"/>
      <c r="P7" s="144"/>
      <c r="Q7" s="50"/>
      <c r="R7" s="50"/>
      <c r="S7" s="145"/>
      <c r="T7" s="5"/>
      <c r="U7" s="5"/>
      <c r="V7" s="6"/>
      <c r="W7" s="6"/>
      <c r="X7" s="45"/>
      <c r="Y7" s="45"/>
      <c r="Z7" s="52"/>
      <c r="AA7" s="52"/>
      <c r="AB7" s="5"/>
      <c r="AC7" s="5"/>
      <c r="AD7" s="5"/>
      <c r="AE7" s="5"/>
      <c r="AF7" s="45"/>
      <c r="AG7" s="45"/>
      <c r="AH7" s="45"/>
      <c r="AI7" s="45"/>
    </row>
    <row r="8" spans="1:63" s="1" customFormat="1" ht="19.399999999999999" customHeight="1" x14ac:dyDescent="0.35">
      <c r="A8" s="123"/>
      <c r="B8" s="123"/>
      <c r="C8" s="123"/>
      <c r="D8" s="2"/>
      <c r="E8" s="5"/>
      <c r="F8" s="4"/>
      <c r="G8" s="2"/>
      <c r="H8" s="2"/>
      <c r="I8" s="125"/>
      <c r="J8" s="883" t="s">
        <v>792</v>
      </c>
      <c r="K8" s="883"/>
      <c r="L8" s="129"/>
      <c r="M8" s="39"/>
      <c r="N8" s="134"/>
      <c r="O8" s="135"/>
      <c r="P8" s="144"/>
      <c r="Q8" s="50"/>
      <c r="R8" s="50"/>
      <c r="S8" s="145"/>
      <c r="T8" s="5"/>
      <c r="U8" s="5"/>
      <c r="V8" s="6"/>
      <c r="W8" s="6"/>
      <c r="X8" s="45"/>
      <c r="Y8" s="45"/>
      <c r="Z8" s="52"/>
      <c r="AA8" s="52"/>
      <c r="AB8" s="5"/>
      <c r="AC8" s="5"/>
      <c r="AD8" s="5"/>
      <c r="AE8" s="5"/>
      <c r="AF8" s="45"/>
      <c r="AG8" s="45"/>
      <c r="AH8" s="45"/>
      <c r="AI8" s="45"/>
    </row>
    <row r="9" spans="1:63" s="1" customFormat="1" ht="19.399999999999999" customHeight="1" x14ac:dyDescent="0.35">
      <c r="A9" s="123"/>
      <c r="B9" s="123"/>
      <c r="C9" s="123"/>
      <c r="D9" s="2"/>
      <c r="E9" s="5"/>
      <c r="F9" s="4"/>
      <c r="G9" s="2"/>
      <c r="H9" s="2"/>
      <c r="I9" s="125"/>
      <c r="J9" s="883" t="s">
        <v>793</v>
      </c>
      <c r="K9" s="883"/>
      <c r="L9" s="129"/>
      <c r="M9" s="39"/>
      <c r="N9" s="134"/>
      <c r="O9" s="135"/>
      <c r="P9" s="144"/>
      <c r="Q9" s="50"/>
      <c r="R9" s="50"/>
      <c r="S9" s="145"/>
      <c r="T9" s="5"/>
      <c r="U9" s="5"/>
      <c r="V9" s="6"/>
      <c r="W9" s="6"/>
      <c r="X9" s="45"/>
      <c r="Y9" s="45"/>
      <c r="Z9" s="52"/>
      <c r="AA9" s="52"/>
      <c r="AB9" s="5"/>
      <c r="AC9" s="5"/>
      <c r="AD9" s="5"/>
      <c r="AE9" s="5"/>
      <c r="AF9" s="45"/>
      <c r="AG9" s="45"/>
      <c r="AH9" s="45"/>
      <c r="AI9" s="45"/>
    </row>
    <row r="10" spans="1:63" s="1" customFormat="1" ht="19.399999999999999" customHeight="1" x14ac:dyDescent="0.35">
      <c r="A10" s="123"/>
      <c r="B10" s="123"/>
      <c r="C10" s="123"/>
      <c r="D10" s="884"/>
      <c r="E10" s="884"/>
      <c r="F10" s="884"/>
      <c r="G10" s="7"/>
      <c r="H10" s="7"/>
      <c r="I10" s="136"/>
      <c r="J10" s="885" t="s">
        <v>794</v>
      </c>
      <c r="K10" s="885"/>
      <c r="L10" s="77"/>
      <c r="M10" s="75"/>
      <c r="N10" s="134"/>
      <c r="O10" s="135"/>
      <c r="P10" s="83"/>
      <c r="Q10" s="81"/>
      <c r="R10" s="81"/>
      <c r="S10" s="84"/>
      <c r="T10" s="8"/>
      <c r="U10" s="8"/>
      <c r="V10" s="9"/>
      <c r="W10" s="9"/>
      <c r="X10" s="46"/>
      <c r="Y10" s="46"/>
      <c r="Z10" s="53"/>
      <c r="AA10" s="53"/>
      <c r="AB10" s="8"/>
      <c r="AC10" s="8"/>
      <c r="AD10" s="8"/>
      <c r="AE10" s="8"/>
      <c r="AF10" s="46"/>
      <c r="AG10" s="46"/>
      <c r="AH10" s="46"/>
      <c r="AI10" s="46"/>
    </row>
    <row r="11" spans="1:63" s="1" customFormat="1" ht="19.399999999999999" customHeight="1" x14ac:dyDescent="0.35">
      <c r="A11" s="123"/>
      <c r="B11" s="123"/>
      <c r="C11" s="123"/>
      <c r="D11" s="14"/>
      <c r="E11" s="15"/>
      <c r="F11" s="10"/>
      <c r="G11" s="10"/>
      <c r="H11" s="10"/>
      <c r="I11" s="10"/>
      <c r="J11" s="886" t="s">
        <v>63</v>
      </c>
      <c r="K11" s="886"/>
      <c r="L11" s="77"/>
      <c r="M11" s="75"/>
      <c r="N11" s="134"/>
      <c r="O11" s="135"/>
      <c r="P11" s="83"/>
      <c r="Q11" s="81"/>
      <c r="R11" s="81"/>
      <c r="S11" s="84"/>
      <c r="T11" s="11"/>
      <c r="U11" s="11"/>
      <c r="V11" s="12"/>
      <c r="W11" s="12"/>
      <c r="X11" s="47"/>
      <c r="Y11" s="47"/>
      <c r="Z11" s="54"/>
      <c r="AA11" s="54"/>
      <c r="AB11" s="11"/>
      <c r="AC11" s="11"/>
      <c r="AD11" s="11"/>
      <c r="AE11" s="11"/>
      <c r="AF11" s="47"/>
      <c r="AG11" s="47"/>
      <c r="AH11" s="47"/>
      <c r="AI11" s="47"/>
    </row>
    <row r="12" spans="1:63" s="1" customFormat="1" ht="19.399999999999999" customHeight="1" thickBot="1" x14ac:dyDescent="0.4">
      <c r="A12" s="123"/>
      <c r="B12" s="123"/>
      <c r="C12" s="123"/>
      <c r="D12" s="14"/>
      <c r="E12" s="13"/>
      <c r="F12" s="11"/>
      <c r="G12" s="2"/>
      <c r="H12" s="2"/>
      <c r="I12" s="125"/>
      <c r="J12" s="882">
        <f ca="1">TODAY()</f>
        <v>46130</v>
      </c>
      <c r="K12" s="882"/>
      <c r="L12" s="77"/>
      <c r="M12" s="75"/>
      <c r="N12" s="134"/>
      <c r="O12" s="135"/>
      <c r="P12" s="83"/>
      <c r="Q12" s="81"/>
      <c r="R12" s="81"/>
      <c r="S12" s="84"/>
      <c r="T12" s="11"/>
      <c r="U12" s="11"/>
      <c r="V12" s="12"/>
      <c r="W12" s="12"/>
      <c r="X12" s="47"/>
      <c r="Y12" s="47"/>
      <c r="Z12" s="54"/>
      <c r="AA12" s="54"/>
      <c r="AB12" s="11"/>
      <c r="AC12" s="11"/>
      <c r="AD12" s="11"/>
      <c r="AE12" s="11"/>
      <c r="AF12" s="47"/>
      <c r="AG12" s="47"/>
      <c r="AH12" s="47"/>
      <c r="AI12" s="47"/>
    </row>
    <row r="13" spans="1:63" s="67" customFormat="1" ht="47.5" customHeight="1" thickBot="1" x14ac:dyDescent="0.4">
      <c r="A13" s="124"/>
      <c r="B13" s="124"/>
      <c r="C13" s="124"/>
      <c r="D13" s="122" t="s">
        <v>1</v>
      </c>
      <c r="E13" s="66"/>
      <c r="F13" s="66"/>
      <c r="G13" s="870" t="s">
        <v>795</v>
      </c>
      <c r="H13" s="871"/>
      <c r="I13" s="871"/>
      <c r="J13" s="871"/>
      <c r="K13" s="872"/>
      <c r="L13" s="873" t="s">
        <v>3</v>
      </c>
      <c r="M13" s="874"/>
      <c r="N13" s="874"/>
      <c r="O13" s="875"/>
      <c r="P13" s="876" t="s">
        <v>5</v>
      </c>
      <c r="Q13" s="877"/>
      <c r="R13" s="877"/>
      <c r="S13" s="878"/>
      <c r="T13" s="879" t="s">
        <v>6</v>
      </c>
      <c r="U13" s="880"/>
      <c r="V13" s="880"/>
      <c r="W13" s="881"/>
      <c r="X13" s="867" t="s">
        <v>7</v>
      </c>
      <c r="Y13" s="868"/>
      <c r="Z13" s="868"/>
      <c r="AA13" s="869"/>
      <c r="AB13" s="879" t="s">
        <v>8</v>
      </c>
      <c r="AC13" s="880"/>
      <c r="AD13" s="880"/>
      <c r="AE13" s="881"/>
      <c r="AF13" s="867" t="s">
        <v>9</v>
      </c>
      <c r="AG13" s="868"/>
      <c r="AH13" s="868"/>
      <c r="AI13" s="869"/>
      <c r="AJ13" s="867" t="s">
        <v>796</v>
      </c>
      <c r="AK13" s="868"/>
      <c r="AL13" s="868"/>
      <c r="AM13" s="869"/>
      <c r="AN13" s="867" t="s">
        <v>797</v>
      </c>
      <c r="AO13" s="868"/>
      <c r="AP13" s="868"/>
      <c r="AQ13" s="869"/>
      <c r="AR13" s="867" t="s">
        <v>798</v>
      </c>
      <c r="AS13" s="868"/>
      <c r="AT13" s="868"/>
      <c r="AU13" s="869"/>
      <c r="AV13" s="867" t="s">
        <v>799</v>
      </c>
      <c r="AW13" s="868"/>
      <c r="AX13" s="868"/>
      <c r="AY13" s="869"/>
      <c r="AZ13" s="867" t="s">
        <v>800</v>
      </c>
      <c r="BA13" s="868"/>
      <c r="BB13" s="868"/>
      <c r="BC13" s="869"/>
      <c r="BD13" s="867" t="s">
        <v>801</v>
      </c>
      <c r="BE13" s="868"/>
      <c r="BF13" s="868"/>
      <c r="BG13" s="869"/>
      <c r="BH13" s="867" t="s">
        <v>802</v>
      </c>
      <c r="BI13" s="868"/>
      <c r="BJ13" s="868"/>
      <c r="BK13" s="869"/>
    </row>
    <row r="14" spans="1:63" ht="113.15" customHeight="1" x14ac:dyDescent="0.35">
      <c r="A14" s="73" t="s">
        <v>15</v>
      </c>
      <c r="B14" s="776" t="s">
        <v>803</v>
      </c>
      <c r="C14" s="776" t="s">
        <v>804</v>
      </c>
      <c r="D14" s="675" t="s">
        <v>805</v>
      </c>
      <c r="E14" s="675" t="s">
        <v>806</v>
      </c>
      <c r="F14" s="676" t="s">
        <v>807</v>
      </c>
      <c r="G14" s="677" t="s">
        <v>808</v>
      </c>
      <c r="H14" s="677" t="s">
        <v>809</v>
      </c>
      <c r="I14" s="678" t="s">
        <v>810</v>
      </c>
      <c r="J14" s="679" t="s">
        <v>811</v>
      </c>
      <c r="K14" s="74" t="s">
        <v>812</v>
      </c>
      <c r="L14" s="78" t="s">
        <v>35</v>
      </c>
      <c r="M14" s="76" t="s">
        <v>809</v>
      </c>
      <c r="N14" s="76" t="s">
        <v>40</v>
      </c>
      <c r="O14" s="79" t="s">
        <v>73</v>
      </c>
      <c r="P14" s="85" t="s">
        <v>35</v>
      </c>
      <c r="Q14" s="82" t="s">
        <v>809</v>
      </c>
      <c r="R14" s="82" t="s">
        <v>40</v>
      </c>
      <c r="S14" s="86" t="s">
        <v>813</v>
      </c>
      <c r="T14" s="56" t="s">
        <v>35</v>
      </c>
      <c r="U14" s="55" t="s">
        <v>809</v>
      </c>
      <c r="V14" s="57" t="s">
        <v>40</v>
      </c>
      <c r="W14" s="69" t="s">
        <v>73</v>
      </c>
      <c r="X14" s="70" t="s">
        <v>35</v>
      </c>
      <c r="Y14" s="68" t="s">
        <v>809</v>
      </c>
      <c r="Z14" s="71" t="s">
        <v>40</v>
      </c>
      <c r="AA14" s="72" t="s">
        <v>73</v>
      </c>
      <c r="AB14" s="56" t="s">
        <v>35</v>
      </c>
      <c r="AC14" s="55" t="s">
        <v>809</v>
      </c>
      <c r="AD14" s="57" t="s">
        <v>40</v>
      </c>
      <c r="AE14" s="69" t="s">
        <v>73</v>
      </c>
      <c r="AF14" s="70" t="s">
        <v>35</v>
      </c>
      <c r="AG14" s="68" t="s">
        <v>809</v>
      </c>
      <c r="AH14" s="71" t="s">
        <v>40</v>
      </c>
      <c r="AI14" s="72" t="s">
        <v>73</v>
      </c>
      <c r="AJ14" s="56" t="s">
        <v>35</v>
      </c>
      <c r="AK14" s="55" t="s">
        <v>809</v>
      </c>
      <c r="AL14" s="57" t="s">
        <v>40</v>
      </c>
      <c r="AM14" s="69" t="s">
        <v>73</v>
      </c>
      <c r="AN14" s="70" t="s">
        <v>35</v>
      </c>
      <c r="AO14" s="68" t="s">
        <v>809</v>
      </c>
      <c r="AP14" s="71" t="s">
        <v>40</v>
      </c>
      <c r="AQ14" s="72" t="s">
        <v>73</v>
      </c>
      <c r="AR14" s="70" t="s">
        <v>35</v>
      </c>
      <c r="AS14" s="68" t="s">
        <v>809</v>
      </c>
      <c r="AT14" s="71" t="s">
        <v>40</v>
      </c>
      <c r="AU14" s="72" t="s">
        <v>73</v>
      </c>
      <c r="AV14" s="70" t="s">
        <v>35</v>
      </c>
      <c r="AW14" s="68" t="s">
        <v>809</v>
      </c>
      <c r="AX14" s="71" t="s">
        <v>40</v>
      </c>
      <c r="AY14" s="72" t="s">
        <v>73</v>
      </c>
      <c r="AZ14" s="70" t="s">
        <v>35</v>
      </c>
      <c r="BA14" s="68" t="s">
        <v>809</v>
      </c>
      <c r="BB14" s="71" t="s">
        <v>40</v>
      </c>
      <c r="BC14" s="72" t="s">
        <v>73</v>
      </c>
      <c r="BD14" s="70" t="s">
        <v>35</v>
      </c>
      <c r="BE14" s="68" t="s">
        <v>809</v>
      </c>
      <c r="BF14" s="71" t="s">
        <v>40</v>
      </c>
      <c r="BG14" s="72" t="s">
        <v>73</v>
      </c>
      <c r="BH14" s="70" t="s">
        <v>35</v>
      </c>
      <c r="BI14" s="68" t="s">
        <v>809</v>
      </c>
      <c r="BJ14" s="71" t="s">
        <v>40</v>
      </c>
      <c r="BK14" s="72" t="s">
        <v>73</v>
      </c>
    </row>
    <row r="15" spans="1:63" s="99" customFormat="1" ht="117.65" hidden="1" customHeight="1" x14ac:dyDescent="0.35">
      <c r="A15" s="106">
        <v>1</v>
      </c>
      <c r="B15" s="106">
        <v>2</v>
      </c>
      <c r="C15" s="819" t="s">
        <v>814</v>
      </c>
      <c r="D15" s="680" t="s">
        <v>264</v>
      </c>
      <c r="E15" s="691" t="s">
        <v>815</v>
      </c>
      <c r="F15" s="681" t="s">
        <v>117</v>
      </c>
      <c r="G15" s="682">
        <v>2</v>
      </c>
      <c r="H15" s="683">
        <v>92</v>
      </c>
      <c r="I15" s="684">
        <v>46114</v>
      </c>
      <c r="J15" s="685" t="s">
        <v>56</v>
      </c>
      <c r="K15" s="94">
        <f t="shared" ref="K15:K19" si="0">ROUNDUP(((COUNTA(L15:AI15)/4)/2),0)</f>
        <v>1</v>
      </c>
      <c r="L15" s="95">
        <v>1</v>
      </c>
      <c r="M15" s="96">
        <v>1</v>
      </c>
      <c r="N15" s="97">
        <v>45923</v>
      </c>
      <c r="O15" s="98" t="s">
        <v>56</v>
      </c>
      <c r="P15" s="634">
        <v>2</v>
      </c>
      <c r="Q15" s="632">
        <v>92</v>
      </c>
      <c r="R15" s="633">
        <v>46114</v>
      </c>
      <c r="S15" s="642" t="s">
        <v>56</v>
      </c>
      <c r="T15" s="109"/>
      <c r="U15" s="110"/>
      <c r="V15" s="111"/>
      <c r="W15" s="111"/>
      <c r="X15" s="112"/>
      <c r="Y15" s="107"/>
      <c r="Z15" s="108"/>
      <c r="AA15" s="108"/>
      <c r="AB15" s="113"/>
      <c r="AC15" s="114"/>
      <c r="AD15" s="111"/>
      <c r="AE15" s="111"/>
      <c r="AF15" s="115"/>
      <c r="AG15" s="116"/>
      <c r="AH15" s="116"/>
      <c r="AI15" s="116"/>
      <c r="AJ15" s="498"/>
      <c r="AK15" s="484"/>
      <c r="AL15" s="497"/>
      <c r="AM15" s="111"/>
    </row>
    <row r="16" spans="1:63" s="99" customFormat="1" ht="117.65" hidden="1" customHeight="1" x14ac:dyDescent="0.35">
      <c r="A16" s="106">
        <v>2</v>
      </c>
      <c r="B16" s="106">
        <v>2</v>
      </c>
      <c r="C16" s="819" t="s">
        <v>814</v>
      </c>
      <c r="D16" s="680" t="s">
        <v>816</v>
      </c>
      <c r="E16" s="691" t="s">
        <v>817</v>
      </c>
      <c r="F16" s="681" t="s">
        <v>117</v>
      </c>
      <c r="G16" s="682">
        <v>0</v>
      </c>
      <c r="H16" s="683">
        <v>92</v>
      </c>
      <c r="I16" s="684">
        <v>46114</v>
      </c>
      <c r="J16" s="685" t="s">
        <v>56</v>
      </c>
      <c r="K16" s="94">
        <f t="shared" si="0"/>
        <v>1</v>
      </c>
      <c r="L16" s="635">
        <v>0</v>
      </c>
      <c r="M16" s="636">
        <v>92</v>
      </c>
      <c r="N16" s="637">
        <v>46114</v>
      </c>
      <c r="O16" s="669" t="s">
        <v>56</v>
      </c>
      <c r="P16" s="137"/>
      <c r="Q16" s="487"/>
      <c r="R16" s="139"/>
      <c r="S16" s="140"/>
      <c r="T16" s="109"/>
      <c r="U16" s="110"/>
      <c r="V16" s="111"/>
      <c r="W16" s="111"/>
      <c r="X16" s="112"/>
      <c r="Y16" s="107"/>
      <c r="Z16" s="108"/>
      <c r="AA16" s="108"/>
      <c r="AB16" s="113"/>
      <c r="AC16" s="114"/>
      <c r="AD16" s="111"/>
      <c r="AE16" s="111"/>
      <c r="AF16" s="115"/>
      <c r="AG16" s="116"/>
      <c r="AH16" s="116"/>
      <c r="AI16" s="116"/>
      <c r="AJ16" s="498"/>
      <c r="AK16" s="484"/>
      <c r="AL16" s="497"/>
      <c r="AM16" s="111"/>
    </row>
    <row r="17" spans="1:63" s="99" customFormat="1" ht="117.65" hidden="1" customHeight="1" x14ac:dyDescent="0.35">
      <c r="A17" s="106">
        <v>3</v>
      </c>
      <c r="B17" s="106">
        <v>2</v>
      </c>
      <c r="C17" s="819" t="s">
        <v>814</v>
      </c>
      <c r="D17" s="680" t="s">
        <v>818</v>
      </c>
      <c r="E17" s="691" t="s">
        <v>819</v>
      </c>
      <c r="F17" s="681" t="s">
        <v>117</v>
      </c>
      <c r="G17" s="682">
        <v>0</v>
      </c>
      <c r="H17" s="683">
        <v>92</v>
      </c>
      <c r="I17" s="684">
        <v>46114</v>
      </c>
      <c r="J17" s="685" t="s">
        <v>56</v>
      </c>
      <c r="K17" s="94">
        <f t="shared" si="0"/>
        <v>1</v>
      </c>
      <c r="L17" s="635">
        <v>0</v>
      </c>
      <c r="M17" s="636">
        <v>92</v>
      </c>
      <c r="N17" s="637">
        <v>46114</v>
      </c>
      <c r="O17" s="669" t="s">
        <v>56</v>
      </c>
      <c r="P17" s="137"/>
      <c r="Q17" s="487"/>
      <c r="R17" s="139"/>
      <c r="S17" s="140"/>
      <c r="T17" s="109"/>
      <c r="U17" s="110"/>
      <c r="V17" s="111"/>
      <c r="W17" s="111"/>
      <c r="X17" s="112"/>
      <c r="Y17" s="107"/>
      <c r="Z17" s="108"/>
      <c r="AA17" s="108"/>
      <c r="AB17" s="113"/>
      <c r="AC17" s="114"/>
      <c r="AD17" s="111"/>
      <c r="AE17" s="111"/>
      <c r="AF17" s="115"/>
      <c r="AG17" s="116"/>
      <c r="AH17" s="116"/>
      <c r="AI17" s="116"/>
      <c r="AJ17" s="498"/>
      <c r="AK17" s="484"/>
      <c r="AL17" s="497"/>
      <c r="AM17" s="111"/>
    </row>
    <row r="18" spans="1:63" s="99" customFormat="1" ht="46" hidden="1" customHeight="1" x14ac:dyDescent="0.35">
      <c r="A18" s="106">
        <v>4</v>
      </c>
      <c r="B18" s="106">
        <v>1</v>
      </c>
      <c r="C18" s="664" t="s">
        <v>820</v>
      </c>
      <c r="D18" s="680" t="s">
        <v>130</v>
      </c>
      <c r="E18" s="691" t="s">
        <v>821</v>
      </c>
      <c r="F18" s="681" t="s">
        <v>117</v>
      </c>
      <c r="G18" s="682">
        <v>2</v>
      </c>
      <c r="H18" s="683">
        <v>48</v>
      </c>
      <c r="I18" s="684">
        <v>46069</v>
      </c>
      <c r="J18" s="685" t="s">
        <v>56</v>
      </c>
      <c r="K18" s="94">
        <f t="shared" si="0"/>
        <v>1</v>
      </c>
      <c r="L18" s="95">
        <v>1</v>
      </c>
      <c r="M18" s="96">
        <v>12</v>
      </c>
      <c r="N18" s="97">
        <v>45995</v>
      </c>
      <c r="O18" s="98" t="s">
        <v>56</v>
      </c>
      <c r="P18" s="634">
        <v>2</v>
      </c>
      <c r="Q18" s="632">
        <v>48</v>
      </c>
      <c r="R18" s="633">
        <v>46069</v>
      </c>
      <c r="S18" s="642" t="s">
        <v>56</v>
      </c>
      <c r="T18" s="109"/>
      <c r="U18" s="110"/>
      <c r="V18" s="111"/>
      <c r="W18" s="111"/>
      <c r="X18" s="112"/>
      <c r="Y18" s="107"/>
      <c r="Z18" s="108"/>
      <c r="AA18" s="108"/>
      <c r="AB18" s="113"/>
      <c r="AC18" s="114"/>
      <c r="AD18" s="111"/>
      <c r="AE18" s="111"/>
      <c r="AF18" s="115"/>
      <c r="AG18" s="116"/>
      <c r="AH18" s="116"/>
      <c r="AI18" s="116"/>
      <c r="AJ18" s="498"/>
      <c r="AK18" s="484"/>
      <c r="AL18" s="497"/>
      <c r="AM18" s="114"/>
    </row>
    <row r="19" spans="1:63" s="99" customFormat="1" ht="46" hidden="1" customHeight="1" x14ac:dyDescent="0.35">
      <c r="A19" s="106">
        <v>5</v>
      </c>
      <c r="B19" s="106">
        <v>5</v>
      </c>
      <c r="C19" s="777" t="s">
        <v>822</v>
      </c>
      <c r="D19" s="686" t="s">
        <v>823</v>
      </c>
      <c r="E19" s="687" t="s">
        <v>824</v>
      </c>
      <c r="F19" s="681" t="s">
        <v>117</v>
      </c>
      <c r="G19" s="682">
        <v>3</v>
      </c>
      <c r="H19" s="683">
        <v>49</v>
      </c>
      <c r="I19" s="684">
        <v>46070</v>
      </c>
      <c r="J19" s="685" t="s">
        <v>56</v>
      </c>
      <c r="K19" s="94">
        <f t="shared" si="0"/>
        <v>3</v>
      </c>
      <c r="L19" s="95" t="s">
        <v>63</v>
      </c>
      <c r="M19" s="96">
        <v>2</v>
      </c>
      <c r="N19" s="97">
        <v>45938</v>
      </c>
      <c r="O19" s="98" t="s">
        <v>56</v>
      </c>
      <c r="P19" s="137">
        <v>0</v>
      </c>
      <c r="Q19" s="487">
        <v>7</v>
      </c>
      <c r="R19" s="139">
        <v>45964</v>
      </c>
      <c r="S19" s="140" t="s">
        <v>825</v>
      </c>
      <c r="T19" s="483">
        <v>1</v>
      </c>
      <c r="U19" s="486">
        <v>15</v>
      </c>
      <c r="V19" s="485">
        <v>46007</v>
      </c>
      <c r="W19" s="485" t="s">
        <v>56</v>
      </c>
      <c r="X19" s="112">
        <v>2</v>
      </c>
      <c r="Y19" s="116">
        <v>26</v>
      </c>
      <c r="Z19" s="108">
        <v>46034</v>
      </c>
      <c r="AA19" s="108" t="s">
        <v>73</v>
      </c>
      <c r="AB19" s="501">
        <v>3</v>
      </c>
      <c r="AC19" s="662">
        <v>49</v>
      </c>
      <c r="AD19" s="633">
        <v>46070</v>
      </c>
      <c r="AE19" s="633" t="s">
        <v>56</v>
      </c>
      <c r="AF19" s="115"/>
      <c r="AG19" s="116"/>
      <c r="AH19" s="108"/>
      <c r="AI19" s="108"/>
      <c r="AJ19" s="498"/>
      <c r="AK19" s="484"/>
      <c r="AL19" s="497"/>
      <c r="AM19" s="114"/>
    </row>
    <row r="20" spans="1:63" s="99" customFormat="1" ht="121.5" hidden="1" customHeight="1" x14ac:dyDescent="0.35">
      <c r="A20" s="106">
        <v>6</v>
      </c>
      <c r="B20" s="502">
        <v>21</v>
      </c>
      <c r="C20" s="777" t="s">
        <v>826</v>
      </c>
      <c r="D20" s="686" t="s">
        <v>827</v>
      </c>
      <c r="E20" s="687" t="s">
        <v>532</v>
      </c>
      <c r="F20" s="681" t="s">
        <v>117</v>
      </c>
      <c r="G20" s="682">
        <v>2</v>
      </c>
      <c r="H20" s="683">
        <v>94</v>
      </c>
      <c r="I20" s="684">
        <v>46125</v>
      </c>
      <c r="J20" s="685" t="s">
        <v>56</v>
      </c>
      <c r="K20" s="94">
        <f t="shared" ref="K20:K51" si="1">ROUNDUP(((COUNTA(L20:AI20)/4)/2),0)</f>
        <v>3</v>
      </c>
      <c r="L20" s="95" t="s">
        <v>63</v>
      </c>
      <c r="M20" s="96">
        <v>2</v>
      </c>
      <c r="N20" s="97">
        <v>45938</v>
      </c>
      <c r="O20" s="98" t="s">
        <v>56</v>
      </c>
      <c r="P20" s="100" t="s">
        <v>63</v>
      </c>
      <c r="Q20" s="92">
        <v>6</v>
      </c>
      <c r="R20" s="480">
        <v>45958</v>
      </c>
      <c r="S20" s="481" t="s">
        <v>56</v>
      </c>
      <c r="T20" s="483">
        <v>0</v>
      </c>
      <c r="U20" s="486">
        <v>7</v>
      </c>
      <c r="V20" s="485">
        <v>45964</v>
      </c>
      <c r="W20" s="485" t="s">
        <v>56</v>
      </c>
      <c r="X20" s="490" t="s">
        <v>200</v>
      </c>
      <c r="Y20" s="138">
        <v>8</v>
      </c>
      <c r="Z20" s="139">
        <v>45971</v>
      </c>
      <c r="AA20" s="139" t="s">
        <v>56</v>
      </c>
      <c r="AB20" s="498" t="s">
        <v>361</v>
      </c>
      <c r="AC20" s="484">
        <v>10</v>
      </c>
      <c r="AD20" s="497">
        <v>45993</v>
      </c>
      <c r="AE20" s="111" t="s">
        <v>56</v>
      </c>
      <c r="AF20" s="115" t="s">
        <v>363</v>
      </c>
      <c r="AG20" s="116">
        <v>13</v>
      </c>
      <c r="AH20" s="499">
        <v>46002</v>
      </c>
      <c r="AI20" s="138" t="s">
        <v>56</v>
      </c>
      <c r="AJ20" s="498" t="s">
        <v>365</v>
      </c>
      <c r="AK20" s="500">
        <v>18</v>
      </c>
      <c r="AL20" s="498">
        <v>46010</v>
      </c>
      <c r="AM20" s="44" t="s">
        <v>56</v>
      </c>
      <c r="AN20" s="138">
        <v>1</v>
      </c>
      <c r="AO20" s="138">
        <v>61</v>
      </c>
      <c r="AP20" s="731">
        <v>46086</v>
      </c>
      <c r="AQ20" s="138" t="s">
        <v>56</v>
      </c>
      <c r="AR20" s="641">
        <v>2</v>
      </c>
      <c r="AS20" s="641">
        <v>94</v>
      </c>
      <c r="AT20" s="662">
        <v>46125</v>
      </c>
      <c r="AU20" s="858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</row>
    <row r="21" spans="1:63" s="99" customFormat="1" ht="133.5" customHeight="1" x14ac:dyDescent="0.35">
      <c r="A21" s="106">
        <v>63</v>
      </c>
      <c r="B21" s="106">
        <v>7</v>
      </c>
      <c r="C21" s="777" t="s">
        <v>826</v>
      </c>
      <c r="D21" s="686" t="s">
        <v>346</v>
      </c>
      <c r="E21" s="720" t="s">
        <v>828</v>
      </c>
      <c r="F21" s="681" t="s">
        <v>117</v>
      </c>
      <c r="G21" s="842" t="s">
        <v>349</v>
      </c>
      <c r="H21" s="683">
        <v>90</v>
      </c>
      <c r="I21" s="684">
        <v>46113</v>
      </c>
      <c r="J21" s="685" t="s">
        <v>56</v>
      </c>
      <c r="K21" s="94">
        <f t="shared" si="1"/>
        <v>1</v>
      </c>
      <c r="L21" s="95">
        <v>2</v>
      </c>
      <c r="M21" s="96">
        <v>61</v>
      </c>
      <c r="N21" s="97">
        <v>46086</v>
      </c>
      <c r="O21" s="98" t="s">
        <v>56</v>
      </c>
      <c r="P21" s="634" t="s">
        <v>349</v>
      </c>
      <c r="Q21" s="632">
        <v>90</v>
      </c>
      <c r="R21" s="633">
        <v>46113</v>
      </c>
      <c r="S21" s="642" t="s">
        <v>56</v>
      </c>
      <c r="T21" s="109"/>
      <c r="U21" s="110"/>
      <c r="V21" s="111"/>
      <c r="W21" s="111"/>
      <c r="X21" s="112"/>
      <c r="Y21" s="107"/>
      <c r="Z21" s="108"/>
      <c r="AA21" s="108"/>
      <c r="AB21" s="113"/>
      <c r="AC21" s="114"/>
      <c r="AD21" s="114"/>
      <c r="AE21" s="114"/>
      <c r="AF21" s="115"/>
      <c r="AG21" s="116"/>
      <c r="AH21" s="116"/>
      <c r="AI21" s="116"/>
      <c r="AJ21" s="498"/>
      <c r="AK21" s="500"/>
      <c r="AM21" s="44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</row>
    <row r="22" spans="1:63" s="99" customFormat="1" ht="81" hidden="1" customHeight="1" x14ac:dyDescent="0.35">
      <c r="A22" s="106">
        <v>8</v>
      </c>
      <c r="B22" s="106">
        <v>9</v>
      </c>
      <c r="C22" s="777" t="s">
        <v>829</v>
      </c>
      <c r="D22" s="686" t="s">
        <v>342</v>
      </c>
      <c r="E22" s="688" t="s">
        <v>830</v>
      </c>
      <c r="F22" s="681" t="s">
        <v>117</v>
      </c>
      <c r="G22" s="682">
        <v>2</v>
      </c>
      <c r="H22" s="683">
        <v>85</v>
      </c>
      <c r="I22" s="684">
        <v>46107</v>
      </c>
      <c r="J22" s="685" t="s">
        <v>56</v>
      </c>
      <c r="K22" s="94">
        <f t="shared" si="1"/>
        <v>3</v>
      </c>
      <c r="L22" s="488">
        <v>0</v>
      </c>
      <c r="M22" s="486">
        <v>7</v>
      </c>
      <c r="N22" s="485">
        <v>45964</v>
      </c>
      <c r="O22" s="489" t="s">
        <v>56</v>
      </c>
      <c r="P22" s="137" t="s">
        <v>200</v>
      </c>
      <c r="Q22" s="138">
        <v>11</v>
      </c>
      <c r="R22" s="139">
        <v>45992</v>
      </c>
      <c r="S22" s="140" t="s">
        <v>56</v>
      </c>
      <c r="T22" s="483">
        <v>1</v>
      </c>
      <c r="U22" s="486">
        <v>20</v>
      </c>
      <c r="V22" s="485">
        <v>46022</v>
      </c>
      <c r="W22" s="485" t="s">
        <v>73</v>
      </c>
      <c r="X22" s="490" t="s">
        <v>222</v>
      </c>
      <c r="Y22" s="138">
        <v>72</v>
      </c>
      <c r="Z22" s="139">
        <v>46098</v>
      </c>
      <c r="AA22" s="139" t="s">
        <v>56</v>
      </c>
      <c r="AB22" s="501">
        <v>2</v>
      </c>
      <c r="AC22" s="641">
        <v>85</v>
      </c>
      <c r="AD22" s="662">
        <v>46107</v>
      </c>
      <c r="AE22" s="662" t="s">
        <v>56</v>
      </c>
      <c r="AF22" s="115"/>
      <c r="AG22" s="116"/>
      <c r="AH22" s="116"/>
      <c r="AI22" s="116"/>
      <c r="AJ22" s="41"/>
      <c r="AK22" s="498"/>
      <c r="AL22" s="500"/>
      <c r="AM22" s="44"/>
    </row>
    <row r="23" spans="1:63" s="99" customFormat="1" ht="46" hidden="1" customHeight="1" x14ac:dyDescent="0.35">
      <c r="A23" s="106">
        <v>9</v>
      </c>
      <c r="B23" s="106">
        <v>5</v>
      </c>
      <c r="C23" s="663" t="s">
        <v>831</v>
      </c>
      <c r="D23" s="694" t="s">
        <v>832</v>
      </c>
      <c r="E23" s="696" t="s">
        <v>833</v>
      </c>
      <c r="F23" s="681" t="s">
        <v>117</v>
      </c>
      <c r="G23" s="682">
        <v>0</v>
      </c>
      <c r="H23" s="683">
        <v>14</v>
      </c>
      <c r="I23" s="684">
        <v>46006</v>
      </c>
      <c r="J23" s="685" t="s">
        <v>56</v>
      </c>
      <c r="K23" s="94">
        <f t="shared" si="1"/>
        <v>1</v>
      </c>
      <c r="L23" s="482">
        <v>0</v>
      </c>
      <c r="M23" s="96">
        <v>14</v>
      </c>
      <c r="N23" s="97">
        <v>46006</v>
      </c>
      <c r="O23" s="293" t="s">
        <v>56</v>
      </c>
      <c r="P23" s="137"/>
      <c r="Q23" s="138"/>
      <c r="R23" s="139"/>
      <c r="S23" s="140"/>
      <c r="T23" s="109"/>
      <c r="U23" s="110"/>
      <c r="V23" s="111"/>
      <c r="W23" s="119"/>
      <c r="X23" s="112"/>
      <c r="Y23" s="107"/>
      <c r="Z23" s="108"/>
      <c r="AA23" s="108"/>
      <c r="AB23" s="113"/>
      <c r="AC23" s="114"/>
      <c r="AD23" s="114"/>
      <c r="AE23" s="114"/>
      <c r="AF23" s="115"/>
      <c r="AG23" s="116"/>
      <c r="AH23" s="116"/>
      <c r="AI23" s="116"/>
      <c r="AJ23" s="41"/>
      <c r="AK23" s="498"/>
      <c r="AL23" s="500"/>
      <c r="AM23" s="44"/>
    </row>
    <row r="24" spans="1:63" s="99" customFormat="1" ht="114" hidden="1" customHeight="1" x14ac:dyDescent="0.35">
      <c r="A24" s="106">
        <v>10</v>
      </c>
      <c r="B24" s="502">
        <v>15</v>
      </c>
      <c r="C24" s="831" t="s">
        <v>834</v>
      </c>
      <c r="D24" s="702" t="s">
        <v>579</v>
      </c>
      <c r="E24" s="733" t="s">
        <v>580</v>
      </c>
      <c r="F24" s="681" t="s">
        <v>117</v>
      </c>
      <c r="G24" s="682">
        <v>2</v>
      </c>
      <c r="H24" s="683">
        <v>81</v>
      </c>
      <c r="I24" s="684" t="s">
        <v>835</v>
      </c>
      <c r="J24" s="685" t="s">
        <v>56</v>
      </c>
      <c r="K24" s="94">
        <f t="shared" si="1"/>
        <v>2</v>
      </c>
      <c r="L24" s="482">
        <v>0</v>
      </c>
      <c r="M24" s="96">
        <v>42</v>
      </c>
      <c r="N24" s="97">
        <v>46056</v>
      </c>
      <c r="O24" s="293" t="s">
        <v>56</v>
      </c>
      <c r="P24" s="137">
        <v>1</v>
      </c>
      <c r="Q24" s="487">
        <v>50</v>
      </c>
      <c r="R24" s="139">
        <v>46071</v>
      </c>
      <c r="S24" s="140" t="s">
        <v>73</v>
      </c>
      <c r="T24" s="483" t="s">
        <v>222</v>
      </c>
      <c r="U24" s="486">
        <v>68</v>
      </c>
      <c r="V24" s="485">
        <v>46094</v>
      </c>
      <c r="W24" s="111" t="s">
        <v>73</v>
      </c>
      <c r="X24" s="112">
        <v>2</v>
      </c>
      <c r="Y24" s="107">
        <v>81</v>
      </c>
      <c r="Z24" s="108">
        <v>46106</v>
      </c>
      <c r="AA24" s="108"/>
      <c r="AB24" s="113"/>
      <c r="AC24" s="114"/>
      <c r="AD24" s="114"/>
      <c r="AE24" s="114"/>
      <c r="AF24" s="115"/>
      <c r="AG24" s="116"/>
      <c r="AH24" s="116"/>
      <c r="AI24" s="116"/>
      <c r="AJ24" s="498"/>
      <c r="AK24" s="500"/>
      <c r="AL24" s="498"/>
      <c r="AM24" s="44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</row>
    <row r="25" spans="1:63" s="99" customFormat="1" ht="81" hidden="1" customHeight="1" thickBot="1" x14ac:dyDescent="0.4">
      <c r="A25" s="106">
        <v>11</v>
      </c>
      <c r="B25" s="106">
        <v>11</v>
      </c>
      <c r="C25" s="777" t="s">
        <v>829</v>
      </c>
      <c r="D25" s="686" t="s">
        <v>397</v>
      </c>
      <c r="E25" s="688" t="s">
        <v>836</v>
      </c>
      <c r="F25" s="681" t="s">
        <v>117</v>
      </c>
      <c r="G25" s="682">
        <v>2</v>
      </c>
      <c r="H25" s="683">
        <v>85</v>
      </c>
      <c r="I25" s="684">
        <v>46107</v>
      </c>
      <c r="J25" s="685" t="s">
        <v>56</v>
      </c>
      <c r="K25" s="94">
        <f t="shared" si="1"/>
        <v>2</v>
      </c>
      <c r="L25" s="483">
        <v>0</v>
      </c>
      <c r="M25" s="486">
        <v>7</v>
      </c>
      <c r="N25" s="485">
        <v>45964</v>
      </c>
      <c r="O25" s="485" t="s">
        <v>56</v>
      </c>
      <c r="P25" s="137" t="s">
        <v>200</v>
      </c>
      <c r="Q25" s="138">
        <v>11</v>
      </c>
      <c r="R25" s="139">
        <v>45992</v>
      </c>
      <c r="S25" s="140" t="s">
        <v>56</v>
      </c>
      <c r="T25" s="483">
        <v>1</v>
      </c>
      <c r="U25" s="486">
        <v>20</v>
      </c>
      <c r="V25" s="485">
        <v>46022</v>
      </c>
      <c r="W25" s="485" t="s">
        <v>73</v>
      </c>
      <c r="X25" s="501">
        <v>2</v>
      </c>
      <c r="Y25" s="641">
        <v>85</v>
      </c>
      <c r="Z25" s="633">
        <v>46107</v>
      </c>
      <c r="AA25" s="633" t="s">
        <v>56</v>
      </c>
      <c r="AB25" s="113"/>
      <c r="AC25" s="114"/>
      <c r="AD25" s="114"/>
      <c r="AE25" s="114"/>
      <c r="AF25" s="115"/>
      <c r="AG25" s="116"/>
      <c r="AH25" s="116"/>
      <c r="AI25" s="116"/>
      <c r="AJ25" s="41"/>
      <c r="AK25" s="498"/>
      <c r="AL25" s="44"/>
      <c r="AM25" s="44"/>
    </row>
    <row r="26" spans="1:63" s="99" customFormat="1" ht="46" hidden="1" customHeight="1" x14ac:dyDescent="0.35">
      <c r="A26" s="106">
        <v>12</v>
      </c>
      <c r="B26" s="106">
        <v>5</v>
      </c>
      <c r="C26" s="665" t="s">
        <v>837</v>
      </c>
      <c r="D26" s="695" t="s">
        <v>838</v>
      </c>
      <c r="E26" s="696" t="s">
        <v>839</v>
      </c>
      <c r="F26" s="681" t="s">
        <v>117</v>
      </c>
      <c r="G26" s="682">
        <v>0</v>
      </c>
      <c r="H26" s="683">
        <v>14</v>
      </c>
      <c r="I26" s="684">
        <v>46006</v>
      </c>
      <c r="J26" s="685" t="s">
        <v>56</v>
      </c>
      <c r="K26" s="94">
        <f t="shared" si="1"/>
        <v>1</v>
      </c>
      <c r="L26" s="482">
        <v>0</v>
      </c>
      <c r="M26" s="96">
        <v>14</v>
      </c>
      <c r="N26" s="97">
        <v>46006</v>
      </c>
      <c r="O26" s="293" t="s">
        <v>56</v>
      </c>
      <c r="P26" s="137"/>
      <c r="Q26" s="138"/>
      <c r="R26" s="139"/>
      <c r="S26" s="140"/>
      <c r="T26" s="109"/>
      <c r="U26" s="110"/>
      <c r="V26" s="111"/>
      <c r="W26" s="111"/>
      <c r="X26" s="115"/>
      <c r="Y26" s="116"/>
      <c r="Z26" s="108"/>
      <c r="AA26" s="108"/>
      <c r="AB26" s="113"/>
      <c r="AC26" s="114"/>
      <c r="AD26" s="114"/>
      <c r="AE26" s="114"/>
      <c r="AF26" s="115"/>
      <c r="AG26" s="116"/>
      <c r="AH26" s="116"/>
      <c r="AI26" s="116"/>
      <c r="AJ26" s="56"/>
      <c r="AK26" s="55"/>
      <c r="AL26" s="57"/>
      <c r="AM26" s="69"/>
    </row>
    <row r="27" spans="1:63" s="99" customFormat="1" ht="81" hidden="1" customHeight="1" x14ac:dyDescent="0.35">
      <c r="A27" s="106">
        <v>13</v>
      </c>
      <c r="B27" s="106">
        <v>11</v>
      </c>
      <c r="C27" s="777" t="s">
        <v>829</v>
      </c>
      <c r="D27" s="686" t="s">
        <v>412</v>
      </c>
      <c r="E27" s="688" t="s">
        <v>840</v>
      </c>
      <c r="F27" s="681" t="s">
        <v>117</v>
      </c>
      <c r="G27" s="682">
        <v>2</v>
      </c>
      <c r="H27" s="683">
        <v>85</v>
      </c>
      <c r="I27" s="684">
        <v>46107</v>
      </c>
      <c r="J27" s="685" t="s">
        <v>56</v>
      </c>
      <c r="K27" s="94">
        <f t="shared" si="1"/>
        <v>2</v>
      </c>
      <c r="L27" s="483">
        <v>0</v>
      </c>
      <c r="M27" s="486">
        <v>7</v>
      </c>
      <c r="N27" s="485">
        <v>45964</v>
      </c>
      <c r="O27" s="485" t="s">
        <v>56</v>
      </c>
      <c r="P27" s="137" t="s">
        <v>200</v>
      </c>
      <c r="Q27" s="138">
        <v>11</v>
      </c>
      <c r="R27" s="139">
        <v>45992</v>
      </c>
      <c r="S27" s="140" t="s">
        <v>56</v>
      </c>
      <c r="T27" s="483">
        <v>1</v>
      </c>
      <c r="U27" s="486">
        <v>20</v>
      </c>
      <c r="V27" s="485">
        <v>46022</v>
      </c>
      <c r="W27" s="485" t="s">
        <v>73</v>
      </c>
      <c r="X27" s="501">
        <v>2</v>
      </c>
      <c r="Y27" s="641">
        <v>85</v>
      </c>
      <c r="Z27" s="633">
        <v>46107</v>
      </c>
      <c r="AA27" s="633" t="s">
        <v>56</v>
      </c>
      <c r="AB27" s="113"/>
      <c r="AC27" s="114"/>
      <c r="AD27" s="114"/>
      <c r="AE27" s="114"/>
      <c r="AF27" s="115"/>
      <c r="AG27" s="116"/>
      <c r="AH27" s="116"/>
      <c r="AI27" s="116"/>
      <c r="AJ27" s="498"/>
      <c r="AK27" s="484"/>
      <c r="AL27" s="497"/>
      <c r="AM27" s="111"/>
    </row>
    <row r="28" spans="1:63" s="99" customFormat="1" ht="106" hidden="1" customHeight="1" x14ac:dyDescent="0.35">
      <c r="A28" s="106">
        <v>14</v>
      </c>
      <c r="B28" s="502">
        <v>9</v>
      </c>
      <c r="C28" s="777" t="s">
        <v>841</v>
      </c>
      <c r="D28" s="686" t="s">
        <v>217</v>
      </c>
      <c r="E28" s="688" t="s">
        <v>218</v>
      </c>
      <c r="F28" s="681" t="s">
        <v>117</v>
      </c>
      <c r="G28" s="682" t="s">
        <v>219</v>
      </c>
      <c r="H28" s="690">
        <v>93</v>
      </c>
      <c r="I28" s="684">
        <v>46119</v>
      </c>
      <c r="J28" s="685" t="s">
        <v>56</v>
      </c>
      <c r="K28" s="94">
        <f t="shared" si="1"/>
        <v>3</v>
      </c>
      <c r="L28" s="483">
        <v>0</v>
      </c>
      <c r="M28" s="486">
        <v>7</v>
      </c>
      <c r="N28" s="485">
        <v>45964</v>
      </c>
      <c r="O28" s="485" t="s">
        <v>56</v>
      </c>
      <c r="P28" s="137" t="s">
        <v>200</v>
      </c>
      <c r="Q28" s="138">
        <v>14</v>
      </c>
      <c r="R28" s="139">
        <v>46006</v>
      </c>
      <c r="S28" s="140" t="s">
        <v>56</v>
      </c>
      <c r="T28" s="483">
        <v>1</v>
      </c>
      <c r="U28" s="110" t="s">
        <v>842</v>
      </c>
      <c r="V28" s="111">
        <v>46028</v>
      </c>
      <c r="W28" s="111" t="s">
        <v>56</v>
      </c>
      <c r="X28" s="490" t="s">
        <v>184</v>
      </c>
      <c r="Y28" s="138">
        <v>38</v>
      </c>
      <c r="Z28" s="139">
        <v>46049</v>
      </c>
      <c r="AA28" s="139" t="s">
        <v>56</v>
      </c>
      <c r="AB28" s="500" t="s">
        <v>223</v>
      </c>
      <c r="AC28" s="484">
        <v>71</v>
      </c>
      <c r="AD28" s="485">
        <v>46098</v>
      </c>
      <c r="AE28" s="484" t="s">
        <v>56</v>
      </c>
      <c r="AF28" s="717" t="s">
        <v>224</v>
      </c>
      <c r="AG28" s="138">
        <v>84</v>
      </c>
      <c r="AH28" s="731">
        <v>46107</v>
      </c>
      <c r="AI28" s="138" t="s">
        <v>56</v>
      </c>
      <c r="AJ28" s="848" t="s">
        <v>219</v>
      </c>
      <c r="AK28" s="641">
        <v>93</v>
      </c>
      <c r="AL28" s="662">
        <v>46119</v>
      </c>
      <c r="AM28" s="641" t="s">
        <v>56</v>
      </c>
    </row>
    <row r="29" spans="1:63" s="99" customFormat="1" ht="46" hidden="1" customHeight="1" x14ac:dyDescent="0.35">
      <c r="A29" s="106">
        <v>15</v>
      </c>
      <c r="B29" s="106">
        <v>1</v>
      </c>
      <c r="C29" s="663" t="s">
        <v>837</v>
      </c>
      <c r="D29" s="680" t="s">
        <v>843</v>
      </c>
      <c r="E29" s="689" t="s">
        <v>844</v>
      </c>
      <c r="F29" s="681" t="s">
        <v>117</v>
      </c>
      <c r="G29" s="682">
        <v>1</v>
      </c>
      <c r="H29" s="683">
        <v>16</v>
      </c>
      <c r="I29" s="684">
        <v>46008</v>
      </c>
      <c r="J29" s="685" t="s">
        <v>56</v>
      </c>
      <c r="K29" s="94">
        <f t="shared" si="1"/>
        <v>1</v>
      </c>
      <c r="L29" s="292">
        <v>0</v>
      </c>
      <c r="M29" s="102">
        <v>3</v>
      </c>
      <c r="N29" s="103">
        <v>45943</v>
      </c>
      <c r="O29" s="293" t="s">
        <v>56</v>
      </c>
      <c r="P29" s="137">
        <v>1</v>
      </c>
      <c r="Q29" s="138">
        <v>16</v>
      </c>
      <c r="R29" s="139">
        <v>46008</v>
      </c>
      <c r="S29" s="140" t="s">
        <v>56</v>
      </c>
      <c r="T29" s="109"/>
      <c r="U29" s="110"/>
      <c r="V29" s="111"/>
      <c r="W29" s="111"/>
      <c r="X29" s="117"/>
      <c r="Y29" s="116"/>
      <c r="Z29" s="108"/>
      <c r="AA29" s="108"/>
      <c r="AB29" s="118"/>
      <c r="AC29" s="114"/>
      <c r="AD29" s="111"/>
      <c r="AE29" s="111"/>
      <c r="AF29" s="115"/>
      <c r="AG29" s="116"/>
      <c r="AH29" s="116"/>
      <c r="AI29" s="116"/>
      <c r="AJ29" s="498"/>
      <c r="AK29" s="484"/>
      <c r="AL29" s="497"/>
      <c r="AM29" s="114"/>
    </row>
    <row r="30" spans="1:63" s="99" customFormat="1" ht="46" hidden="1" customHeight="1" x14ac:dyDescent="0.35">
      <c r="A30" s="106">
        <v>16</v>
      </c>
      <c r="B30" s="106">
        <v>3</v>
      </c>
      <c r="C30" s="663" t="s">
        <v>820</v>
      </c>
      <c r="D30" s="680" t="s">
        <v>845</v>
      </c>
      <c r="E30" s="689" t="s">
        <v>846</v>
      </c>
      <c r="F30" s="681" t="s">
        <v>117</v>
      </c>
      <c r="G30" s="682">
        <v>2</v>
      </c>
      <c r="H30" s="683">
        <v>43</v>
      </c>
      <c r="I30" s="684">
        <v>46056</v>
      </c>
      <c r="J30" s="685" t="s">
        <v>56</v>
      </c>
      <c r="K30" s="94">
        <f t="shared" si="1"/>
        <v>2</v>
      </c>
      <c r="L30" s="292">
        <v>0</v>
      </c>
      <c r="M30" s="102">
        <v>4</v>
      </c>
      <c r="N30" s="103">
        <v>45946</v>
      </c>
      <c r="O30" s="293" t="s">
        <v>56</v>
      </c>
      <c r="P30" s="137">
        <v>1</v>
      </c>
      <c r="Q30" s="487">
        <v>25</v>
      </c>
      <c r="R30" s="139">
        <v>46031</v>
      </c>
      <c r="S30" s="481" t="s">
        <v>56</v>
      </c>
      <c r="T30" s="652">
        <v>2</v>
      </c>
      <c r="U30" s="632">
        <v>43</v>
      </c>
      <c r="V30" s="633">
        <v>46056</v>
      </c>
      <c r="W30" s="633" t="s">
        <v>56</v>
      </c>
      <c r="X30" s="115"/>
      <c r="Y30" s="116"/>
      <c r="Z30" s="108"/>
      <c r="AA30" s="108"/>
      <c r="AB30" s="113"/>
      <c r="AC30" s="114"/>
      <c r="AD30" s="114"/>
      <c r="AE30" s="114"/>
      <c r="AF30" s="115"/>
      <c r="AG30" s="116"/>
      <c r="AH30" s="116"/>
      <c r="AI30" s="116"/>
      <c r="AJ30" s="41"/>
      <c r="AK30" s="44"/>
      <c r="AL30" s="44"/>
      <c r="AM30" s="44"/>
    </row>
    <row r="31" spans="1:63" s="99" customFormat="1" ht="46" hidden="1" customHeight="1" x14ac:dyDescent="0.35">
      <c r="A31" s="106">
        <v>17</v>
      </c>
      <c r="B31" s="106">
        <v>1</v>
      </c>
      <c r="C31" s="663" t="s">
        <v>837</v>
      </c>
      <c r="D31" s="680" t="s">
        <v>847</v>
      </c>
      <c r="E31" s="691" t="s">
        <v>848</v>
      </c>
      <c r="F31" s="681" t="s">
        <v>117</v>
      </c>
      <c r="G31" s="682">
        <v>1</v>
      </c>
      <c r="H31" s="683">
        <v>5</v>
      </c>
      <c r="I31" s="684">
        <v>45946</v>
      </c>
      <c r="J31" s="685" t="s">
        <v>56</v>
      </c>
      <c r="K31" s="94">
        <f t="shared" si="1"/>
        <v>1</v>
      </c>
      <c r="L31" s="292">
        <v>0</v>
      </c>
      <c r="M31" s="102">
        <v>4</v>
      </c>
      <c r="N31" s="103">
        <v>45946</v>
      </c>
      <c r="O31" s="293" t="s">
        <v>56</v>
      </c>
      <c r="P31" s="137">
        <v>1</v>
      </c>
      <c r="Q31" s="138">
        <v>5</v>
      </c>
      <c r="R31" s="139">
        <v>45958</v>
      </c>
      <c r="S31" s="140" t="s">
        <v>56</v>
      </c>
      <c r="T31" s="109"/>
      <c r="U31" s="110"/>
      <c r="V31" s="111"/>
      <c r="W31" s="111"/>
      <c r="X31" s="117"/>
      <c r="Y31" s="116"/>
      <c r="Z31" s="108"/>
      <c r="AA31" s="108"/>
      <c r="AB31" s="113"/>
      <c r="AC31" s="114"/>
      <c r="AD31" s="114"/>
      <c r="AE31" s="114"/>
      <c r="AF31" s="115"/>
      <c r="AG31" s="116"/>
      <c r="AH31" s="116"/>
      <c r="AI31" s="116"/>
      <c r="AJ31" s="41"/>
      <c r="AK31" s="44"/>
      <c r="AL31" s="44"/>
      <c r="AM31" s="44"/>
    </row>
    <row r="32" spans="1:63" s="99" customFormat="1" ht="61" hidden="1" customHeight="1" x14ac:dyDescent="0.35">
      <c r="A32" s="106">
        <v>18</v>
      </c>
      <c r="B32" s="502">
        <v>2</v>
      </c>
      <c r="C32" s="780" t="s">
        <v>849</v>
      </c>
      <c r="D32" s="680" t="s">
        <v>850</v>
      </c>
      <c r="E32" s="689" t="s">
        <v>851</v>
      </c>
      <c r="F32" s="681" t="s">
        <v>117</v>
      </c>
      <c r="G32" s="682">
        <v>2</v>
      </c>
      <c r="H32" s="683">
        <v>44</v>
      </c>
      <c r="I32" s="684">
        <v>46056</v>
      </c>
      <c r="J32" s="685" t="s">
        <v>56</v>
      </c>
      <c r="K32" s="94">
        <f t="shared" si="1"/>
        <v>2</v>
      </c>
      <c r="L32" s="101">
        <v>0</v>
      </c>
      <c r="M32" s="102">
        <v>4</v>
      </c>
      <c r="N32" s="103">
        <v>45946</v>
      </c>
      <c r="O32" s="293" t="s">
        <v>56</v>
      </c>
      <c r="P32" s="137">
        <v>1</v>
      </c>
      <c r="Q32" s="138">
        <v>5</v>
      </c>
      <c r="R32" s="139">
        <v>45958</v>
      </c>
      <c r="S32" s="140" t="s">
        <v>56</v>
      </c>
      <c r="T32" s="652">
        <v>2</v>
      </c>
      <c r="U32" s="632">
        <v>44</v>
      </c>
      <c r="V32" s="633">
        <v>46056</v>
      </c>
      <c r="W32" s="633" t="s">
        <v>56</v>
      </c>
      <c r="X32" s="112"/>
      <c r="Y32" s="107"/>
      <c r="Z32" s="108"/>
      <c r="AA32" s="108"/>
      <c r="AB32" s="113"/>
      <c r="AC32" s="114"/>
      <c r="AD32" s="111"/>
      <c r="AE32" s="111"/>
      <c r="AF32" s="115"/>
      <c r="AG32" s="116"/>
      <c r="AH32" s="108"/>
      <c r="AI32" s="108"/>
      <c r="AJ32" s="41"/>
      <c r="AK32" s="44"/>
      <c r="AL32" s="44"/>
      <c r="AM32" s="44"/>
    </row>
    <row r="33" spans="1:39" s="99" customFormat="1" ht="46" hidden="1" customHeight="1" x14ac:dyDescent="0.35">
      <c r="A33" s="106">
        <v>19</v>
      </c>
      <c r="B33" s="106">
        <v>2</v>
      </c>
      <c r="C33" s="663" t="s">
        <v>852</v>
      </c>
      <c r="D33" s="680" t="s">
        <v>853</v>
      </c>
      <c r="E33" s="689" t="s">
        <v>854</v>
      </c>
      <c r="F33" s="681" t="s">
        <v>117</v>
      </c>
      <c r="G33" s="682">
        <v>0</v>
      </c>
      <c r="H33" s="683">
        <v>9</v>
      </c>
      <c r="I33" s="684">
        <v>45972</v>
      </c>
      <c r="J33" s="685" t="s">
        <v>56</v>
      </c>
      <c r="K33" s="94">
        <f t="shared" si="1"/>
        <v>1</v>
      </c>
      <c r="L33" s="101">
        <v>0</v>
      </c>
      <c r="M33" s="102">
        <v>9</v>
      </c>
      <c r="N33" s="103">
        <v>45972</v>
      </c>
      <c r="O33" s="293" t="s">
        <v>56</v>
      </c>
      <c r="P33" s="100"/>
      <c r="Q33" s="92"/>
      <c r="R33" s="480"/>
      <c r="S33" s="140"/>
      <c r="T33" s="109"/>
      <c r="U33" s="114"/>
      <c r="V33" s="111"/>
      <c r="W33" s="111"/>
      <c r="X33" s="112"/>
      <c r="Y33" s="107"/>
      <c r="Z33" s="108"/>
      <c r="AA33" s="108"/>
      <c r="AB33" s="113"/>
      <c r="AC33" s="114"/>
      <c r="AD33" s="111"/>
      <c r="AE33" s="111"/>
      <c r="AF33" s="115"/>
      <c r="AG33" s="116"/>
      <c r="AH33" s="116"/>
      <c r="AI33" s="116"/>
      <c r="AJ33" s="41"/>
      <c r="AK33" s="44"/>
      <c r="AL33" s="44"/>
      <c r="AM33" s="44"/>
    </row>
    <row r="34" spans="1:39" s="99" customFormat="1" ht="46" hidden="1" customHeight="1" x14ac:dyDescent="0.35">
      <c r="A34" s="106">
        <v>20</v>
      </c>
      <c r="B34" s="106">
        <v>2</v>
      </c>
      <c r="C34" s="663" t="s">
        <v>852</v>
      </c>
      <c r="D34" s="680" t="s">
        <v>855</v>
      </c>
      <c r="E34" s="689" t="s">
        <v>856</v>
      </c>
      <c r="F34" s="681" t="s">
        <v>117</v>
      </c>
      <c r="G34" s="682">
        <v>0</v>
      </c>
      <c r="H34" s="683">
        <v>9</v>
      </c>
      <c r="I34" s="684">
        <v>45972</v>
      </c>
      <c r="J34" s="685" t="s">
        <v>56</v>
      </c>
      <c r="K34" s="94">
        <f t="shared" si="1"/>
        <v>1</v>
      </c>
      <c r="L34" s="101">
        <v>0</v>
      </c>
      <c r="M34" s="102">
        <v>9</v>
      </c>
      <c r="N34" s="103">
        <v>45973</v>
      </c>
      <c r="O34" s="293" t="s">
        <v>56</v>
      </c>
      <c r="P34" s="137"/>
      <c r="Q34" s="138"/>
      <c r="R34" s="139"/>
      <c r="S34" s="140"/>
      <c r="T34" s="109"/>
      <c r="U34" s="110"/>
      <c r="V34" s="111"/>
      <c r="W34" s="111"/>
      <c r="X34" s="718"/>
      <c r="Y34" s="107"/>
      <c r="Z34" s="108"/>
      <c r="AA34" s="108"/>
      <c r="AB34" s="113"/>
      <c r="AC34" s="114"/>
      <c r="AD34" s="114"/>
      <c r="AE34" s="114"/>
      <c r="AF34" s="115"/>
      <c r="AG34" s="116"/>
      <c r="AH34" s="116"/>
      <c r="AI34" s="116"/>
      <c r="AJ34" s="41"/>
      <c r="AK34" s="44"/>
      <c r="AL34" s="44"/>
      <c r="AM34" s="44"/>
    </row>
    <row r="35" spans="1:39" s="99" customFormat="1" ht="46" hidden="1" customHeight="1" thickBot="1" x14ac:dyDescent="0.4">
      <c r="A35" s="106">
        <v>21</v>
      </c>
      <c r="B35" s="106">
        <v>2</v>
      </c>
      <c r="C35" s="663" t="s">
        <v>852</v>
      </c>
      <c r="D35" s="680" t="s">
        <v>857</v>
      </c>
      <c r="E35" s="689" t="s">
        <v>858</v>
      </c>
      <c r="F35" s="681" t="s">
        <v>117</v>
      </c>
      <c r="G35" s="682">
        <v>0</v>
      </c>
      <c r="H35" s="683">
        <v>9</v>
      </c>
      <c r="I35" s="684">
        <v>45973</v>
      </c>
      <c r="J35" s="685" t="s">
        <v>56</v>
      </c>
      <c r="K35" s="94">
        <f t="shared" si="1"/>
        <v>1</v>
      </c>
      <c r="L35" s="101">
        <v>0</v>
      </c>
      <c r="M35" s="102">
        <v>9</v>
      </c>
      <c r="N35" s="103">
        <v>45974</v>
      </c>
      <c r="O35" s="293" t="s">
        <v>56</v>
      </c>
      <c r="P35" s="137"/>
      <c r="Q35" s="138"/>
      <c r="R35" s="139"/>
      <c r="S35" s="140"/>
      <c r="T35" s="109"/>
      <c r="U35" s="110"/>
      <c r="V35" s="111"/>
      <c r="W35" s="111"/>
      <c r="X35" s="117"/>
      <c r="Y35" s="116"/>
      <c r="Z35" s="108"/>
      <c r="AA35" s="108"/>
      <c r="AB35" s="113"/>
      <c r="AC35" s="114"/>
      <c r="AD35" s="114"/>
      <c r="AE35" s="114"/>
      <c r="AF35" s="115"/>
      <c r="AG35" s="116"/>
      <c r="AH35" s="116"/>
      <c r="AI35" s="116"/>
      <c r="AJ35" s="41"/>
      <c r="AK35" s="44"/>
      <c r="AL35" s="44"/>
      <c r="AM35" s="44"/>
    </row>
    <row r="36" spans="1:39" s="99" customFormat="1" ht="73.5" hidden="1" customHeight="1" x14ac:dyDescent="0.35">
      <c r="A36" s="106">
        <v>22</v>
      </c>
      <c r="B36" s="502">
        <v>11</v>
      </c>
      <c r="C36" s="777" t="s">
        <v>859</v>
      </c>
      <c r="D36" s="686" t="s">
        <v>228</v>
      </c>
      <c r="E36" s="688" t="s">
        <v>229</v>
      </c>
      <c r="F36" s="681" t="s">
        <v>117</v>
      </c>
      <c r="G36" s="682" t="s">
        <v>224</v>
      </c>
      <c r="H36" s="690">
        <v>87</v>
      </c>
      <c r="I36" s="684">
        <v>46107</v>
      </c>
      <c r="J36" s="685" t="s">
        <v>56</v>
      </c>
      <c r="K36" s="94">
        <f t="shared" si="1"/>
        <v>3</v>
      </c>
      <c r="L36" s="488">
        <v>0</v>
      </c>
      <c r="M36" s="486">
        <v>7</v>
      </c>
      <c r="N36" s="485">
        <v>45964</v>
      </c>
      <c r="O36" s="485" t="s">
        <v>56</v>
      </c>
      <c r="P36" s="137" t="s">
        <v>200</v>
      </c>
      <c r="Q36" s="138">
        <v>14</v>
      </c>
      <c r="R36" s="139">
        <v>46006</v>
      </c>
      <c r="S36" s="140" t="s">
        <v>56</v>
      </c>
      <c r="T36" s="483">
        <v>1</v>
      </c>
      <c r="U36" s="486" t="s">
        <v>842</v>
      </c>
      <c r="V36" s="111">
        <v>46028</v>
      </c>
      <c r="W36" s="111" t="s">
        <v>56</v>
      </c>
      <c r="X36" s="490" t="s">
        <v>184</v>
      </c>
      <c r="Y36" s="138">
        <v>38</v>
      </c>
      <c r="Z36" s="139">
        <v>46049</v>
      </c>
      <c r="AA36" s="139" t="s">
        <v>56</v>
      </c>
      <c r="AB36" s="838" t="s">
        <v>223</v>
      </c>
      <c r="AC36" s="839">
        <v>71</v>
      </c>
      <c r="AD36" s="840">
        <v>46098</v>
      </c>
      <c r="AE36" s="839" t="s">
        <v>56</v>
      </c>
      <c r="AF36" s="501" t="s">
        <v>224</v>
      </c>
      <c r="AG36" s="641">
        <v>87</v>
      </c>
      <c r="AH36" s="662">
        <v>46107</v>
      </c>
      <c r="AI36" s="116"/>
      <c r="AJ36" s="56"/>
      <c r="AK36" s="55"/>
      <c r="AL36" s="57"/>
      <c r="AM36" s="69"/>
    </row>
    <row r="37" spans="1:39" s="99" customFormat="1" ht="73.5" hidden="1" customHeight="1" x14ac:dyDescent="0.35">
      <c r="A37" s="106">
        <v>23</v>
      </c>
      <c r="B37" s="106">
        <v>11</v>
      </c>
      <c r="C37" s="777" t="s">
        <v>859</v>
      </c>
      <c r="D37" s="686" t="s">
        <v>285</v>
      </c>
      <c r="E37" s="688" t="s">
        <v>286</v>
      </c>
      <c r="F37" s="681" t="s">
        <v>117</v>
      </c>
      <c r="G37" s="682" t="s">
        <v>224</v>
      </c>
      <c r="H37" s="690">
        <v>87</v>
      </c>
      <c r="I37" s="684">
        <v>46107</v>
      </c>
      <c r="J37" s="685" t="s">
        <v>56</v>
      </c>
      <c r="K37" s="94">
        <f t="shared" si="1"/>
        <v>3</v>
      </c>
      <c r="L37" s="488">
        <v>0</v>
      </c>
      <c r="M37" s="486">
        <v>7</v>
      </c>
      <c r="N37" s="485">
        <v>45964</v>
      </c>
      <c r="O37" s="485" t="s">
        <v>56</v>
      </c>
      <c r="P37" s="137" t="s">
        <v>200</v>
      </c>
      <c r="Q37" s="138">
        <v>14</v>
      </c>
      <c r="R37" s="139">
        <v>46006</v>
      </c>
      <c r="S37" s="140" t="s">
        <v>56</v>
      </c>
      <c r="T37" s="483">
        <v>1</v>
      </c>
      <c r="U37" s="486" t="s">
        <v>842</v>
      </c>
      <c r="V37" s="111">
        <v>46028</v>
      </c>
      <c r="W37" s="111" t="s">
        <v>56</v>
      </c>
      <c r="X37" s="490" t="s">
        <v>184</v>
      </c>
      <c r="Y37" s="138">
        <v>38</v>
      </c>
      <c r="Z37" s="139">
        <v>46049</v>
      </c>
      <c r="AA37" s="139" t="s">
        <v>56</v>
      </c>
      <c r="AB37" s="838" t="s">
        <v>223</v>
      </c>
      <c r="AC37" s="839">
        <v>71</v>
      </c>
      <c r="AD37" s="840">
        <v>46098</v>
      </c>
      <c r="AE37" s="839" t="s">
        <v>56</v>
      </c>
      <c r="AF37" s="501" t="s">
        <v>224</v>
      </c>
      <c r="AG37" s="641">
        <v>87</v>
      </c>
      <c r="AH37" s="662">
        <v>46107</v>
      </c>
      <c r="AI37" s="116"/>
      <c r="AJ37" s="498"/>
      <c r="AK37" s="484"/>
      <c r="AL37" s="497"/>
      <c r="AM37" s="111"/>
    </row>
    <row r="38" spans="1:39" s="99" customFormat="1" ht="46" hidden="1" customHeight="1" x14ac:dyDescent="0.35">
      <c r="A38" s="106">
        <v>24</v>
      </c>
      <c r="B38" s="106">
        <v>1</v>
      </c>
      <c r="C38" s="778" t="s">
        <v>860</v>
      </c>
      <c r="D38" s="695" t="s">
        <v>861</v>
      </c>
      <c r="E38" s="696" t="s">
        <v>862</v>
      </c>
      <c r="F38" s="681" t="s">
        <v>117</v>
      </c>
      <c r="G38" s="682">
        <v>1</v>
      </c>
      <c r="H38" s="683">
        <v>18</v>
      </c>
      <c r="I38" s="684">
        <v>46010</v>
      </c>
      <c r="J38" s="685" t="s">
        <v>56</v>
      </c>
      <c r="K38" s="94">
        <f t="shared" si="1"/>
        <v>1</v>
      </c>
      <c r="L38" s="95">
        <v>0</v>
      </c>
      <c r="M38" s="96">
        <v>16</v>
      </c>
      <c r="N38" s="97">
        <v>46008</v>
      </c>
      <c r="O38" s="485" t="s">
        <v>56</v>
      </c>
      <c r="P38" s="137">
        <v>1</v>
      </c>
      <c r="Q38" s="138">
        <v>18</v>
      </c>
      <c r="R38" s="139">
        <v>46010</v>
      </c>
      <c r="S38" s="140" t="s">
        <v>56</v>
      </c>
      <c r="T38" s="109"/>
      <c r="U38" s="110"/>
      <c r="V38" s="111"/>
      <c r="W38" s="111"/>
      <c r="X38" s="115"/>
      <c r="Y38" s="116"/>
      <c r="Z38" s="108"/>
      <c r="AA38" s="108"/>
      <c r="AB38" s="113"/>
      <c r="AC38" s="114"/>
      <c r="AD38" s="114"/>
      <c r="AE38" s="114"/>
      <c r="AF38" s="115"/>
      <c r="AG38" s="116"/>
      <c r="AH38" s="116"/>
      <c r="AI38" s="116"/>
      <c r="AJ38" s="498"/>
      <c r="AK38" s="484"/>
      <c r="AL38" s="497"/>
      <c r="AM38" s="111"/>
    </row>
    <row r="39" spans="1:39" s="99" customFormat="1" ht="46" hidden="1" customHeight="1" x14ac:dyDescent="0.35">
      <c r="A39" s="106">
        <v>25</v>
      </c>
      <c r="B39" s="106">
        <v>2</v>
      </c>
      <c r="C39" s="664" t="s">
        <v>820</v>
      </c>
      <c r="D39" s="694" t="s">
        <v>863</v>
      </c>
      <c r="E39" s="693" t="s">
        <v>864</v>
      </c>
      <c r="F39" s="681" t="s">
        <v>117</v>
      </c>
      <c r="G39" s="682">
        <v>3</v>
      </c>
      <c r="H39" s="683">
        <v>36</v>
      </c>
      <c r="I39" s="684">
        <v>46042</v>
      </c>
      <c r="J39" s="685" t="s">
        <v>56</v>
      </c>
      <c r="K39" s="94">
        <f t="shared" si="1"/>
        <v>2</v>
      </c>
      <c r="L39" s="95">
        <v>0</v>
      </c>
      <c r="M39" s="96">
        <v>17</v>
      </c>
      <c r="N39" s="97">
        <v>46008</v>
      </c>
      <c r="O39" s="485" t="s">
        <v>56</v>
      </c>
      <c r="P39" s="503">
        <v>1</v>
      </c>
      <c r="Q39" s="138">
        <v>24</v>
      </c>
      <c r="R39" s="139">
        <v>46029</v>
      </c>
      <c r="S39" s="481" t="s">
        <v>56</v>
      </c>
      <c r="T39" s="483">
        <v>2</v>
      </c>
      <c r="U39" s="486">
        <v>25</v>
      </c>
      <c r="V39" s="485">
        <v>46031</v>
      </c>
      <c r="W39" s="111" t="s">
        <v>56</v>
      </c>
      <c r="X39" s="717">
        <v>3</v>
      </c>
      <c r="Y39" s="138">
        <v>36</v>
      </c>
      <c r="Z39" s="108">
        <v>46042</v>
      </c>
      <c r="AA39" s="108" t="s">
        <v>56</v>
      </c>
      <c r="AB39" s="113"/>
      <c r="AC39" s="114"/>
      <c r="AD39" s="114"/>
      <c r="AE39" s="114"/>
      <c r="AF39" s="115"/>
      <c r="AG39" s="116"/>
      <c r="AH39" s="116"/>
      <c r="AI39" s="116"/>
      <c r="AJ39" s="498"/>
      <c r="AK39" s="484"/>
      <c r="AL39" s="497"/>
      <c r="AM39" s="114"/>
    </row>
    <row r="40" spans="1:39" s="99" customFormat="1" ht="46" hidden="1" customHeight="1" x14ac:dyDescent="0.35">
      <c r="A40" s="106">
        <v>26</v>
      </c>
      <c r="B40" s="502">
        <v>2</v>
      </c>
      <c r="C40" s="779" t="s">
        <v>865</v>
      </c>
      <c r="D40" s="680" t="s">
        <v>866</v>
      </c>
      <c r="E40" s="697" t="s">
        <v>867</v>
      </c>
      <c r="F40" s="681" t="s">
        <v>117</v>
      </c>
      <c r="G40" s="698">
        <v>0</v>
      </c>
      <c r="H40" s="683">
        <v>19</v>
      </c>
      <c r="I40" s="684">
        <v>46014</v>
      </c>
      <c r="J40" s="685" t="s">
        <v>56</v>
      </c>
      <c r="K40" s="94">
        <f t="shared" si="1"/>
        <v>1</v>
      </c>
      <c r="L40" s="95">
        <v>0</v>
      </c>
      <c r="M40" s="96">
        <v>19</v>
      </c>
      <c r="N40" s="97">
        <v>46014</v>
      </c>
      <c r="O40" s="485" t="s">
        <v>56</v>
      </c>
      <c r="P40" s="137"/>
      <c r="Q40" s="138"/>
      <c r="R40" s="139"/>
      <c r="S40" s="140"/>
      <c r="T40" s="109"/>
      <c r="U40" s="110"/>
      <c r="V40" s="111"/>
      <c r="W40" s="111"/>
      <c r="X40" s="117"/>
      <c r="Y40" s="108"/>
      <c r="Z40" s="108"/>
      <c r="AA40" s="108"/>
      <c r="AB40" s="113"/>
      <c r="AC40" s="114"/>
      <c r="AD40" s="114"/>
      <c r="AE40" s="114"/>
      <c r="AF40" s="115"/>
      <c r="AG40" s="116"/>
      <c r="AH40" s="116"/>
      <c r="AI40" s="116"/>
      <c r="AJ40" s="498"/>
      <c r="AK40" s="484"/>
      <c r="AL40" s="497"/>
      <c r="AM40" s="114"/>
    </row>
    <row r="41" spans="1:39" s="99" customFormat="1" ht="46" hidden="1" customHeight="1" x14ac:dyDescent="0.35">
      <c r="A41" s="106">
        <v>27</v>
      </c>
      <c r="B41" s="106">
        <v>6</v>
      </c>
      <c r="C41" s="664" t="s">
        <v>837</v>
      </c>
      <c r="D41" s="692" t="s">
        <v>868</v>
      </c>
      <c r="E41" s="693" t="s">
        <v>869</v>
      </c>
      <c r="F41" s="681" t="s">
        <v>117</v>
      </c>
      <c r="G41" s="698">
        <v>0</v>
      </c>
      <c r="H41" s="683">
        <v>23</v>
      </c>
      <c r="I41" s="684">
        <v>46029</v>
      </c>
      <c r="J41" s="685" t="s">
        <v>56</v>
      </c>
      <c r="K41" s="94">
        <f t="shared" si="1"/>
        <v>1</v>
      </c>
      <c r="L41" s="95">
        <v>0</v>
      </c>
      <c r="M41" s="96">
        <v>23</v>
      </c>
      <c r="N41" s="97">
        <v>46029</v>
      </c>
      <c r="O41" s="485" t="s">
        <v>56</v>
      </c>
      <c r="P41" s="137"/>
      <c r="Q41" s="138"/>
      <c r="R41" s="139"/>
      <c r="S41" s="140"/>
      <c r="T41" s="109"/>
      <c r="U41" s="110"/>
      <c r="V41" s="111"/>
      <c r="W41" s="111"/>
      <c r="X41" s="117"/>
      <c r="Y41" s="108"/>
      <c r="Z41" s="108"/>
      <c r="AA41" s="108"/>
      <c r="AB41" s="113"/>
      <c r="AC41" s="114"/>
      <c r="AD41" s="114"/>
      <c r="AE41" s="114"/>
      <c r="AF41" s="115"/>
      <c r="AG41" s="116"/>
      <c r="AH41" s="116"/>
      <c r="AI41" s="116"/>
      <c r="AJ41" s="41"/>
      <c r="AK41" s="44"/>
      <c r="AL41" s="44"/>
      <c r="AM41" s="44"/>
    </row>
    <row r="42" spans="1:39" s="99" customFormat="1" ht="46" hidden="1" customHeight="1" x14ac:dyDescent="0.35">
      <c r="A42" s="106">
        <v>28</v>
      </c>
      <c r="B42" s="106">
        <v>8</v>
      </c>
      <c r="C42" s="664" t="s">
        <v>820</v>
      </c>
      <c r="D42" s="694" t="s">
        <v>870</v>
      </c>
      <c r="E42" s="693" t="s">
        <v>871</v>
      </c>
      <c r="F42" s="681" t="s">
        <v>117</v>
      </c>
      <c r="G42" s="682">
        <v>0</v>
      </c>
      <c r="H42" s="683">
        <v>24</v>
      </c>
      <c r="I42" s="684">
        <v>46029</v>
      </c>
      <c r="J42" s="685" t="s">
        <v>56</v>
      </c>
      <c r="K42" s="94">
        <f t="shared" si="1"/>
        <v>1</v>
      </c>
      <c r="L42" s="95">
        <v>0</v>
      </c>
      <c r="M42" s="96">
        <v>24</v>
      </c>
      <c r="N42" s="97">
        <v>46029</v>
      </c>
      <c r="O42" s="485" t="s">
        <v>56</v>
      </c>
      <c r="P42" s="137"/>
      <c r="Q42" s="138"/>
      <c r="R42" s="139"/>
      <c r="S42" s="140"/>
      <c r="T42" s="109"/>
      <c r="U42" s="110"/>
      <c r="V42" s="111"/>
      <c r="W42" s="111"/>
      <c r="X42" s="117"/>
      <c r="Y42" s="108"/>
      <c r="Z42" s="108"/>
      <c r="AA42" s="108"/>
      <c r="AB42" s="113"/>
      <c r="AC42" s="114"/>
      <c r="AD42" s="114"/>
      <c r="AE42" s="114"/>
      <c r="AF42" s="115"/>
      <c r="AG42" s="116"/>
      <c r="AH42" s="116"/>
      <c r="AI42" s="116"/>
      <c r="AJ42" s="41"/>
      <c r="AK42" s="44"/>
      <c r="AL42" s="44"/>
      <c r="AM42" s="44"/>
    </row>
    <row r="43" spans="1:39" s="99" customFormat="1" ht="46" hidden="1" customHeight="1" x14ac:dyDescent="0.35">
      <c r="A43" s="106">
        <v>29</v>
      </c>
      <c r="B43" s="106">
        <v>4</v>
      </c>
      <c r="C43" s="666" t="s">
        <v>820</v>
      </c>
      <c r="D43" s="695" t="s">
        <v>385</v>
      </c>
      <c r="E43" s="693" t="s">
        <v>872</v>
      </c>
      <c r="F43" s="681" t="s">
        <v>117</v>
      </c>
      <c r="G43" s="698">
        <v>1</v>
      </c>
      <c r="H43" s="683">
        <v>25</v>
      </c>
      <c r="I43" s="684">
        <v>46031</v>
      </c>
      <c r="J43" s="685" t="s">
        <v>56</v>
      </c>
      <c r="K43" s="94">
        <f t="shared" si="1"/>
        <v>1</v>
      </c>
      <c r="L43" s="635">
        <v>1</v>
      </c>
      <c r="M43" s="636">
        <v>25</v>
      </c>
      <c r="N43" s="637">
        <v>46031</v>
      </c>
      <c r="O43" s="633" t="s">
        <v>56</v>
      </c>
      <c r="P43" s="137"/>
      <c r="Q43" s="138"/>
      <c r="R43" s="139"/>
      <c r="S43" s="140"/>
      <c r="T43" s="109"/>
      <c r="U43" s="110"/>
      <c r="V43" s="111"/>
      <c r="W43" s="111"/>
      <c r="X43" s="117"/>
      <c r="Y43" s="108"/>
      <c r="Z43" s="108"/>
      <c r="AA43" s="108"/>
      <c r="AB43" s="113"/>
      <c r="AC43" s="114"/>
      <c r="AD43" s="114"/>
      <c r="AE43" s="114"/>
      <c r="AF43" s="115"/>
      <c r="AG43" s="116"/>
      <c r="AH43" s="116"/>
      <c r="AI43" s="116"/>
      <c r="AJ43" s="41"/>
      <c r="AK43" s="44"/>
      <c r="AL43" s="44"/>
      <c r="AM43" s="44"/>
    </row>
    <row r="44" spans="1:39" s="99" customFormat="1" ht="46" hidden="1" customHeight="1" x14ac:dyDescent="0.35">
      <c r="A44" s="106">
        <v>30</v>
      </c>
      <c r="B44" s="502">
        <v>4</v>
      </c>
      <c r="C44" s="666" t="s">
        <v>820</v>
      </c>
      <c r="D44" s="695" t="s">
        <v>426</v>
      </c>
      <c r="E44" s="693" t="s">
        <v>873</v>
      </c>
      <c r="F44" s="681" t="s">
        <v>117</v>
      </c>
      <c r="G44" s="698">
        <v>1</v>
      </c>
      <c r="H44" s="683">
        <v>25</v>
      </c>
      <c r="I44" s="684">
        <v>46031</v>
      </c>
      <c r="J44" s="685" t="s">
        <v>56</v>
      </c>
      <c r="K44" s="94">
        <f t="shared" si="1"/>
        <v>1</v>
      </c>
      <c r="L44" s="635">
        <v>1</v>
      </c>
      <c r="M44" s="636">
        <v>25</v>
      </c>
      <c r="N44" s="637">
        <v>46031</v>
      </c>
      <c r="O44" s="633" t="s">
        <v>56</v>
      </c>
      <c r="P44" s="137"/>
      <c r="Q44" s="138"/>
      <c r="R44" s="139"/>
      <c r="S44" s="140"/>
      <c r="T44" s="109"/>
      <c r="U44" s="110"/>
      <c r="V44" s="111"/>
      <c r="W44" s="111"/>
      <c r="X44" s="117"/>
      <c r="Y44" s="108"/>
      <c r="Z44" s="108"/>
      <c r="AA44" s="108"/>
      <c r="AB44" s="113"/>
      <c r="AC44" s="114"/>
      <c r="AD44" s="114"/>
      <c r="AE44" s="114"/>
      <c r="AF44" s="115"/>
      <c r="AG44" s="116"/>
      <c r="AH44" s="116"/>
      <c r="AI44" s="116"/>
      <c r="AJ44" s="41"/>
      <c r="AK44" s="44"/>
      <c r="AL44" s="44"/>
      <c r="AM44" s="44"/>
    </row>
    <row r="45" spans="1:39" s="99" customFormat="1" ht="46" hidden="1" customHeight="1" x14ac:dyDescent="0.35">
      <c r="A45" s="106">
        <v>31</v>
      </c>
      <c r="B45" s="106">
        <v>4</v>
      </c>
      <c r="C45" s="666" t="s">
        <v>820</v>
      </c>
      <c r="D45" s="694" t="s">
        <v>430</v>
      </c>
      <c r="E45" s="693" t="s">
        <v>874</v>
      </c>
      <c r="F45" s="681" t="s">
        <v>117</v>
      </c>
      <c r="G45" s="698">
        <v>1</v>
      </c>
      <c r="H45" s="683">
        <v>25</v>
      </c>
      <c r="I45" s="684">
        <v>46031</v>
      </c>
      <c r="J45" s="685" t="s">
        <v>56</v>
      </c>
      <c r="K45" s="94">
        <f t="shared" si="1"/>
        <v>1</v>
      </c>
      <c r="L45" s="635">
        <v>1</v>
      </c>
      <c r="M45" s="636">
        <v>25</v>
      </c>
      <c r="N45" s="637">
        <v>46031</v>
      </c>
      <c r="O45" s="633" t="s">
        <v>56</v>
      </c>
      <c r="P45" s="137"/>
      <c r="Q45" s="138"/>
      <c r="R45" s="139"/>
      <c r="S45" s="140"/>
      <c r="T45" s="109"/>
      <c r="U45" s="110"/>
      <c r="V45" s="111"/>
      <c r="W45" s="111"/>
      <c r="X45" s="117"/>
      <c r="Y45" s="108"/>
      <c r="Z45" s="108"/>
      <c r="AA45" s="108"/>
      <c r="AB45" s="113"/>
      <c r="AC45" s="114"/>
      <c r="AD45" s="114"/>
      <c r="AE45" s="114"/>
      <c r="AF45" s="115"/>
      <c r="AG45" s="116"/>
      <c r="AH45" s="116"/>
      <c r="AI45" s="116"/>
      <c r="AJ45" s="41"/>
      <c r="AK45" s="44"/>
      <c r="AL45" s="44"/>
      <c r="AM45" s="44"/>
    </row>
    <row r="46" spans="1:39" s="99" customFormat="1" ht="46" hidden="1" customHeight="1" x14ac:dyDescent="0.35">
      <c r="A46" s="106">
        <v>32</v>
      </c>
      <c r="B46" s="106">
        <v>1</v>
      </c>
      <c r="C46" s="664" t="s">
        <v>831</v>
      </c>
      <c r="D46" s="692" t="s">
        <v>875</v>
      </c>
      <c r="E46" s="693" t="s">
        <v>876</v>
      </c>
      <c r="F46" s="681" t="s">
        <v>117</v>
      </c>
      <c r="G46" s="682">
        <v>1</v>
      </c>
      <c r="H46" s="683">
        <v>37</v>
      </c>
      <c r="I46" s="684">
        <v>46045</v>
      </c>
      <c r="J46" s="685" t="s">
        <v>56</v>
      </c>
      <c r="K46" s="94">
        <f t="shared" si="1"/>
        <v>1</v>
      </c>
      <c r="L46" s="635">
        <v>0</v>
      </c>
      <c r="M46" s="636">
        <v>26</v>
      </c>
      <c r="N46" s="637">
        <v>46036</v>
      </c>
      <c r="O46" s="633" t="s">
        <v>56</v>
      </c>
      <c r="P46" s="137">
        <v>1</v>
      </c>
      <c r="Q46" s="138">
        <v>37</v>
      </c>
      <c r="R46" s="139">
        <v>46045</v>
      </c>
      <c r="S46" s="140" t="s">
        <v>56</v>
      </c>
      <c r="T46" s="109"/>
      <c r="U46" s="110"/>
      <c r="V46" s="111"/>
      <c r="W46" s="111"/>
      <c r="X46" s="117"/>
      <c r="Y46" s="108"/>
      <c r="Z46" s="108"/>
      <c r="AA46" s="108"/>
      <c r="AB46" s="113"/>
      <c r="AC46" s="114"/>
      <c r="AD46" s="114"/>
      <c r="AE46" s="114"/>
      <c r="AF46" s="115"/>
      <c r="AG46" s="116"/>
      <c r="AH46" s="116"/>
      <c r="AI46" s="116"/>
      <c r="AJ46" s="41"/>
      <c r="AK46" s="44"/>
      <c r="AL46" s="44"/>
      <c r="AM46" s="44"/>
    </row>
    <row r="47" spans="1:39" s="99" customFormat="1" ht="46" hidden="1" customHeight="1" thickBot="1" x14ac:dyDescent="0.4">
      <c r="A47" s="106">
        <v>33</v>
      </c>
      <c r="B47" s="106">
        <v>2</v>
      </c>
      <c r="C47" s="664" t="s">
        <v>837</v>
      </c>
      <c r="D47" s="692" t="s">
        <v>877</v>
      </c>
      <c r="E47" s="693" t="s">
        <v>878</v>
      </c>
      <c r="F47" s="681" t="s">
        <v>117</v>
      </c>
      <c r="G47" s="682">
        <v>1</v>
      </c>
      <c r="H47" s="683">
        <v>37</v>
      </c>
      <c r="I47" s="684">
        <v>46045</v>
      </c>
      <c r="J47" s="685" t="s">
        <v>56</v>
      </c>
      <c r="K47" s="94">
        <f t="shared" si="1"/>
        <v>1</v>
      </c>
      <c r="L47" s="635">
        <v>0</v>
      </c>
      <c r="M47" s="636">
        <v>26</v>
      </c>
      <c r="N47" s="637">
        <v>46036</v>
      </c>
      <c r="O47" s="633" t="s">
        <v>56</v>
      </c>
      <c r="P47" s="137">
        <v>1</v>
      </c>
      <c r="Q47" s="138">
        <v>37</v>
      </c>
      <c r="R47" s="139">
        <v>46045</v>
      </c>
      <c r="S47" s="140" t="s">
        <v>56</v>
      </c>
      <c r="T47" s="109"/>
      <c r="U47" s="110"/>
      <c r="V47" s="111"/>
      <c r="W47" s="111"/>
      <c r="X47" s="117"/>
      <c r="Y47" s="108"/>
      <c r="Z47" s="108"/>
      <c r="AA47" s="108"/>
      <c r="AB47" s="113"/>
      <c r="AC47" s="114"/>
      <c r="AD47" s="114"/>
      <c r="AE47" s="114"/>
      <c r="AF47" s="115"/>
      <c r="AG47" s="116"/>
      <c r="AH47" s="116"/>
      <c r="AI47" s="116"/>
      <c r="AJ47" s="41"/>
      <c r="AK47" s="44"/>
      <c r="AL47" s="44"/>
      <c r="AM47" s="44"/>
    </row>
    <row r="48" spans="1:39" s="99" customFormat="1" ht="46" hidden="1" customHeight="1" x14ac:dyDescent="0.35">
      <c r="A48" s="106">
        <v>34</v>
      </c>
      <c r="B48" s="502">
        <v>2</v>
      </c>
      <c r="C48" s="664" t="s">
        <v>837</v>
      </c>
      <c r="D48" s="694" t="s">
        <v>879</v>
      </c>
      <c r="E48" s="696" t="s">
        <v>880</v>
      </c>
      <c r="F48" s="681" t="s">
        <v>117</v>
      </c>
      <c r="G48" s="682">
        <v>1</v>
      </c>
      <c r="H48" s="683">
        <v>37</v>
      </c>
      <c r="I48" s="684">
        <v>46045</v>
      </c>
      <c r="J48" s="685" t="s">
        <v>56</v>
      </c>
      <c r="K48" s="94">
        <f t="shared" si="1"/>
        <v>1</v>
      </c>
      <c r="L48" s="635">
        <v>0</v>
      </c>
      <c r="M48" s="636">
        <v>28</v>
      </c>
      <c r="N48" s="637">
        <v>46036</v>
      </c>
      <c r="O48" s="633" t="s">
        <v>56</v>
      </c>
      <c r="P48" s="137">
        <v>1</v>
      </c>
      <c r="Q48" s="138">
        <v>37</v>
      </c>
      <c r="R48" s="139">
        <v>46045</v>
      </c>
      <c r="S48" s="140" t="s">
        <v>56</v>
      </c>
      <c r="T48" s="109"/>
      <c r="U48" s="110"/>
      <c r="V48" s="111"/>
      <c r="W48" s="111"/>
      <c r="X48" s="117"/>
      <c r="Y48" s="108"/>
      <c r="Z48" s="108"/>
      <c r="AA48" s="108"/>
      <c r="AB48" s="113"/>
      <c r="AC48" s="114"/>
      <c r="AD48" s="114"/>
      <c r="AE48" s="114"/>
      <c r="AF48" s="115"/>
      <c r="AG48" s="116"/>
      <c r="AH48" s="116"/>
      <c r="AI48" s="116"/>
      <c r="AJ48" s="56"/>
      <c r="AK48" s="55"/>
      <c r="AL48" s="57"/>
      <c r="AM48" s="69"/>
    </row>
    <row r="49" spans="1:39" s="99" customFormat="1" ht="46" hidden="1" customHeight="1" x14ac:dyDescent="0.35">
      <c r="A49" s="106">
        <v>35</v>
      </c>
      <c r="B49" s="106">
        <v>8</v>
      </c>
      <c r="C49" s="664" t="s">
        <v>820</v>
      </c>
      <c r="D49" s="694" t="s">
        <v>881</v>
      </c>
      <c r="E49" s="696" t="s">
        <v>882</v>
      </c>
      <c r="F49" s="681" t="s">
        <v>117</v>
      </c>
      <c r="G49" s="682">
        <v>1</v>
      </c>
      <c r="H49" s="683">
        <v>32</v>
      </c>
      <c r="I49" s="684">
        <v>46037</v>
      </c>
      <c r="J49" s="685" t="s">
        <v>56</v>
      </c>
      <c r="K49" s="94">
        <f t="shared" si="1"/>
        <v>1</v>
      </c>
      <c r="L49" s="95">
        <v>0</v>
      </c>
      <c r="M49" s="96">
        <v>28</v>
      </c>
      <c r="N49" s="97">
        <v>46036</v>
      </c>
      <c r="O49" s="485" t="s">
        <v>56</v>
      </c>
      <c r="P49" s="634">
        <v>1</v>
      </c>
      <c r="Q49" s="641">
        <v>32</v>
      </c>
      <c r="R49" s="633">
        <v>46037</v>
      </c>
      <c r="S49" s="642" t="s">
        <v>73</v>
      </c>
      <c r="T49" s="109"/>
      <c r="U49" s="110"/>
      <c r="V49" s="111"/>
      <c r="W49" s="111"/>
      <c r="X49" s="117"/>
      <c r="Y49" s="108"/>
      <c r="Z49" s="108"/>
      <c r="AA49" s="108"/>
      <c r="AB49" s="113"/>
      <c r="AC49" s="114"/>
      <c r="AD49" s="114"/>
      <c r="AE49" s="114"/>
      <c r="AF49" s="115"/>
      <c r="AG49" s="116"/>
      <c r="AH49" s="116"/>
      <c r="AI49" s="116"/>
      <c r="AJ49" s="498"/>
      <c r="AK49" s="484"/>
      <c r="AL49" s="497"/>
      <c r="AM49" s="111"/>
    </row>
    <row r="50" spans="1:39" s="99" customFormat="1" ht="46" hidden="1" customHeight="1" x14ac:dyDescent="0.35">
      <c r="A50" s="106">
        <v>36</v>
      </c>
      <c r="B50" s="106">
        <v>1</v>
      </c>
      <c r="C50" s="664" t="s">
        <v>820</v>
      </c>
      <c r="D50" s="692" t="s">
        <v>883</v>
      </c>
      <c r="E50" s="693" t="s">
        <v>884</v>
      </c>
      <c r="F50" s="681" t="s">
        <v>117</v>
      </c>
      <c r="G50" s="682">
        <v>1</v>
      </c>
      <c r="H50" s="683">
        <v>30</v>
      </c>
      <c r="I50" s="684">
        <v>46036</v>
      </c>
      <c r="J50" s="685" t="s">
        <v>56</v>
      </c>
      <c r="K50" s="94">
        <f t="shared" si="1"/>
        <v>1</v>
      </c>
      <c r="L50" s="635">
        <v>1</v>
      </c>
      <c r="M50" s="636">
        <v>30</v>
      </c>
      <c r="N50" s="637">
        <v>46036</v>
      </c>
      <c r="O50" s="633" t="s">
        <v>56</v>
      </c>
      <c r="P50" s="137"/>
      <c r="Q50" s="138"/>
      <c r="R50" s="139"/>
      <c r="S50" s="140"/>
      <c r="T50" s="109"/>
      <c r="U50" s="110"/>
      <c r="V50" s="111"/>
      <c r="W50" s="111"/>
      <c r="X50" s="117"/>
      <c r="Y50" s="108"/>
      <c r="Z50" s="108"/>
      <c r="AA50" s="108"/>
      <c r="AB50" s="113"/>
      <c r="AC50" s="114"/>
      <c r="AD50" s="114"/>
      <c r="AE50" s="114"/>
      <c r="AF50" s="115"/>
      <c r="AG50" s="116"/>
      <c r="AH50" s="116"/>
      <c r="AI50" s="116"/>
      <c r="AJ50" s="498"/>
      <c r="AK50" s="484"/>
      <c r="AL50" s="497"/>
      <c r="AM50" s="114"/>
    </row>
    <row r="51" spans="1:39" s="99" customFormat="1" ht="46" hidden="1" customHeight="1" x14ac:dyDescent="0.35">
      <c r="A51" s="106">
        <v>37</v>
      </c>
      <c r="B51" s="106">
        <v>2</v>
      </c>
      <c r="C51" s="664" t="s">
        <v>820</v>
      </c>
      <c r="D51" s="699" t="s">
        <v>245</v>
      </c>
      <c r="E51" s="715" t="s">
        <v>247</v>
      </c>
      <c r="F51" s="681" t="s">
        <v>117</v>
      </c>
      <c r="G51" s="682">
        <v>0</v>
      </c>
      <c r="H51" s="683">
        <v>34</v>
      </c>
      <c r="I51" s="684">
        <v>46041</v>
      </c>
      <c r="J51" s="685" t="s">
        <v>56</v>
      </c>
      <c r="K51" s="94">
        <f t="shared" si="1"/>
        <v>1</v>
      </c>
      <c r="L51" s="95">
        <v>0</v>
      </c>
      <c r="M51" s="96">
        <v>34</v>
      </c>
      <c r="N51" s="97">
        <v>46041</v>
      </c>
      <c r="O51" s="97" t="s">
        <v>56</v>
      </c>
      <c r="P51" s="137"/>
      <c r="Q51" s="138"/>
      <c r="R51" s="139"/>
      <c r="S51" s="140"/>
      <c r="T51" s="109"/>
      <c r="U51" s="110"/>
      <c r="V51" s="111"/>
      <c r="W51" s="111"/>
      <c r="X51" s="117"/>
      <c r="Y51" s="108"/>
      <c r="Z51" s="108"/>
      <c r="AA51" s="108"/>
      <c r="AB51" s="113"/>
      <c r="AC51" s="114"/>
      <c r="AD51" s="114"/>
      <c r="AE51" s="114"/>
      <c r="AF51" s="115"/>
      <c r="AG51" s="116"/>
      <c r="AH51" s="116"/>
      <c r="AI51" s="116"/>
      <c r="AJ51" s="498"/>
      <c r="AK51" s="484"/>
      <c r="AL51" s="497"/>
      <c r="AM51" s="114"/>
    </row>
    <row r="52" spans="1:39" s="99" customFormat="1" ht="46" hidden="1" customHeight="1" x14ac:dyDescent="0.35">
      <c r="A52" s="106">
        <v>38</v>
      </c>
      <c r="B52" s="502">
        <v>2</v>
      </c>
      <c r="C52" s="664" t="s">
        <v>820</v>
      </c>
      <c r="D52" s="699" t="s">
        <v>248</v>
      </c>
      <c r="E52" s="715" t="s">
        <v>250</v>
      </c>
      <c r="F52" s="681" t="s">
        <v>117</v>
      </c>
      <c r="G52" s="682">
        <v>0</v>
      </c>
      <c r="H52" s="683">
        <v>34</v>
      </c>
      <c r="I52" s="684">
        <v>46041</v>
      </c>
      <c r="J52" s="685" t="s">
        <v>56</v>
      </c>
      <c r="K52" s="94">
        <f t="shared" ref="K52:K79" si="2">ROUNDUP(((COUNTA(L52:AI52)/4)/2),0)</f>
        <v>0</v>
      </c>
      <c r="L52" s="95"/>
      <c r="M52" s="96"/>
      <c r="N52" s="97"/>
      <c r="O52" s="97"/>
      <c r="P52" s="137"/>
      <c r="Q52" s="138"/>
      <c r="R52" s="139"/>
      <c r="S52" s="140"/>
      <c r="T52" s="109"/>
      <c r="U52" s="110"/>
      <c r="V52" s="111"/>
      <c r="W52" s="111"/>
      <c r="X52" s="112"/>
      <c r="Y52" s="107"/>
      <c r="Z52" s="108"/>
      <c r="AA52" s="108"/>
      <c r="AB52" s="113"/>
      <c r="AC52" s="114"/>
      <c r="AD52" s="114"/>
      <c r="AE52" s="114"/>
      <c r="AF52" s="115"/>
      <c r="AG52" s="116"/>
      <c r="AH52" s="116"/>
      <c r="AI52" s="116"/>
      <c r="AJ52" s="498"/>
      <c r="AK52" s="484"/>
      <c r="AL52" s="497"/>
      <c r="AM52" s="114"/>
    </row>
    <row r="53" spans="1:39" s="99" customFormat="1" ht="46" hidden="1" customHeight="1" x14ac:dyDescent="0.35">
      <c r="A53" s="106">
        <v>39</v>
      </c>
      <c r="B53" s="106">
        <v>2</v>
      </c>
      <c r="C53" s="664" t="s">
        <v>820</v>
      </c>
      <c r="D53" s="699" t="s">
        <v>251</v>
      </c>
      <c r="E53" s="715" t="s">
        <v>253</v>
      </c>
      <c r="F53" s="681" t="s">
        <v>117</v>
      </c>
      <c r="G53" s="682">
        <v>0</v>
      </c>
      <c r="H53" s="683">
        <v>34</v>
      </c>
      <c r="I53" s="684">
        <v>46041</v>
      </c>
      <c r="J53" s="685" t="s">
        <v>56</v>
      </c>
      <c r="K53" s="94">
        <f t="shared" si="2"/>
        <v>0</v>
      </c>
      <c r="L53" s="95"/>
      <c r="M53" s="96"/>
      <c r="N53" s="97"/>
      <c r="O53" s="97"/>
      <c r="P53" s="137"/>
      <c r="Q53" s="487"/>
      <c r="R53" s="139"/>
      <c r="S53" s="140"/>
      <c r="T53" s="109"/>
      <c r="U53" s="110"/>
      <c r="V53" s="111"/>
      <c r="W53" s="111"/>
      <c r="X53" s="112"/>
      <c r="Y53" s="107"/>
      <c r="Z53" s="108"/>
      <c r="AA53" s="108"/>
      <c r="AB53" s="113"/>
      <c r="AC53" s="114"/>
      <c r="AD53" s="114"/>
      <c r="AE53" s="114"/>
      <c r="AF53" s="115"/>
      <c r="AG53" s="116"/>
      <c r="AH53" s="116"/>
      <c r="AI53" s="116"/>
      <c r="AJ53" s="41"/>
      <c r="AK53" s="44"/>
      <c r="AL53" s="44"/>
      <c r="AM53" s="44"/>
    </row>
    <row r="54" spans="1:39" s="99" customFormat="1" ht="37" hidden="1" customHeight="1" x14ac:dyDescent="0.35">
      <c r="A54" s="106">
        <v>40</v>
      </c>
      <c r="B54" s="106">
        <v>1</v>
      </c>
      <c r="C54" s="106" t="s">
        <v>852</v>
      </c>
      <c r="D54" s="702" t="s">
        <v>885</v>
      </c>
      <c r="E54" s="703" t="s">
        <v>886</v>
      </c>
      <c r="F54" s="681" t="s">
        <v>117</v>
      </c>
      <c r="G54" s="682">
        <v>0</v>
      </c>
      <c r="H54" s="683">
        <v>57</v>
      </c>
      <c r="I54" s="684">
        <v>46080</v>
      </c>
      <c r="J54" s="685" t="s">
        <v>56</v>
      </c>
      <c r="K54" s="94">
        <f t="shared" si="2"/>
        <v>1</v>
      </c>
      <c r="L54" s="635">
        <v>0</v>
      </c>
      <c r="M54" s="636">
        <v>57</v>
      </c>
      <c r="N54" s="637">
        <v>46080</v>
      </c>
      <c r="O54" s="669" t="s">
        <v>56</v>
      </c>
      <c r="P54" s="137"/>
      <c r="Q54" s="487"/>
      <c r="R54" s="139"/>
      <c r="S54" s="140"/>
      <c r="T54" s="109"/>
      <c r="U54" s="110"/>
      <c r="V54" s="111"/>
      <c r="W54" s="111"/>
      <c r="X54" s="112"/>
      <c r="Y54" s="107"/>
      <c r="Z54" s="108"/>
      <c r="AA54" s="108"/>
      <c r="AB54" s="113"/>
      <c r="AC54" s="114"/>
      <c r="AD54" s="114"/>
      <c r="AE54" s="114"/>
      <c r="AF54" s="115"/>
      <c r="AG54" s="116"/>
      <c r="AH54" s="116"/>
      <c r="AI54" s="116"/>
      <c r="AJ54" s="41"/>
      <c r="AK54" s="44"/>
      <c r="AL54" s="44"/>
      <c r="AM54" s="44"/>
    </row>
    <row r="55" spans="1:39" s="99" customFormat="1" ht="37" hidden="1" customHeight="1" x14ac:dyDescent="0.35">
      <c r="A55" s="106">
        <v>41</v>
      </c>
      <c r="B55" s="106">
        <v>2</v>
      </c>
      <c r="C55" s="664" t="s">
        <v>887</v>
      </c>
      <c r="D55" s="702" t="s">
        <v>678</v>
      </c>
      <c r="E55" s="700" t="s">
        <v>888</v>
      </c>
      <c r="F55" s="681" t="s">
        <v>334</v>
      </c>
      <c r="G55" s="682">
        <v>0</v>
      </c>
      <c r="H55" s="683">
        <v>35</v>
      </c>
      <c r="I55" s="684">
        <v>46042</v>
      </c>
      <c r="J55" s="685" t="s">
        <v>56</v>
      </c>
      <c r="K55" s="94">
        <f t="shared" si="2"/>
        <v>1</v>
      </c>
      <c r="L55" s="95">
        <v>0</v>
      </c>
      <c r="M55" s="96">
        <v>35</v>
      </c>
      <c r="N55" s="97">
        <v>46041</v>
      </c>
      <c r="O55" s="98" t="s">
        <v>56</v>
      </c>
      <c r="P55" s="137"/>
      <c r="Q55" s="487"/>
      <c r="R55" s="139"/>
      <c r="S55" s="140"/>
      <c r="T55" s="109"/>
      <c r="U55" s="110"/>
      <c r="V55" s="111"/>
      <c r="W55" s="111"/>
      <c r="X55" s="112"/>
      <c r="Y55" s="107"/>
      <c r="Z55" s="108"/>
      <c r="AA55" s="108"/>
      <c r="AB55" s="113"/>
      <c r="AC55" s="114"/>
      <c r="AD55" s="114"/>
      <c r="AE55" s="114"/>
      <c r="AF55" s="115"/>
      <c r="AG55" s="116"/>
      <c r="AH55" s="116"/>
      <c r="AI55" s="116"/>
      <c r="AJ55" s="41"/>
      <c r="AK55" s="44"/>
      <c r="AL55" s="44"/>
      <c r="AM55" s="44"/>
    </row>
    <row r="56" spans="1:39" s="99" customFormat="1" ht="37" hidden="1" customHeight="1" x14ac:dyDescent="0.35">
      <c r="A56" s="106">
        <v>42</v>
      </c>
      <c r="B56" s="502"/>
      <c r="C56" s="664"/>
      <c r="D56" s="702" t="s">
        <v>680</v>
      </c>
      <c r="E56" s="700" t="s">
        <v>889</v>
      </c>
      <c r="F56" s="681" t="s">
        <v>334</v>
      </c>
      <c r="G56" s="682">
        <v>2</v>
      </c>
      <c r="H56" s="683">
        <v>66</v>
      </c>
      <c r="I56" s="684">
        <v>46091</v>
      </c>
      <c r="J56" s="685" t="s">
        <v>56</v>
      </c>
      <c r="K56" s="94">
        <f t="shared" si="2"/>
        <v>1</v>
      </c>
      <c r="L56" s="95">
        <v>1</v>
      </c>
      <c r="M56" s="96">
        <v>39</v>
      </c>
      <c r="N56" s="97">
        <v>46048</v>
      </c>
      <c r="O56" s="98" t="s">
        <v>56</v>
      </c>
      <c r="P56" s="137">
        <v>2</v>
      </c>
      <c r="Q56" s="487">
        <v>66</v>
      </c>
      <c r="R56" s="139">
        <v>46091</v>
      </c>
      <c r="S56" s="140" t="s">
        <v>56</v>
      </c>
      <c r="T56" s="109"/>
      <c r="U56" s="110"/>
      <c r="V56" s="111"/>
      <c r="W56" s="111"/>
      <c r="X56" s="112"/>
      <c r="Y56" s="107"/>
      <c r="Z56" s="108"/>
      <c r="AA56" s="108"/>
      <c r="AB56" s="113"/>
      <c r="AC56" s="114"/>
      <c r="AD56" s="114"/>
      <c r="AE56" s="114"/>
      <c r="AF56" s="115"/>
      <c r="AG56" s="116"/>
      <c r="AH56" s="116"/>
      <c r="AI56" s="116"/>
      <c r="AJ56" s="41"/>
      <c r="AK56" s="44"/>
      <c r="AL56" s="44"/>
      <c r="AM56" s="44"/>
    </row>
    <row r="57" spans="1:39" s="99" customFormat="1" ht="68.5" hidden="1" customHeight="1" thickBot="1" x14ac:dyDescent="0.4">
      <c r="A57" s="106">
        <v>43</v>
      </c>
      <c r="B57" s="502"/>
      <c r="C57" s="667"/>
      <c r="D57" s="701" t="s">
        <v>268</v>
      </c>
      <c r="E57" s="771" t="s">
        <v>269</v>
      </c>
      <c r="F57" s="681" t="s">
        <v>334</v>
      </c>
      <c r="G57" s="682" t="s">
        <v>222</v>
      </c>
      <c r="H57" s="690">
        <v>73</v>
      </c>
      <c r="I57" s="684">
        <v>46099</v>
      </c>
      <c r="J57" s="685" t="s">
        <v>56</v>
      </c>
      <c r="K57" s="94">
        <f t="shared" si="2"/>
        <v>2</v>
      </c>
      <c r="L57" s="95">
        <v>0</v>
      </c>
      <c r="M57" s="96">
        <v>42</v>
      </c>
      <c r="N57" s="97">
        <v>46056</v>
      </c>
      <c r="O57" s="98" t="s">
        <v>56</v>
      </c>
      <c r="P57" s="137">
        <v>1</v>
      </c>
      <c r="Q57" s="487">
        <v>51</v>
      </c>
      <c r="R57" s="139">
        <v>46072</v>
      </c>
      <c r="S57" s="140" t="s">
        <v>56</v>
      </c>
      <c r="T57" s="483" t="s">
        <v>184</v>
      </c>
      <c r="U57" s="486">
        <v>58</v>
      </c>
      <c r="V57" s="485">
        <v>46080</v>
      </c>
      <c r="W57" s="485" t="s">
        <v>56</v>
      </c>
      <c r="X57" s="772" t="s">
        <v>222</v>
      </c>
      <c r="Y57" s="632">
        <v>73</v>
      </c>
      <c r="Z57" s="633">
        <v>46099</v>
      </c>
      <c r="AA57" s="633" t="s">
        <v>56</v>
      </c>
      <c r="AB57" s="113"/>
      <c r="AC57" s="114"/>
      <c r="AD57" s="114"/>
      <c r="AE57" s="114"/>
      <c r="AF57" s="115"/>
      <c r="AG57" s="116"/>
      <c r="AH57" s="116"/>
      <c r="AI57" s="116"/>
      <c r="AJ57" s="41"/>
      <c r="AK57" s="44"/>
      <c r="AL57" s="44"/>
      <c r="AM57" s="44"/>
    </row>
    <row r="58" spans="1:39" s="99" customFormat="1" ht="68.5" hidden="1" customHeight="1" x14ac:dyDescent="0.35">
      <c r="A58" s="106">
        <v>44</v>
      </c>
      <c r="B58" s="106">
        <v>28</v>
      </c>
      <c r="C58" s="819" t="s">
        <v>890</v>
      </c>
      <c r="D58" s="702" t="s">
        <v>182</v>
      </c>
      <c r="E58" s="732" t="s">
        <v>183</v>
      </c>
      <c r="F58" s="681" t="s">
        <v>334</v>
      </c>
      <c r="G58" s="682" t="s">
        <v>184</v>
      </c>
      <c r="H58" s="683">
        <v>62</v>
      </c>
      <c r="I58" s="684">
        <v>46086</v>
      </c>
      <c r="J58" s="685" t="s">
        <v>56</v>
      </c>
      <c r="K58" s="94">
        <f t="shared" si="2"/>
        <v>2</v>
      </c>
      <c r="L58" s="95">
        <v>0</v>
      </c>
      <c r="M58" s="96">
        <v>42</v>
      </c>
      <c r="N58" s="97">
        <v>46056</v>
      </c>
      <c r="O58" s="98" t="s">
        <v>56</v>
      </c>
      <c r="P58" s="137">
        <v>1</v>
      </c>
      <c r="Q58" s="487">
        <v>54</v>
      </c>
      <c r="R58" s="139">
        <v>46078</v>
      </c>
      <c r="S58" s="140" t="s">
        <v>56</v>
      </c>
      <c r="T58" s="652" t="s">
        <v>184</v>
      </c>
      <c r="U58" s="632">
        <v>62</v>
      </c>
      <c r="V58" s="633">
        <v>46086</v>
      </c>
      <c r="W58" s="633" t="s">
        <v>56</v>
      </c>
      <c r="X58" s="112"/>
      <c r="Y58" s="107"/>
      <c r="Z58" s="108"/>
      <c r="AA58" s="108"/>
      <c r="AB58" s="113"/>
      <c r="AC58" s="114"/>
      <c r="AD58" s="114"/>
      <c r="AE58" s="114"/>
      <c r="AF58" s="115"/>
      <c r="AG58" s="116"/>
      <c r="AH58" s="116"/>
      <c r="AI58" s="116"/>
      <c r="AJ58" s="56"/>
      <c r="AK58" s="55"/>
      <c r="AL58" s="57"/>
      <c r="AM58" s="69"/>
    </row>
    <row r="59" spans="1:39" s="99" customFormat="1" ht="74.5" hidden="1" customHeight="1" x14ac:dyDescent="0.35">
      <c r="A59" s="106">
        <v>45</v>
      </c>
      <c r="B59" s="106">
        <v>6</v>
      </c>
      <c r="C59" s="819" t="s">
        <v>891</v>
      </c>
      <c r="D59" s="702" t="s">
        <v>892</v>
      </c>
      <c r="E59" s="700" t="s">
        <v>893</v>
      </c>
      <c r="F59" s="681" t="s">
        <v>117</v>
      </c>
      <c r="G59" s="682">
        <v>2</v>
      </c>
      <c r="H59" s="820">
        <v>65</v>
      </c>
      <c r="I59" s="684">
        <v>46091</v>
      </c>
      <c r="J59" s="685" t="s">
        <v>56</v>
      </c>
      <c r="K59" s="94">
        <f t="shared" si="2"/>
        <v>2</v>
      </c>
      <c r="L59" s="101">
        <v>0</v>
      </c>
      <c r="M59" s="102">
        <v>45</v>
      </c>
      <c r="N59" s="97">
        <v>46062</v>
      </c>
      <c r="O59" s="98" t="s">
        <v>56</v>
      </c>
      <c r="P59" s="137">
        <v>1</v>
      </c>
      <c r="Q59" s="487">
        <v>55</v>
      </c>
      <c r="R59" s="139">
        <v>46078</v>
      </c>
      <c r="S59" s="140" t="s">
        <v>56</v>
      </c>
      <c r="T59" s="652">
        <v>2</v>
      </c>
      <c r="U59" s="632">
        <v>65</v>
      </c>
      <c r="V59" s="633">
        <v>46091</v>
      </c>
      <c r="W59" s="485"/>
      <c r="X59" s="112"/>
      <c r="Y59" s="107"/>
      <c r="Z59" s="108"/>
      <c r="AA59" s="108"/>
      <c r="AB59" s="113"/>
      <c r="AC59" s="114"/>
      <c r="AD59" s="114"/>
      <c r="AE59" s="114"/>
      <c r="AF59" s="115"/>
      <c r="AG59" s="116"/>
      <c r="AH59" s="116"/>
      <c r="AI59" s="116"/>
      <c r="AJ59" s="498"/>
      <c r="AK59" s="484"/>
      <c r="AL59" s="497"/>
      <c r="AM59" s="111"/>
    </row>
    <row r="60" spans="1:39" s="99" customFormat="1" ht="74.5" hidden="1" customHeight="1" x14ac:dyDescent="0.35">
      <c r="A60" s="106">
        <v>46</v>
      </c>
      <c r="B60" s="502">
        <v>8</v>
      </c>
      <c r="C60" s="819" t="s">
        <v>891</v>
      </c>
      <c r="D60" s="702" t="s">
        <v>894</v>
      </c>
      <c r="E60" s="700" t="s">
        <v>895</v>
      </c>
      <c r="F60" s="681" t="s">
        <v>117</v>
      </c>
      <c r="G60" s="682">
        <v>2</v>
      </c>
      <c r="H60" s="820">
        <v>65</v>
      </c>
      <c r="I60" s="684">
        <v>46091</v>
      </c>
      <c r="J60" s="685" t="s">
        <v>56</v>
      </c>
      <c r="K60" s="94">
        <f t="shared" si="2"/>
        <v>2</v>
      </c>
      <c r="L60" s="101">
        <v>0</v>
      </c>
      <c r="M60" s="102">
        <v>45</v>
      </c>
      <c r="N60" s="187">
        <v>46062</v>
      </c>
      <c r="O60" s="104" t="s">
        <v>56</v>
      </c>
      <c r="P60" s="137">
        <v>1</v>
      </c>
      <c r="Q60" s="487">
        <v>59</v>
      </c>
      <c r="R60" s="139">
        <v>46084</v>
      </c>
      <c r="S60" s="140" t="s">
        <v>56</v>
      </c>
      <c r="T60" s="652">
        <v>2</v>
      </c>
      <c r="U60" s="632">
        <v>65</v>
      </c>
      <c r="V60" s="633">
        <v>46091</v>
      </c>
      <c r="W60" s="485"/>
      <c r="X60" s="112"/>
      <c r="Y60" s="107"/>
      <c r="Z60" s="108"/>
      <c r="AA60" s="108"/>
      <c r="AB60" s="113"/>
      <c r="AC60" s="114"/>
      <c r="AD60" s="114"/>
      <c r="AE60" s="114"/>
      <c r="AF60" s="115"/>
      <c r="AG60" s="116"/>
      <c r="AH60" s="116"/>
      <c r="AI60" s="116"/>
      <c r="AJ60" s="498"/>
      <c r="AK60" s="484"/>
      <c r="AL60" s="497"/>
      <c r="AM60" s="114"/>
    </row>
    <row r="61" spans="1:39" s="99" customFormat="1" ht="74.5" hidden="1" customHeight="1" x14ac:dyDescent="0.35">
      <c r="A61" s="106">
        <v>47</v>
      </c>
      <c r="B61" s="106">
        <v>8</v>
      </c>
      <c r="C61" s="819" t="s">
        <v>891</v>
      </c>
      <c r="D61" s="702" t="s">
        <v>896</v>
      </c>
      <c r="E61" s="700" t="s">
        <v>897</v>
      </c>
      <c r="F61" s="681" t="s">
        <v>117</v>
      </c>
      <c r="G61" s="682">
        <v>2</v>
      </c>
      <c r="H61" s="820">
        <v>65</v>
      </c>
      <c r="I61" s="684">
        <v>46091</v>
      </c>
      <c r="J61" s="685" t="s">
        <v>56</v>
      </c>
      <c r="K61" s="94">
        <f t="shared" si="2"/>
        <v>2</v>
      </c>
      <c r="L61" s="101">
        <v>0</v>
      </c>
      <c r="M61" s="102">
        <v>46</v>
      </c>
      <c r="N61" s="187">
        <v>46063</v>
      </c>
      <c r="O61" s="104" t="s">
        <v>56</v>
      </c>
      <c r="P61" s="137">
        <v>1</v>
      </c>
      <c r="Q61" s="487">
        <v>59</v>
      </c>
      <c r="R61" s="139">
        <v>46084</v>
      </c>
      <c r="S61" s="140" t="s">
        <v>56</v>
      </c>
      <c r="T61" s="652">
        <v>2</v>
      </c>
      <c r="U61" s="632">
        <v>65</v>
      </c>
      <c r="V61" s="633">
        <v>46091</v>
      </c>
      <c r="W61" s="485"/>
      <c r="X61" s="112"/>
      <c r="Y61" s="107"/>
      <c r="Z61" s="108"/>
      <c r="AA61" s="108"/>
      <c r="AB61" s="113"/>
      <c r="AC61" s="114"/>
      <c r="AD61" s="114"/>
      <c r="AE61" s="114"/>
      <c r="AF61" s="115"/>
      <c r="AG61" s="116"/>
      <c r="AH61" s="116"/>
      <c r="AI61" s="116"/>
      <c r="AJ61" s="498"/>
      <c r="AK61" s="484"/>
      <c r="AL61" s="497"/>
      <c r="AM61" s="114"/>
    </row>
    <row r="62" spans="1:39" s="99" customFormat="1" ht="92.15" hidden="1" customHeight="1" x14ac:dyDescent="0.35">
      <c r="A62" s="106">
        <v>48</v>
      </c>
      <c r="B62" s="106">
        <v>4</v>
      </c>
      <c r="C62" s="818" t="s">
        <v>898</v>
      </c>
      <c r="D62" s="837" t="s">
        <v>899</v>
      </c>
      <c r="E62" s="703" t="s">
        <v>900</v>
      </c>
      <c r="F62" s="681" t="s">
        <v>117</v>
      </c>
      <c r="G62" s="682">
        <v>0</v>
      </c>
      <c r="H62" s="683">
        <v>86</v>
      </c>
      <c r="I62" s="684">
        <v>46107</v>
      </c>
      <c r="J62" s="685" t="s">
        <v>56</v>
      </c>
      <c r="K62" s="94">
        <f t="shared" si="2"/>
        <v>1</v>
      </c>
      <c r="L62" s="833">
        <v>0</v>
      </c>
      <c r="M62" s="834">
        <v>46</v>
      </c>
      <c r="N62" s="835">
        <v>46064</v>
      </c>
      <c r="O62" s="836" t="s">
        <v>56</v>
      </c>
      <c r="P62" s="634">
        <v>0</v>
      </c>
      <c r="Q62" s="632">
        <v>86</v>
      </c>
      <c r="R62" s="633">
        <v>46107</v>
      </c>
      <c r="S62" s="642" t="s">
        <v>56</v>
      </c>
      <c r="T62" s="109"/>
      <c r="U62" s="110"/>
      <c r="V62" s="111"/>
      <c r="W62" s="111"/>
      <c r="X62" s="112"/>
      <c r="Y62" s="107"/>
      <c r="Z62" s="108"/>
      <c r="AA62" s="108"/>
      <c r="AB62" s="113"/>
      <c r="AC62" s="114"/>
      <c r="AD62" s="114"/>
      <c r="AE62" s="114"/>
      <c r="AF62" s="115"/>
      <c r="AG62" s="116"/>
      <c r="AH62" s="116"/>
      <c r="AI62" s="116"/>
      <c r="AJ62" s="41"/>
      <c r="AK62" s="44"/>
      <c r="AL62" s="44"/>
      <c r="AM62" s="44"/>
    </row>
    <row r="63" spans="1:39" s="99" customFormat="1" ht="37" hidden="1" customHeight="1" x14ac:dyDescent="0.35">
      <c r="A63" s="106">
        <v>49</v>
      </c>
      <c r="B63" s="106">
        <v>4</v>
      </c>
      <c r="C63" s="106" t="s">
        <v>820</v>
      </c>
      <c r="D63" s="699" t="s">
        <v>901</v>
      </c>
      <c r="E63" s="700" t="s">
        <v>902</v>
      </c>
      <c r="F63" s="681" t="s">
        <v>117</v>
      </c>
      <c r="G63" s="682" t="s">
        <v>290</v>
      </c>
      <c r="H63" s="683">
        <v>47</v>
      </c>
      <c r="I63" s="684">
        <v>46065</v>
      </c>
      <c r="J63" s="685" t="s">
        <v>56</v>
      </c>
      <c r="K63" s="94">
        <f t="shared" si="2"/>
        <v>1</v>
      </c>
      <c r="L63" s="95" t="s">
        <v>290</v>
      </c>
      <c r="M63" s="96">
        <v>47</v>
      </c>
      <c r="N63" s="97">
        <v>46065</v>
      </c>
      <c r="O63" s="98" t="s">
        <v>56</v>
      </c>
      <c r="P63" s="137"/>
      <c r="Q63" s="487"/>
      <c r="R63" s="139"/>
      <c r="S63" s="140"/>
      <c r="T63" s="109"/>
      <c r="U63" s="110"/>
      <c r="V63" s="111"/>
      <c r="W63" s="111"/>
      <c r="X63" s="112"/>
      <c r="Y63" s="107"/>
      <c r="Z63" s="108"/>
      <c r="AA63" s="108"/>
      <c r="AB63" s="113"/>
      <c r="AC63" s="114"/>
      <c r="AD63" s="114"/>
      <c r="AE63" s="114"/>
      <c r="AF63" s="115"/>
      <c r="AG63" s="116"/>
      <c r="AH63" s="116"/>
      <c r="AI63" s="116"/>
      <c r="AJ63" s="41"/>
      <c r="AK63" s="44"/>
      <c r="AL63" s="44"/>
      <c r="AM63" s="44"/>
    </row>
    <row r="64" spans="1:39" s="99" customFormat="1" ht="133.5" hidden="1" customHeight="1" x14ac:dyDescent="0.35">
      <c r="A64" s="106">
        <v>7</v>
      </c>
      <c r="B64" s="106">
        <v>9</v>
      </c>
      <c r="C64" s="777" t="s">
        <v>826</v>
      </c>
      <c r="D64" s="686" t="s">
        <v>381</v>
      </c>
      <c r="E64" s="719" t="s">
        <v>903</v>
      </c>
      <c r="F64" s="91" t="s">
        <v>117</v>
      </c>
      <c r="G64" s="844" t="s">
        <v>349</v>
      </c>
      <c r="H64" s="683">
        <v>91</v>
      </c>
      <c r="I64" s="684">
        <v>46083</v>
      </c>
      <c r="J64" s="685" t="s">
        <v>56</v>
      </c>
      <c r="K64" s="94">
        <f t="shared" si="2"/>
        <v>1</v>
      </c>
      <c r="L64" s="95">
        <v>2</v>
      </c>
      <c r="M64" s="96">
        <v>64</v>
      </c>
      <c r="N64" s="97">
        <v>46091</v>
      </c>
      <c r="O64" s="98" t="s">
        <v>56</v>
      </c>
      <c r="P64" s="843" t="s">
        <v>349</v>
      </c>
      <c r="Q64" s="632">
        <v>91</v>
      </c>
      <c r="R64" s="633">
        <v>46113</v>
      </c>
      <c r="S64" s="642" t="s">
        <v>56</v>
      </c>
      <c r="T64" s="109"/>
      <c r="U64" s="110"/>
      <c r="V64" s="111"/>
      <c r="W64" s="111"/>
      <c r="X64" s="112"/>
      <c r="Y64" s="107"/>
      <c r="Z64" s="108"/>
      <c r="AA64" s="108"/>
      <c r="AB64" s="113"/>
      <c r="AC64" s="114"/>
      <c r="AD64" s="114"/>
      <c r="AE64" s="114"/>
      <c r="AF64" s="115"/>
      <c r="AG64" s="116"/>
      <c r="AH64" s="116"/>
      <c r="AI64" s="116"/>
      <c r="AJ64" s="41"/>
      <c r="AK64" s="44"/>
      <c r="AL64" s="44"/>
      <c r="AM64" s="44"/>
    </row>
    <row r="65" spans="1:69" s="99" customFormat="1" ht="114.65" hidden="1" customHeight="1" x14ac:dyDescent="0.35">
      <c r="A65" s="106">
        <v>51</v>
      </c>
      <c r="B65" s="106">
        <v>3</v>
      </c>
      <c r="C65" s="831" t="s">
        <v>904</v>
      </c>
      <c r="D65" s="702" t="s">
        <v>332</v>
      </c>
      <c r="E65" s="703" t="s">
        <v>333</v>
      </c>
      <c r="F65" s="681" t="s">
        <v>117</v>
      </c>
      <c r="G65" s="682">
        <v>1</v>
      </c>
      <c r="H65" s="683">
        <v>83</v>
      </c>
      <c r="I65" s="684">
        <v>46106</v>
      </c>
      <c r="J65" s="685" t="s">
        <v>56</v>
      </c>
      <c r="K65" s="94">
        <f t="shared" si="2"/>
        <v>2</v>
      </c>
      <c r="L65" s="95" t="s">
        <v>200</v>
      </c>
      <c r="M65" s="96">
        <v>52</v>
      </c>
      <c r="N65" s="97">
        <v>46072</v>
      </c>
      <c r="O65" s="98" t="s">
        <v>56</v>
      </c>
      <c r="P65" s="137" t="s">
        <v>200</v>
      </c>
      <c r="Q65" s="487">
        <v>53</v>
      </c>
      <c r="R65" s="139">
        <v>46077</v>
      </c>
      <c r="S65" s="140" t="s">
        <v>56</v>
      </c>
      <c r="T65" s="652">
        <v>1</v>
      </c>
      <c r="U65" s="632">
        <v>83</v>
      </c>
      <c r="V65" s="633">
        <v>46106</v>
      </c>
      <c r="W65" s="633" t="s">
        <v>56</v>
      </c>
      <c r="X65" s="112"/>
      <c r="Y65" s="107"/>
      <c r="Z65" s="108"/>
      <c r="AA65" s="108"/>
      <c r="AB65" s="113"/>
      <c r="AC65" s="114"/>
      <c r="AD65" s="114"/>
      <c r="AE65" s="114"/>
      <c r="AF65" s="115"/>
      <c r="AG65" s="116"/>
      <c r="AH65" s="116"/>
      <c r="AI65" s="116"/>
      <c r="AJ65" s="41"/>
      <c r="AK65" s="44"/>
      <c r="AL65" s="44"/>
      <c r="AM65" s="44"/>
    </row>
    <row r="66" spans="1:69" s="99" customFormat="1" ht="37" hidden="1" customHeight="1" x14ac:dyDescent="0.35">
      <c r="A66" s="106">
        <v>52</v>
      </c>
      <c r="B66" s="106">
        <v>7</v>
      </c>
      <c r="C66" s="502" t="s">
        <v>905</v>
      </c>
      <c r="D66" s="702" t="s">
        <v>465</v>
      </c>
      <c r="E66" s="703" t="s">
        <v>906</v>
      </c>
      <c r="F66" s="681" t="s">
        <v>117</v>
      </c>
      <c r="G66" s="682">
        <v>0</v>
      </c>
      <c r="H66" s="683">
        <v>53</v>
      </c>
      <c r="I66" s="684">
        <v>46077</v>
      </c>
      <c r="J66" s="685" t="s">
        <v>56</v>
      </c>
      <c r="K66" s="94">
        <f t="shared" si="2"/>
        <v>0</v>
      </c>
      <c r="L66" s="95"/>
      <c r="M66" s="96"/>
      <c r="N66" s="97"/>
      <c r="O66" s="98"/>
      <c r="P66" s="137"/>
      <c r="Q66" s="487"/>
      <c r="R66" s="139"/>
      <c r="S66" s="140"/>
      <c r="T66" s="109"/>
      <c r="U66" s="110"/>
      <c r="V66" s="111"/>
      <c r="W66" s="111"/>
      <c r="X66" s="112"/>
      <c r="Y66" s="107"/>
      <c r="Z66" s="108"/>
      <c r="AA66" s="108"/>
      <c r="AB66" s="113"/>
      <c r="AC66" s="114"/>
      <c r="AD66" s="114"/>
      <c r="AE66" s="114"/>
      <c r="AF66" s="115"/>
      <c r="AG66" s="116"/>
      <c r="AH66" s="116"/>
      <c r="AI66" s="116"/>
      <c r="AJ66" s="41"/>
      <c r="AK66" s="44"/>
      <c r="AL66" s="44"/>
      <c r="AM66" s="44"/>
    </row>
    <row r="67" spans="1:69" s="99" customFormat="1" ht="62.15" hidden="1" customHeight="1" thickBot="1" x14ac:dyDescent="0.4">
      <c r="A67" s="106">
        <v>53</v>
      </c>
      <c r="B67" s="106">
        <v>9</v>
      </c>
      <c r="C67" s="502" t="s">
        <v>907</v>
      </c>
      <c r="D67" s="702" t="s">
        <v>368</v>
      </c>
      <c r="E67" s="703" t="s">
        <v>908</v>
      </c>
      <c r="F67" s="681" t="s">
        <v>117</v>
      </c>
      <c r="G67" s="682">
        <v>0</v>
      </c>
      <c r="H67" s="683">
        <v>53</v>
      </c>
      <c r="I67" s="684">
        <v>46077</v>
      </c>
      <c r="J67" s="685" t="s">
        <v>56</v>
      </c>
      <c r="K67" s="94">
        <f t="shared" si="2"/>
        <v>0</v>
      </c>
      <c r="L67" s="95"/>
      <c r="M67" s="96"/>
      <c r="N67" s="97"/>
      <c r="O67" s="98"/>
      <c r="P67" s="137"/>
      <c r="Q67" s="487"/>
      <c r="R67" s="139"/>
      <c r="S67" s="140"/>
      <c r="T67" s="109"/>
      <c r="U67" s="110"/>
      <c r="V67" s="111"/>
      <c r="W67" s="111"/>
      <c r="X67" s="112"/>
      <c r="Y67" s="107"/>
      <c r="Z67" s="108"/>
      <c r="AA67" s="108"/>
      <c r="AB67" s="113"/>
      <c r="AC67" s="114"/>
      <c r="AD67" s="114"/>
      <c r="AE67" s="114"/>
      <c r="AF67" s="115"/>
      <c r="AG67" s="116"/>
      <c r="AH67" s="116"/>
      <c r="AI67" s="116"/>
      <c r="AJ67" s="41"/>
      <c r="AK67" s="44"/>
      <c r="AL67" s="44"/>
      <c r="AM67" s="44"/>
    </row>
    <row r="68" spans="1:69" s="99" customFormat="1" ht="37" hidden="1" customHeight="1" x14ac:dyDescent="0.35">
      <c r="A68" s="106">
        <v>54</v>
      </c>
      <c r="B68" s="502">
        <v>9</v>
      </c>
      <c r="C68" s="502" t="s">
        <v>852</v>
      </c>
      <c r="D68" s="702" t="s">
        <v>469</v>
      </c>
      <c r="E68" s="703" t="s">
        <v>909</v>
      </c>
      <c r="F68" s="681" t="s">
        <v>117</v>
      </c>
      <c r="G68" s="682">
        <v>0</v>
      </c>
      <c r="H68" s="683">
        <v>53</v>
      </c>
      <c r="I68" s="684">
        <v>46077</v>
      </c>
      <c r="J68" s="685" t="s">
        <v>56</v>
      </c>
      <c r="K68" s="94">
        <f t="shared" si="2"/>
        <v>0</v>
      </c>
      <c r="L68" s="95"/>
      <c r="M68" s="96"/>
      <c r="N68" s="97"/>
      <c r="O68" s="98"/>
      <c r="P68" s="137"/>
      <c r="Q68" s="487"/>
      <c r="R68" s="139"/>
      <c r="S68" s="140"/>
      <c r="T68" s="109"/>
      <c r="U68" s="110"/>
      <c r="V68" s="111"/>
      <c r="W68" s="111"/>
      <c r="X68" s="112"/>
      <c r="Y68" s="107"/>
      <c r="Z68" s="108"/>
      <c r="AA68" s="108"/>
      <c r="AB68" s="113"/>
      <c r="AC68" s="114"/>
      <c r="AD68" s="114"/>
      <c r="AE68" s="114"/>
      <c r="AF68" s="115"/>
      <c r="AG68" s="116"/>
      <c r="AH68" s="116"/>
      <c r="AI68" s="116"/>
      <c r="AJ68" s="56"/>
      <c r="AK68" s="55"/>
      <c r="AL68" s="57"/>
      <c r="AM68" s="69"/>
    </row>
    <row r="69" spans="1:69" s="99" customFormat="1" ht="37" hidden="1" customHeight="1" x14ac:dyDescent="0.35">
      <c r="A69" s="106">
        <v>55</v>
      </c>
      <c r="B69" s="106">
        <v>2</v>
      </c>
      <c r="C69" s="664" t="s">
        <v>910</v>
      </c>
      <c r="D69" s="701" t="s">
        <v>683</v>
      </c>
      <c r="E69" s="703" t="s">
        <v>911</v>
      </c>
      <c r="F69" s="681" t="s">
        <v>334</v>
      </c>
      <c r="G69" s="682">
        <v>0</v>
      </c>
      <c r="H69" s="683">
        <v>40</v>
      </c>
      <c r="I69" s="684">
        <v>46049</v>
      </c>
      <c r="J69" s="685" t="s">
        <v>56</v>
      </c>
      <c r="K69" s="94">
        <f t="shared" si="2"/>
        <v>1</v>
      </c>
      <c r="L69" s="95">
        <v>0</v>
      </c>
      <c r="M69" s="96">
        <v>40</v>
      </c>
      <c r="N69" s="97">
        <v>46049</v>
      </c>
      <c r="O69" s="98" t="s">
        <v>56</v>
      </c>
      <c r="P69" s="488"/>
      <c r="Q69" s="486"/>
      <c r="R69" s="485"/>
      <c r="S69" s="764"/>
      <c r="T69" s="109"/>
      <c r="U69" s="110"/>
      <c r="V69" s="111"/>
      <c r="W69" s="111"/>
      <c r="X69" s="723"/>
      <c r="Y69" s="110"/>
      <c r="Z69" s="111"/>
      <c r="AA69" s="111"/>
      <c r="AB69" s="113"/>
      <c r="AC69" s="114"/>
      <c r="AD69" s="114"/>
      <c r="AE69" s="114"/>
      <c r="AF69" s="113"/>
      <c r="AG69" s="114"/>
      <c r="AH69" s="114"/>
      <c r="AI69" s="114"/>
      <c r="AJ69" s="498"/>
      <c r="AK69" s="484"/>
      <c r="AL69" s="497"/>
      <c r="AM69" s="111"/>
    </row>
    <row r="70" spans="1:69" s="99" customFormat="1" ht="37" hidden="1" customHeight="1" x14ac:dyDescent="0.35">
      <c r="A70" s="106">
        <v>56</v>
      </c>
      <c r="B70" s="106">
        <v>14</v>
      </c>
      <c r="C70" s="502" t="s">
        <v>852</v>
      </c>
      <c r="D70" s="702" t="s">
        <v>912</v>
      </c>
      <c r="E70" s="703" t="s">
        <v>913</v>
      </c>
      <c r="F70" s="681" t="s">
        <v>117</v>
      </c>
      <c r="G70" s="682">
        <v>0</v>
      </c>
      <c r="H70" s="683">
        <v>58</v>
      </c>
      <c r="I70" s="684">
        <v>46080</v>
      </c>
      <c r="J70" s="685" t="s">
        <v>56</v>
      </c>
      <c r="K70" s="94">
        <f t="shared" si="2"/>
        <v>0</v>
      </c>
      <c r="L70" s="95"/>
      <c r="M70" s="96"/>
      <c r="N70" s="97"/>
      <c r="O70" s="98"/>
      <c r="P70" s="137"/>
      <c r="Q70" s="487"/>
      <c r="R70" s="139"/>
      <c r="S70" s="140"/>
      <c r="T70" s="109"/>
      <c r="U70" s="110"/>
      <c r="V70" s="111"/>
      <c r="W70" s="111"/>
      <c r="X70" s="112"/>
      <c r="Y70" s="107"/>
      <c r="Z70" s="108"/>
      <c r="AA70" s="108"/>
      <c r="AB70" s="113"/>
      <c r="AC70" s="114"/>
      <c r="AD70" s="114"/>
      <c r="AE70" s="114"/>
      <c r="AF70" s="115"/>
      <c r="AG70" s="116"/>
      <c r="AH70" s="116"/>
      <c r="AI70" s="116"/>
      <c r="AJ70" s="498"/>
      <c r="AK70" s="484"/>
      <c r="AL70" s="497"/>
      <c r="AM70" s="114"/>
    </row>
    <row r="71" spans="1:69" s="99" customFormat="1" ht="37" hidden="1" customHeight="1" x14ac:dyDescent="0.35">
      <c r="A71" s="106">
        <v>57</v>
      </c>
      <c r="B71" s="106">
        <v>40</v>
      </c>
      <c r="C71" s="502" t="s">
        <v>852</v>
      </c>
      <c r="D71" s="702" t="s">
        <v>914</v>
      </c>
      <c r="E71" s="703" t="s">
        <v>915</v>
      </c>
      <c r="F71" s="681" t="s">
        <v>117</v>
      </c>
      <c r="G71" s="682">
        <v>0</v>
      </c>
      <c r="H71" s="683">
        <v>58</v>
      </c>
      <c r="I71" s="684">
        <v>46080</v>
      </c>
      <c r="J71" s="685" t="s">
        <v>56</v>
      </c>
      <c r="K71" s="94">
        <f t="shared" si="2"/>
        <v>0</v>
      </c>
      <c r="L71" s="95"/>
      <c r="M71" s="96"/>
      <c r="N71" s="97"/>
      <c r="O71" s="98"/>
      <c r="P71" s="137"/>
      <c r="Q71" s="487"/>
      <c r="R71" s="139"/>
      <c r="S71" s="140"/>
      <c r="T71" s="109"/>
      <c r="U71" s="110"/>
      <c r="V71" s="111"/>
      <c r="W71" s="111"/>
      <c r="X71" s="112"/>
      <c r="Y71" s="107"/>
      <c r="Z71" s="108"/>
      <c r="AA71" s="108"/>
      <c r="AB71" s="113"/>
      <c r="AC71" s="114"/>
      <c r="AD71" s="114"/>
      <c r="AE71" s="114"/>
      <c r="AF71" s="115"/>
      <c r="AG71" s="116"/>
      <c r="AH71" s="116"/>
      <c r="AI71" s="116"/>
      <c r="AJ71" s="498"/>
      <c r="AK71" s="484"/>
      <c r="AL71" s="497"/>
      <c r="AM71" s="114"/>
    </row>
    <row r="72" spans="1:69" s="99" customFormat="1" ht="37" hidden="1" customHeight="1" x14ac:dyDescent="0.35">
      <c r="A72" s="106">
        <v>58</v>
      </c>
      <c r="B72" s="502"/>
      <c r="C72" s="106"/>
      <c r="D72" s="702" t="s">
        <v>689</v>
      </c>
      <c r="E72" s="700" t="s">
        <v>916</v>
      </c>
      <c r="F72" s="681" t="s">
        <v>117</v>
      </c>
      <c r="G72" s="682">
        <v>3</v>
      </c>
      <c r="H72" s="683">
        <v>66</v>
      </c>
      <c r="I72" s="684">
        <v>46091</v>
      </c>
      <c r="J72" s="685" t="s">
        <v>56</v>
      </c>
      <c r="K72" s="94">
        <f t="shared" si="2"/>
        <v>1</v>
      </c>
      <c r="L72" s="95">
        <v>3</v>
      </c>
      <c r="M72" s="96">
        <v>66</v>
      </c>
      <c r="N72" s="97">
        <v>46091</v>
      </c>
      <c r="O72" s="98" t="s">
        <v>56</v>
      </c>
      <c r="P72" s="137"/>
      <c r="Q72" s="487"/>
      <c r="R72" s="139"/>
      <c r="S72" s="140"/>
      <c r="T72" s="109"/>
      <c r="U72" s="110"/>
      <c r="V72" s="111"/>
      <c r="W72" s="111"/>
      <c r="X72" s="112"/>
      <c r="Y72" s="107"/>
      <c r="Z72" s="108"/>
      <c r="AA72" s="108"/>
      <c r="AB72" s="113"/>
      <c r="AC72" s="114"/>
      <c r="AD72" s="114"/>
      <c r="AE72" s="114"/>
      <c r="AF72" s="115"/>
      <c r="AG72" s="116"/>
      <c r="AH72" s="116"/>
      <c r="AI72" s="116"/>
      <c r="AJ72" s="41"/>
      <c r="AK72" s="44"/>
      <c r="AL72" s="44"/>
      <c r="AM72" s="44"/>
    </row>
    <row r="73" spans="1:69" s="99" customFormat="1" ht="37" hidden="1" customHeight="1" x14ac:dyDescent="0.35">
      <c r="A73" s="106">
        <v>59</v>
      </c>
      <c r="B73" s="106"/>
      <c r="C73" s="106"/>
      <c r="D73" s="702" t="s">
        <v>691</v>
      </c>
      <c r="E73" s="703" t="s">
        <v>692</v>
      </c>
      <c r="F73" s="681" t="s">
        <v>117</v>
      </c>
      <c r="G73" s="682">
        <v>0</v>
      </c>
      <c r="H73" s="683">
        <v>69</v>
      </c>
      <c r="I73" s="684">
        <v>46094</v>
      </c>
      <c r="J73" s="685" t="s">
        <v>56</v>
      </c>
      <c r="K73" s="94">
        <f t="shared" si="2"/>
        <v>0</v>
      </c>
      <c r="L73" s="95"/>
      <c r="M73" s="96"/>
      <c r="N73" s="97"/>
      <c r="O73" s="98"/>
      <c r="P73" s="137"/>
      <c r="Q73" s="487"/>
      <c r="R73" s="139"/>
      <c r="S73" s="140"/>
      <c r="T73" s="109"/>
      <c r="U73" s="110"/>
      <c r="V73" s="111"/>
      <c r="W73" s="111"/>
      <c r="X73" s="112"/>
      <c r="Y73" s="107"/>
      <c r="Z73" s="108"/>
      <c r="AA73" s="108"/>
      <c r="AB73" s="113"/>
      <c r="AC73" s="114"/>
      <c r="AD73" s="114"/>
      <c r="AE73" s="114"/>
      <c r="AF73" s="115"/>
      <c r="AG73" s="116"/>
      <c r="AH73" s="116"/>
      <c r="AI73" s="116"/>
      <c r="AJ73" s="41"/>
      <c r="AK73" s="44"/>
      <c r="AL73" s="44"/>
      <c r="AM73" s="44"/>
    </row>
    <row r="74" spans="1:69" s="99" customFormat="1" ht="63" hidden="1" x14ac:dyDescent="0.35">
      <c r="A74" s="106">
        <v>60</v>
      </c>
      <c r="B74" s="106">
        <v>7</v>
      </c>
      <c r="C74" s="818" t="s">
        <v>917</v>
      </c>
      <c r="D74" s="702" t="s">
        <v>918</v>
      </c>
      <c r="E74" s="700" t="s">
        <v>919</v>
      </c>
      <c r="F74" s="681" t="s">
        <v>117</v>
      </c>
      <c r="G74" s="682">
        <v>0</v>
      </c>
      <c r="H74" s="683">
        <v>60</v>
      </c>
      <c r="I74" s="684">
        <v>46085</v>
      </c>
      <c r="J74" s="685" t="s">
        <v>56</v>
      </c>
      <c r="K74" s="94">
        <f t="shared" si="2"/>
        <v>0</v>
      </c>
      <c r="L74" s="95"/>
      <c r="M74" s="96"/>
      <c r="N74" s="97"/>
      <c r="O74" s="98"/>
      <c r="P74" s="137"/>
      <c r="Q74" s="487"/>
      <c r="R74" s="139"/>
      <c r="S74" s="140"/>
      <c r="T74" s="109"/>
      <c r="U74" s="110"/>
      <c r="V74" s="111"/>
      <c r="W74" s="111"/>
      <c r="X74" s="112"/>
      <c r="Y74" s="107"/>
      <c r="Z74" s="108"/>
      <c r="AA74" s="108"/>
      <c r="AB74" s="113"/>
      <c r="AC74" s="114"/>
      <c r="AD74" s="114"/>
      <c r="AE74" s="114"/>
      <c r="AF74" s="115"/>
      <c r="AG74" s="116"/>
      <c r="AH74" s="116"/>
      <c r="AI74" s="116"/>
      <c r="AJ74" s="41"/>
      <c r="AK74" s="44"/>
      <c r="AL74" s="44"/>
      <c r="AM74" s="44"/>
    </row>
    <row r="75" spans="1:69" s="99" customFormat="1" ht="37" hidden="1" customHeight="1" x14ac:dyDescent="0.35">
      <c r="A75" s="106">
        <v>61</v>
      </c>
      <c r="B75" s="106"/>
      <c r="C75" s="106"/>
      <c r="D75" s="702" t="s">
        <v>920</v>
      </c>
      <c r="E75" s="700" t="s">
        <v>921</v>
      </c>
      <c r="F75" s="681" t="s">
        <v>117</v>
      </c>
      <c r="G75" s="682">
        <v>1</v>
      </c>
      <c r="H75" s="683">
        <v>66</v>
      </c>
      <c r="I75" s="684">
        <v>46091</v>
      </c>
      <c r="J75" s="685" t="s">
        <v>56</v>
      </c>
      <c r="K75" s="94">
        <f t="shared" si="2"/>
        <v>1</v>
      </c>
      <c r="L75" s="95">
        <v>0</v>
      </c>
      <c r="M75" s="96">
        <v>60</v>
      </c>
      <c r="N75" s="659">
        <v>46085</v>
      </c>
      <c r="O75" s="660" t="s">
        <v>56</v>
      </c>
      <c r="P75" s="137">
        <v>1</v>
      </c>
      <c r="Q75" s="487">
        <v>66</v>
      </c>
      <c r="R75" s="139">
        <v>46091</v>
      </c>
      <c r="S75" s="140" t="s">
        <v>56</v>
      </c>
      <c r="T75" s="109"/>
      <c r="U75" s="110"/>
      <c r="V75" s="111"/>
      <c r="W75" s="111"/>
      <c r="X75" s="112"/>
      <c r="Y75" s="107"/>
      <c r="Z75" s="108"/>
      <c r="AA75" s="108"/>
      <c r="AB75" s="113"/>
      <c r="AC75" s="114"/>
      <c r="AD75" s="114"/>
      <c r="AE75" s="114"/>
      <c r="AF75" s="115"/>
      <c r="AG75" s="116"/>
      <c r="AH75" s="116"/>
      <c r="AI75" s="116"/>
      <c r="AJ75" s="41"/>
      <c r="AK75" s="44"/>
      <c r="AL75" s="44"/>
      <c r="AM75" s="44"/>
    </row>
    <row r="76" spans="1:69" s="99" customFormat="1" ht="37" hidden="1" customHeight="1" x14ac:dyDescent="0.35">
      <c r="A76" s="106">
        <v>62</v>
      </c>
      <c r="B76" s="502"/>
      <c r="C76" s="106"/>
      <c r="D76" s="702" t="s">
        <v>922</v>
      </c>
      <c r="E76" s="700" t="s">
        <v>923</v>
      </c>
      <c r="F76" s="681" t="s">
        <v>117</v>
      </c>
      <c r="G76" s="682">
        <v>1</v>
      </c>
      <c r="H76" s="683">
        <v>67</v>
      </c>
      <c r="I76" s="684">
        <v>46093</v>
      </c>
      <c r="J76" s="685" t="s">
        <v>56</v>
      </c>
      <c r="K76" s="94">
        <f t="shared" si="2"/>
        <v>1</v>
      </c>
      <c r="L76" s="95">
        <v>0</v>
      </c>
      <c r="M76" s="96">
        <v>60</v>
      </c>
      <c r="N76" s="659">
        <v>46085</v>
      </c>
      <c r="O76" s="660" t="s">
        <v>924</v>
      </c>
      <c r="P76" s="137">
        <v>1</v>
      </c>
      <c r="Q76" s="487">
        <v>67</v>
      </c>
      <c r="R76" s="139">
        <v>46093</v>
      </c>
      <c r="S76" s="140" t="s">
        <v>73</v>
      </c>
      <c r="T76" s="109"/>
      <c r="U76" s="110"/>
      <c r="V76" s="111"/>
      <c r="W76" s="111"/>
      <c r="X76" s="112"/>
      <c r="Y76" s="107"/>
      <c r="Z76" s="108"/>
      <c r="AA76" s="108"/>
      <c r="AB76" s="113"/>
      <c r="AC76" s="114"/>
      <c r="AD76" s="114"/>
      <c r="AE76" s="114"/>
      <c r="AF76" s="115"/>
      <c r="AG76" s="116"/>
      <c r="AH76" s="116"/>
      <c r="AI76" s="116"/>
      <c r="AJ76" s="41"/>
      <c r="AK76" s="44"/>
      <c r="AL76" s="44"/>
      <c r="AM76" s="44"/>
    </row>
    <row r="77" spans="1:69" s="99" customFormat="1" ht="133.5" hidden="1" customHeight="1" x14ac:dyDescent="0.35">
      <c r="A77" s="106">
        <v>50</v>
      </c>
      <c r="B77" s="502"/>
      <c r="C77" s="777" t="s">
        <v>826</v>
      </c>
      <c r="D77" s="686" t="s">
        <v>485</v>
      </c>
      <c r="E77" s="719" t="s">
        <v>925</v>
      </c>
      <c r="F77" s="681" t="s">
        <v>117</v>
      </c>
      <c r="G77" s="844" t="s">
        <v>349</v>
      </c>
      <c r="H77" s="683">
        <v>91</v>
      </c>
      <c r="I77" s="93">
        <v>46083</v>
      </c>
      <c r="J77" s="685" t="s">
        <v>56</v>
      </c>
      <c r="K77" s="94">
        <f t="shared" si="2"/>
        <v>1</v>
      </c>
      <c r="L77" s="95">
        <v>2</v>
      </c>
      <c r="M77" s="96">
        <v>68</v>
      </c>
      <c r="N77" s="97">
        <v>46094</v>
      </c>
      <c r="O77" s="98" t="s">
        <v>56</v>
      </c>
      <c r="P77" s="843" t="s">
        <v>349</v>
      </c>
      <c r="Q77" s="632">
        <v>91</v>
      </c>
      <c r="R77" s="633">
        <v>46113</v>
      </c>
      <c r="S77" s="642" t="s">
        <v>56</v>
      </c>
      <c r="T77" s="109"/>
      <c r="U77" s="110"/>
      <c r="V77" s="111"/>
      <c r="W77" s="111"/>
      <c r="X77" s="112"/>
      <c r="Y77" s="107"/>
      <c r="Z77" s="108"/>
      <c r="AA77" s="108"/>
      <c r="AB77" s="113"/>
      <c r="AC77" s="114"/>
      <c r="AD77" s="114"/>
      <c r="AE77" s="114"/>
      <c r="AF77" s="115"/>
      <c r="AG77" s="116"/>
      <c r="AH77" s="116"/>
      <c r="AI77" s="116"/>
      <c r="AJ77" s="41"/>
      <c r="AK77" s="44"/>
      <c r="AL77" s="44"/>
      <c r="AM77" s="44"/>
    </row>
    <row r="78" spans="1:69" s="105" customFormat="1" ht="121.5" hidden="1" customHeight="1" x14ac:dyDescent="0.35">
      <c r="A78" s="106">
        <v>64</v>
      </c>
      <c r="B78" s="106">
        <v>27</v>
      </c>
      <c r="C78" s="777" t="s">
        <v>826</v>
      </c>
      <c r="D78" s="686" t="s">
        <v>512</v>
      </c>
      <c r="E78" s="721" t="s">
        <v>513</v>
      </c>
      <c r="F78" s="681" t="s">
        <v>117</v>
      </c>
      <c r="G78" s="682">
        <v>2</v>
      </c>
      <c r="H78" s="683">
        <v>94</v>
      </c>
      <c r="I78" s="684">
        <v>46125</v>
      </c>
      <c r="J78" s="685" t="s">
        <v>56</v>
      </c>
      <c r="K78" s="94">
        <f t="shared" si="2"/>
        <v>3</v>
      </c>
      <c r="L78" s="95" t="s">
        <v>63</v>
      </c>
      <c r="M78" s="96">
        <v>2</v>
      </c>
      <c r="N78" s="97">
        <v>45938</v>
      </c>
      <c r="O78" s="98" t="s">
        <v>56</v>
      </c>
      <c r="P78" s="137" t="s">
        <v>63</v>
      </c>
      <c r="Q78" s="138">
        <v>6</v>
      </c>
      <c r="R78" s="139">
        <v>45958</v>
      </c>
      <c r="S78" s="140" t="s">
        <v>56</v>
      </c>
      <c r="T78" s="483">
        <v>0</v>
      </c>
      <c r="U78" s="484">
        <v>7</v>
      </c>
      <c r="V78" s="485">
        <v>45964</v>
      </c>
      <c r="W78" s="485" t="s">
        <v>56</v>
      </c>
      <c r="X78" s="490" t="s">
        <v>200</v>
      </c>
      <c r="Y78" s="138">
        <v>8</v>
      </c>
      <c r="Z78" s="139">
        <v>45971</v>
      </c>
      <c r="AA78" s="139" t="s">
        <v>56</v>
      </c>
      <c r="AB78" s="498" t="s">
        <v>361</v>
      </c>
      <c r="AC78" s="484">
        <v>10</v>
      </c>
      <c r="AD78" s="497">
        <v>45993</v>
      </c>
      <c r="AE78" s="114" t="s">
        <v>56</v>
      </c>
      <c r="AF78" s="115" t="s">
        <v>363</v>
      </c>
      <c r="AG78" s="116">
        <v>13</v>
      </c>
      <c r="AH78" s="499">
        <v>46002</v>
      </c>
      <c r="AI78" s="138" t="s">
        <v>56</v>
      </c>
      <c r="AJ78" s="498" t="s">
        <v>365</v>
      </c>
      <c r="AK78" s="500">
        <v>18</v>
      </c>
      <c r="AL78" s="498">
        <v>46010</v>
      </c>
      <c r="AM78" s="44" t="s">
        <v>56</v>
      </c>
      <c r="AN78" s="747">
        <v>1</v>
      </c>
      <c r="AO78" s="747">
        <v>64</v>
      </c>
      <c r="AP78" s="856">
        <v>46091</v>
      </c>
      <c r="AQ78" s="138" t="s">
        <v>56</v>
      </c>
      <c r="AR78" s="641">
        <v>2</v>
      </c>
      <c r="AS78" s="636">
        <v>94</v>
      </c>
      <c r="AT78" s="730">
        <v>46125</v>
      </c>
    </row>
    <row r="79" spans="1:69" s="105" customFormat="1" ht="121.5" hidden="1" customHeight="1" x14ac:dyDescent="0.35">
      <c r="A79" s="106">
        <v>65</v>
      </c>
      <c r="B79" s="106">
        <v>27</v>
      </c>
      <c r="C79" s="777" t="s">
        <v>826</v>
      </c>
      <c r="D79" s="686" t="s">
        <v>522</v>
      </c>
      <c r="E79" s="688" t="s">
        <v>523</v>
      </c>
      <c r="F79" s="681" t="s">
        <v>117</v>
      </c>
      <c r="G79" s="682">
        <v>2</v>
      </c>
      <c r="H79" s="683">
        <v>94</v>
      </c>
      <c r="I79" s="684">
        <v>46125</v>
      </c>
      <c r="J79" s="685" t="s">
        <v>56</v>
      </c>
      <c r="K79" s="94">
        <f t="shared" si="2"/>
        <v>3</v>
      </c>
      <c r="L79" s="95" t="s">
        <v>63</v>
      </c>
      <c r="M79" s="96">
        <v>2</v>
      </c>
      <c r="N79" s="97">
        <v>45938</v>
      </c>
      <c r="O79" s="98" t="s">
        <v>56</v>
      </c>
      <c r="P79" s="137" t="s">
        <v>63</v>
      </c>
      <c r="Q79" s="138">
        <v>6</v>
      </c>
      <c r="R79" s="139">
        <v>45958</v>
      </c>
      <c r="S79" s="140" t="s">
        <v>56</v>
      </c>
      <c r="T79" s="483">
        <v>0</v>
      </c>
      <c r="U79" s="486">
        <v>7</v>
      </c>
      <c r="V79" s="485">
        <v>45964</v>
      </c>
      <c r="W79" s="485" t="s">
        <v>56</v>
      </c>
      <c r="X79" s="490" t="s">
        <v>200</v>
      </c>
      <c r="Y79" s="138">
        <v>8</v>
      </c>
      <c r="Z79" s="139">
        <v>45971</v>
      </c>
      <c r="AA79" s="139" t="s">
        <v>56</v>
      </c>
      <c r="AB79" s="498" t="s">
        <v>361</v>
      </c>
      <c r="AC79" s="484">
        <v>10</v>
      </c>
      <c r="AD79" s="497">
        <v>45993</v>
      </c>
      <c r="AE79" s="114" t="s">
        <v>56</v>
      </c>
      <c r="AF79" s="717" t="s">
        <v>363</v>
      </c>
      <c r="AG79" s="138">
        <v>13</v>
      </c>
      <c r="AH79" s="731">
        <v>46002</v>
      </c>
      <c r="AI79" s="138" t="s">
        <v>56</v>
      </c>
      <c r="AJ79" s="498" t="s">
        <v>365</v>
      </c>
      <c r="AK79" s="500">
        <v>18</v>
      </c>
      <c r="AL79" s="498">
        <v>46010</v>
      </c>
      <c r="AM79" s="44" t="s">
        <v>56</v>
      </c>
      <c r="AN79" s="92">
        <v>1</v>
      </c>
      <c r="AO79" s="92">
        <v>68</v>
      </c>
      <c r="AP79" s="857">
        <v>46094</v>
      </c>
      <c r="AQ79" s="138" t="s">
        <v>56</v>
      </c>
      <c r="AR79" s="636">
        <v>2</v>
      </c>
      <c r="AS79" s="636">
        <v>94</v>
      </c>
      <c r="AT79" s="730">
        <v>46125</v>
      </c>
      <c r="AU79" s="85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</row>
    <row r="80" spans="1:69" ht="134.15" hidden="1" customHeight="1" x14ac:dyDescent="0.35">
      <c r="A80" s="106">
        <v>66</v>
      </c>
      <c r="B80" s="502">
        <v>9</v>
      </c>
      <c r="C80" s="777" t="s">
        <v>926</v>
      </c>
      <c r="D80" s="695" t="s">
        <v>308</v>
      </c>
      <c r="E80" s="716" t="s">
        <v>927</v>
      </c>
      <c r="F80" s="681" t="s">
        <v>117</v>
      </c>
      <c r="G80" s="682">
        <v>5</v>
      </c>
      <c r="H80" s="690">
        <v>89</v>
      </c>
      <c r="I80" s="684">
        <v>46112</v>
      </c>
      <c r="J80" s="685" t="s">
        <v>56</v>
      </c>
      <c r="K80" s="94">
        <f t="shared" ref="K80:K104" si="3">ROUNDUP(((COUNTA(L80:AI80)/4)/2),0)</f>
        <v>3</v>
      </c>
      <c r="L80" s="488">
        <v>0</v>
      </c>
      <c r="M80" s="486">
        <v>33</v>
      </c>
      <c r="N80" s="485">
        <v>46037</v>
      </c>
      <c r="O80" s="489" t="s">
        <v>56</v>
      </c>
      <c r="P80" s="137">
        <v>1</v>
      </c>
      <c r="Q80" s="138">
        <v>41</v>
      </c>
      <c r="R80" s="139">
        <v>46051</v>
      </c>
      <c r="S80" s="140" t="s">
        <v>56</v>
      </c>
      <c r="T80" s="483">
        <v>2</v>
      </c>
      <c r="U80" s="486">
        <v>57</v>
      </c>
      <c r="V80" s="485">
        <v>46080</v>
      </c>
      <c r="W80" s="485" t="s">
        <v>56</v>
      </c>
      <c r="X80" s="717">
        <v>3</v>
      </c>
      <c r="Y80" s="138">
        <v>63</v>
      </c>
      <c r="Z80" s="139">
        <v>46087</v>
      </c>
      <c r="AA80" s="139" t="s">
        <v>56</v>
      </c>
      <c r="AB80" s="500">
        <v>4</v>
      </c>
      <c r="AC80" s="484">
        <v>79</v>
      </c>
      <c r="AD80" s="497">
        <v>46105</v>
      </c>
      <c r="AE80" s="484" t="s">
        <v>56</v>
      </c>
      <c r="AF80" s="501">
        <v>5</v>
      </c>
      <c r="AG80" s="641">
        <v>89</v>
      </c>
      <c r="AH80" s="662">
        <v>46112</v>
      </c>
      <c r="AI80" s="641" t="s">
        <v>56</v>
      </c>
      <c r="AJ80" s="498"/>
      <c r="AK80" s="484"/>
      <c r="AL80" s="497"/>
      <c r="AM80" s="111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</row>
    <row r="81" spans="1:63" ht="39" hidden="1" customHeight="1" x14ac:dyDescent="0.35">
      <c r="A81" s="106">
        <v>67</v>
      </c>
      <c r="B81" s="775">
        <v>2</v>
      </c>
      <c r="C81" s="781" t="s">
        <v>820</v>
      </c>
      <c r="D81" s="735" t="s">
        <v>928</v>
      </c>
      <c r="E81" s="782" t="s">
        <v>929</v>
      </c>
      <c r="F81" s="737" t="s">
        <v>117</v>
      </c>
      <c r="G81" s="738">
        <v>1</v>
      </c>
      <c r="H81" s="739">
        <v>31</v>
      </c>
      <c r="I81" s="740">
        <v>46037</v>
      </c>
      <c r="J81" s="741" t="s">
        <v>56</v>
      </c>
      <c r="K81" s="783">
        <f t="shared" si="3"/>
        <v>1</v>
      </c>
      <c r="L81" s="742">
        <v>0</v>
      </c>
      <c r="M81" s="743">
        <v>29</v>
      </c>
      <c r="N81" s="744">
        <v>46036</v>
      </c>
      <c r="O81" s="745" t="s">
        <v>56</v>
      </c>
      <c r="P81" s="746">
        <v>1</v>
      </c>
      <c r="Q81" s="747">
        <v>31</v>
      </c>
      <c r="R81" s="748">
        <v>46037</v>
      </c>
      <c r="S81" s="749" t="s">
        <v>56</v>
      </c>
      <c r="T81" s="750"/>
      <c r="U81" s="751"/>
      <c r="V81" s="752"/>
      <c r="W81" s="752"/>
      <c r="X81" s="753"/>
      <c r="Y81" s="754"/>
      <c r="Z81" s="754"/>
      <c r="AA81" s="754"/>
      <c r="AB81" s="755"/>
      <c r="AC81" s="756"/>
      <c r="AD81" s="756"/>
      <c r="AE81" s="756"/>
      <c r="AF81" s="757"/>
      <c r="AG81" s="726"/>
      <c r="AH81" s="726"/>
      <c r="AI81" s="726"/>
      <c r="AJ81" s="758"/>
      <c r="AK81" s="759"/>
      <c r="AL81" s="760"/>
      <c r="AM81" s="756"/>
      <c r="AN81" s="727"/>
      <c r="AO81" s="727"/>
      <c r="AP81" s="727"/>
      <c r="AQ81" s="727"/>
      <c r="AR81" s="727"/>
      <c r="AS81" s="727"/>
      <c r="AT81" s="727"/>
      <c r="AU81" s="727"/>
      <c r="AV81" s="727"/>
      <c r="AW81" s="727"/>
      <c r="AX81" s="727"/>
      <c r="AY81" s="727"/>
      <c r="AZ81" s="727"/>
      <c r="BA81" s="727"/>
      <c r="BB81" s="727"/>
      <c r="BC81" s="727"/>
      <c r="BD81" s="727"/>
      <c r="BE81" s="727"/>
      <c r="BF81" s="727"/>
      <c r="BG81" s="727"/>
      <c r="BH81" s="727"/>
      <c r="BI81" s="727"/>
      <c r="BJ81" s="727"/>
      <c r="BK81" s="727"/>
    </row>
    <row r="82" spans="1:63" s="729" customFormat="1" ht="39" hidden="1" customHeight="1" x14ac:dyDescent="0.35">
      <c r="A82" s="106">
        <v>68</v>
      </c>
      <c r="B82" s="106">
        <v>14</v>
      </c>
      <c r="C82" s="665" t="s">
        <v>820</v>
      </c>
      <c r="D82" s="694" t="s">
        <v>685</v>
      </c>
      <c r="E82" s="815" t="s">
        <v>930</v>
      </c>
      <c r="F82" s="681" t="s">
        <v>117</v>
      </c>
      <c r="G82" s="682">
        <v>0</v>
      </c>
      <c r="H82" s="683">
        <v>56</v>
      </c>
      <c r="I82" s="684">
        <v>46079</v>
      </c>
      <c r="J82" s="685" t="s">
        <v>56</v>
      </c>
      <c r="K82" s="816">
        <f t="shared" si="3"/>
        <v>1</v>
      </c>
      <c r="L82" s="817">
        <v>0</v>
      </c>
      <c r="M82" s="636">
        <v>56</v>
      </c>
      <c r="N82" s="637">
        <v>46079</v>
      </c>
      <c r="O82" s="633" t="s">
        <v>56</v>
      </c>
      <c r="P82" s="717"/>
      <c r="Q82" s="138"/>
      <c r="R82" s="139"/>
      <c r="S82" s="139"/>
      <c r="T82" s="113"/>
      <c r="U82" s="110"/>
      <c r="V82" s="111"/>
      <c r="W82" s="111"/>
      <c r="X82" s="117"/>
      <c r="Y82" s="108"/>
      <c r="Z82" s="108"/>
      <c r="AA82" s="108"/>
      <c r="AB82" s="113"/>
      <c r="AC82" s="114"/>
      <c r="AD82" s="114"/>
      <c r="AE82" s="114"/>
      <c r="AF82" s="115"/>
      <c r="AG82" s="116"/>
      <c r="AH82" s="116"/>
      <c r="AI82" s="116"/>
      <c r="AJ82" s="498"/>
      <c r="AK82" s="484"/>
      <c r="AL82" s="497"/>
      <c r="AM82" s="114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</row>
    <row r="83" spans="1:63" ht="39" hidden="1" customHeight="1" x14ac:dyDescent="0.35">
      <c r="A83" s="106">
        <v>69</v>
      </c>
      <c r="B83" s="784"/>
      <c r="C83" s="785"/>
      <c r="D83" s="786" t="s">
        <v>931</v>
      </c>
      <c r="E83" s="787" t="s">
        <v>932</v>
      </c>
      <c r="F83" s="788" t="s">
        <v>117</v>
      </c>
      <c r="G83" s="789">
        <v>0</v>
      </c>
      <c r="H83" s="790">
        <v>70</v>
      </c>
      <c r="I83" s="791">
        <v>46098</v>
      </c>
      <c r="J83" s="792" t="s">
        <v>56</v>
      </c>
      <c r="K83" s="793">
        <f t="shared" si="3"/>
        <v>1</v>
      </c>
      <c r="L83" s="794">
        <v>0</v>
      </c>
      <c r="M83" s="795">
        <v>70</v>
      </c>
      <c r="N83" s="796">
        <v>46098</v>
      </c>
      <c r="O83" s="797" t="s">
        <v>56</v>
      </c>
      <c r="P83" s="798"/>
      <c r="Q83" s="799"/>
      <c r="R83" s="800"/>
      <c r="S83" s="801"/>
      <c r="T83" s="802"/>
      <c r="U83" s="803"/>
      <c r="V83" s="804"/>
      <c r="W83" s="804"/>
      <c r="X83" s="805"/>
      <c r="Y83" s="806"/>
      <c r="Z83" s="806"/>
      <c r="AA83" s="806"/>
      <c r="AB83" s="807"/>
      <c r="AC83" s="808"/>
      <c r="AD83" s="808"/>
      <c r="AE83" s="808"/>
      <c r="AF83" s="809"/>
      <c r="AG83" s="810"/>
      <c r="AH83" s="810"/>
      <c r="AI83" s="810"/>
      <c r="AJ83" s="811"/>
      <c r="AK83" s="812"/>
      <c r="AL83" s="813"/>
      <c r="AM83" s="808"/>
      <c r="AN83" s="814"/>
      <c r="AO83" s="814"/>
      <c r="AP83" s="814"/>
      <c r="AQ83" s="814"/>
      <c r="AR83" s="814"/>
      <c r="AS83" s="814"/>
      <c r="AT83" s="814"/>
      <c r="AU83" s="814"/>
      <c r="AV83" s="814"/>
      <c r="AW83" s="814"/>
      <c r="AX83" s="814"/>
      <c r="AY83" s="814"/>
      <c r="AZ83" s="814"/>
      <c r="BA83" s="814"/>
      <c r="BB83" s="814"/>
      <c r="BC83" s="814"/>
      <c r="BD83" s="814"/>
      <c r="BE83" s="814"/>
      <c r="BF83" s="814"/>
      <c r="BG83" s="814"/>
      <c r="BH83" s="814"/>
      <c r="BI83" s="814"/>
      <c r="BJ83" s="814"/>
      <c r="BK83" s="814"/>
    </row>
    <row r="84" spans="1:63" ht="43" hidden="1" customHeight="1" x14ac:dyDescent="0.35">
      <c r="A84" s="106">
        <v>70</v>
      </c>
      <c r="B84" s="775"/>
      <c r="C84" s="734"/>
      <c r="D84" s="735" t="s">
        <v>198</v>
      </c>
      <c r="E84" s="736" t="s">
        <v>933</v>
      </c>
      <c r="F84" s="737" t="s">
        <v>117</v>
      </c>
      <c r="G84" s="738" t="s">
        <v>200</v>
      </c>
      <c r="H84" s="739">
        <v>74</v>
      </c>
      <c r="I84" s="740">
        <v>46099</v>
      </c>
      <c r="J84" s="741" t="s">
        <v>56</v>
      </c>
      <c r="K84" s="783">
        <f t="shared" si="3"/>
        <v>1</v>
      </c>
      <c r="L84" s="765" t="s">
        <v>200</v>
      </c>
      <c r="M84" s="743">
        <v>74</v>
      </c>
      <c r="N84" s="744">
        <v>46099</v>
      </c>
      <c r="O84" s="745" t="s">
        <v>56</v>
      </c>
      <c r="P84" s="766"/>
      <c r="Q84" s="747"/>
      <c r="R84" s="748"/>
      <c r="S84" s="767"/>
      <c r="T84" s="750"/>
      <c r="U84" s="751"/>
      <c r="V84" s="752"/>
      <c r="W84" s="752"/>
      <c r="X84" s="753"/>
      <c r="Y84" s="754"/>
      <c r="Z84" s="754"/>
      <c r="AA84" s="754"/>
      <c r="AB84" s="755"/>
      <c r="AC84" s="756"/>
      <c r="AD84" s="756"/>
      <c r="AE84" s="756"/>
      <c r="AF84" s="757"/>
      <c r="AG84" s="726"/>
      <c r="AH84" s="726"/>
      <c r="AI84" s="726"/>
      <c r="AJ84" s="758"/>
      <c r="AK84" s="759"/>
      <c r="AL84" s="760"/>
      <c r="AM84" s="756"/>
      <c r="AN84" s="727"/>
      <c r="AO84" s="727"/>
      <c r="AP84" s="727"/>
      <c r="AQ84" s="727"/>
      <c r="AR84" s="727"/>
      <c r="AS84" s="727"/>
      <c r="AT84" s="727"/>
      <c r="AU84" s="727"/>
      <c r="AV84" s="727"/>
      <c r="AW84" s="727"/>
      <c r="AX84" s="727"/>
      <c r="AY84" s="727"/>
      <c r="AZ84" s="727"/>
      <c r="BA84" s="727"/>
      <c r="BB84" s="727"/>
      <c r="BC84" s="727"/>
      <c r="BD84" s="727"/>
      <c r="BE84" s="727"/>
      <c r="BF84" s="727"/>
      <c r="BG84" s="727"/>
      <c r="BH84" s="727"/>
      <c r="BI84" s="727"/>
      <c r="BJ84" s="727"/>
      <c r="BK84" s="727"/>
    </row>
    <row r="85" spans="1:63" s="729" customFormat="1" ht="152.15" hidden="1" customHeight="1" x14ac:dyDescent="0.35">
      <c r="A85" s="106">
        <v>71</v>
      </c>
      <c r="B85" s="502">
        <v>5</v>
      </c>
      <c r="C85" s="860" t="s">
        <v>934</v>
      </c>
      <c r="D85" s="694" t="s">
        <v>356</v>
      </c>
      <c r="E85" s="815" t="s">
        <v>935</v>
      </c>
      <c r="F85" s="681" t="s">
        <v>117</v>
      </c>
      <c r="G85" s="682">
        <v>1</v>
      </c>
      <c r="H85" s="683">
        <v>77</v>
      </c>
      <c r="I85" s="684">
        <v>46099</v>
      </c>
      <c r="J85" s="685" t="s">
        <v>56</v>
      </c>
      <c r="K85" s="816">
        <f t="shared" si="3"/>
        <v>1</v>
      </c>
      <c r="L85" s="825" t="s">
        <v>365</v>
      </c>
      <c r="M85" s="96">
        <v>75</v>
      </c>
      <c r="N85" s="97">
        <v>46099</v>
      </c>
      <c r="O85" s="485" t="s">
        <v>56</v>
      </c>
      <c r="P85" s="501">
        <v>1</v>
      </c>
      <c r="Q85" s="641">
        <v>77</v>
      </c>
      <c r="R85" s="633">
        <v>46100</v>
      </c>
      <c r="S85" s="633" t="s">
        <v>56</v>
      </c>
      <c r="T85" s="113"/>
      <c r="U85" s="110"/>
      <c r="V85" s="111"/>
      <c r="W85" s="111"/>
      <c r="X85" s="117"/>
      <c r="Y85" s="108"/>
      <c r="Z85" s="108"/>
      <c r="AA85" s="108"/>
      <c r="AB85" s="113"/>
      <c r="AC85" s="114"/>
      <c r="AD85" s="114"/>
      <c r="AE85" s="114"/>
      <c r="AF85" s="115"/>
      <c r="AG85" s="116"/>
      <c r="AH85" s="116"/>
      <c r="AI85" s="116"/>
      <c r="AJ85" s="498"/>
      <c r="AK85" s="484"/>
      <c r="AL85" s="497"/>
      <c r="AM85" s="114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</row>
    <row r="86" spans="1:63" s="729" customFormat="1" ht="85.5" hidden="1" customHeight="1" x14ac:dyDescent="0.35">
      <c r="A86" s="106">
        <v>72</v>
      </c>
      <c r="B86" s="502">
        <v>6</v>
      </c>
      <c r="C86" s="832" t="s">
        <v>829</v>
      </c>
      <c r="D86" s="694" t="s">
        <v>402</v>
      </c>
      <c r="E86" s="815" t="s">
        <v>936</v>
      </c>
      <c r="F86" s="681" t="s">
        <v>117</v>
      </c>
      <c r="G86" s="682">
        <v>1</v>
      </c>
      <c r="H86" s="683">
        <v>78</v>
      </c>
      <c r="I86" s="684">
        <v>46105</v>
      </c>
      <c r="J86" s="685" t="s">
        <v>56</v>
      </c>
      <c r="K86" s="816">
        <f t="shared" si="3"/>
        <v>1</v>
      </c>
      <c r="L86" s="825" t="s">
        <v>365</v>
      </c>
      <c r="M86" s="96">
        <v>75</v>
      </c>
      <c r="N86" s="97">
        <v>46099</v>
      </c>
      <c r="O86" s="485" t="s">
        <v>56</v>
      </c>
      <c r="P86" s="501">
        <v>1</v>
      </c>
      <c r="Q86" s="641">
        <v>78</v>
      </c>
      <c r="R86" s="633">
        <v>46105</v>
      </c>
      <c r="S86" s="633" t="s">
        <v>56</v>
      </c>
      <c r="T86" s="113"/>
      <c r="U86" s="110"/>
      <c r="V86" s="111"/>
      <c r="W86" s="111"/>
      <c r="X86" s="117"/>
      <c r="Y86" s="108"/>
      <c r="Z86" s="108"/>
      <c r="AA86" s="108"/>
      <c r="AB86" s="113"/>
      <c r="AC86" s="114"/>
      <c r="AD86" s="114"/>
      <c r="AE86" s="114"/>
      <c r="AF86" s="115"/>
      <c r="AG86" s="116"/>
      <c r="AH86" s="116"/>
      <c r="AI86" s="116"/>
      <c r="AJ86" s="498"/>
      <c r="AK86" s="484"/>
      <c r="AL86" s="497"/>
      <c r="AM86" s="114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</row>
    <row r="87" spans="1:63" s="729" customFormat="1" ht="139" hidden="1" customHeight="1" x14ac:dyDescent="0.35">
      <c r="A87" s="106">
        <v>73</v>
      </c>
      <c r="B87" s="502">
        <v>6</v>
      </c>
      <c r="C87" s="832" t="s">
        <v>937</v>
      </c>
      <c r="D87" s="694" t="s">
        <v>421</v>
      </c>
      <c r="E87" s="815" t="s">
        <v>938</v>
      </c>
      <c r="F87" s="681" t="s">
        <v>117</v>
      </c>
      <c r="G87" s="682">
        <v>1</v>
      </c>
      <c r="H87" s="683">
        <v>88</v>
      </c>
      <c r="I87" s="684">
        <v>46108</v>
      </c>
      <c r="J87" s="685" t="s">
        <v>56</v>
      </c>
      <c r="K87" s="816">
        <f t="shared" si="3"/>
        <v>1</v>
      </c>
      <c r="L87" s="825" t="s">
        <v>365</v>
      </c>
      <c r="M87" s="96">
        <v>75</v>
      </c>
      <c r="N87" s="97">
        <v>46099</v>
      </c>
      <c r="O87" s="485" t="s">
        <v>56</v>
      </c>
      <c r="P87" s="501">
        <v>1</v>
      </c>
      <c r="Q87" s="641">
        <v>88</v>
      </c>
      <c r="R87" s="633">
        <v>46108</v>
      </c>
      <c r="S87" s="633" t="s">
        <v>56</v>
      </c>
      <c r="T87" s="113"/>
      <c r="U87" s="110"/>
      <c r="V87" s="111"/>
      <c r="W87" s="111"/>
      <c r="X87" s="117"/>
      <c r="Y87" s="108"/>
      <c r="Z87" s="108"/>
      <c r="AA87" s="108"/>
      <c r="AB87" s="113"/>
      <c r="AC87" s="114"/>
      <c r="AD87" s="114"/>
      <c r="AE87" s="114"/>
      <c r="AF87" s="115"/>
      <c r="AG87" s="116"/>
      <c r="AH87" s="116"/>
      <c r="AI87" s="116"/>
      <c r="AJ87" s="498"/>
      <c r="AK87" s="484"/>
      <c r="AL87" s="497"/>
      <c r="AM87" s="114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</row>
    <row r="88" spans="1:63" ht="43" hidden="1" customHeight="1" x14ac:dyDescent="0.35">
      <c r="A88" s="106">
        <v>74</v>
      </c>
      <c r="B88" s="784"/>
      <c r="C88" s="785"/>
      <c r="D88" s="786" t="s">
        <v>170</v>
      </c>
      <c r="E88" s="787" t="s">
        <v>939</v>
      </c>
      <c r="F88" s="788" t="s">
        <v>117</v>
      </c>
      <c r="G88" s="789">
        <v>0</v>
      </c>
      <c r="H88" s="790">
        <v>76</v>
      </c>
      <c r="I88" s="791">
        <v>46100</v>
      </c>
      <c r="J88" s="792" t="s">
        <v>56</v>
      </c>
      <c r="K88" s="793">
        <f t="shared" si="3"/>
        <v>1</v>
      </c>
      <c r="L88" s="794">
        <v>0</v>
      </c>
      <c r="M88" s="795">
        <v>76</v>
      </c>
      <c r="N88" s="796">
        <v>46100</v>
      </c>
      <c r="O88" s="633" t="s">
        <v>56</v>
      </c>
      <c r="P88" s="798"/>
      <c r="Q88" s="799"/>
      <c r="R88" s="800"/>
      <c r="S88" s="801"/>
      <c r="T88" s="802"/>
      <c r="U88" s="803"/>
      <c r="V88" s="804"/>
      <c r="W88" s="804"/>
      <c r="X88" s="805"/>
      <c r="Y88" s="806"/>
      <c r="Z88" s="806"/>
      <c r="AA88" s="806"/>
      <c r="AB88" s="807"/>
      <c r="AC88" s="808"/>
      <c r="AD88" s="808"/>
      <c r="AE88" s="808"/>
      <c r="AF88" s="809"/>
      <c r="AG88" s="810"/>
      <c r="AH88" s="810"/>
      <c r="AI88" s="810"/>
      <c r="AJ88" s="811"/>
      <c r="AK88" s="812"/>
      <c r="AL88" s="813"/>
      <c r="AM88" s="808"/>
      <c r="AN88" s="814"/>
      <c r="AO88" s="814"/>
      <c r="AP88" s="814"/>
      <c r="AQ88" s="814"/>
      <c r="AR88" s="814"/>
      <c r="AS88" s="814"/>
      <c r="AT88" s="814"/>
      <c r="AU88" s="814"/>
      <c r="AV88" s="814"/>
      <c r="AW88" s="814"/>
      <c r="AX88" s="814"/>
      <c r="AY88" s="814"/>
      <c r="AZ88" s="814"/>
      <c r="BA88" s="814"/>
      <c r="BB88" s="814"/>
      <c r="BC88" s="814"/>
      <c r="BD88" s="814"/>
      <c r="BE88" s="814"/>
      <c r="BF88" s="814"/>
      <c r="BG88" s="814"/>
      <c r="BH88" s="814"/>
      <c r="BI88" s="814"/>
      <c r="BJ88" s="814"/>
      <c r="BK88" s="814"/>
    </row>
    <row r="89" spans="1:63" ht="86.5" hidden="1" customHeight="1" x14ac:dyDescent="0.35">
      <c r="A89" s="106">
        <v>75</v>
      </c>
      <c r="B89" s="106">
        <v>8</v>
      </c>
      <c r="C89" s="832" t="s">
        <v>826</v>
      </c>
      <c r="D89" s="694" t="s">
        <v>940</v>
      </c>
      <c r="E89" s="815" t="s">
        <v>941</v>
      </c>
      <c r="F89" s="681" t="s">
        <v>117</v>
      </c>
      <c r="G89" s="738">
        <v>0</v>
      </c>
      <c r="H89" s="739">
        <v>80</v>
      </c>
      <c r="I89" s="740">
        <v>46105</v>
      </c>
      <c r="J89" s="741" t="s">
        <v>56</v>
      </c>
      <c r="K89" s="94">
        <f t="shared" si="3"/>
        <v>1</v>
      </c>
      <c r="L89" s="765">
        <v>0</v>
      </c>
      <c r="M89" s="743">
        <v>80</v>
      </c>
      <c r="N89" s="744">
        <v>46105</v>
      </c>
      <c r="O89" s="633" t="s">
        <v>56</v>
      </c>
      <c r="P89" s="766"/>
      <c r="Q89" s="747"/>
      <c r="R89" s="748"/>
      <c r="S89" s="767"/>
      <c r="T89" s="750"/>
      <c r="U89" s="751"/>
      <c r="V89" s="752"/>
      <c r="W89" s="752"/>
      <c r="X89" s="753"/>
      <c r="Y89" s="754"/>
      <c r="Z89" s="754"/>
      <c r="AA89" s="754"/>
      <c r="AB89" s="826">
        <v>0</v>
      </c>
      <c r="AC89" s="724">
        <v>80</v>
      </c>
      <c r="AD89" s="725">
        <v>46105</v>
      </c>
      <c r="AE89" s="724" t="s">
        <v>56</v>
      </c>
      <c r="AF89" s="757"/>
      <c r="AG89" s="726"/>
      <c r="AH89" s="726"/>
      <c r="AI89" s="726"/>
      <c r="AJ89" s="758"/>
      <c r="AK89" s="759"/>
      <c r="AL89" s="760"/>
      <c r="AM89" s="756"/>
      <c r="AN89" s="727"/>
      <c r="AO89" s="727"/>
      <c r="AP89" s="727"/>
      <c r="AQ89" s="727"/>
      <c r="AR89" s="727"/>
      <c r="AS89" s="727"/>
      <c r="AT89" s="727"/>
      <c r="AU89" s="727"/>
      <c r="AV89" s="727"/>
      <c r="AW89" s="727"/>
      <c r="AX89" s="727"/>
      <c r="AY89" s="727"/>
      <c r="AZ89" s="727"/>
      <c r="BA89" s="727"/>
      <c r="BB89" s="727"/>
      <c r="BC89" s="727"/>
      <c r="BD89" s="727"/>
      <c r="BE89" s="727"/>
      <c r="BF89" s="727"/>
      <c r="BG89" s="727"/>
      <c r="BH89" s="727"/>
      <c r="BI89" s="727"/>
      <c r="BJ89" s="727"/>
      <c r="BK89" s="727"/>
    </row>
    <row r="90" spans="1:63" ht="115" hidden="1" customHeight="1" x14ac:dyDescent="0.35">
      <c r="A90" s="106">
        <v>76</v>
      </c>
      <c r="B90" s="775">
        <v>3</v>
      </c>
      <c r="C90" s="827" t="s">
        <v>834</v>
      </c>
      <c r="D90" s="735" t="s">
        <v>500</v>
      </c>
      <c r="E90" s="736" t="s">
        <v>942</v>
      </c>
      <c r="F90" s="737" t="s">
        <v>117</v>
      </c>
      <c r="G90" s="738">
        <v>0</v>
      </c>
      <c r="H90" s="739">
        <v>82</v>
      </c>
      <c r="I90" s="740">
        <v>46106</v>
      </c>
      <c r="J90" s="741" t="s">
        <v>56</v>
      </c>
      <c r="K90" s="94">
        <f t="shared" si="3"/>
        <v>1</v>
      </c>
      <c r="L90" s="765">
        <v>0</v>
      </c>
      <c r="M90" s="743">
        <v>82</v>
      </c>
      <c r="N90" s="744">
        <v>46106</v>
      </c>
      <c r="O90" s="633" t="s">
        <v>56</v>
      </c>
      <c r="P90" s="766"/>
      <c r="Q90" s="747"/>
      <c r="R90" s="748"/>
      <c r="S90" s="767"/>
      <c r="T90" s="750"/>
      <c r="U90" s="751"/>
      <c r="V90" s="752"/>
      <c r="W90" s="752"/>
      <c r="X90" s="753"/>
      <c r="Y90" s="754"/>
      <c r="Z90" s="754"/>
      <c r="AA90" s="754"/>
      <c r="AB90" s="755"/>
      <c r="AC90" s="756"/>
      <c r="AD90" s="756"/>
      <c r="AE90" s="756"/>
      <c r="AF90" s="757"/>
      <c r="AG90" s="726"/>
      <c r="AH90" s="726"/>
      <c r="AI90" s="726"/>
      <c r="AJ90" s="758"/>
      <c r="AK90" s="759"/>
      <c r="AL90" s="760"/>
      <c r="AM90" s="756"/>
      <c r="AN90" s="727"/>
      <c r="AO90" s="727"/>
      <c r="AP90" s="727"/>
      <c r="AQ90" s="727"/>
      <c r="AR90" s="727"/>
      <c r="AS90" s="727"/>
      <c r="AT90" s="727"/>
      <c r="AU90" s="727"/>
      <c r="AV90" s="727"/>
      <c r="AW90" s="727"/>
      <c r="AX90" s="727"/>
      <c r="AY90" s="727"/>
      <c r="AZ90" s="727"/>
      <c r="BA90" s="727"/>
      <c r="BB90" s="727"/>
      <c r="BC90" s="727"/>
      <c r="BD90" s="727"/>
      <c r="BE90" s="727"/>
      <c r="BF90" s="727"/>
      <c r="BG90" s="727"/>
      <c r="BH90" s="727"/>
      <c r="BI90" s="727"/>
      <c r="BJ90" s="727"/>
      <c r="BK90" s="727"/>
    </row>
    <row r="91" spans="1:63" ht="115" hidden="1" customHeight="1" x14ac:dyDescent="0.35">
      <c r="A91" s="106">
        <v>77</v>
      </c>
      <c r="B91" s="775">
        <v>4</v>
      </c>
      <c r="C91" s="827" t="s">
        <v>834</v>
      </c>
      <c r="D91" s="735" t="s">
        <v>505</v>
      </c>
      <c r="E91" s="736" t="s">
        <v>943</v>
      </c>
      <c r="F91" s="737" t="s">
        <v>117</v>
      </c>
      <c r="G91" s="738">
        <v>0</v>
      </c>
      <c r="H91" s="739">
        <v>82</v>
      </c>
      <c r="I91" s="740">
        <v>46106</v>
      </c>
      <c r="J91" s="741" t="s">
        <v>56</v>
      </c>
      <c r="K91" s="94">
        <f t="shared" si="3"/>
        <v>1</v>
      </c>
      <c r="L91" s="765">
        <v>0</v>
      </c>
      <c r="M91" s="743">
        <v>82</v>
      </c>
      <c r="N91" s="744">
        <v>46106</v>
      </c>
      <c r="O91" s="633" t="s">
        <v>56</v>
      </c>
      <c r="P91" s="766"/>
      <c r="Q91" s="747"/>
      <c r="R91" s="748"/>
      <c r="S91" s="767"/>
      <c r="T91" s="750"/>
      <c r="U91" s="751"/>
      <c r="V91" s="752"/>
      <c r="W91" s="752"/>
      <c r="X91" s="753"/>
      <c r="Y91" s="754"/>
      <c r="Z91" s="754"/>
      <c r="AA91" s="754"/>
      <c r="AB91" s="755"/>
      <c r="AC91" s="756"/>
      <c r="AD91" s="756"/>
      <c r="AE91" s="756"/>
      <c r="AF91" s="757"/>
      <c r="AG91" s="726"/>
      <c r="AH91" s="726"/>
      <c r="AI91" s="726"/>
      <c r="AJ91" s="758"/>
      <c r="AK91" s="759"/>
      <c r="AL91" s="760"/>
      <c r="AM91" s="756"/>
      <c r="AN91" s="727"/>
      <c r="AO91" s="727"/>
      <c r="AP91" s="727"/>
      <c r="AQ91" s="727"/>
      <c r="AR91" s="727"/>
      <c r="AS91" s="727"/>
      <c r="AT91" s="727"/>
      <c r="AU91" s="727"/>
      <c r="AV91" s="727"/>
      <c r="AW91" s="727"/>
      <c r="AX91" s="727"/>
      <c r="AY91" s="727"/>
      <c r="AZ91" s="727"/>
      <c r="BA91" s="727"/>
      <c r="BB91" s="727"/>
      <c r="BC91" s="727"/>
      <c r="BD91" s="727"/>
      <c r="BE91" s="727"/>
      <c r="BF91" s="727"/>
      <c r="BG91" s="727"/>
      <c r="BH91" s="727"/>
      <c r="BI91" s="727"/>
      <c r="BJ91" s="727"/>
      <c r="BK91" s="727"/>
    </row>
    <row r="92" spans="1:63" ht="115" hidden="1" customHeight="1" x14ac:dyDescent="0.35">
      <c r="A92" s="106">
        <v>78</v>
      </c>
      <c r="B92" s="106">
        <v>4</v>
      </c>
      <c r="C92" s="832" t="s">
        <v>834</v>
      </c>
      <c r="D92" s="694" t="s">
        <v>508</v>
      </c>
      <c r="E92" s="815" t="s">
        <v>944</v>
      </c>
      <c r="F92" s="681" t="s">
        <v>117</v>
      </c>
      <c r="G92" s="738">
        <v>0</v>
      </c>
      <c r="H92" s="739">
        <v>82</v>
      </c>
      <c r="I92" s="740">
        <v>46106</v>
      </c>
      <c r="J92" s="741" t="s">
        <v>56</v>
      </c>
      <c r="K92" s="94">
        <f t="shared" si="3"/>
        <v>1</v>
      </c>
      <c r="L92" s="765">
        <v>0</v>
      </c>
      <c r="M92" s="743">
        <v>82</v>
      </c>
      <c r="N92" s="744">
        <v>46106</v>
      </c>
      <c r="O92" s="633" t="s">
        <v>56</v>
      </c>
      <c r="P92" s="766"/>
      <c r="Q92" s="747"/>
      <c r="R92" s="748"/>
      <c r="S92" s="767"/>
      <c r="T92" s="750"/>
      <c r="U92" s="751"/>
      <c r="V92" s="752"/>
      <c r="W92" s="752"/>
      <c r="X92" s="753"/>
      <c r="Y92" s="754"/>
      <c r="Z92" s="754"/>
      <c r="AA92" s="754"/>
      <c r="AB92" s="755"/>
      <c r="AC92" s="756"/>
      <c r="AD92" s="756"/>
      <c r="AE92" s="756"/>
      <c r="AF92" s="757"/>
      <c r="AG92" s="726"/>
      <c r="AH92" s="726"/>
      <c r="AI92" s="726"/>
      <c r="AJ92" s="758"/>
      <c r="AK92" s="759"/>
      <c r="AL92" s="760"/>
      <c r="AM92" s="756"/>
      <c r="AN92" s="727"/>
      <c r="AO92" s="727"/>
      <c r="AP92" s="727"/>
      <c r="AQ92" s="727"/>
      <c r="AR92" s="727"/>
      <c r="AS92" s="727"/>
      <c r="AT92" s="727"/>
      <c r="AU92" s="727"/>
      <c r="AV92" s="727"/>
      <c r="AW92" s="727"/>
      <c r="AX92" s="727"/>
      <c r="AY92" s="727"/>
      <c r="AZ92" s="727"/>
      <c r="BA92" s="727"/>
      <c r="BB92" s="727"/>
      <c r="BC92" s="727"/>
      <c r="BD92" s="727"/>
      <c r="BE92" s="727"/>
      <c r="BF92" s="727"/>
      <c r="BG92" s="727"/>
      <c r="BH92" s="727"/>
      <c r="BI92" s="727"/>
      <c r="BJ92" s="727"/>
      <c r="BK92" s="727"/>
    </row>
    <row r="93" spans="1:63" ht="115" hidden="1" customHeight="1" x14ac:dyDescent="0.35">
      <c r="A93" s="106">
        <v>79</v>
      </c>
      <c r="B93" s="775"/>
      <c r="C93" s="827"/>
      <c r="D93" s="735"/>
      <c r="E93" s="736"/>
      <c r="F93" s="737"/>
      <c r="G93" s="738"/>
      <c r="H93" s="739"/>
      <c r="I93" s="740"/>
      <c r="J93" s="741"/>
      <c r="K93" s="94">
        <f t="shared" si="3"/>
        <v>0</v>
      </c>
      <c r="L93" s="765"/>
      <c r="M93" s="743"/>
      <c r="N93" s="744"/>
      <c r="O93" s="745"/>
      <c r="P93" s="766"/>
      <c r="Q93" s="747"/>
      <c r="R93" s="748"/>
      <c r="S93" s="767"/>
      <c r="T93" s="750"/>
      <c r="U93" s="751"/>
      <c r="V93" s="752"/>
      <c r="W93" s="752"/>
      <c r="X93" s="753"/>
      <c r="Y93" s="754"/>
      <c r="Z93" s="754"/>
      <c r="AA93" s="754"/>
      <c r="AB93" s="755"/>
      <c r="AC93" s="756"/>
      <c r="AD93" s="756"/>
      <c r="AE93" s="756"/>
      <c r="AF93" s="757"/>
      <c r="AG93" s="726"/>
      <c r="AH93" s="726"/>
      <c r="AI93" s="726"/>
      <c r="AJ93" s="758"/>
      <c r="AK93" s="759"/>
      <c r="AL93" s="760"/>
      <c r="AM93" s="756"/>
      <c r="AN93" s="727"/>
      <c r="AO93" s="727"/>
      <c r="AP93" s="727"/>
      <c r="AQ93" s="727"/>
      <c r="AR93" s="727"/>
      <c r="AS93" s="727"/>
      <c r="AT93" s="727"/>
      <c r="AU93" s="727"/>
      <c r="AV93" s="727"/>
      <c r="AW93" s="727"/>
      <c r="AX93" s="727"/>
      <c r="AY93" s="727"/>
      <c r="AZ93" s="727"/>
      <c r="BA93" s="727"/>
      <c r="BB93" s="727"/>
      <c r="BC93" s="727"/>
      <c r="BD93" s="727"/>
      <c r="BE93" s="727"/>
      <c r="BF93" s="727"/>
      <c r="BG93" s="727"/>
      <c r="BH93" s="727"/>
      <c r="BI93" s="727"/>
      <c r="BJ93" s="727"/>
      <c r="BK93" s="727"/>
    </row>
    <row r="94" spans="1:63" ht="115" hidden="1" customHeight="1" x14ac:dyDescent="0.35">
      <c r="A94" s="106">
        <v>80</v>
      </c>
      <c r="B94" s="775"/>
      <c r="C94" s="827"/>
      <c r="D94" s="735"/>
      <c r="E94" s="736"/>
      <c r="F94" s="737"/>
      <c r="G94" s="738"/>
      <c r="H94" s="739"/>
      <c r="I94" s="740"/>
      <c r="J94" s="741"/>
      <c r="K94" s="94">
        <f t="shared" si="3"/>
        <v>0</v>
      </c>
      <c r="L94" s="765"/>
      <c r="M94" s="743"/>
      <c r="N94" s="744"/>
      <c r="O94" s="745"/>
      <c r="P94" s="766"/>
      <c r="Q94" s="747"/>
      <c r="R94" s="748"/>
      <c r="S94" s="767"/>
      <c r="T94" s="750"/>
      <c r="U94" s="751"/>
      <c r="V94" s="752"/>
      <c r="W94" s="752"/>
      <c r="X94" s="753"/>
      <c r="Y94" s="754"/>
      <c r="Z94" s="754"/>
      <c r="AA94" s="754"/>
      <c r="AB94" s="755"/>
      <c r="AC94" s="756"/>
      <c r="AD94" s="756"/>
      <c r="AE94" s="756"/>
      <c r="AF94" s="757"/>
      <c r="AG94" s="726"/>
      <c r="AH94" s="726"/>
      <c r="AI94" s="726"/>
      <c r="AJ94" s="758"/>
      <c r="AK94" s="759"/>
      <c r="AL94" s="760"/>
      <c r="AM94" s="756"/>
      <c r="AN94" s="727"/>
      <c r="AO94" s="727"/>
      <c r="AP94" s="727"/>
      <c r="AQ94" s="727"/>
      <c r="AR94" s="727"/>
      <c r="AS94" s="727"/>
      <c r="AT94" s="727"/>
      <c r="AU94" s="727"/>
      <c r="AV94" s="727"/>
      <c r="AW94" s="727"/>
      <c r="AX94" s="727"/>
      <c r="AY94" s="727"/>
      <c r="AZ94" s="727"/>
      <c r="BA94" s="727"/>
      <c r="BB94" s="727"/>
      <c r="BC94" s="727"/>
      <c r="BD94" s="727"/>
      <c r="BE94" s="727"/>
      <c r="BF94" s="727"/>
      <c r="BG94" s="727"/>
      <c r="BH94" s="727"/>
      <c r="BI94" s="727"/>
      <c r="BJ94" s="727"/>
      <c r="BK94" s="727"/>
    </row>
    <row r="95" spans="1:63" ht="115" hidden="1" customHeight="1" x14ac:dyDescent="0.35">
      <c r="A95" s="106">
        <v>81</v>
      </c>
      <c r="B95" s="775"/>
      <c r="C95" s="827"/>
      <c r="D95" s="735"/>
      <c r="E95" s="736"/>
      <c r="F95" s="737"/>
      <c r="G95" s="738"/>
      <c r="H95" s="739"/>
      <c r="I95" s="740"/>
      <c r="J95" s="741"/>
      <c r="K95" s="94">
        <f t="shared" si="3"/>
        <v>0</v>
      </c>
      <c r="L95" s="765"/>
      <c r="M95" s="743"/>
      <c r="N95" s="744"/>
      <c r="O95" s="745"/>
      <c r="P95" s="766"/>
      <c r="Q95" s="747"/>
      <c r="R95" s="748"/>
      <c r="S95" s="767"/>
      <c r="T95" s="750"/>
      <c r="U95" s="751"/>
      <c r="V95" s="752"/>
      <c r="W95" s="752"/>
      <c r="X95" s="753"/>
      <c r="Y95" s="754"/>
      <c r="Z95" s="754"/>
      <c r="AA95" s="754"/>
      <c r="AB95" s="755"/>
      <c r="AC95" s="756"/>
      <c r="AD95" s="756"/>
      <c r="AE95" s="756"/>
      <c r="AF95" s="757"/>
      <c r="AG95" s="726"/>
      <c r="AH95" s="726"/>
      <c r="AI95" s="726"/>
      <c r="AJ95" s="758"/>
      <c r="AK95" s="759"/>
      <c r="AL95" s="760"/>
      <c r="AM95" s="756"/>
      <c r="AN95" s="727"/>
      <c r="AO95" s="727"/>
      <c r="AP95" s="727"/>
      <c r="AQ95" s="727"/>
      <c r="AR95" s="727"/>
      <c r="AS95" s="727"/>
      <c r="AT95" s="727"/>
      <c r="AU95" s="727"/>
      <c r="AV95" s="727"/>
      <c r="AW95" s="727"/>
      <c r="AX95" s="727"/>
      <c r="AY95" s="727"/>
      <c r="AZ95" s="727"/>
      <c r="BA95" s="727"/>
      <c r="BB95" s="727"/>
      <c r="BC95" s="727"/>
      <c r="BD95" s="727"/>
      <c r="BE95" s="727"/>
      <c r="BF95" s="727"/>
      <c r="BG95" s="727"/>
      <c r="BH95" s="727"/>
      <c r="BI95" s="727"/>
      <c r="BJ95" s="727"/>
      <c r="BK95" s="727"/>
    </row>
    <row r="96" spans="1:63" ht="115" hidden="1" customHeight="1" x14ac:dyDescent="0.35">
      <c r="A96" s="106">
        <v>82</v>
      </c>
      <c r="B96" s="775"/>
      <c r="C96" s="827"/>
      <c r="D96" s="735"/>
      <c r="E96" s="736"/>
      <c r="F96" s="737"/>
      <c r="G96" s="738"/>
      <c r="H96" s="739"/>
      <c r="I96" s="740"/>
      <c r="J96" s="741"/>
      <c r="K96" s="94">
        <f t="shared" si="3"/>
        <v>0</v>
      </c>
      <c r="L96" s="765"/>
      <c r="M96" s="743"/>
      <c r="N96" s="744"/>
      <c r="O96" s="745"/>
      <c r="P96" s="766"/>
      <c r="Q96" s="747"/>
      <c r="R96" s="748"/>
      <c r="S96" s="767"/>
      <c r="T96" s="750"/>
      <c r="U96" s="751"/>
      <c r="V96" s="752"/>
      <c r="W96" s="752"/>
      <c r="X96" s="753"/>
      <c r="Y96" s="754"/>
      <c r="Z96" s="754"/>
      <c r="AA96" s="754"/>
      <c r="AB96" s="755"/>
      <c r="AC96" s="756"/>
      <c r="AD96" s="756"/>
      <c r="AE96" s="756"/>
      <c r="AF96" s="757"/>
      <c r="AG96" s="726"/>
      <c r="AH96" s="726"/>
      <c r="AI96" s="726"/>
      <c r="AJ96" s="758"/>
      <c r="AK96" s="759"/>
      <c r="AL96" s="760"/>
      <c r="AM96" s="756"/>
      <c r="AN96" s="727"/>
      <c r="AO96" s="727"/>
      <c r="AP96" s="727"/>
      <c r="AQ96" s="727"/>
      <c r="AR96" s="727"/>
      <c r="AS96" s="727"/>
      <c r="AT96" s="727"/>
      <c r="AU96" s="727"/>
      <c r="AV96" s="727"/>
      <c r="AW96" s="727"/>
      <c r="AX96" s="727"/>
      <c r="AY96" s="727"/>
      <c r="AZ96" s="727"/>
      <c r="BA96" s="727"/>
      <c r="BB96" s="727"/>
      <c r="BC96" s="727"/>
      <c r="BD96" s="727"/>
      <c r="BE96" s="727"/>
      <c r="BF96" s="727"/>
      <c r="BG96" s="727"/>
      <c r="BH96" s="727"/>
      <c r="BI96" s="727"/>
      <c r="BJ96" s="727"/>
      <c r="BK96" s="727"/>
    </row>
    <row r="97" spans="1:69" ht="115" hidden="1" customHeight="1" x14ac:dyDescent="0.35">
      <c r="A97" s="106">
        <v>83</v>
      </c>
      <c r="B97" s="775"/>
      <c r="C97" s="827"/>
      <c r="D97" s="735"/>
      <c r="E97" s="736"/>
      <c r="F97" s="737"/>
      <c r="G97" s="738"/>
      <c r="H97" s="739"/>
      <c r="I97" s="740"/>
      <c r="J97" s="741"/>
      <c r="K97" s="94">
        <f t="shared" si="3"/>
        <v>0</v>
      </c>
      <c r="L97" s="765"/>
      <c r="M97" s="743"/>
      <c r="N97" s="744"/>
      <c r="O97" s="745"/>
      <c r="P97" s="766"/>
      <c r="Q97" s="747"/>
      <c r="R97" s="748"/>
      <c r="S97" s="767"/>
      <c r="T97" s="750"/>
      <c r="U97" s="751"/>
      <c r="V97" s="752"/>
      <c r="W97" s="752"/>
      <c r="X97" s="753"/>
      <c r="Y97" s="754"/>
      <c r="Z97" s="754"/>
      <c r="AA97" s="754"/>
      <c r="AB97" s="755"/>
      <c r="AC97" s="756"/>
      <c r="AD97" s="756"/>
      <c r="AE97" s="756"/>
      <c r="AF97" s="757"/>
      <c r="AG97" s="726"/>
      <c r="AH97" s="726"/>
      <c r="AI97" s="726"/>
      <c r="AJ97" s="758"/>
      <c r="AK97" s="759"/>
      <c r="AL97" s="760"/>
      <c r="AM97" s="756"/>
      <c r="AN97" s="727"/>
      <c r="AO97" s="727"/>
      <c r="AP97" s="727"/>
      <c r="AQ97" s="727"/>
      <c r="AR97" s="727"/>
      <c r="AS97" s="727"/>
      <c r="AT97" s="727"/>
      <c r="AU97" s="727"/>
      <c r="AV97" s="727"/>
      <c r="AW97" s="727"/>
      <c r="AX97" s="727"/>
      <c r="AY97" s="727"/>
      <c r="AZ97" s="727"/>
      <c r="BA97" s="727"/>
      <c r="BB97" s="727"/>
      <c r="BC97" s="727"/>
      <c r="BD97" s="727"/>
      <c r="BE97" s="727"/>
      <c r="BF97" s="727"/>
      <c r="BG97" s="727"/>
      <c r="BH97" s="727"/>
      <c r="BI97" s="727"/>
      <c r="BJ97" s="727"/>
      <c r="BK97" s="727"/>
    </row>
    <row r="98" spans="1:69" ht="115" hidden="1" customHeight="1" x14ac:dyDescent="0.35">
      <c r="A98" s="106">
        <v>84</v>
      </c>
      <c r="B98" s="775"/>
      <c r="C98" s="827"/>
      <c r="D98" s="735"/>
      <c r="E98" s="736"/>
      <c r="F98" s="737"/>
      <c r="G98" s="738"/>
      <c r="H98" s="739"/>
      <c r="I98" s="740"/>
      <c r="J98" s="741"/>
      <c r="K98" s="94">
        <f t="shared" si="3"/>
        <v>0</v>
      </c>
      <c r="L98" s="765"/>
      <c r="M98" s="743"/>
      <c r="N98" s="744"/>
      <c r="O98" s="745"/>
      <c r="P98" s="766"/>
      <c r="Q98" s="747"/>
      <c r="R98" s="748"/>
      <c r="S98" s="767"/>
      <c r="T98" s="750"/>
      <c r="U98" s="751"/>
      <c r="V98" s="752"/>
      <c r="W98" s="752"/>
      <c r="X98" s="753"/>
      <c r="Y98" s="754"/>
      <c r="Z98" s="754"/>
      <c r="AA98" s="754"/>
      <c r="AB98" s="755"/>
      <c r="AC98" s="756"/>
      <c r="AD98" s="756"/>
      <c r="AE98" s="756"/>
      <c r="AF98" s="757"/>
      <c r="AG98" s="726"/>
      <c r="AH98" s="726"/>
      <c r="AI98" s="726"/>
      <c r="AJ98" s="758"/>
      <c r="AK98" s="759"/>
      <c r="AL98" s="760"/>
      <c r="AM98" s="756"/>
      <c r="AN98" s="727"/>
      <c r="AO98" s="727"/>
      <c r="AP98" s="727"/>
      <c r="AQ98" s="727"/>
      <c r="AR98" s="727"/>
      <c r="AS98" s="727"/>
      <c r="AT98" s="727"/>
      <c r="AU98" s="727"/>
      <c r="AV98" s="727"/>
      <c r="AW98" s="727"/>
      <c r="AX98" s="727"/>
      <c r="AY98" s="727"/>
      <c r="AZ98" s="727"/>
      <c r="BA98" s="727"/>
      <c r="BB98" s="727"/>
      <c r="BC98" s="727"/>
      <c r="BD98" s="727"/>
      <c r="BE98" s="727"/>
      <c r="BF98" s="727"/>
      <c r="BG98" s="727"/>
      <c r="BH98" s="727"/>
      <c r="BI98" s="727"/>
      <c r="BJ98" s="727"/>
      <c r="BK98" s="727"/>
    </row>
    <row r="99" spans="1:69" ht="39" hidden="1" customHeight="1" x14ac:dyDescent="0.35">
      <c r="A99" s="106">
        <v>85</v>
      </c>
      <c r="B99" s="775"/>
      <c r="C99" s="734"/>
      <c r="D99" s="735"/>
      <c r="E99" s="736"/>
      <c r="F99" s="737"/>
      <c r="G99" s="738"/>
      <c r="H99" s="739"/>
      <c r="I99" s="740"/>
      <c r="J99" s="741"/>
      <c r="K99" s="94">
        <f t="shared" si="3"/>
        <v>0</v>
      </c>
      <c r="L99" s="765"/>
      <c r="M99" s="743"/>
      <c r="N99" s="744"/>
      <c r="O99" s="745"/>
      <c r="P99" s="766"/>
      <c r="Q99" s="747"/>
      <c r="R99" s="748"/>
      <c r="S99" s="767"/>
      <c r="T99" s="750"/>
      <c r="U99" s="751"/>
      <c r="V99" s="752"/>
      <c r="W99" s="752"/>
      <c r="X99" s="753"/>
      <c r="Y99" s="754"/>
      <c r="Z99" s="754"/>
      <c r="AA99" s="754"/>
      <c r="AB99" s="755"/>
      <c r="AC99" s="756"/>
      <c r="AD99" s="756"/>
      <c r="AE99" s="756"/>
      <c r="AF99" s="757"/>
      <c r="AG99" s="726"/>
      <c r="AH99" s="726"/>
      <c r="AI99" s="726"/>
      <c r="AJ99" s="758"/>
      <c r="AK99" s="759"/>
      <c r="AL99" s="760"/>
      <c r="AM99" s="756"/>
      <c r="AN99" s="727"/>
      <c r="AO99" s="727"/>
      <c r="AP99" s="727"/>
      <c r="AQ99" s="727"/>
      <c r="AR99" s="727"/>
      <c r="AS99" s="727"/>
      <c r="AT99" s="727"/>
      <c r="AU99" s="727"/>
      <c r="AV99" s="727"/>
      <c r="AW99" s="727"/>
      <c r="AX99" s="727"/>
      <c r="AY99" s="727"/>
      <c r="AZ99" s="727"/>
      <c r="BA99" s="727"/>
      <c r="BB99" s="727"/>
      <c r="BC99" s="727"/>
      <c r="BD99" s="727"/>
      <c r="BE99" s="727"/>
      <c r="BF99" s="727"/>
      <c r="BG99" s="727"/>
      <c r="BH99" s="727"/>
      <c r="BI99" s="727"/>
      <c r="BJ99" s="727"/>
      <c r="BK99" s="727"/>
    </row>
    <row r="100" spans="1:69" ht="39" hidden="1" customHeight="1" x14ac:dyDescent="0.35">
      <c r="A100" s="106">
        <v>86</v>
      </c>
      <c r="B100" s="775"/>
      <c r="C100" s="734"/>
      <c r="D100" s="735"/>
      <c r="E100" s="736"/>
      <c r="F100" s="737"/>
      <c r="G100" s="738"/>
      <c r="H100" s="739"/>
      <c r="I100" s="740"/>
      <c r="J100" s="741"/>
      <c r="K100" s="94">
        <f t="shared" si="3"/>
        <v>0</v>
      </c>
      <c r="L100" s="765"/>
      <c r="M100" s="743"/>
      <c r="N100" s="744"/>
      <c r="O100" s="745"/>
      <c r="P100" s="766"/>
      <c r="Q100" s="747"/>
      <c r="R100" s="748"/>
      <c r="S100" s="767"/>
      <c r="T100" s="750"/>
      <c r="U100" s="751"/>
      <c r="V100" s="752"/>
      <c r="W100" s="752"/>
      <c r="X100" s="753"/>
      <c r="Y100" s="754"/>
      <c r="Z100" s="754"/>
      <c r="AA100" s="754"/>
      <c r="AB100" s="755"/>
      <c r="AC100" s="756"/>
      <c r="AD100" s="756"/>
      <c r="AE100" s="756"/>
      <c r="AF100" s="757"/>
      <c r="AG100" s="726"/>
      <c r="AH100" s="726"/>
      <c r="AI100" s="726"/>
      <c r="AJ100" s="758"/>
      <c r="AK100" s="759"/>
      <c r="AL100" s="760"/>
      <c r="AM100" s="756"/>
      <c r="AN100" s="727"/>
      <c r="AO100" s="727"/>
      <c r="AP100" s="727"/>
      <c r="AQ100" s="727"/>
      <c r="AR100" s="727"/>
      <c r="AS100" s="727"/>
      <c r="AT100" s="727"/>
      <c r="AU100" s="727"/>
      <c r="AV100" s="727"/>
      <c r="AW100" s="727"/>
      <c r="AX100" s="727"/>
      <c r="AY100" s="727"/>
      <c r="AZ100" s="727"/>
      <c r="BA100" s="727"/>
      <c r="BB100" s="727"/>
      <c r="BC100" s="727"/>
      <c r="BD100" s="727"/>
      <c r="BE100" s="727"/>
      <c r="BF100" s="727"/>
      <c r="BG100" s="727"/>
      <c r="BH100" s="727"/>
      <c r="BI100" s="727"/>
      <c r="BJ100" s="727"/>
      <c r="BK100" s="727"/>
    </row>
    <row r="101" spans="1:69" ht="39" hidden="1" customHeight="1" x14ac:dyDescent="0.35">
      <c r="A101" s="106">
        <v>87</v>
      </c>
      <c r="B101" s="775"/>
      <c r="C101" s="734"/>
      <c r="D101" s="735"/>
      <c r="E101" s="736"/>
      <c r="F101" s="737"/>
      <c r="G101" s="738"/>
      <c r="H101" s="739"/>
      <c r="I101" s="740"/>
      <c r="J101" s="741"/>
      <c r="K101" s="94">
        <f t="shared" si="3"/>
        <v>0</v>
      </c>
      <c r="L101" s="765"/>
      <c r="M101" s="743"/>
      <c r="N101" s="744"/>
      <c r="O101" s="745"/>
      <c r="P101" s="766"/>
      <c r="Q101" s="747"/>
      <c r="R101" s="748"/>
      <c r="S101" s="767"/>
      <c r="T101" s="750"/>
      <c r="U101" s="751"/>
      <c r="V101" s="752"/>
      <c r="W101" s="752"/>
      <c r="X101" s="753"/>
      <c r="Y101" s="754"/>
      <c r="Z101" s="754"/>
      <c r="AA101" s="754"/>
      <c r="AB101" s="755"/>
      <c r="AC101" s="756"/>
      <c r="AD101" s="756"/>
      <c r="AE101" s="756"/>
      <c r="AF101" s="757"/>
      <c r="AG101" s="726"/>
      <c r="AH101" s="726"/>
      <c r="AI101" s="726"/>
      <c r="AJ101" s="758"/>
      <c r="AK101" s="759"/>
      <c r="AL101" s="760"/>
      <c r="AM101" s="756"/>
      <c r="AN101" s="727"/>
      <c r="AO101" s="727"/>
      <c r="AP101" s="727"/>
      <c r="AQ101" s="727"/>
      <c r="AR101" s="727"/>
      <c r="AS101" s="727"/>
      <c r="AT101" s="727"/>
      <c r="AU101" s="727"/>
      <c r="AV101" s="727"/>
      <c r="AW101" s="727"/>
      <c r="AX101" s="727"/>
      <c r="AY101" s="727"/>
      <c r="AZ101" s="727"/>
      <c r="BA101" s="727"/>
      <c r="BB101" s="727"/>
      <c r="BC101" s="727"/>
      <c r="BD101" s="727"/>
      <c r="BE101" s="727"/>
      <c r="BF101" s="727"/>
      <c r="BG101" s="727"/>
      <c r="BH101" s="727"/>
      <c r="BI101" s="727"/>
      <c r="BJ101" s="727"/>
      <c r="BK101" s="727"/>
    </row>
    <row r="102" spans="1:69" ht="39" hidden="1" customHeight="1" x14ac:dyDescent="0.35">
      <c r="A102" s="106">
        <v>88</v>
      </c>
      <c r="B102" s="775"/>
      <c r="C102" s="734"/>
      <c r="D102" s="735"/>
      <c r="E102" s="736"/>
      <c r="F102" s="737"/>
      <c r="G102" s="738"/>
      <c r="H102" s="739"/>
      <c r="I102" s="740"/>
      <c r="J102" s="741"/>
      <c r="K102" s="94">
        <f t="shared" si="3"/>
        <v>0</v>
      </c>
      <c r="L102" s="765"/>
      <c r="M102" s="743"/>
      <c r="N102" s="744"/>
      <c r="O102" s="745"/>
      <c r="P102" s="766"/>
      <c r="Q102" s="747"/>
      <c r="R102" s="748"/>
      <c r="S102" s="767"/>
      <c r="T102" s="750"/>
      <c r="U102" s="751"/>
      <c r="V102" s="752"/>
      <c r="W102" s="752"/>
      <c r="X102" s="753"/>
      <c r="Y102" s="754"/>
      <c r="Z102" s="754"/>
      <c r="AA102" s="754"/>
      <c r="AB102" s="755"/>
      <c r="AC102" s="756"/>
      <c r="AD102" s="756"/>
      <c r="AE102" s="756"/>
      <c r="AF102" s="757"/>
      <c r="AG102" s="726"/>
      <c r="AH102" s="726"/>
      <c r="AI102" s="726"/>
      <c r="AJ102" s="758"/>
      <c r="AK102" s="759"/>
      <c r="AL102" s="760"/>
      <c r="AM102" s="756"/>
      <c r="AN102" s="727"/>
      <c r="AO102" s="727"/>
      <c r="AP102" s="727"/>
      <c r="AQ102" s="727"/>
      <c r="AR102" s="727"/>
      <c r="AS102" s="727"/>
      <c r="AT102" s="727"/>
      <c r="AU102" s="727"/>
      <c r="AV102" s="727"/>
      <c r="AW102" s="727"/>
      <c r="AX102" s="727"/>
      <c r="AY102" s="727"/>
      <c r="AZ102" s="727"/>
      <c r="BA102" s="727"/>
      <c r="BB102" s="727"/>
      <c r="BC102" s="727"/>
      <c r="BD102" s="727"/>
      <c r="BE102" s="727"/>
      <c r="BF102" s="727"/>
      <c r="BG102" s="727"/>
      <c r="BH102" s="727"/>
      <c r="BI102" s="727"/>
      <c r="BJ102" s="727"/>
      <c r="BK102" s="727"/>
    </row>
    <row r="103" spans="1:69" ht="39" hidden="1" customHeight="1" x14ac:dyDescent="0.35">
      <c r="A103" s="106">
        <v>89</v>
      </c>
      <c r="B103" s="775"/>
      <c r="C103" s="734"/>
      <c r="D103" s="735"/>
      <c r="E103" s="736"/>
      <c r="F103" s="737"/>
      <c r="G103" s="738"/>
      <c r="H103" s="739"/>
      <c r="I103" s="740"/>
      <c r="J103" s="741"/>
      <c r="K103" s="94">
        <f t="shared" si="3"/>
        <v>0</v>
      </c>
      <c r="L103" s="765"/>
      <c r="M103" s="743"/>
      <c r="N103" s="744"/>
      <c r="O103" s="745"/>
      <c r="P103" s="766"/>
      <c r="Q103" s="747"/>
      <c r="R103" s="748"/>
      <c r="S103" s="767"/>
      <c r="T103" s="750"/>
      <c r="U103" s="751"/>
      <c r="V103" s="752"/>
      <c r="W103" s="752"/>
      <c r="X103" s="753"/>
      <c r="Y103" s="754"/>
      <c r="Z103" s="754"/>
      <c r="AA103" s="754"/>
      <c r="AB103" s="755"/>
      <c r="AC103" s="756"/>
      <c r="AD103" s="756"/>
      <c r="AE103" s="756"/>
      <c r="AF103" s="757"/>
      <c r="AG103" s="726"/>
      <c r="AH103" s="726"/>
      <c r="AI103" s="726"/>
      <c r="AJ103" s="758"/>
      <c r="AK103" s="759"/>
      <c r="AL103" s="760"/>
      <c r="AM103" s="756"/>
      <c r="AN103" s="727"/>
      <c r="AO103" s="727"/>
      <c r="AP103" s="727"/>
      <c r="AQ103" s="727"/>
      <c r="AR103" s="727"/>
      <c r="AS103" s="727"/>
      <c r="AT103" s="727"/>
      <c r="AU103" s="727"/>
      <c r="AV103" s="727"/>
      <c r="AW103" s="727"/>
      <c r="AX103" s="727"/>
      <c r="AY103" s="727"/>
      <c r="AZ103" s="727"/>
      <c r="BA103" s="727"/>
      <c r="BB103" s="727"/>
      <c r="BC103" s="727"/>
      <c r="BD103" s="727"/>
      <c r="BE103" s="727"/>
      <c r="BF103" s="727"/>
      <c r="BG103" s="727"/>
      <c r="BH103" s="727"/>
      <c r="BI103" s="727"/>
      <c r="BJ103" s="727"/>
      <c r="BK103" s="727"/>
    </row>
    <row r="104" spans="1:69" s="729" customFormat="1" ht="40" hidden="1" customHeight="1" x14ac:dyDescent="0.35">
      <c r="A104" s="106">
        <v>90</v>
      </c>
      <c r="B104" s="106"/>
      <c r="C104" s="62"/>
      <c r="D104" s="32"/>
      <c r="E104" s="63"/>
      <c r="F104" s="33"/>
      <c r="G104" s="34"/>
      <c r="H104" s="35"/>
      <c r="I104" s="36"/>
      <c r="J104" s="37"/>
      <c r="K104" s="94">
        <f t="shared" si="3"/>
        <v>0</v>
      </c>
      <c r="L104" s="763"/>
      <c r="M104" s="39"/>
      <c r="N104" s="40"/>
      <c r="O104" s="40"/>
      <c r="P104" s="48"/>
      <c r="Q104" s="38"/>
      <c r="R104" s="49"/>
      <c r="S104" s="49"/>
      <c r="T104" s="41"/>
      <c r="U104" s="42"/>
      <c r="V104" s="43"/>
      <c r="W104" s="43"/>
      <c r="X104" s="51"/>
      <c r="Y104" s="38"/>
      <c r="Z104" s="49"/>
      <c r="AA104" s="49"/>
      <c r="AB104" s="41"/>
      <c r="AC104" s="44"/>
      <c r="AD104" s="44"/>
      <c r="AE104" s="44"/>
      <c r="AF104" s="48"/>
      <c r="AG104" s="50"/>
      <c r="AH104" s="50"/>
      <c r="AI104" s="50"/>
      <c r="AJ104" s="41"/>
      <c r="AK104" s="44"/>
      <c r="AL104" s="44"/>
      <c r="AM104" s="44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</row>
    <row r="105" spans="1:69" ht="39" customHeight="1" x14ac:dyDescent="0.35">
      <c r="L105" s="2"/>
      <c r="M105" s="2"/>
      <c r="N105" s="650"/>
      <c r="O105" s="650"/>
      <c r="P105" s="651"/>
      <c r="Q105" s="651"/>
      <c r="R105" s="651"/>
      <c r="S105" s="651"/>
      <c r="AJ105" s="761"/>
      <c r="AK105" s="728"/>
      <c r="AL105" s="728"/>
      <c r="AM105" s="728"/>
      <c r="AN105" s="762"/>
      <c r="AO105" s="762"/>
      <c r="AP105" s="762"/>
      <c r="AQ105" s="762"/>
      <c r="AR105" s="762"/>
      <c r="AS105" s="762"/>
      <c r="AT105" s="762"/>
      <c r="AU105" s="762"/>
      <c r="AV105" s="762"/>
      <c r="AW105" s="762"/>
      <c r="AX105" s="762"/>
      <c r="AY105" s="762"/>
      <c r="AZ105" s="762"/>
      <c r="BA105" s="762"/>
      <c r="BB105" s="762"/>
      <c r="BC105" s="762"/>
      <c r="BD105" s="762"/>
      <c r="BE105" s="762"/>
      <c r="BF105" s="762"/>
      <c r="BG105" s="762"/>
      <c r="BH105" s="762"/>
      <c r="BI105" s="762"/>
      <c r="BJ105" s="762"/>
      <c r="BK105" s="762"/>
      <c r="BL105" s="762"/>
      <c r="BM105" s="762"/>
      <c r="BN105" s="762"/>
      <c r="BO105" s="762"/>
      <c r="BP105" s="762"/>
      <c r="BQ105" s="762"/>
    </row>
    <row r="106" spans="1:69" ht="15.75" customHeight="1" x14ac:dyDescent="0.35">
      <c r="L106" s="2"/>
      <c r="M106" s="2"/>
      <c r="N106" s="650"/>
      <c r="O106" s="650"/>
      <c r="P106" s="651"/>
      <c r="Q106" s="651"/>
      <c r="R106" s="651"/>
      <c r="S106" s="651"/>
      <c r="AJ106" s="41"/>
      <c r="AK106" s="44"/>
      <c r="AL106" s="44"/>
      <c r="AM106" s="44"/>
      <c r="AN106" s="729"/>
      <c r="AO106" s="729"/>
      <c r="AP106" s="729"/>
      <c r="AQ106" s="729"/>
      <c r="AR106" s="729"/>
      <c r="AS106" s="729"/>
      <c r="AT106" s="729"/>
      <c r="AU106" s="729"/>
      <c r="AV106" s="729"/>
      <c r="AW106" s="729"/>
      <c r="AX106" s="729"/>
      <c r="AY106" s="729"/>
      <c r="AZ106" s="729"/>
      <c r="BA106" s="729"/>
      <c r="BB106" s="729"/>
      <c r="BC106" s="729"/>
      <c r="BD106" s="729"/>
      <c r="BE106" s="729"/>
      <c r="BF106" s="729"/>
      <c r="BG106" s="729"/>
      <c r="BH106" s="729"/>
      <c r="BI106" s="729"/>
      <c r="BJ106" s="729"/>
      <c r="BK106" s="729"/>
      <c r="BL106" s="729"/>
      <c r="BM106" s="729"/>
      <c r="BN106" s="729"/>
      <c r="BO106" s="729"/>
      <c r="BP106" s="729"/>
      <c r="BQ106" s="729"/>
    </row>
    <row r="107" spans="1:69" ht="15.75" customHeight="1" x14ac:dyDescent="0.35">
      <c r="L107" s="2"/>
      <c r="M107" s="2"/>
      <c r="N107" s="650"/>
      <c r="O107" s="650"/>
      <c r="P107" s="651"/>
      <c r="Q107" s="651"/>
      <c r="R107" s="651"/>
      <c r="S107" s="651"/>
      <c r="AJ107" s="41"/>
      <c r="AK107" s="44"/>
      <c r="AL107" s="44"/>
      <c r="AM107" s="44"/>
      <c r="AN107" s="729"/>
      <c r="AO107" s="729"/>
      <c r="AP107" s="729"/>
      <c r="AQ107" s="729"/>
      <c r="AR107" s="729"/>
      <c r="AS107" s="729"/>
      <c r="AT107" s="729"/>
      <c r="AU107" s="729"/>
      <c r="AV107" s="729"/>
      <c r="AW107" s="729"/>
      <c r="AX107" s="729"/>
      <c r="AY107" s="729"/>
      <c r="AZ107" s="729"/>
      <c r="BA107" s="729"/>
      <c r="BB107" s="729"/>
      <c r="BC107" s="729"/>
      <c r="BD107" s="729"/>
      <c r="BE107" s="729"/>
      <c r="BF107" s="729"/>
      <c r="BG107" s="729"/>
      <c r="BH107" s="729"/>
      <c r="BI107" s="729"/>
      <c r="BJ107" s="729"/>
      <c r="BK107" s="729"/>
      <c r="BL107" s="729"/>
      <c r="BM107" s="729"/>
      <c r="BN107" s="729"/>
      <c r="BO107" s="729"/>
      <c r="BP107" s="729"/>
      <c r="BQ107" s="729"/>
    </row>
    <row r="108" spans="1:69" ht="15.75" customHeight="1" x14ac:dyDescent="0.35">
      <c r="L108" s="2"/>
      <c r="M108" s="2"/>
      <c r="N108" s="650"/>
      <c r="O108" s="650"/>
      <c r="P108" s="651"/>
      <c r="Q108" s="651"/>
      <c r="R108" s="651"/>
      <c r="S108" s="651"/>
      <c r="AJ108" s="41"/>
      <c r="AK108" s="44"/>
      <c r="AL108" s="44"/>
      <c r="AM108" s="44"/>
      <c r="AN108" s="729"/>
      <c r="AO108" s="729"/>
      <c r="AP108" s="729"/>
      <c r="AQ108" s="729"/>
      <c r="AR108" s="729"/>
      <c r="AS108" s="729"/>
      <c r="AT108" s="729"/>
      <c r="AU108" s="729"/>
      <c r="AV108" s="729"/>
      <c r="AW108" s="729"/>
      <c r="AX108" s="729"/>
      <c r="AY108" s="729"/>
      <c r="AZ108" s="729"/>
      <c r="BA108" s="729"/>
      <c r="BB108" s="729"/>
      <c r="BC108" s="729"/>
      <c r="BD108" s="729"/>
      <c r="BE108" s="729"/>
      <c r="BF108" s="729"/>
      <c r="BG108" s="729"/>
      <c r="BH108" s="729"/>
      <c r="BI108" s="729"/>
      <c r="BJ108" s="729"/>
      <c r="BK108" s="729"/>
      <c r="BL108" s="729"/>
      <c r="BM108" s="729"/>
      <c r="BN108" s="729"/>
      <c r="BO108" s="729"/>
      <c r="BP108" s="729"/>
      <c r="BQ108" s="729"/>
    </row>
    <row r="109" spans="1:69" ht="15.75" customHeight="1" x14ac:dyDescent="0.35">
      <c r="L109" s="2"/>
      <c r="M109" s="2"/>
      <c r="N109" s="650"/>
      <c r="O109" s="650"/>
      <c r="P109" s="651"/>
      <c r="Q109" s="651"/>
      <c r="R109" s="651"/>
      <c r="S109" s="651"/>
      <c r="AJ109" s="41"/>
      <c r="AK109" s="44"/>
      <c r="AL109" s="44"/>
      <c r="AM109" s="44"/>
      <c r="AN109" s="729"/>
      <c r="AO109" s="729"/>
      <c r="AP109" s="729"/>
      <c r="AQ109" s="729"/>
      <c r="AR109" s="729"/>
      <c r="AS109" s="729"/>
      <c r="AT109" s="729"/>
      <c r="AU109" s="729"/>
      <c r="AV109" s="729"/>
      <c r="AW109" s="729"/>
      <c r="AX109" s="729"/>
      <c r="AY109" s="729"/>
      <c r="AZ109" s="729"/>
      <c r="BA109" s="729"/>
      <c r="BB109" s="729"/>
      <c r="BC109" s="729"/>
      <c r="BD109" s="729"/>
      <c r="BE109" s="729"/>
      <c r="BF109" s="729"/>
      <c r="BG109" s="729"/>
      <c r="BH109" s="729"/>
      <c r="BI109" s="729"/>
      <c r="BJ109" s="729"/>
      <c r="BK109" s="729"/>
      <c r="BL109" s="729"/>
      <c r="BM109" s="729"/>
      <c r="BN109" s="729"/>
      <c r="BO109" s="729"/>
      <c r="BP109" s="729"/>
      <c r="BQ109" s="729"/>
    </row>
    <row r="110" spans="1:69" ht="15.65" customHeight="1" x14ac:dyDescent="0.35">
      <c r="L110" s="2"/>
      <c r="M110" s="2"/>
      <c r="N110" s="650"/>
      <c r="O110" s="650"/>
      <c r="P110" s="651"/>
      <c r="Q110" s="651"/>
      <c r="R110" s="651"/>
      <c r="S110" s="651"/>
      <c r="AJ110" s="41"/>
      <c r="AK110" s="44"/>
      <c r="AL110" s="44"/>
      <c r="AM110" s="728"/>
    </row>
    <row r="111" spans="1:69" ht="15.75" customHeight="1" x14ac:dyDescent="0.35">
      <c r="L111" s="2"/>
      <c r="M111" s="2"/>
      <c r="N111" s="650"/>
      <c r="O111" s="650"/>
      <c r="P111" s="651"/>
      <c r="Q111" s="651"/>
      <c r="R111" s="651"/>
      <c r="S111" s="651"/>
    </row>
    <row r="112" spans="1:69" ht="15.75" customHeight="1" x14ac:dyDescent="0.35">
      <c r="L112" s="2"/>
      <c r="M112" s="2"/>
      <c r="N112" s="650"/>
      <c r="O112" s="650"/>
      <c r="P112" s="651"/>
      <c r="Q112" s="651"/>
      <c r="R112" s="651"/>
      <c r="S112" s="651"/>
    </row>
    <row r="113" spans="12:19" ht="15.75" customHeight="1" x14ac:dyDescent="0.35">
      <c r="L113" s="2"/>
      <c r="M113" s="2"/>
      <c r="N113" s="650"/>
      <c r="O113" s="650"/>
      <c r="P113" s="651"/>
      <c r="Q113" s="651"/>
      <c r="R113" s="651"/>
      <c r="S113" s="651"/>
    </row>
    <row r="114" spans="12:19" ht="15.75" customHeight="1" x14ac:dyDescent="0.35">
      <c r="L114" s="2"/>
      <c r="M114" s="2"/>
      <c r="N114" s="650"/>
      <c r="O114" s="650"/>
      <c r="P114" s="651"/>
      <c r="Q114" s="651"/>
      <c r="R114" s="651"/>
      <c r="S114" s="651"/>
    </row>
    <row r="115" spans="12:19" ht="15.75" customHeight="1" x14ac:dyDescent="0.35">
      <c r="L115" s="2"/>
      <c r="M115" s="2"/>
      <c r="N115" s="650"/>
      <c r="O115" s="650"/>
      <c r="P115" s="651"/>
      <c r="Q115" s="651"/>
      <c r="R115" s="651"/>
      <c r="S115" s="651"/>
    </row>
    <row r="116" spans="12:19" ht="15.75" customHeight="1" x14ac:dyDescent="0.35">
      <c r="L116" s="2"/>
      <c r="M116" s="2"/>
      <c r="N116" s="650"/>
      <c r="O116" s="650"/>
      <c r="P116" s="651"/>
      <c r="Q116" s="651"/>
      <c r="R116" s="651"/>
      <c r="S116" s="651"/>
    </row>
    <row r="117" spans="12:19" ht="15.75" customHeight="1" x14ac:dyDescent="0.35">
      <c r="L117" s="2"/>
      <c r="M117" s="2"/>
      <c r="N117" s="650"/>
      <c r="O117" s="650"/>
      <c r="P117" s="651"/>
      <c r="Q117" s="651"/>
      <c r="R117" s="651"/>
      <c r="S117" s="651"/>
    </row>
    <row r="118" spans="12:19" ht="15.75" customHeight="1" x14ac:dyDescent="0.35">
      <c r="L118" s="2"/>
      <c r="M118" s="2"/>
      <c r="N118" s="650"/>
      <c r="O118" s="650"/>
      <c r="P118" s="651"/>
      <c r="Q118" s="651"/>
      <c r="R118" s="651"/>
      <c r="S118" s="651"/>
    </row>
    <row r="119" spans="12:19" ht="15.75" customHeight="1" x14ac:dyDescent="0.35">
      <c r="L119" s="2"/>
      <c r="M119" s="2"/>
      <c r="N119" s="650"/>
      <c r="O119" s="650"/>
      <c r="P119" s="651"/>
      <c r="Q119" s="651"/>
      <c r="R119" s="651"/>
      <c r="S119" s="651"/>
    </row>
    <row r="120" spans="12:19" ht="15.75" customHeight="1" x14ac:dyDescent="0.35">
      <c r="L120" s="2"/>
      <c r="M120" s="2"/>
      <c r="N120" s="650"/>
      <c r="O120" s="650"/>
      <c r="P120" s="651"/>
      <c r="Q120" s="651"/>
      <c r="R120" s="651"/>
      <c r="S120" s="651"/>
    </row>
    <row r="121" spans="12:19" ht="15.75" customHeight="1" x14ac:dyDescent="0.35">
      <c r="L121" s="2"/>
      <c r="M121" s="2"/>
      <c r="N121" s="650"/>
      <c r="O121" s="650"/>
      <c r="P121" s="651"/>
      <c r="Q121" s="651"/>
      <c r="R121" s="651"/>
      <c r="S121" s="651"/>
    </row>
    <row r="122" spans="12:19" ht="15.75" customHeight="1" x14ac:dyDescent="0.35">
      <c r="L122" s="2"/>
      <c r="M122" s="2"/>
      <c r="N122" s="650"/>
      <c r="O122" s="650"/>
      <c r="P122" s="651"/>
      <c r="Q122" s="651"/>
      <c r="R122" s="651"/>
      <c r="S122" s="651"/>
    </row>
    <row r="123" spans="12:19" ht="15.75" customHeight="1" x14ac:dyDescent="0.35">
      <c r="L123" s="2"/>
      <c r="M123" s="2"/>
      <c r="N123" s="650"/>
      <c r="O123" s="650"/>
      <c r="P123" s="651"/>
      <c r="Q123" s="651"/>
      <c r="R123" s="651"/>
      <c r="S123" s="651"/>
    </row>
    <row r="124" spans="12:19" ht="15.75" customHeight="1" x14ac:dyDescent="0.35">
      <c r="L124" s="2"/>
      <c r="M124" s="2"/>
      <c r="N124" s="650"/>
      <c r="O124" s="650"/>
      <c r="P124" s="651"/>
      <c r="Q124" s="651"/>
      <c r="R124" s="651"/>
      <c r="S124" s="651"/>
    </row>
    <row r="125" spans="12:19" ht="15.75" customHeight="1" x14ac:dyDescent="0.35">
      <c r="L125" s="2"/>
      <c r="M125" s="2"/>
      <c r="N125" s="650"/>
      <c r="O125" s="650"/>
      <c r="P125" s="651"/>
      <c r="Q125" s="651"/>
      <c r="R125" s="651"/>
      <c r="S125" s="651"/>
    </row>
    <row r="126" spans="12:19" ht="15.75" customHeight="1" x14ac:dyDescent="0.35">
      <c r="L126" s="2"/>
      <c r="M126" s="2"/>
      <c r="N126" s="650"/>
      <c r="O126" s="650"/>
      <c r="P126" s="651"/>
      <c r="Q126" s="651"/>
      <c r="R126" s="651"/>
      <c r="S126" s="651"/>
    </row>
    <row r="127" spans="12:19" ht="15.75" customHeight="1" x14ac:dyDescent="0.35">
      <c r="L127" s="2"/>
      <c r="M127" s="2"/>
      <c r="N127" s="650"/>
      <c r="O127" s="650"/>
      <c r="P127" s="651"/>
      <c r="Q127" s="651"/>
      <c r="R127" s="651"/>
      <c r="S127" s="651"/>
    </row>
    <row r="128" spans="12:19" ht="15.75" customHeight="1" x14ac:dyDescent="0.35">
      <c r="L128" s="2"/>
      <c r="M128" s="2"/>
      <c r="N128" s="650"/>
      <c r="O128" s="650"/>
      <c r="P128" s="651"/>
      <c r="Q128" s="651"/>
      <c r="R128" s="651"/>
      <c r="S128" s="651"/>
    </row>
    <row r="129" spans="12:19" ht="15.75" customHeight="1" x14ac:dyDescent="0.35">
      <c r="L129" s="2"/>
      <c r="M129" s="2"/>
      <c r="N129" s="650"/>
      <c r="O129" s="650"/>
      <c r="P129" s="651"/>
      <c r="Q129" s="651"/>
      <c r="R129" s="651"/>
      <c r="S129" s="651"/>
    </row>
    <row r="130" spans="12:19" ht="15.75" customHeight="1" x14ac:dyDescent="0.35">
      <c r="L130" s="2"/>
      <c r="M130" s="2"/>
      <c r="N130" s="650"/>
      <c r="O130" s="650"/>
      <c r="P130" s="651"/>
      <c r="Q130" s="651"/>
      <c r="R130" s="651"/>
      <c r="S130" s="651"/>
    </row>
    <row r="131" spans="12:19" ht="15.75" customHeight="1" x14ac:dyDescent="0.35">
      <c r="L131" s="2"/>
      <c r="M131" s="2"/>
      <c r="N131" s="650"/>
      <c r="O131" s="650"/>
      <c r="P131" s="651"/>
      <c r="Q131" s="651"/>
      <c r="R131" s="651"/>
      <c r="S131" s="651"/>
    </row>
    <row r="132" spans="12:19" ht="15.75" customHeight="1" x14ac:dyDescent="0.35">
      <c r="L132" s="2"/>
      <c r="M132" s="2"/>
      <c r="N132" s="650"/>
      <c r="O132" s="650"/>
      <c r="P132" s="651"/>
      <c r="Q132" s="651"/>
      <c r="R132" s="651"/>
      <c r="S132" s="651"/>
    </row>
    <row r="133" spans="12:19" ht="15.75" customHeight="1" x14ac:dyDescent="0.35">
      <c r="L133" s="2"/>
      <c r="M133" s="2"/>
      <c r="N133" s="650"/>
      <c r="O133" s="650"/>
      <c r="P133" s="651"/>
      <c r="Q133" s="651"/>
      <c r="R133" s="651"/>
      <c r="S133" s="651"/>
    </row>
    <row r="134" spans="12:19" ht="15.75" customHeight="1" x14ac:dyDescent="0.35">
      <c r="L134" s="2"/>
      <c r="M134" s="2"/>
      <c r="N134" s="650"/>
      <c r="O134" s="650"/>
      <c r="P134" s="651"/>
      <c r="Q134" s="651"/>
      <c r="R134" s="651"/>
      <c r="S134" s="651"/>
    </row>
    <row r="135" spans="12:19" ht="15.75" customHeight="1" x14ac:dyDescent="0.35">
      <c r="L135" s="2"/>
      <c r="M135" s="2"/>
      <c r="N135" s="650"/>
      <c r="O135" s="650"/>
      <c r="P135" s="651"/>
      <c r="Q135" s="651"/>
      <c r="R135" s="651"/>
      <c r="S135" s="651"/>
    </row>
    <row r="136" spans="12:19" ht="15.75" customHeight="1" x14ac:dyDescent="0.35">
      <c r="L136" s="2"/>
      <c r="M136" s="2"/>
      <c r="N136" s="650"/>
      <c r="O136" s="650"/>
      <c r="P136" s="651"/>
      <c r="Q136" s="651"/>
      <c r="R136" s="651"/>
      <c r="S136" s="651"/>
    </row>
    <row r="137" spans="12:19" ht="15.75" customHeight="1" x14ac:dyDescent="0.35">
      <c r="L137" s="2"/>
      <c r="M137" s="2"/>
      <c r="N137" s="650"/>
      <c r="O137" s="650"/>
      <c r="P137" s="651"/>
      <c r="Q137" s="651"/>
      <c r="R137" s="651"/>
      <c r="S137" s="651"/>
    </row>
    <row r="138" spans="12:19" ht="15.75" customHeight="1" x14ac:dyDescent="0.35">
      <c r="L138" s="2"/>
      <c r="M138" s="2"/>
      <c r="N138" s="650"/>
      <c r="O138" s="650"/>
      <c r="P138" s="651"/>
      <c r="Q138" s="651"/>
      <c r="R138" s="651"/>
      <c r="S138" s="651"/>
    </row>
    <row r="139" spans="12:19" ht="15.75" customHeight="1" x14ac:dyDescent="0.35">
      <c r="L139" s="2"/>
      <c r="M139" s="2"/>
      <c r="N139" s="650"/>
      <c r="O139" s="650"/>
      <c r="P139" s="651"/>
      <c r="Q139" s="651"/>
      <c r="R139" s="651"/>
      <c r="S139" s="651"/>
    </row>
    <row r="140" spans="12:19" ht="15.75" customHeight="1" x14ac:dyDescent="0.35">
      <c r="L140" s="2"/>
      <c r="M140" s="2"/>
      <c r="N140" s="650"/>
      <c r="O140" s="650"/>
      <c r="P140" s="651"/>
      <c r="Q140" s="651"/>
      <c r="R140" s="651"/>
      <c r="S140" s="651"/>
    </row>
    <row r="141" spans="12:19" ht="15.75" customHeight="1" x14ac:dyDescent="0.35">
      <c r="L141" s="2"/>
      <c r="M141" s="2"/>
      <c r="N141" s="650"/>
      <c r="O141" s="650"/>
      <c r="P141" s="651"/>
      <c r="Q141" s="651"/>
      <c r="R141" s="651"/>
      <c r="S141" s="651"/>
    </row>
    <row r="142" spans="12:19" ht="15.75" customHeight="1" x14ac:dyDescent="0.35">
      <c r="L142" s="2"/>
      <c r="M142" s="2"/>
      <c r="N142" s="650"/>
      <c r="O142" s="650"/>
      <c r="P142" s="651"/>
      <c r="Q142" s="651"/>
      <c r="R142" s="651"/>
      <c r="S142" s="651"/>
    </row>
    <row r="143" spans="12:19" ht="15.75" customHeight="1" x14ac:dyDescent="0.35">
      <c r="L143" s="2"/>
      <c r="M143" s="2"/>
      <c r="N143" s="650"/>
      <c r="O143" s="650"/>
      <c r="P143" s="651"/>
      <c r="Q143" s="651"/>
      <c r="R143" s="651"/>
      <c r="S143" s="651"/>
    </row>
    <row r="144" spans="12:19" ht="15.75" customHeight="1" x14ac:dyDescent="0.35">
      <c r="L144" s="2"/>
      <c r="M144" s="2"/>
      <c r="N144" s="650"/>
      <c r="O144" s="650"/>
      <c r="P144" s="651"/>
      <c r="Q144" s="651"/>
      <c r="R144" s="651"/>
      <c r="S144" s="651"/>
    </row>
    <row r="145" spans="12:19" ht="15.75" customHeight="1" x14ac:dyDescent="0.35">
      <c r="L145" s="2"/>
      <c r="M145" s="2"/>
      <c r="N145" s="650"/>
      <c r="O145" s="650"/>
      <c r="P145" s="651"/>
      <c r="Q145" s="651"/>
      <c r="R145" s="651"/>
      <c r="S145" s="651"/>
    </row>
    <row r="146" spans="12:19" ht="15.75" customHeight="1" x14ac:dyDescent="0.35">
      <c r="L146" s="2"/>
      <c r="M146" s="2"/>
      <c r="N146" s="650"/>
      <c r="O146" s="650"/>
      <c r="P146" s="651"/>
      <c r="Q146" s="651"/>
      <c r="R146" s="651"/>
      <c r="S146" s="651"/>
    </row>
    <row r="147" spans="12:19" ht="15.75" customHeight="1" x14ac:dyDescent="0.35">
      <c r="L147" s="2"/>
      <c r="M147" s="2"/>
      <c r="N147" s="650"/>
      <c r="O147" s="650"/>
      <c r="P147" s="651"/>
      <c r="Q147" s="651"/>
      <c r="R147" s="651"/>
      <c r="S147" s="651"/>
    </row>
    <row r="148" spans="12:19" ht="15.75" customHeight="1" x14ac:dyDescent="0.35">
      <c r="L148" s="2"/>
      <c r="M148" s="2"/>
      <c r="N148" s="650"/>
      <c r="O148" s="650"/>
      <c r="P148" s="651"/>
      <c r="Q148" s="651"/>
      <c r="R148" s="651"/>
      <c r="S148" s="651"/>
    </row>
    <row r="149" spans="12:19" ht="15.75" customHeight="1" x14ac:dyDescent="0.35">
      <c r="L149" s="2"/>
      <c r="M149" s="2"/>
      <c r="N149" s="650"/>
      <c r="O149" s="650"/>
      <c r="P149" s="651"/>
      <c r="Q149" s="651"/>
      <c r="R149" s="651"/>
      <c r="S149" s="651"/>
    </row>
    <row r="150" spans="12:19" ht="15.75" customHeight="1" x14ac:dyDescent="0.35">
      <c r="L150" s="2"/>
      <c r="M150" s="2"/>
      <c r="N150" s="650"/>
      <c r="O150" s="650"/>
      <c r="P150" s="651"/>
      <c r="Q150" s="651"/>
      <c r="R150" s="651"/>
      <c r="S150" s="651"/>
    </row>
    <row r="151" spans="12:19" ht="15.75" customHeight="1" x14ac:dyDescent="0.35">
      <c r="L151" s="2"/>
      <c r="M151" s="2"/>
      <c r="N151" s="650"/>
      <c r="O151" s="650"/>
      <c r="P151" s="651"/>
      <c r="Q151" s="651"/>
      <c r="R151" s="651"/>
      <c r="S151" s="651"/>
    </row>
    <row r="152" spans="12:19" ht="15.75" customHeight="1" x14ac:dyDescent="0.35">
      <c r="L152" s="2"/>
      <c r="M152" s="2"/>
      <c r="N152" s="650"/>
      <c r="O152" s="650"/>
      <c r="P152" s="651"/>
      <c r="Q152" s="651"/>
      <c r="R152" s="651"/>
      <c r="S152" s="651"/>
    </row>
    <row r="153" spans="12:19" ht="15.75" customHeight="1" x14ac:dyDescent="0.35">
      <c r="L153" s="2"/>
      <c r="M153" s="2"/>
      <c r="N153" s="650"/>
      <c r="O153" s="650"/>
      <c r="P153" s="651"/>
      <c r="Q153" s="651"/>
      <c r="R153" s="651"/>
      <c r="S153" s="651"/>
    </row>
    <row r="154" spans="12:19" ht="15.75" customHeight="1" x14ac:dyDescent="0.35">
      <c r="L154" s="2"/>
      <c r="M154" s="2"/>
      <c r="N154" s="650"/>
      <c r="O154" s="650"/>
      <c r="P154" s="651"/>
      <c r="Q154" s="651"/>
      <c r="R154" s="651"/>
      <c r="S154" s="651"/>
    </row>
    <row r="155" spans="12:19" ht="15.75" customHeight="1" x14ac:dyDescent="0.35">
      <c r="L155" s="2"/>
      <c r="M155" s="2"/>
      <c r="N155" s="650"/>
      <c r="O155" s="650"/>
      <c r="P155" s="651"/>
      <c r="Q155" s="651"/>
      <c r="R155" s="651"/>
      <c r="S155" s="651"/>
    </row>
    <row r="156" spans="12:19" ht="15.75" customHeight="1" x14ac:dyDescent="0.35">
      <c r="L156" s="2"/>
      <c r="M156" s="2"/>
      <c r="N156" s="650"/>
      <c r="O156" s="650"/>
      <c r="P156" s="651"/>
      <c r="Q156" s="651"/>
      <c r="R156" s="651"/>
      <c r="S156" s="651"/>
    </row>
    <row r="157" spans="12:19" ht="15.75" customHeight="1" x14ac:dyDescent="0.35">
      <c r="L157" s="2"/>
      <c r="M157" s="2"/>
      <c r="N157" s="650"/>
      <c r="O157" s="650"/>
      <c r="P157" s="651"/>
      <c r="Q157" s="651"/>
      <c r="R157" s="651"/>
      <c r="S157" s="651"/>
    </row>
    <row r="158" spans="12:19" ht="15.75" customHeight="1" x14ac:dyDescent="0.35">
      <c r="L158" s="2"/>
      <c r="M158" s="2"/>
      <c r="N158" s="650"/>
      <c r="O158" s="650"/>
      <c r="P158" s="651"/>
      <c r="Q158" s="651"/>
      <c r="R158" s="651"/>
      <c r="S158" s="651"/>
    </row>
    <row r="159" spans="12:19" ht="15.75" customHeight="1" x14ac:dyDescent="0.35">
      <c r="L159" s="2"/>
      <c r="M159" s="2"/>
      <c r="N159" s="650"/>
      <c r="O159" s="650"/>
      <c r="P159" s="651"/>
      <c r="Q159" s="651"/>
      <c r="R159" s="651"/>
      <c r="S159" s="651"/>
    </row>
    <row r="160" spans="12:19" ht="15.75" customHeight="1" x14ac:dyDescent="0.35">
      <c r="L160" s="2"/>
      <c r="M160" s="2"/>
      <c r="N160" s="650"/>
      <c r="O160" s="650"/>
      <c r="P160" s="651"/>
      <c r="Q160" s="651"/>
      <c r="R160" s="651"/>
      <c r="S160" s="651"/>
    </row>
    <row r="161" spans="12:19" ht="15.75" customHeight="1" x14ac:dyDescent="0.35">
      <c r="L161" s="2"/>
      <c r="M161" s="2"/>
      <c r="N161" s="650"/>
      <c r="O161" s="650"/>
      <c r="P161" s="651"/>
      <c r="Q161" s="651"/>
      <c r="R161" s="651"/>
      <c r="S161" s="651"/>
    </row>
    <row r="162" spans="12:19" ht="15.75" customHeight="1" x14ac:dyDescent="0.35">
      <c r="L162" s="2"/>
      <c r="M162" s="2"/>
      <c r="N162" s="650"/>
      <c r="O162" s="650"/>
      <c r="P162" s="651"/>
      <c r="Q162" s="651"/>
      <c r="R162" s="651"/>
      <c r="S162" s="651"/>
    </row>
    <row r="163" spans="12:19" ht="15.75" customHeight="1" x14ac:dyDescent="0.35">
      <c r="L163" s="2"/>
      <c r="M163" s="2"/>
      <c r="N163" s="650"/>
      <c r="O163" s="650"/>
      <c r="P163" s="651"/>
      <c r="Q163" s="651"/>
      <c r="R163" s="651"/>
      <c r="S163" s="651"/>
    </row>
    <row r="164" spans="12:19" ht="15.75" customHeight="1" x14ac:dyDescent="0.35">
      <c r="L164" s="2"/>
      <c r="M164" s="2"/>
      <c r="N164" s="650"/>
      <c r="O164" s="650"/>
      <c r="P164" s="651"/>
      <c r="Q164" s="651"/>
      <c r="R164" s="651"/>
      <c r="S164" s="651"/>
    </row>
    <row r="165" spans="12:19" ht="15.75" customHeight="1" x14ac:dyDescent="0.35">
      <c r="L165" s="2"/>
      <c r="M165" s="2"/>
      <c r="N165" s="650"/>
      <c r="O165" s="650"/>
      <c r="P165" s="651"/>
      <c r="Q165" s="651"/>
      <c r="R165" s="651"/>
      <c r="S165" s="651"/>
    </row>
    <row r="166" spans="12:19" ht="15.75" customHeight="1" x14ac:dyDescent="0.35">
      <c r="L166" s="2"/>
      <c r="M166" s="2"/>
      <c r="N166" s="650"/>
      <c r="O166" s="650"/>
      <c r="P166" s="651"/>
      <c r="Q166" s="651"/>
      <c r="R166" s="651"/>
      <c r="S166" s="651"/>
    </row>
    <row r="167" spans="12:19" ht="15.75" customHeight="1" x14ac:dyDescent="0.35">
      <c r="L167" s="2"/>
      <c r="M167" s="2"/>
      <c r="N167" s="650"/>
      <c r="O167" s="650"/>
      <c r="P167" s="651"/>
      <c r="Q167" s="651"/>
      <c r="R167" s="651"/>
      <c r="S167" s="651"/>
    </row>
    <row r="168" spans="12:19" ht="15.75" customHeight="1" x14ac:dyDescent="0.35">
      <c r="L168" s="2"/>
      <c r="M168" s="2"/>
      <c r="N168" s="650"/>
      <c r="O168" s="650"/>
      <c r="P168" s="651"/>
      <c r="Q168" s="651"/>
      <c r="R168" s="651"/>
      <c r="S168" s="651"/>
    </row>
    <row r="169" spans="12:19" ht="15.75" customHeight="1" x14ac:dyDescent="0.35">
      <c r="L169" s="2"/>
      <c r="M169" s="2"/>
      <c r="N169" s="650"/>
      <c r="O169" s="650"/>
      <c r="P169" s="651"/>
      <c r="Q169" s="651"/>
      <c r="R169" s="651"/>
      <c r="S169" s="651"/>
    </row>
    <row r="170" spans="12:19" ht="15.75" customHeight="1" x14ac:dyDescent="0.35">
      <c r="L170" s="2"/>
      <c r="M170" s="2"/>
      <c r="N170" s="650"/>
      <c r="O170" s="650"/>
      <c r="P170" s="651"/>
      <c r="Q170" s="651"/>
      <c r="R170" s="651"/>
      <c r="S170" s="651"/>
    </row>
    <row r="171" spans="12:19" ht="15.75" customHeight="1" x14ac:dyDescent="0.35">
      <c r="L171" s="2"/>
      <c r="M171" s="2"/>
      <c r="N171" s="650"/>
      <c r="O171" s="650"/>
      <c r="P171" s="651"/>
      <c r="Q171" s="651"/>
      <c r="R171" s="651"/>
      <c r="S171" s="651"/>
    </row>
    <row r="172" spans="12:19" ht="15.75" customHeight="1" x14ac:dyDescent="0.35">
      <c r="L172" s="2"/>
      <c r="M172" s="2"/>
      <c r="N172" s="650"/>
      <c r="O172" s="650"/>
      <c r="P172" s="651"/>
      <c r="Q172" s="651"/>
      <c r="R172" s="651"/>
      <c r="S172" s="651"/>
    </row>
    <row r="173" spans="12:19" ht="15.75" customHeight="1" x14ac:dyDescent="0.35">
      <c r="L173" s="2"/>
      <c r="M173" s="2"/>
      <c r="N173" s="650"/>
      <c r="O173" s="650"/>
      <c r="P173" s="651"/>
      <c r="Q173" s="651"/>
      <c r="R173" s="651"/>
      <c r="S173" s="651"/>
    </row>
    <row r="174" spans="12:19" ht="15.75" customHeight="1" x14ac:dyDescent="0.35">
      <c r="L174" s="2"/>
      <c r="M174" s="2"/>
      <c r="N174" s="650"/>
      <c r="O174" s="650"/>
      <c r="P174" s="651"/>
      <c r="Q174" s="651"/>
      <c r="R174" s="651"/>
      <c r="S174" s="651"/>
    </row>
    <row r="175" spans="12:19" ht="15.75" customHeight="1" x14ac:dyDescent="0.35">
      <c r="L175" s="2"/>
      <c r="M175" s="2"/>
      <c r="N175" s="650"/>
      <c r="O175" s="650"/>
      <c r="P175" s="651"/>
      <c r="Q175" s="651"/>
      <c r="R175" s="651"/>
      <c r="S175" s="651"/>
    </row>
    <row r="176" spans="12:19" ht="15.75" customHeight="1" x14ac:dyDescent="0.35">
      <c r="L176" s="2"/>
      <c r="M176" s="2"/>
      <c r="N176" s="650"/>
      <c r="O176" s="650"/>
      <c r="P176" s="651"/>
      <c r="Q176" s="651"/>
      <c r="R176" s="651"/>
      <c r="S176" s="651"/>
    </row>
    <row r="177" spans="12:19" ht="15.75" customHeight="1" x14ac:dyDescent="0.35">
      <c r="L177" s="2"/>
      <c r="M177" s="2"/>
      <c r="N177" s="650"/>
      <c r="O177" s="650"/>
      <c r="P177" s="651"/>
      <c r="Q177" s="651"/>
      <c r="R177" s="651"/>
      <c r="S177" s="651"/>
    </row>
    <row r="178" spans="12:19" ht="15.75" customHeight="1" x14ac:dyDescent="0.35">
      <c r="L178" s="2"/>
      <c r="M178" s="2"/>
      <c r="N178" s="650"/>
      <c r="O178" s="650"/>
      <c r="P178" s="651"/>
      <c r="Q178" s="651"/>
      <c r="R178" s="651"/>
      <c r="S178" s="651"/>
    </row>
    <row r="179" spans="12:19" ht="15.75" customHeight="1" x14ac:dyDescent="0.35">
      <c r="L179" s="2"/>
      <c r="M179" s="2"/>
      <c r="N179" s="650"/>
      <c r="O179" s="650"/>
      <c r="P179" s="651"/>
      <c r="Q179" s="651"/>
      <c r="R179" s="651"/>
      <c r="S179" s="651"/>
    </row>
    <row r="180" spans="12:19" ht="15.75" customHeight="1" x14ac:dyDescent="0.35">
      <c r="L180" s="2"/>
      <c r="M180" s="2"/>
      <c r="N180" s="650"/>
      <c r="O180" s="650"/>
      <c r="P180" s="651"/>
      <c r="Q180" s="651"/>
      <c r="R180" s="651"/>
      <c r="S180" s="651"/>
    </row>
    <row r="181" spans="12:19" ht="15.75" customHeight="1" x14ac:dyDescent="0.35">
      <c r="L181" s="2"/>
      <c r="M181" s="2"/>
      <c r="N181" s="650"/>
      <c r="O181" s="650"/>
      <c r="P181" s="651"/>
      <c r="Q181" s="651"/>
      <c r="R181" s="651"/>
      <c r="S181" s="651"/>
    </row>
    <row r="182" spans="12:19" ht="15.75" customHeight="1" x14ac:dyDescent="0.35">
      <c r="L182" s="2"/>
      <c r="M182" s="2"/>
      <c r="N182" s="650"/>
      <c r="O182" s="650"/>
      <c r="P182" s="651"/>
      <c r="Q182" s="651"/>
      <c r="R182" s="651"/>
      <c r="S182" s="651"/>
    </row>
    <row r="183" spans="12:19" ht="15.75" customHeight="1" x14ac:dyDescent="0.35">
      <c r="L183" s="2"/>
      <c r="M183" s="2"/>
      <c r="N183" s="650"/>
      <c r="O183" s="650"/>
      <c r="P183" s="651"/>
      <c r="Q183" s="651"/>
      <c r="R183" s="651"/>
      <c r="S183" s="651"/>
    </row>
    <row r="184" spans="12:19" ht="15.75" customHeight="1" x14ac:dyDescent="0.35">
      <c r="L184" s="2"/>
      <c r="M184" s="2"/>
      <c r="N184" s="650"/>
      <c r="O184" s="650"/>
      <c r="P184" s="651"/>
      <c r="Q184" s="651"/>
      <c r="R184" s="651"/>
      <c r="S184" s="651"/>
    </row>
    <row r="185" spans="12:19" ht="15.75" customHeight="1" x14ac:dyDescent="0.35">
      <c r="L185" s="2"/>
      <c r="M185" s="2"/>
      <c r="N185" s="650"/>
      <c r="O185" s="650"/>
      <c r="P185" s="651"/>
      <c r="Q185" s="651"/>
      <c r="R185" s="651"/>
      <c r="S185" s="651"/>
    </row>
    <row r="186" spans="12:19" ht="15.75" customHeight="1" x14ac:dyDescent="0.35">
      <c r="L186" s="2"/>
      <c r="M186" s="2"/>
      <c r="N186" s="650"/>
      <c r="O186" s="650"/>
      <c r="P186" s="651"/>
      <c r="Q186" s="651"/>
      <c r="R186" s="651"/>
      <c r="S186" s="651"/>
    </row>
    <row r="187" spans="12:19" ht="15.75" customHeight="1" x14ac:dyDescent="0.35">
      <c r="L187" s="2"/>
      <c r="M187" s="2"/>
      <c r="N187" s="650"/>
      <c r="O187" s="650"/>
      <c r="P187" s="651"/>
      <c r="Q187" s="651"/>
      <c r="R187" s="651"/>
      <c r="S187" s="651"/>
    </row>
    <row r="188" spans="12:19" ht="15.75" customHeight="1" x14ac:dyDescent="0.35">
      <c r="L188" s="2"/>
      <c r="M188" s="2"/>
      <c r="N188" s="650"/>
      <c r="O188" s="650"/>
      <c r="P188" s="651"/>
      <c r="Q188" s="651"/>
      <c r="R188" s="651"/>
      <c r="S188" s="651"/>
    </row>
    <row r="189" spans="12:19" ht="15.75" customHeight="1" x14ac:dyDescent="0.35">
      <c r="L189" s="2"/>
      <c r="M189" s="2"/>
      <c r="N189" s="650"/>
      <c r="O189" s="650"/>
      <c r="P189" s="651"/>
      <c r="Q189" s="651"/>
      <c r="R189" s="651"/>
      <c r="S189" s="651"/>
    </row>
    <row r="190" spans="12:19" ht="15.75" customHeight="1" x14ac:dyDescent="0.35">
      <c r="L190" s="2"/>
      <c r="M190" s="2"/>
      <c r="N190" s="650"/>
      <c r="O190" s="650"/>
      <c r="P190" s="651"/>
      <c r="Q190" s="651"/>
      <c r="R190" s="651"/>
      <c r="S190" s="651"/>
    </row>
    <row r="191" spans="12:19" ht="15.75" customHeight="1" x14ac:dyDescent="0.35">
      <c r="L191" s="2"/>
      <c r="M191" s="2"/>
      <c r="N191" s="650"/>
      <c r="O191" s="650"/>
      <c r="P191" s="651"/>
      <c r="Q191" s="651"/>
      <c r="R191" s="651"/>
      <c r="S191" s="651"/>
    </row>
    <row r="192" spans="12:19" ht="15.75" customHeight="1" x14ac:dyDescent="0.35">
      <c r="L192" s="2"/>
      <c r="M192" s="2"/>
      <c r="N192" s="650"/>
      <c r="O192" s="650"/>
      <c r="P192" s="651"/>
      <c r="Q192" s="651"/>
      <c r="R192" s="651"/>
      <c r="S192" s="651"/>
    </row>
    <row r="193" spans="12:19" ht="15.75" customHeight="1" x14ac:dyDescent="0.35">
      <c r="L193" s="2"/>
      <c r="M193" s="2"/>
      <c r="N193" s="650"/>
      <c r="O193" s="650"/>
      <c r="P193" s="651"/>
      <c r="Q193" s="651"/>
      <c r="R193" s="651"/>
      <c r="S193" s="651"/>
    </row>
    <row r="194" spans="12:19" ht="15.75" customHeight="1" x14ac:dyDescent="0.35">
      <c r="L194" s="2"/>
      <c r="M194" s="2"/>
      <c r="N194" s="650"/>
      <c r="O194" s="650"/>
      <c r="P194" s="651"/>
      <c r="Q194" s="651"/>
      <c r="R194" s="651"/>
      <c r="S194" s="651"/>
    </row>
    <row r="195" spans="12:19" ht="15.75" customHeight="1" x14ac:dyDescent="0.35">
      <c r="L195" s="2"/>
      <c r="M195" s="2"/>
      <c r="N195" s="650"/>
      <c r="O195" s="650"/>
      <c r="P195" s="651"/>
      <c r="Q195" s="651"/>
      <c r="R195" s="651"/>
      <c r="S195" s="651"/>
    </row>
    <row r="196" spans="12:19" ht="15.75" customHeight="1" x14ac:dyDescent="0.35">
      <c r="L196" s="2"/>
      <c r="M196" s="2"/>
      <c r="N196" s="650"/>
      <c r="O196" s="650"/>
      <c r="P196" s="651"/>
      <c r="Q196" s="651"/>
      <c r="R196" s="651"/>
      <c r="S196" s="651"/>
    </row>
    <row r="197" spans="12:19" ht="15.75" customHeight="1" x14ac:dyDescent="0.35">
      <c r="L197" s="2"/>
      <c r="M197" s="2"/>
      <c r="N197" s="650"/>
      <c r="O197" s="650"/>
      <c r="P197" s="651"/>
      <c r="Q197" s="651"/>
      <c r="R197" s="651"/>
      <c r="S197" s="651"/>
    </row>
    <row r="198" spans="12:19" ht="15.75" customHeight="1" x14ac:dyDescent="0.35">
      <c r="L198" s="2"/>
      <c r="M198" s="2"/>
      <c r="N198" s="650"/>
      <c r="O198" s="650"/>
      <c r="P198" s="651"/>
      <c r="Q198" s="651"/>
      <c r="R198" s="651"/>
      <c r="S198" s="651"/>
    </row>
    <row r="199" spans="12:19" ht="15.75" customHeight="1" x14ac:dyDescent="0.35">
      <c r="L199" s="2"/>
      <c r="M199" s="2"/>
      <c r="N199" s="650"/>
      <c r="O199" s="650"/>
      <c r="P199" s="651"/>
      <c r="Q199" s="651"/>
      <c r="R199" s="651"/>
      <c r="S199" s="651"/>
    </row>
    <row r="200" spans="12:19" ht="15.75" customHeight="1" x14ac:dyDescent="0.35">
      <c r="L200" s="2"/>
      <c r="M200" s="2"/>
      <c r="N200" s="650"/>
      <c r="O200" s="650"/>
      <c r="P200" s="651"/>
      <c r="Q200" s="651"/>
      <c r="R200" s="651"/>
      <c r="S200" s="651"/>
    </row>
    <row r="201" spans="12:19" ht="15.75" customHeight="1" x14ac:dyDescent="0.35">
      <c r="L201" s="2"/>
      <c r="M201" s="2"/>
      <c r="N201" s="650"/>
      <c r="O201" s="650"/>
      <c r="P201" s="651"/>
      <c r="Q201" s="651"/>
      <c r="R201" s="651"/>
      <c r="S201" s="651"/>
    </row>
    <row r="202" spans="12:19" ht="15.75" customHeight="1" x14ac:dyDescent="0.35">
      <c r="L202" s="2"/>
      <c r="M202" s="2"/>
      <c r="N202" s="650"/>
      <c r="O202" s="650"/>
      <c r="P202" s="651"/>
      <c r="Q202" s="651"/>
      <c r="R202" s="651"/>
      <c r="S202" s="651"/>
    </row>
    <row r="203" spans="12:19" ht="15.75" customHeight="1" x14ac:dyDescent="0.35">
      <c r="L203" s="2"/>
      <c r="M203" s="2"/>
      <c r="N203" s="650"/>
      <c r="O203" s="650"/>
      <c r="P203" s="651"/>
      <c r="Q203" s="651"/>
      <c r="R203" s="651"/>
      <c r="S203" s="651"/>
    </row>
    <row r="204" spans="12:19" ht="15.75" customHeight="1" x14ac:dyDescent="0.35">
      <c r="L204" s="2"/>
      <c r="M204" s="2"/>
      <c r="N204" s="650"/>
      <c r="O204" s="650"/>
      <c r="P204" s="651"/>
      <c r="Q204" s="651"/>
      <c r="R204" s="651"/>
      <c r="S204" s="651"/>
    </row>
    <row r="205" spans="12:19" ht="15.75" customHeight="1" x14ac:dyDescent="0.35">
      <c r="L205" s="2"/>
      <c r="M205" s="2"/>
      <c r="N205" s="650"/>
      <c r="O205" s="650"/>
      <c r="P205" s="651"/>
      <c r="Q205" s="651"/>
      <c r="R205" s="651"/>
      <c r="S205" s="651"/>
    </row>
    <row r="206" spans="12:19" ht="15.75" customHeight="1" x14ac:dyDescent="0.35">
      <c r="L206" s="2"/>
      <c r="M206" s="2"/>
      <c r="N206" s="650"/>
      <c r="O206" s="650"/>
      <c r="P206" s="651"/>
      <c r="Q206" s="651"/>
      <c r="R206" s="651"/>
      <c r="S206" s="651"/>
    </row>
    <row r="207" spans="12:19" ht="15.75" customHeight="1" x14ac:dyDescent="0.35">
      <c r="L207" s="2"/>
      <c r="M207" s="2"/>
      <c r="N207" s="650"/>
      <c r="O207" s="650"/>
      <c r="P207" s="651"/>
      <c r="Q207" s="651"/>
      <c r="R207" s="651"/>
      <c r="S207" s="651"/>
    </row>
    <row r="208" spans="12:19" ht="15.75" customHeight="1" x14ac:dyDescent="0.35">
      <c r="L208" s="2"/>
      <c r="M208" s="2"/>
      <c r="N208" s="650"/>
      <c r="O208" s="650"/>
      <c r="P208" s="651"/>
      <c r="Q208" s="651"/>
      <c r="R208" s="651"/>
      <c r="S208" s="651"/>
    </row>
    <row r="209" spans="12:19" ht="15.75" customHeight="1" x14ac:dyDescent="0.35">
      <c r="L209" s="2"/>
      <c r="M209" s="2"/>
      <c r="N209" s="650"/>
      <c r="O209" s="650"/>
      <c r="P209" s="651"/>
      <c r="Q209" s="651"/>
      <c r="R209" s="651"/>
      <c r="S209" s="651"/>
    </row>
    <row r="210" spans="12:19" ht="15.75" customHeight="1" x14ac:dyDescent="0.35">
      <c r="L210" s="2"/>
      <c r="M210" s="2"/>
      <c r="N210" s="650"/>
      <c r="O210" s="650"/>
      <c r="P210" s="651"/>
      <c r="Q210" s="651"/>
      <c r="R210" s="651"/>
      <c r="S210" s="651"/>
    </row>
    <row r="211" spans="12:19" ht="15.75" customHeight="1" x14ac:dyDescent="0.35">
      <c r="L211" s="2"/>
      <c r="M211" s="2"/>
      <c r="N211" s="650"/>
      <c r="O211" s="650"/>
      <c r="P211" s="651"/>
      <c r="Q211" s="651"/>
      <c r="R211" s="651"/>
      <c r="S211" s="651"/>
    </row>
    <row r="212" spans="12:19" ht="15.75" customHeight="1" x14ac:dyDescent="0.35">
      <c r="L212" s="2"/>
      <c r="M212" s="2"/>
      <c r="N212" s="650"/>
      <c r="O212" s="650"/>
      <c r="P212" s="651"/>
      <c r="Q212" s="651"/>
      <c r="R212" s="651"/>
      <c r="S212" s="651"/>
    </row>
    <row r="213" spans="12:19" ht="15.75" customHeight="1" x14ac:dyDescent="0.35">
      <c r="L213" s="2"/>
      <c r="M213" s="2"/>
      <c r="N213" s="650"/>
      <c r="O213" s="650"/>
      <c r="P213" s="651"/>
      <c r="Q213" s="651"/>
      <c r="R213" s="651"/>
      <c r="S213" s="651"/>
    </row>
    <row r="214" spans="12:19" ht="15.75" customHeight="1" x14ac:dyDescent="0.35">
      <c r="L214" s="2"/>
      <c r="M214" s="2"/>
      <c r="N214" s="650"/>
      <c r="O214" s="650"/>
      <c r="P214" s="651"/>
      <c r="Q214" s="651"/>
      <c r="R214" s="651"/>
      <c r="S214" s="651"/>
    </row>
    <row r="215" spans="12:19" ht="15.75" customHeight="1" x14ac:dyDescent="0.35">
      <c r="L215" s="2"/>
      <c r="M215" s="2"/>
      <c r="N215" s="650"/>
      <c r="O215" s="650"/>
      <c r="P215" s="651"/>
      <c r="Q215" s="651"/>
      <c r="R215" s="651"/>
      <c r="S215" s="651"/>
    </row>
    <row r="216" spans="12:19" ht="15.75" customHeight="1" x14ac:dyDescent="0.35">
      <c r="L216" s="2"/>
      <c r="M216" s="2"/>
      <c r="N216" s="650"/>
      <c r="O216" s="650"/>
      <c r="P216" s="651"/>
      <c r="Q216" s="651"/>
      <c r="R216" s="651"/>
      <c r="S216" s="651"/>
    </row>
    <row r="217" spans="12:19" ht="15.75" customHeight="1" x14ac:dyDescent="0.35">
      <c r="L217" s="2"/>
      <c r="M217" s="2"/>
      <c r="N217" s="650"/>
      <c r="O217" s="650"/>
      <c r="P217" s="651"/>
      <c r="Q217" s="651"/>
      <c r="R217" s="651"/>
      <c r="S217" s="651"/>
    </row>
    <row r="218" spans="12:19" ht="15.75" customHeight="1" x14ac:dyDescent="0.35">
      <c r="L218" s="2"/>
      <c r="M218" s="2"/>
      <c r="N218" s="650"/>
      <c r="O218" s="650"/>
      <c r="P218" s="651"/>
      <c r="Q218" s="651"/>
      <c r="R218" s="651"/>
      <c r="S218" s="651"/>
    </row>
    <row r="219" spans="12:19" ht="15.75" customHeight="1" x14ac:dyDescent="0.35">
      <c r="L219" s="2"/>
      <c r="M219" s="2"/>
      <c r="N219" s="650"/>
      <c r="O219" s="650"/>
      <c r="P219" s="651"/>
      <c r="Q219" s="651"/>
      <c r="R219" s="651"/>
      <c r="S219" s="651"/>
    </row>
    <row r="220" spans="12:19" ht="15.75" customHeight="1" x14ac:dyDescent="0.35">
      <c r="L220" s="2"/>
      <c r="M220" s="2"/>
      <c r="N220" s="650"/>
      <c r="O220" s="650"/>
      <c r="P220" s="651"/>
      <c r="Q220" s="651"/>
      <c r="R220" s="651"/>
      <c r="S220" s="651"/>
    </row>
    <row r="221" spans="12:19" ht="15.75" customHeight="1" x14ac:dyDescent="0.35">
      <c r="L221" s="2"/>
      <c r="M221" s="2"/>
      <c r="N221" s="650"/>
      <c r="O221" s="650"/>
      <c r="P221" s="651"/>
      <c r="Q221" s="651"/>
      <c r="R221" s="651"/>
      <c r="S221" s="651"/>
    </row>
    <row r="222" spans="12:19" ht="15.75" customHeight="1" x14ac:dyDescent="0.35">
      <c r="L222" s="2"/>
      <c r="M222" s="2"/>
      <c r="N222" s="650"/>
      <c r="O222" s="650"/>
      <c r="P222" s="651"/>
      <c r="Q222" s="651"/>
      <c r="R222" s="651"/>
      <c r="S222" s="651"/>
    </row>
    <row r="223" spans="12:19" ht="15.75" customHeight="1" x14ac:dyDescent="0.35">
      <c r="L223" s="2"/>
      <c r="M223" s="2"/>
      <c r="N223" s="650"/>
      <c r="O223" s="650"/>
      <c r="P223" s="651"/>
      <c r="Q223" s="651"/>
      <c r="R223" s="651"/>
      <c r="S223" s="651"/>
    </row>
    <row r="224" spans="12:19" ht="15.75" customHeight="1" x14ac:dyDescent="0.35">
      <c r="L224" s="2"/>
      <c r="M224" s="2"/>
      <c r="N224" s="650"/>
      <c r="O224" s="650"/>
      <c r="P224" s="651"/>
      <c r="Q224" s="651"/>
      <c r="R224" s="651"/>
      <c r="S224" s="651"/>
    </row>
    <row r="225" spans="12:19" ht="15.75" customHeight="1" x14ac:dyDescent="0.35">
      <c r="L225" s="2"/>
      <c r="M225" s="2"/>
      <c r="N225" s="650"/>
      <c r="O225" s="650"/>
      <c r="P225" s="651"/>
      <c r="Q225" s="651"/>
      <c r="R225" s="651"/>
      <c r="S225" s="651"/>
    </row>
    <row r="226" spans="12:19" ht="15.75" customHeight="1" x14ac:dyDescent="0.35">
      <c r="L226" s="2"/>
      <c r="M226" s="2"/>
      <c r="N226" s="650"/>
      <c r="O226" s="650"/>
      <c r="P226" s="651"/>
      <c r="Q226" s="651"/>
      <c r="R226" s="651"/>
      <c r="S226" s="651"/>
    </row>
    <row r="227" spans="12:19" ht="15.75" customHeight="1" x14ac:dyDescent="0.35">
      <c r="L227" s="2"/>
      <c r="M227" s="2"/>
      <c r="N227" s="650"/>
      <c r="O227" s="650"/>
      <c r="P227" s="651"/>
      <c r="Q227" s="651"/>
      <c r="R227" s="651"/>
      <c r="S227" s="651"/>
    </row>
    <row r="228" spans="12:19" ht="15.75" customHeight="1" x14ac:dyDescent="0.35">
      <c r="L228" s="2"/>
      <c r="M228" s="2"/>
      <c r="N228" s="650"/>
      <c r="O228" s="650"/>
      <c r="P228" s="651"/>
      <c r="Q228" s="651"/>
      <c r="R228" s="651"/>
      <c r="S228" s="651"/>
    </row>
    <row r="229" spans="12:19" ht="15.75" customHeight="1" x14ac:dyDescent="0.35">
      <c r="L229" s="2"/>
      <c r="M229" s="2"/>
      <c r="N229" s="650"/>
      <c r="O229" s="650"/>
      <c r="P229" s="651"/>
      <c r="Q229" s="651"/>
      <c r="R229" s="651"/>
      <c r="S229" s="651"/>
    </row>
    <row r="230" spans="12:19" ht="15.75" customHeight="1" x14ac:dyDescent="0.35">
      <c r="L230" s="2"/>
      <c r="M230" s="2"/>
      <c r="N230" s="650"/>
      <c r="O230" s="650"/>
      <c r="P230" s="651"/>
      <c r="Q230" s="651"/>
      <c r="R230" s="651"/>
      <c r="S230" s="651"/>
    </row>
    <row r="231" spans="12:19" ht="15.75" customHeight="1" x14ac:dyDescent="0.35">
      <c r="L231" s="2"/>
      <c r="M231" s="2"/>
      <c r="N231" s="650"/>
      <c r="O231" s="650"/>
      <c r="P231" s="651"/>
      <c r="Q231" s="651"/>
      <c r="R231" s="651"/>
      <c r="S231" s="651"/>
    </row>
    <row r="232" spans="12:19" ht="15.75" customHeight="1" x14ac:dyDescent="0.35">
      <c r="L232" s="2"/>
      <c r="M232" s="2"/>
      <c r="N232" s="650"/>
      <c r="O232" s="650"/>
      <c r="P232" s="651"/>
      <c r="Q232" s="651"/>
      <c r="R232" s="651"/>
      <c r="S232" s="651"/>
    </row>
    <row r="233" spans="12:19" ht="15.75" customHeight="1" x14ac:dyDescent="0.35">
      <c r="L233" s="2"/>
      <c r="M233" s="2"/>
      <c r="N233" s="650"/>
      <c r="O233" s="650"/>
      <c r="P233" s="651"/>
      <c r="Q233" s="651"/>
      <c r="R233" s="651"/>
      <c r="S233" s="651"/>
    </row>
    <row r="234" spans="12:19" ht="15.75" customHeight="1" x14ac:dyDescent="0.35">
      <c r="L234" s="2"/>
      <c r="M234" s="2"/>
      <c r="N234" s="650"/>
      <c r="O234" s="650"/>
      <c r="P234" s="651"/>
      <c r="Q234" s="651"/>
      <c r="R234" s="651"/>
      <c r="S234" s="651"/>
    </row>
    <row r="235" spans="12:19" ht="15.75" customHeight="1" x14ac:dyDescent="0.35">
      <c r="L235" s="2"/>
      <c r="M235" s="2"/>
      <c r="N235" s="650"/>
      <c r="O235" s="650"/>
      <c r="P235" s="651"/>
      <c r="Q235" s="651"/>
      <c r="R235" s="651"/>
      <c r="S235" s="651"/>
    </row>
    <row r="236" spans="12:19" ht="15.75" customHeight="1" x14ac:dyDescent="0.35">
      <c r="L236" s="2"/>
      <c r="M236" s="2"/>
      <c r="N236" s="650"/>
      <c r="O236" s="650"/>
      <c r="P236" s="651"/>
      <c r="Q236" s="651"/>
      <c r="R236" s="651"/>
      <c r="S236" s="651"/>
    </row>
    <row r="237" spans="12:19" ht="15.75" customHeight="1" x14ac:dyDescent="0.35">
      <c r="L237" s="2"/>
      <c r="M237" s="2"/>
      <c r="N237" s="650"/>
      <c r="O237" s="650"/>
      <c r="P237" s="651"/>
      <c r="Q237" s="651"/>
      <c r="R237" s="651"/>
      <c r="S237" s="651"/>
    </row>
    <row r="238" spans="12:19" ht="15.75" customHeight="1" x14ac:dyDescent="0.35">
      <c r="L238" s="2"/>
      <c r="M238" s="2"/>
      <c r="N238" s="650"/>
      <c r="O238" s="650"/>
      <c r="P238" s="651"/>
      <c r="Q238" s="651"/>
      <c r="R238" s="651"/>
      <c r="S238" s="651"/>
    </row>
    <row r="239" spans="12:19" ht="15.75" customHeight="1" x14ac:dyDescent="0.35">
      <c r="L239" s="2"/>
      <c r="M239" s="2"/>
      <c r="N239" s="650"/>
      <c r="O239" s="650"/>
      <c r="P239" s="651"/>
      <c r="Q239" s="651"/>
      <c r="R239" s="651"/>
      <c r="S239" s="651"/>
    </row>
    <row r="240" spans="12:19" ht="15.75" customHeight="1" x14ac:dyDescent="0.35">
      <c r="L240" s="2"/>
      <c r="M240" s="2"/>
      <c r="N240" s="650"/>
      <c r="O240" s="650"/>
      <c r="P240" s="651"/>
      <c r="Q240" s="651"/>
      <c r="R240" s="651"/>
      <c r="S240" s="651"/>
    </row>
    <row r="241" spans="12:19" ht="15.75" customHeight="1" x14ac:dyDescent="0.35">
      <c r="L241" s="2"/>
      <c r="M241" s="2"/>
      <c r="N241" s="650"/>
      <c r="O241" s="650"/>
      <c r="P241" s="651"/>
      <c r="Q241" s="651"/>
      <c r="R241" s="651"/>
      <c r="S241" s="651"/>
    </row>
    <row r="242" spans="12:19" ht="15.75" customHeight="1" x14ac:dyDescent="0.35">
      <c r="L242" s="2"/>
      <c r="M242" s="2"/>
      <c r="N242" s="650"/>
      <c r="O242" s="650"/>
      <c r="P242" s="651"/>
      <c r="Q242" s="651"/>
      <c r="R242" s="651"/>
      <c r="S242" s="651"/>
    </row>
    <row r="243" spans="12:19" ht="15.75" customHeight="1" x14ac:dyDescent="0.35">
      <c r="L243" s="2"/>
      <c r="M243" s="2"/>
      <c r="N243" s="650"/>
      <c r="O243" s="650"/>
      <c r="P243" s="651"/>
      <c r="Q243" s="651"/>
      <c r="R243" s="651"/>
      <c r="S243" s="651"/>
    </row>
    <row r="244" spans="12:19" ht="15.75" customHeight="1" x14ac:dyDescent="0.35">
      <c r="L244" s="2"/>
      <c r="M244" s="2"/>
      <c r="N244" s="650"/>
      <c r="O244" s="650"/>
      <c r="P244" s="651"/>
      <c r="Q244" s="651"/>
      <c r="R244" s="651"/>
      <c r="S244" s="651"/>
    </row>
    <row r="245" spans="12:19" ht="15.75" customHeight="1" x14ac:dyDescent="0.35">
      <c r="L245" s="2"/>
      <c r="M245" s="2"/>
      <c r="N245" s="650"/>
      <c r="O245" s="650"/>
      <c r="P245" s="651"/>
      <c r="Q245" s="651"/>
      <c r="R245" s="651"/>
      <c r="S245" s="651"/>
    </row>
    <row r="246" spans="12:19" ht="15.75" customHeight="1" x14ac:dyDescent="0.35">
      <c r="L246" s="2"/>
      <c r="M246" s="2"/>
      <c r="N246" s="650"/>
      <c r="O246" s="650"/>
      <c r="P246" s="651"/>
      <c r="Q246" s="651"/>
      <c r="R246" s="651"/>
      <c r="S246" s="651"/>
    </row>
    <row r="247" spans="12:19" ht="15.75" customHeight="1" x14ac:dyDescent="0.35">
      <c r="L247" s="2"/>
      <c r="M247" s="2"/>
      <c r="N247" s="650"/>
      <c r="O247" s="650"/>
      <c r="P247" s="651"/>
      <c r="Q247" s="651"/>
      <c r="R247" s="651"/>
      <c r="S247" s="651"/>
    </row>
    <row r="248" spans="12:19" ht="15.75" customHeight="1" x14ac:dyDescent="0.35">
      <c r="L248" s="2"/>
      <c r="M248" s="2"/>
      <c r="N248" s="650"/>
      <c r="O248" s="650"/>
      <c r="P248" s="651"/>
      <c r="Q248" s="651"/>
      <c r="R248" s="651"/>
      <c r="S248" s="651"/>
    </row>
    <row r="249" spans="12:19" ht="15.75" customHeight="1" x14ac:dyDescent="0.35">
      <c r="L249" s="2"/>
      <c r="M249" s="2"/>
      <c r="N249" s="650"/>
      <c r="O249" s="650"/>
      <c r="P249" s="651"/>
      <c r="Q249" s="651"/>
      <c r="R249" s="651"/>
      <c r="S249" s="651"/>
    </row>
    <row r="250" spans="12:19" ht="15.75" customHeight="1" x14ac:dyDescent="0.35">
      <c r="L250" s="2"/>
      <c r="M250" s="2"/>
      <c r="N250" s="650"/>
      <c r="O250" s="650"/>
      <c r="P250" s="651"/>
      <c r="Q250" s="651"/>
      <c r="R250" s="651"/>
      <c r="S250" s="651"/>
    </row>
    <row r="251" spans="12:19" ht="15.75" customHeight="1" x14ac:dyDescent="0.35">
      <c r="L251" s="2"/>
      <c r="M251" s="2"/>
      <c r="N251" s="650"/>
      <c r="O251" s="650"/>
      <c r="P251" s="651"/>
      <c r="Q251" s="651"/>
      <c r="R251" s="651"/>
      <c r="S251" s="651"/>
    </row>
    <row r="252" spans="12:19" ht="15.75" customHeight="1" x14ac:dyDescent="0.35">
      <c r="L252" s="2"/>
      <c r="M252" s="2"/>
      <c r="N252" s="650"/>
      <c r="O252" s="650"/>
      <c r="P252" s="651"/>
      <c r="Q252" s="651"/>
      <c r="R252" s="651"/>
      <c r="S252" s="651"/>
    </row>
    <row r="253" spans="12:19" ht="15.75" customHeight="1" x14ac:dyDescent="0.35">
      <c r="L253" s="2"/>
      <c r="M253" s="2"/>
      <c r="N253" s="650"/>
      <c r="O253" s="650"/>
      <c r="P253" s="651"/>
      <c r="Q253" s="651"/>
      <c r="R253" s="651"/>
      <c r="S253" s="651"/>
    </row>
    <row r="254" spans="12:19" ht="15.75" customHeight="1" x14ac:dyDescent="0.35">
      <c r="L254" s="2"/>
      <c r="M254" s="2"/>
      <c r="N254" s="650"/>
      <c r="O254" s="650"/>
      <c r="P254" s="651"/>
      <c r="Q254" s="651"/>
      <c r="R254" s="651"/>
      <c r="S254" s="651"/>
    </row>
    <row r="255" spans="12:19" ht="15.75" customHeight="1" x14ac:dyDescent="0.35">
      <c r="L255" s="2"/>
      <c r="M255" s="2"/>
      <c r="N255" s="650"/>
      <c r="O255" s="650"/>
      <c r="P255" s="651"/>
      <c r="Q255" s="651"/>
      <c r="R255" s="651"/>
      <c r="S255" s="651"/>
    </row>
    <row r="256" spans="12:19" ht="15.75" customHeight="1" x14ac:dyDescent="0.35">
      <c r="L256" s="2"/>
      <c r="M256" s="2"/>
      <c r="N256" s="650"/>
      <c r="O256" s="650"/>
      <c r="P256" s="651"/>
      <c r="Q256" s="651"/>
      <c r="R256" s="651"/>
      <c r="S256" s="651"/>
    </row>
    <row r="257" spans="12:19" ht="15.75" customHeight="1" x14ac:dyDescent="0.35">
      <c r="L257" s="2"/>
      <c r="M257" s="2"/>
      <c r="N257" s="650"/>
      <c r="O257" s="650"/>
      <c r="P257" s="651"/>
      <c r="Q257" s="651"/>
      <c r="R257" s="651"/>
      <c r="S257" s="651"/>
    </row>
    <row r="258" spans="12:19" ht="15.75" customHeight="1" x14ac:dyDescent="0.35">
      <c r="L258" s="2"/>
      <c r="M258" s="2"/>
      <c r="N258" s="650"/>
      <c r="O258" s="650"/>
      <c r="P258" s="651"/>
      <c r="Q258" s="651"/>
      <c r="R258" s="651"/>
      <c r="S258" s="651"/>
    </row>
    <row r="259" spans="12:19" ht="15.75" customHeight="1" x14ac:dyDescent="0.35">
      <c r="L259" s="2"/>
      <c r="M259" s="2"/>
      <c r="N259" s="650"/>
      <c r="O259" s="650"/>
      <c r="P259" s="651"/>
      <c r="Q259" s="651"/>
      <c r="R259" s="651"/>
      <c r="S259" s="651"/>
    </row>
    <row r="260" spans="12:19" ht="15.75" customHeight="1" x14ac:dyDescent="0.35">
      <c r="L260" s="2"/>
      <c r="M260" s="2"/>
      <c r="N260" s="650"/>
      <c r="O260" s="650"/>
      <c r="P260" s="651"/>
      <c r="Q260" s="651"/>
      <c r="R260" s="651"/>
      <c r="S260" s="651"/>
    </row>
    <row r="261" spans="12:19" ht="15.75" customHeight="1" x14ac:dyDescent="0.35">
      <c r="L261" s="2"/>
      <c r="M261" s="2"/>
      <c r="N261" s="650"/>
      <c r="O261" s="650"/>
      <c r="P261" s="651"/>
      <c r="Q261" s="651"/>
      <c r="R261" s="651"/>
      <c r="S261" s="651"/>
    </row>
    <row r="262" spans="12:19" ht="15.75" customHeight="1" x14ac:dyDescent="0.35">
      <c r="L262" s="2"/>
      <c r="M262" s="2"/>
      <c r="N262" s="650"/>
      <c r="O262" s="650"/>
      <c r="P262" s="651"/>
      <c r="Q262" s="651"/>
      <c r="R262" s="651"/>
      <c r="S262" s="651"/>
    </row>
    <row r="263" spans="12:19" ht="15.75" customHeight="1" x14ac:dyDescent="0.35">
      <c r="L263" s="2"/>
      <c r="M263" s="2"/>
      <c r="N263" s="650"/>
      <c r="O263" s="650"/>
      <c r="P263" s="651"/>
      <c r="Q263" s="651"/>
      <c r="R263" s="651"/>
      <c r="S263" s="651"/>
    </row>
    <row r="264" spans="12:19" ht="15.75" customHeight="1" x14ac:dyDescent="0.35">
      <c r="L264" s="2"/>
      <c r="M264" s="2"/>
      <c r="N264" s="650"/>
      <c r="O264" s="650"/>
      <c r="P264" s="651"/>
      <c r="Q264" s="651"/>
      <c r="R264" s="651"/>
      <c r="S264" s="651"/>
    </row>
    <row r="265" spans="12:19" ht="15.75" customHeight="1" x14ac:dyDescent="0.35">
      <c r="L265" s="2"/>
      <c r="M265" s="2"/>
      <c r="N265" s="650"/>
      <c r="O265" s="650"/>
      <c r="P265" s="651"/>
      <c r="Q265" s="651"/>
      <c r="R265" s="651"/>
      <c r="S265" s="651"/>
    </row>
    <row r="266" spans="12:19" ht="15.75" customHeight="1" x14ac:dyDescent="0.35">
      <c r="L266" s="2"/>
      <c r="M266" s="2"/>
      <c r="N266" s="650"/>
      <c r="O266" s="650"/>
      <c r="P266" s="651"/>
      <c r="Q266" s="651"/>
      <c r="R266" s="651"/>
      <c r="S266" s="651"/>
    </row>
    <row r="267" spans="12:19" ht="15.75" customHeight="1" x14ac:dyDescent="0.35">
      <c r="L267" s="2"/>
      <c r="M267" s="2"/>
      <c r="N267" s="650"/>
      <c r="O267" s="650"/>
      <c r="P267" s="651"/>
      <c r="Q267" s="651"/>
      <c r="R267" s="651"/>
      <c r="S267" s="651"/>
    </row>
    <row r="268" spans="12:19" ht="15.75" customHeight="1" x14ac:dyDescent="0.35">
      <c r="L268" s="2"/>
      <c r="M268" s="2"/>
      <c r="N268" s="650"/>
      <c r="O268" s="650"/>
      <c r="P268" s="651"/>
      <c r="Q268" s="651"/>
      <c r="R268" s="651"/>
      <c r="S268" s="651"/>
    </row>
    <row r="269" spans="12:19" ht="15.75" customHeight="1" x14ac:dyDescent="0.35">
      <c r="L269" s="2"/>
      <c r="M269" s="2"/>
      <c r="N269" s="650"/>
      <c r="O269" s="650"/>
      <c r="P269" s="651"/>
      <c r="Q269" s="651"/>
      <c r="R269" s="651"/>
      <c r="S269" s="651"/>
    </row>
    <row r="270" spans="12:19" ht="15.75" customHeight="1" x14ac:dyDescent="0.35">
      <c r="L270" s="2"/>
      <c r="M270" s="2"/>
      <c r="N270" s="650"/>
      <c r="O270" s="650"/>
      <c r="P270" s="651"/>
      <c r="Q270" s="651"/>
      <c r="R270" s="651"/>
      <c r="S270" s="651"/>
    </row>
    <row r="271" spans="12:19" ht="15.75" customHeight="1" x14ac:dyDescent="0.35">
      <c r="L271" s="2"/>
      <c r="M271" s="2"/>
      <c r="N271" s="650"/>
      <c r="O271" s="650"/>
      <c r="P271" s="651"/>
      <c r="Q271" s="651"/>
      <c r="R271" s="651"/>
      <c r="S271" s="651"/>
    </row>
    <row r="272" spans="12:19" ht="15.75" customHeight="1" x14ac:dyDescent="0.35">
      <c r="L272" s="2"/>
      <c r="M272" s="2"/>
      <c r="N272" s="650"/>
      <c r="O272" s="650"/>
      <c r="P272" s="651"/>
      <c r="Q272" s="651"/>
      <c r="R272" s="651"/>
      <c r="S272" s="651"/>
    </row>
    <row r="273" spans="12:19" ht="15.75" customHeight="1" x14ac:dyDescent="0.35">
      <c r="L273" s="2"/>
      <c r="M273" s="2"/>
      <c r="N273" s="650"/>
      <c r="O273" s="650"/>
      <c r="P273" s="651"/>
      <c r="Q273" s="651"/>
      <c r="R273" s="651"/>
      <c r="S273" s="651"/>
    </row>
    <row r="274" spans="12:19" ht="15.75" customHeight="1" x14ac:dyDescent="0.35">
      <c r="L274" s="2"/>
      <c r="M274" s="2"/>
      <c r="N274" s="650"/>
      <c r="O274" s="650"/>
      <c r="P274" s="651"/>
      <c r="Q274" s="651"/>
      <c r="R274" s="651"/>
      <c r="S274" s="651"/>
    </row>
    <row r="275" spans="12:19" ht="15.75" customHeight="1" x14ac:dyDescent="0.35">
      <c r="L275" s="2"/>
      <c r="M275" s="2"/>
      <c r="N275" s="650"/>
      <c r="O275" s="650"/>
      <c r="P275" s="651"/>
      <c r="Q275" s="651"/>
      <c r="R275" s="651"/>
      <c r="S275" s="651"/>
    </row>
    <row r="276" spans="12:19" ht="15.75" customHeight="1" x14ac:dyDescent="0.35">
      <c r="L276" s="2"/>
      <c r="M276" s="2"/>
      <c r="N276" s="650"/>
      <c r="O276" s="650"/>
      <c r="P276" s="651"/>
      <c r="Q276" s="651"/>
      <c r="R276" s="651"/>
      <c r="S276" s="651"/>
    </row>
    <row r="277" spans="12:19" ht="15.75" customHeight="1" x14ac:dyDescent="0.35">
      <c r="L277" s="2"/>
      <c r="M277" s="2"/>
      <c r="N277" s="650"/>
      <c r="O277" s="650"/>
      <c r="P277" s="651"/>
      <c r="Q277" s="651"/>
      <c r="R277" s="651"/>
      <c r="S277" s="651"/>
    </row>
    <row r="278" spans="12:19" ht="15.75" customHeight="1" x14ac:dyDescent="0.35">
      <c r="L278" s="2"/>
      <c r="M278" s="2"/>
      <c r="N278" s="650"/>
      <c r="O278" s="650"/>
      <c r="P278" s="651"/>
      <c r="Q278" s="651"/>
      <c r="R278" s="651"/>
      <c r="S278" s="651"/>
    </row>
    <row r="279" spans="12:19" ht="15.75" customHeight="1" x14ac:dyDescent="0.35">
      <c r="L279" s="2"/>
      <c r="M279" s="2"/>
      <c r="N279" s="650"/>
      <c r="O279" s="650"/>
      <c r="P279" s="651"/>
      <c r="Q279" s="651"/>
      <c r="R279" s="651"/>
      <c r="S279" s="651"/>
    </row>
    <row r="280" spans="12:19" ht="15.75" customHeight="1" x14ac:dyDescent="0.35">
      <c r="L280" s="2"/>
      <c r="M280" s="2"/>
      <c r="N280" s="650"/>
      <c r="O280" s="650"/>
      <c r="P280" s="651"/>
      <c r="Q280" s="651"/>
      <c r="R280" s="651"/>
      <c r="S280" s="651"/>
    </row>
    <row r="281" spans="12:19" ht="15.75" customHeight="1" x14ac:dyDescent="0.35">
      <c r="L281" s="2"/>
      <c r="M281" s="2"/>
      <c r="N281" s="650"/>
      <c r="O281" s="650"/>
      <c r="P281" s="651"/>
      <c r="Q281" s="651"/>
      <c r="R281" s="651"/>
      <c r="S281" s="651"/>
    </row>
    <row r="282" spans="12:19" ht="15.75" customHeight="1" x14ac:dyDescent="0.35">
      <c r="L282" s="2"/>
      <c r="M282" s="2"/>
      <c r="N282" s="650"/>
      <c r="O282" s="650"/>
      <c r="P282" s="651"/>
      <c r="Q282" s="651"/>
      <c r="R282" s="651"/>
      <c r="S282" s="651"/>
    </row>
    <row r="283" spans="12:19" ht="15.75" customHeight="1" x14ac:dyDescent="0.35">
      <c r="L283" s="2"/>
      <c r="M283" s="2"/>
      <c r="N283" s="650"/>
      <c r="O283" s="650"/>
      <c r="P283" s="651"/>
      <c r="Q283" s="651"/>
      <c r="R283" s="651"/>
      <c r="S283" s="651"/>
    </row>
    <row r="284" spans="12:19" ht="15.75" customHeight="1" x14ac:dyDescent="0.35">
      <c r="L284" s="2"/>
      <c r="M284" s="2"/>
      <c r="N284" s="650"/>
      <c r="O284" s="650"/>
      <c r="P284" s="651"/>
      <c r="Q284" s="651"/>
      <c r="R284" s="651"/>
      <c r="S284" s="651"/>
    </row>
    <row r="285" spans="12:19" ht="15.75" customHeight="1" x14ac:dyDescent="0.35">
      <c r="L285" s="2"/>
      <c r="M285" s="2"/>
      <c r="N285" s="650"/>
      <c r="O285" s="650"/>
      <c r="P285" s="651"/>
      <c r="Q285" s="651"/>
      <c r="R285" s="651"/>
      <c r="S285" s="651"/>
    </row>
    <row r="286" spans="12:19" ht="15.75" customHeight="1" x14ac:dyDescent="0.35">
      <c r="L286" s="2"/>
      <c r="M286" s="2"/>
      <c r="N286" s="650"/>
      <c r="O286" s="650"/>
      <c r="P286" s="651"/>
      <c r="Q286" s="651"/>
      <c r="R286" s="651"/>
      <c r="S286" s="651"/>
    </row>
    <row r="287" spans="12:19" ht="15.75" customHeight="1" x14ac:dyDescent="0.35">
      <c r="L287" s="2"/>
      <c r="M287" s="2"/>
      <c r="N287" s="650"/>
      <c r="O287" s="650"/>
      <c r="P287" s="651"/>
      <c r="Q287" s="651"/>
      <c r="R287" s="651"/>
      <c r="S287" s="651"/>
    </row>
    <row r="288" spans="12:19" ht="15.75" customHeight="1" x14ac:dyDescent="0.35">
      <c r="L288" s="2"/>
      <c r="M288" s="2"/>
      <c r="N288" s="650"/>
      <c r="O288" s="650"/>
      <c r="P288" s="651"/>
      <c r="Q288" s="651"/>
      <c r="R288" s="651"/>
      <c r="S288" s="651"/>
    </row>
    <row r="289" spans="12:19" ht="15.75" customHeight="1" x14ac:dyDescent="0.35">
      <c r="L289" s="2"/>
      <c r="M289" s="2"/>
      <c r="N289" s="650"/>
      <c r="O289" s="650"/>
      <c r="P289" s="651"/>
      <c r="Q289" s="651"/>
      <c r="R289" s="651"/>
      <c r="S289" s="651"/>
    </row>
    <row r="290" spans="12:19" ht="15.75" customHeight="1" x14ac:dyDescent="0.35">
      <c r="L290" s="2"/>
      <c r="M290" s="2"/>
      <c r="N290" s="650"/>
      <c r="O290" s="650"/>
      <c r="P290" s="651"/>
      <c r="Q290" s="651"/>
      <c r="R290" s="651"/>
      <c r="S290" s="651"/>
    </row>
    <row r="291" spans="12:19" ht="15.75" customHeight="1" x14ac:dyDescent="0.35">
      <c r="L291" s="2"/>
      <c r="M291" s="2"/>
      <c r="N291" s="650"/>
      <c r="O291" s="650"/>
      <c r="P291" s="651"/>
      <c r="Q291" s="651"/>
      <c r="R291" s="651"/>
      <c r="S291" s="651"/>
    </row>
    <row r="292" spans="12:19" ht="15.75" customHeight="1" x14ac:dyDescent="0.35">
      <c r="L292" s="2"/>
      <c r="M292" s="2"/>
      <c r="N292" s="650"/>
      <c r="O292" s="650"/>
      <c r="P292" s="651"/>
      <c r="Q292" s="651"/>
      <c r="R292" s="651"/>
      <c r="S292" s="651"/>
    </row>
    <row r="293" spans="12:19" ht="15.75" customHeight="1" x14ac:dyDescent="0.35">
      <c r="L293" s="2"/>
      <c r="M293" s="2"/>
      <c r="N293" s="650"/>
      <c r="O293" s="650"/>
      <c r="P293" s="651"/>
      <c r="Q293" s="651"/>
      <c r="R293" s="651"/>
      <c r="S293" s="651"/>
    </row>
    <row r="294" spans="12:19" ht="15.75" customHeight="1" x14ac:dyDescent="0.35">
      <c r="L294" s="2"/>
      <c r="M294" s="2"/>
      <c r="N294" s="650"/>
      <c r="O294" s="650"/>
      <c r="P294" s="651"/>
      <c r="Q294" s="651"/>
      <c r="R294" s="651"/>
      <c r="S294" s="651"/>
    </row>
    <row r="295" spans="12:19" ht="15.75" customHeight="1" x14ac:dyDescent="0.35">
      <c r="L295" s="2"/>
      <c r="M295" s="2"/>
      <c r="N295" s="650"/>
      <c r="O295" s="650"/>
      <c r="P295" s="651"/>
      <c r="Q295" s="651"/>
      <c r="R295" s="651"/>
      <c r="S295" s="651"/>
    </row>
    <row r="296" spans="12:19" ht="15.75" customHeight="1" x14ac:dyDescent="0.35">
      <c r="L296" s="2"/>
      <c r="M296" s="2"/>
      <c r="N296" s="650"/>
      <c r="O296" s="650"/>
      <c r="P296" s="651"/>
      <c r="Q296" s="651"/>
      <c r="R296" s="651"/>
      <c r="S296" s="651"/>
    </row>
    <row r="297" spans="12:19" ht="15.75" customHeight="1" x14ac:dyDescent="0.35">
      <c r="L297" s="2"/>
      <c r="M297" s="2"/>
      <c r="N297" s="650"/>
      <c r="O297" s="650"/>
      <c r="P297" s="651"/>
      <c r="Q297" s="651"/>
      <c r="R297" s="651"/>
      <c r="S297" s="651"/>
    </row>
    <row r="298" spans="12:19" ht="15.75" customHeight="1" x14ac:dyDescent="0.35">
      <c r="L298" s="2"/>
      <c r="M298" s="2"/>
      <c r="N298" s="650"/>
      <c r="O298" s="650"/>
      <c r="P298" s="651"/>
      <c r="Q298" s="651"/>
      <c r="R298" s="651"/>
      <c r="S298" s="651"/>
    </row>
    <row r="299" spans="12:19" ht="15.75" customHeight="1" x14ac:dyDescent="0.35">
      <c r="L299" s="2"/>
      <c r="M299" s="2"/>
      <c r="N299" s="650"/>
      <c r="O299" s="650"/>
      <c r="P299" s="651"/>
      <c r="Q299" s="651"/>
      <c r="R299" s="651"/>
      <c r="S299" s="651"/>
    </row>
    <row r="300" spans="12:19" ht="15.75" customHeight="1" x14ac:dyDescent="0.35">
      <c r="L300" s="2"/>
      <c r="M300" s="2"/>
      <c r="N300" s="650"/>
      <c r="O300" s="650"/>
      <c r="P300" s="651"/>
      <c r="Q300" s="651"/>
      <c r="R300" s="651"/>
      <c r="S300" s="651"/>
    </row>
    <row r="301" spans="12:19" ht="15.75" customHeight="1" x14ac:dyDescent="0.35">
      <c r="L301" s="2"/>
      <c r="M301" s="2"/>
      <c r="N301" s="650"/>
      <c r="O301" s="650"/>
      <c r="P301" s="651"/>
      <c r="Q301" s="651"/>
      <c r="R301" s="651"/>
      <c r="S301" s="651"/>
    </row>
    <row r="302" spans="12:19" ht="15.75" customHeight="1" x14ac:dyDescent="0.35">
      <c r="L302" s="2"/>
      <c r="M302" s="2"/>
      <c r="N302" s="650"/>
      <c r="O302" s="650"/>
      <c r="P302" s="651"/>
      <c r="Q302" s="651"/>
      <c r="R302" s="651"/>
      <c r="S302" s="651"/>
    </row>
    <row r="303" spans="12:19" ht="15.75" customHeight="1" x14ac:dyDescent="0.35">
      <c r="L303" s="2"/>
      <c r="M303" s="2"/>
      <c r="N303" s="650"/>
      <c r="O303" s="650"/>
      <c r="P303" s="651"/>
      <c r="Q303" s="651"/>
      <c r="R303" s="651"/>
      <c r="S303" s="651"/>
    </row>
    <row r="304" spans="12:19" ht="15.75" customHeight="1" x14ac:dyDescent="0.35">
      <c r="L304" s="2"/>
      <c r="M304" s="2"/>
      <c r="N304" s="650"/>
      <c r="O304" s="650"/>
      <c r="P304" s="651"/>
      <c r="Q304" s="651"/>
      <c r="R304" s="651"/>
      <c r="S304" s="651"/>
    </row>
    <row r="305" spans="12:19" ht="15.75" customHeight="1" x14ac:dyDescent="0.35">
      <c r="L305" s="2"/>
      <c r="M305" s="2"/>
      <c r="N305" s="650"/>
      <c r="O305" s="650"/>
      <c r="P305" s="651"/>
      <c r="Q305" s="651"/>
      <c r="R305" s="651"/>
      <c r="S305" s="651"/>
    </row>
    <row r="306" spans="12:19" ht="15.75" customHeight="1" x14ac:dyDescent="0.35">
      <c r="L306" s="2"/>
      <c r="M306" s="2"/>
      <c r="N306" s="650"/>
      <c r="O306" s="650"/>
      <c r="P306" s="651"/>
      <c r="Q306" s="651"/>
      <c r="R306" s="651"/>
      <c r="S306" s="651"/>
    </row>
    <row r="307" spans="12:19" ht="15.75" customHeight="1" x14ac:dyDescent="0.35">
      <c r="L307" s="2"/>
      <c r="M307" s="2"/>
      <c r="N307" s="650"/>
      <c r="O307" s="650"/>
      <c r="P307" s="651"/>
      <c r="Q307" s="651"/>
      <c r="R307" s="651"/>
      <c r="S307" s="651"/>
    </row>
    <row r="308" spans="12:19" ht="15.75" customHeight="1" x14ac:dyDescent="0.35">
      <c r="L308" s="2"/>
      <c r="M308" s="2"/>
      <c r="N308" s="650"/>
      <c r="O308" s="650"/>
      <c r="P308" s="651"/>
      <c r="Q308" s="651"/>
      <c r="R308" s="651"/>
      <c r="S308" s="651"/>
    </row>
    <row r="309" spans="12:19" ht="15.75" customHeight="1" x14ac:dyDescent="0.35">
      <c r="L309" s="2"/>
      <c r="M309" s="2"/>
      <c r="N309" s="650"/>
      <c r="O309" s="650"/>
      <c r="P309" s="651"/>
      <c r="Q309" s="651"/>
      <c r="R309" s="651"/>
      <c r="S309" s="651"/>
    </row>
    <row r="310" spans="12:19" ht="15.75" customHeight="1" x14ac:dyDescent="0.35">
      <c r="L310" s="2"/>
      <c r="M310" s="2"/>
      <c r="N310" s="650"/>
      <c r="O310" s="650"/>
      <c r="P310" s="651"/>
      <c r="Q310" s="651"/>
      <c r="R310" s="651"/>
      <c r="S310" s="651"/>
    </row>
    <row r="311" spans="12:19" ht="15.75" customHeight="1" x14ac:dyDescent="0.35">
      <c r="L311" s="2"/>
      <c r="M311" s="2"/>
      <c r="N311" s="650"/>
      <c r="O311" s="650"/>
      <c r="P311" s="651"/>
      <c r="Q311" s="651"/>
      <c r="R311" s="651"/>
      <c r="S311" s="651"/>
    </row>
    <row r="312" spans="12:19" ht="15.75" customHeight="1" x14ac:dyDescent="0.35">
      <c r="L312" s="2"/>
      <c r="M312" s="2"/>
      <c r="N312" s="650"/>
      <c r="O312" s="650"/>
      <c r="P312" s="651"/>
      <c r="Q312" s="651"/>
      <c r="R312" s="651"/>
      <c r="S312" s="651"/>
    </row>
    <row r="313" spans="12:19" ht="15.75" customHeight="1" x14ac:dyDescent="0.35">
      <c r="L313" s="2"/>
      <c r="M313" s="2"/>
      <c r="N313" s="650"/>
      <c r="O313" s="650"/>
      <c r="P313" s="651"/>
      <c r="Q313" s="651"/>
      <c r="R313" s="651"/>
      <c r="S313" s="651"/>
    </row>
    <row r="314" spans="12:19" ht="15.75" customHeight="1" x14ac:dyDescent="0.35">
      <c r="L314" s="2"/>
      <c r="M314" s="2"/>
      <c r="N314" s="650"/>
      <c r="O314" s="650"/>
      <c r="P314" s="651"/>
      <c r="Q314" s="651"/>
      <c r="R314" s="651"/>
      <c r="S314" s="651"/>
    </row>
    <row r="315" spans="12:19" ht="15.75" customHeight="1" x14ac:dyDescent="0.35">
      <c r="L315" s="2"/>
      <c r="M315" s="2"/>
      <c r="N315" s="650"/>
      <c r="O315" s="650"/>
      <c r="P315" s="651"/>
      <c r="Q315" s="651"/>
      <c r="R315" s="651"/>
      <c r="S315" s="651"/>
    </row>
    <row r="316" spans="12:19" ht="15.75" customHeight="1" x14ac:dyDescent="0.35">
      <c r="L316" s="2"/>
      <c r="M316" s="2"/>
      <c r="N316" s="650"/>
      <c r="O316" s="650"/>
      <c r="P316" s="651"/>
      <c r="Q316" s="651"/>
      <c r="R316" s="651"/>
      <c r="S316" s="651"/>
    </row>
    <row r="317" spans="12:19" ht="15.75" customHeight="1" x14ac:dyDescent="0.35">
      <c r="L317" s="2"/>
      <c r="M317" s="2"/>
      <c r="N317" s="650"/>
      <c r="O317" s="650"/>
      <c r="P317" s="651"/>
      <c r="Q317" s="651"/>
      <c r="R317" s="651"/>
      <c r="S317" s="651"/>
    </row>
    <row r="318" spans="12:19" ht="15.75" customHeight="1" x14ac:dyDescent="0.35">
      <c r="L318" s="2"/>
      <c r="M318" s="2"/>
      <c r="N318" s="650"/>
      <c r="O318" s="650"/>
      <c r="P318" s="651"/>
      <c r="Q318" s="651"/>
      <c r="R318" s="651"/>
      <c r="S318" s="651"/>
    </row>
    <row r="319" spans="12:19" ht="15.75" customHeight="1" x14ac:dyDescent="0.35">
      <c r="L319" s="2"/>
      <c r="M319" s="2"/>
      <c r="N319" s="650"/>
      <c r="O319" s="650"/>
      <c r="P319" s="651"/>
      <c r="Q319" s="651"/>
      <c r="R319" s="651"/>
      <c r="S319" s="651"/>
    </row>
    <row r="320" spans="12:19" ht="15.75" customHeight="1" x14ac:dyDescent="0.35">
      <c r="L320" s="2"/>
      <c r="M320" s="2"/>
      <c r="N320" s="650"/>
      <c r="O320" s="650"/>
      <c r="P320" s="651"/>
      <c r="Q320" s="651"/>
      <c r="R320" s="651"/>
      <c r="S320" s="651"/>
    </row>
    <row r="321" spans="12:19" ht="15.75" customHeight="1" x14ac:dyDescent="0.35">
      <c r="L321" s="2"/>
      <c r="M321" s="2"/>
      <c r="N321" s="650"/>
      <c r="O321" s="650"/>
      <c r="P321" s="651"/>
      <c r="Q321" s="651"/>
      <c r="R321" s="651"/>
      <c r="S321" s="651"/>
    </row>
    <row r="322" spans="12:19" ht="15.75" customHeight="1" x14ac:dyDescent="0.35">
      <c r="L322" s="2"/>
      <c r="M322" s="2"/>
      <c r="N322" s="650"/>
      <c r="O322" s="650"/>
      <c r="P322" s="651"/>
      <c r="Q322" s="651"/>
      <c r="R322" s="651"/>
      <c r="S322" s="651"/>
    </row>
    <row r="323" spans="12:19" ht="15.75" customHeight="1" x14ac:dyDescent="0.35">
      <c r="L323" s="2"/>
      <c r="M323" s="2"/>
      <c r="N323" s="650"/>
      <c r="O323" s="650"/>
      <c r="P323" s="651"/>
      <c r="Q323" s="651"/>
      <c r="R323" s="651"/>
      <c r="S323" s="651"/>
    </row>
    <row r="324" spans="12:19" ht="15.75" customHeight="1" x14ac:dyDescent="0.35">
      <c r="L324" s="2"/>
      <c r="M324" s="2"/>
      <c r="N324" s="650"/>
      <c r="O324" s="650"/>
      <c r="P324" s="651"/>
      <c r="Q324" s="651"/>
      <c r="R324" s="651"/>
      <c r="S324" s="651"/>
    </row>
    <row r="325" spans="12:19" ht="15.75" customHeight="1" x14ac:dyDescent="0.35">
      <c r="L325" s="2"/>
      <c r="M325" s="2"/>
      <c r="N325" s="650"/>
      <c r="O325" s="650"/>
      <c r="P325" s="651"/>
      <c r="Q325" s="651"/>
      <c r="R325" s="651"/>
      <c r="S325" s="651"/>
    </row>
    <row r="326" spans="12:19" ht="15.75" customHeight="1" x14ac:dyDescent="0.35">
      <c r="L326" s="2"/>
      <c r="M326" s="2"/>
      <c r="N326" s="650"/>
      <c r="O326" s="650"/>
      <c r="P326" s="651"/>
      <c r="Q326" s="651"/>
      <c r="R326" s="651"/>
      <c r="S326" s="651"/>
    </row>
    <row r="327" spans="12:19" ht="15.75" customHeight="1" x14ac:dyDescent="0.35">
      <c r="L327" s="2"/>
      <c r="M327" s="2"/>
      <c r="N327" s="650"/>
      <c r="O327" s="650"/>
      <c r="P327" s="651"/>
      <c r="Q327" s="651"/>
      <c r="R327" s="651"/>
      <c r="S327" s="651"/>
    </row>
    <row r="328" spans="12:19" ht="15.75" customHeight="1" x14ac:dyDescent="0.35">
      <c r="L328" s="2"/>
      <c r="M328" s="2"/>
      <c r="N328" s="650"/>
      <c r="O328" s="650"/>
      <c r="P328" s="651"/>
      <c r="Q328" s="651"/>
      <c r="R328" s="651"/>
      <c r="S328" s="651"/>
    </row>
    <row r="329" spans="12:19" ht="15.75" customHeight="1" x14ac:dyDescent="0.35">
      <c r="L329" s="2"/>
      <c r="M329" s="2"/>
      <c r="N329" s="650"/>
      <c r="O329" s="650"/>
      <c r="P329" s="651"/>
      <c r="Q329" s="651"/>
      <c r="R329" s="651"/>
      <c r="S329" s="651"/>
    </row>
    <row r="330" spans="12:19" ht="15.75" customHeight="1" x14ac:dyDescent="0.35">
      <c r="L330" s="2"/>
      <c r="M330" s="2"/>
      <c r="N330" s="650"/>
      <c r="O330" s="650"/>
      <c r="P330" s="651"/>
      <c r="Q330" s="651"/>
      <c r="R330" s="651"/>
      <c r="S330" s="651"/>
    </row>
    <row r="331" spans="12:19" ht="15.75" customHeight="1" x14ac:dyDescent="0.35">
      <c r="L331" s="2"/>
      <c r="M331" s="2"/>
      <c r="N331" s="650"/>
      <c r="O331" s="650"/>
      <c r="P331" s="651"/>
      <c r="Q331" s="651"/>
      <c r="R331" s="651"/>
      <c r="S331" s="651"/>
    </row>
    <row r="332" spans="12:19" ht="15.75" customHeight="1" x14ac:dyDescent="0.35">
      <c r="L332" s="2"/>
      <c r="M332" s="2"/>
      <c r="N332" s="650"/>
      <c r="O332" s="650"/>
      <c r="P332" s="651"/>
      <c r="Q332" s="651"/>
      <c r="R332" s="651"/>
      <c r="S332" s="651"/>
    </row>
    <row r="333" spans="12:19" ht="15.75" customHeight="1" x14ac:dyDescent="0.35">
      <c r="L333" s="2"/>
      <c r="M333" s="2"/>
      <c r="N333" s="650"/>
      <c r="O333" s="650"/>
      <c r="P333" s="651"/>
      <c r="Q333" s="651"/>
      <c r="R333" s="651"/>
      <c r="S333" s="651"/>
    </row>
    <row r="334" spans="12:19" ht="15.75" customHeight="1" x14ac:dyDescent="0.35">
      <c r="L334" s="2"/>
      <c r="M334" s="2"/>
      <c r="N334" s="650"/>
      <c r="O334" s="650"/>
      <c r="P334" s="651"/>
      <c r="Q334" s="651"/>
      <c r="R334" s="651"/>
      <c r="S334" s="651"/>
    </row>
    <row r="335" spans="12:19" ht="15.75" customHeight="1" x14ac:dyDescent="0.35">
      <c r="L335" s="2"/>
      <c r="M335" s="2"/>
      <c r="N335" s="650"/>
      <c r="O335" s="650"/>
      <c r="P335" s="651"/>
      <c r="Q335" s="651"/>
      <c r="R335" s="651"/>
      <c r="S335" s="651"/>
    </row>
    <row r="336" spans="12:19" ht="15.75" customHeight="1" x14ac:dyDescent="0.35">
      <c r="L336" s="2"/>
      <c r="M336" s="2"/>
      <c r="N336" s="650"/>
      <c r="O336" s="650"/>
      <c r="P336" s="651"/>
      <c r="Q336" s="651"/>
      <c r="R336" s="651"/>
      <c r="S336" s="651"/>
    </row>
    <row r="337" spans="12:19" ht="15.75" customHeight="1" x14ac:dyDescent="0.35">
      <c r="L337" s="2"/>
      <c r="M337" s="2"/>
      <c r="N337" s="650"/>
      <c r="O337" s="650"/>
      <c r="P337" s="651"/>
      <c r="Q337" s="651"/>
      <c r="R337" s="651"/>
      <c r="S337" s="651"/>
    </row>
    <row r="338" spans="12:19" ht="15.75" customHeight="1" x14ac:dyDescent="0.35">
      <c r="L338" s="2"/>
      <c r="M338" s="2"/>
      <c r="N338" s="650"/>
      <c r="O338" s="650"/>
      <c r="P338" s="651"/>
      <c r="Q338" s="651"/>
      <c r="R338" s="651"/>
      <c r="S338" s="651"/>
    </row>
    <row r="339" spans="12:19" ht="15.75" customHeight="1" x14ac:dyDescent="0.35">
      <c r="L339" s="2"/>
      <c r="M339" s="2"/>
      <c r="N339" s="650"/>
      <c r="O339" s="650"/>
      <c r="P339" s="651"/>
      <c r="Q339" s="651"/>
      <c r="R339" s="651"/>
      <c r="S339" s="651"/>
    </row>
    <row r="340" spans="12:19" ht="15.75" customHeight="1" x14ac:dyDescent="0.35">
      <c r="L340" s="2"/>
      <c r="M340" s="2"/>
      <c r="N340" s="650"/>
      <c r="O340" s="650"/>
      <c r="P340" s="651"/>
      <c r="Q340" s="651"/>
      <c r="R340" s="651"/>
      <c r="S340" s="651"/>
    </row>
    <row r="341" spans="12:19" ht="15.75" customHeight="1" x14ac:dyDescent="0.35">
      <c r="L341" s="2"/>
      <c r="M341" s="2"/>
      <c r="N341" s="650"/>
      <c r="O341" s="650"/>
      <c r="P341" s="651"/>
      <c r="Q341" s="651"/>
      <c r="R341" s="651"/>
      <c r="S341" s="651"/>
    </row>
    <row r="342" spans="12:19" ht="15.75" customHeight="1" x14ac:dyDescent="0.35">
      <c r="L342" s="2"/>
      <c r="M342" s="2"/>
      <c r="N342" s="650"/>
      <c r="O342" s="650"/>
      <c r="P342" s="651"/>
      <c r="Q342" s="651"/>
      <c r="R342" s="651"/>
      <c r="S342" s="651"/>
    </row>
    <row r="343" spans="12:19" ht="15.75" customHeight="1" x14ac:dyDescent="0.35">
      <c r="L343" s="2"/>
      <c r="M343" s="2"/>
      <c r="N343" s="650"/>
      <c r="O343" s="650"/>
      <c r="P343" s="651"/>
      <c r="Q343" s="651"/>
      <c r="R343" s="651"/>
      <c r="S343" s="651"/>
    </row>
    <row r="344" spans="12:19" ht="15.75" customHeight="1" x14ac:dyDescent="0.35">
      <c r="L344" s="2"/>
      <c r="M344" s="2"/>
      <c r="N344" s="650"/>
      <c r="O344" s="650"/>
      <c r="P344" s="651"/>
      <c r="Q344" s="651"/>
      <c r="R344" s="651"/>
      <c r="S344" s="651"/>
    </row>
    <row r="345" spans="12:19" ht="15.75" customHeight="1" x14ac:dyDescent="0.35">
      <c r="L345" s="2"/>
      <c r="M345" s="2"/>
      <c r="N345" s="650"/>
      <c r="O345" s="650"/>
      <c r="P345" s="651"/>
      <c r="Q345" s="651"/>
      <c r="R345" s="651"/>
      <c r="S345" s="651"/>
    </row>
    <row r="346" spans="12:19" ht="15.75" customHeight="1" x14ac:dyDescent="0.35">
      <c r="L346" s="2"/>
      <c r="M346" s="2"/>
      <c r="N346" s="650"/>
      <c r="O346" s="650"/>
      <c r="P346" s="651"/>
      <c r="Q346" s="651"/>
      <c r="R346" s="651"/>
      <c r="S346" s="651"/>
    </row>
    <row r="347" spans="12:19" ht="15.75" customHeight="1" x14ac:dyDescent="0.35">
      <c r="L347" s="2"/>
      <c r="M347" s="2"/>
      <c r="N347" s="650"/>
      <c r="O347" s="650"/>
      <c r="P347" s="651"/>
      <c r="Q347" s="651"/>
      <c r="R347" s="651"/>
      <c r="S347" s="651"/>
    </row>
    <row r="348" spans="12:19" ht="15.75" customHeight="1" x14ac:dyDescent="0.35">
      <c r="L348" s="2"/>
      <c r="M348" s="2"/>
      <c r="N348" s="650"/>
      <c r="O348" s="650"/>
      <c r="P348" s="651"/>
      <c r="Q348" s="651"/>
      <c r="R348" s="651"/>
      <c r="S348" s="651"/>
    </row>
    <row r="349" spans="12:19" ht="15.75" customHeight="1" x14ac:dyDescent="0.35">
      <c r="L349" s="2"/>
      <c r="M349" s="2"/>
      <c r="N349" s="650"/>
      <c r="O349" s="650"/>
      <c r="P349" s="651"/>
      <c r="Q349" s="651"/>
      <c r="R349" s="651"/>
      <c r="S349" s="651"/>
    </row>
    <row r="350" spans="12:19" ht="15.75" customHeight="1" x14ac:dyDescent="0.35">
      <c r="L350" s="2"/>
      <c r="M350" s="2"/>
      <c r="N350" s="650"/>
      <c r="O350" s="650"/>
      <c r="P350" s="651"/>
      <c r="Q350" s="651"/>
      <c r="R350" s="651"/>
      <c r="S350" s="651"/>
    </row>
    <row r="351" spans="12:19" ht="15.75" customHeight="1" x14ac:dyDescent="0.35">
      <c r="L351" s="2"/>
      <c r="M351" s="2"/>
      <c r="N351" s="650"/>
      <c r="O351" s="650"/>
      <c r="P351" s="651"/>
      <c r="Q351" s="651"/>
      <c r="R351" s="651"/>
      <c r="S351" s="651"/>
    </row>
    <row r="352" spans="12:19" ht="15.75" customHeight="1" x14ac:dyDescent="0.35">
      <c r="L352" s="2"/>
      <c r="M352" s="2"/>
      <c r="N352" s="650"/>
      <c r="O352" s="650"/>
      <c r="P352" s="651"/>
      <c r="Q352" s="651"/>
      <c r="R352" s="651"/>
      <c r="S352" s="651"/>
    </row>
    <row r="353" spans="12:19" ht="15.75" customHeight="1" x14ac:dyDescent="0.35">
      <c r="L353" s="2"/>
      <c r="M353" s="2"/>
      <c r="N353" s="650"/>
      <c r="O353" s="650"/>
      <c r="P353" s="651"/>
      <c r="Q353" s="651"/>
      <c r="R353" s="651"/>
      <c r="S353" s="651"/>
    </row>
    <row r="354" spans="12:19" ht="15.75" customHeight="1" x14ac:dyDescent="0.35">
      <c r="L354" s="2"/>
      <c r="M354" s="2"/>
      <c r="N354" s="650"/>
      <c r="O354" s="650"/>
      <c r="P354" s="651"/>
      <c r="Q354" s="651"/>
      <c r="R354" s="651"/>
      <c r="S354" s="651"/>
    </row>
    <row r="355" spans="12:19" ht="15.75" customHeight="1" x14ac:dyDescent="0.35">
      <c r="L355" s="2"/>
      <c r="M355" s="2"/>
      <c r="N355" s="650"/>
      <c r="O355" s="650"/>
      <c r="P355" s="651"/>
      <c r="Q355" s="651"/>
      <c r="R355" s="651"/>
      <c r="S355" s="651"/>
    </row>
    <row r="356" spans="12:19" ht="15.75" customHeight="1" x14ac:dyDescent="0.35">
      <c r="L356" s="2"/>
      <c r="M356" s="2"/>
      <c r="N356" s="650"/>
      <c r="O356" s="650"/>
      <c r="P356" s="651"/>
      <c r="Q356" s="651"/>
      <c r="R356" s="651"/>
      <c r="S356" s="651"/>
    </row>
    <row r="357" spans="12:19" ht="15.75" customHeight="1" x14ac:dyDescent="0.35">
      <c r="L357" s="2"/>
      <c r="M357" s="2"/>
      <c r="N357" s="650"/>
      <c r="O357" s="650"/>
      <c r="P357" s="651"/>
      <c r="Q357" s="651"/>
      <c r="R357" s="651"/>
      <c r="S357" s="651"/>
    </row>
    <row r="358" spans="12:19" ht="15.75" customHeight="1" x14ac:dyDescent="0.35">
      <c r="L358" s="2"/>
      <c r="M358" s="2"/>
      <c r="N358" s="650"/>
      <c r="O358" s="650"/>
      <c r="P358" s="651"/>
      <c r="Q358" s="651"/>
      <c r="R358" s="651"/>
      <c r="S358" s="651"/>
    </row>
    <row r="359" spans="12:19" ht="15.75" customHeight="1" x14ac:dyDescent="0.35">
      <c r="L359" s="2"/>
      <c r="M359" s="2"/>
      <c r="N359" s="650"/>
      <c r="O359" s="650"/>
      <c r="P359" s="651"/>
      <c r="Q359" s="651"/>
      <c r="R359" s="651"/>
      <c r="S359" s="651"/>
    </row>
    <row r="360" spans="12:19" ht="15.75" customHeight="1" x14ac:dyDescent="0.35">
      <c r="L360" s="2"/>
      <c r="M360" s="2"/>
      <c r="N360" s="650"/>
      <c r="O360" s="650"/>
      <c r="P360" s="651"/>
      <c r="Q360" s="651"/>
      <c r="R360" s="651"/>
      <c r="S360" s="651"/>
    </row>
    <row r="361" spans="12:19" ht="15.75" customHeight="1" x14ac:dyDescent="0.35">
      <c r="L361" s="2"/>
      <c r="M361" s="2"/>
      <c r="N361" s="650"/>
      <c r="O361" s="650"/>
      <c r="P361" s="651"/>
      <c r="Q361" s="651"/>
      <c r="R361" s="651"/>
      <c r="S361" s="651"/>
    </row>
    <row r="362" spans="12:19" ht="15.75" customHeight="1" x14ac:dyDescent="0.35">
      <c r="L362" s="2"/>
      <c r="M362" s="2"/>
      <c r="N362" s="650"/>
      <c r="O362" s="650"/>
      <c r="P362" s="651"/>
      <c r="Q362" s="651"/>
      <c r="R362" s="651"/>
      <c r="S362" s="651"/>
    </row>
    <row r="363" spans="12:19" ht="15.75" customHeight="1" x14ac:dyDescent="0.35">
      <c r="L363" s="2"/>
      <c r="M363" s="2"/>
      <c r="N363" s="650"/>
      <c r="O363" s="650"/>
      <c r="P363" s="651"/>
      <c r="Q363" s="651"/>
      <c r="R363" s="651"/>
      <c r="S363" s="651"/>
    </row>
    <row r="364" spans="12:19" ht="15.75" customHeight="1" x14ac:dyDescent="0.35">
      <c r="L364" s="2"/>
      <c r="M364" s="2"/>
      <c r="N364" s="650"/>
      <c r="O364" s="650"/>
      <c r="P364" s="651"/>
      <c r="Q364" s="651"/>
      <c r="R364" s="651"/>
      <c r="S364" s="651"/>
    </row>
    <row r="365" spans="12:19" ht="15.75" customHeight="1" x14ac:dyDescent="0.35">
      <c r="L365" s="2"/>
      <c r="M365" s="2"/>
      <c r="N365" s="650"/>
      <c r="O365" s="650"/>
      <c r="P365" s="651"/>
      <c r="Q365" s="651"/>
      <c r="R365" s="651"/>
      <c r="S365" s="651"/>
    </row>
    <row r="366" spans="12:19" ht="15.75" customHeight="1" x14ac:dyDescent="0.35">
      <c r="L366" s="2"/>
      <c r="M366" s="2"/>
      <c r="N366" s="650"/>
      <c r="O366" s="650"/>
      <c r="P366" s="651"/>
      <c r="Q366" s="651"/>
      <c r="R366" s="651"/>
      <c r="S366" s="651"/>
    </row>
    <row r="367" spans="12:19" ht="15.75" customHeight="1" x14ac:dyDescent="0.35">
      <c r="L367" s="2"/>
      <c r="M367" s="2"/>
      <c r="N367" s="650"/>
      <c r="O367" s="650"/>
      <c r="P367" s="651"/>
      <c r="Q367" s="651"/>
      <c r="R367" s="651"/>
      <c r="S367" s="651"/>
    </row>
    <row r="368" spans="12:19" ht="15.75" customHeight="1" x14ac:dyDescent="0.35">
      <c r="L368" s="2"/>
      <c r="M368" s="2"/>
      <c r="N368" s="650"/>
      <c r="O368" s="650"/>
      <c r="P368" s="651"/>
      <c r="Q368" s="651"/>
      <c r="R368" s="651"/>
      <c r="S368" s="651"/>
    </row>
    <row r="369" spans="12:19" ht="15.75" customHeight="1" x14ac:dyDescent="0.35">
      <c r="L369" s="2"/>
      <c r="M369" s="2"/>
      <c r="N369" s="650"/>
      <c r="O369" s="650"/>
      <c r="P369" s="651"/>
      <c r="Q369" s="651"/>
      <c r="R369" s="651"/>
      <c r="S369" s="651"/>
    </row>
    <row r="370" spans="12:19" ht="15.75" customHeight="1" x14ac:dyDescent="0.35">
      <c r="L370" s="2"/>
      <c r="M370" s="2"/>
      <c r="N370" s="650"/>
      <c r="O370" s="650"/>
      <c r="P370" s="651"/>
      <c r="Q370" s="651"/>
      <c r="R370" s="651"/>
      <c r="S370" s="651"/>
    </row>
    <row r="371" spans="12:19" ht="15.75" customHeight="1" x14ac:dyDescent="0.35">
      <c r="L371" s="2"/>
      <c r="M371" s="2"/>
      <c r="N371" s="650"/>
      <c r="O371" s="650"/>
      <c r="P371" s="651"/>
      <c r="Q371" s="651"/>
      <c r="R371" s="651"/>
      <c r="S371" s="651"/>
    </row>
    <row r="372" spans="12:19" ht="15.75" customHeight="1" x14ac:dyDescent="0.35">
      <c r="L372" s="2"/>
      <c r="M372" s="2"/>
      <c r="N372" s="650"/>
      <c r="O372" s="650"/>
      <c r="P372" s="651"/>
      <c r="Q372" s="651"/>
      <c r="R372" s="651"/>
      <c r="S372" s="651"/>
    </row>
    <row r="373" spans="12:19" ht="15.75" customHeight="1" x14ac:dyDescent="0.35">
      <c r="L373" s="2"/>
      <c r="M373" s="2"/>
      <c r="N373" s="650"/>
      <c r="O373" s="650"/>
      <c r="P373" s="651"/>
      <c r="Q373" s="651"/>
      <c r="R373" s="651"/>
      <c r="S373" s="651"/>
    </row>
    <row r="374" spans="12:19" ht="15.75" customHeight="1" x14ac:dyDescent="0.35">
      <c r="L374" s="2"/>
      <c r="M374" s="2"/>
      <c r="N374" s="650"/>
      <c r="O374" s="650"/>
      <c r="P374" s="651"/>
      <c r="Q374" s="651"/>
      <c r="R374" s="651"/>
      <c r="S374" s="651"/>
    </row>
    <row r="375" spans="12:19" ht="15.75" customHeight="1" x14ac:dyDescent="0.35">
      <c r="L375" s="2"/>
      <c r="M375" s="2"/>
      <c r="N375" s="650"/>
      <c r="O375" s="650"/>
      <c r="P375" s="651"/>
      <c r="Q375" s="651"/>
      <c r="R375" s="651"/>
      <c r="S375" s="651"/>
    </row>
    <row r="376" spans="12:19" ht="15.75" customHeight="1" x14ac:dyDescent="0.35">
      <c r="L376" s="2"/>
      <c r="M376" s="2"/>
      <c r="N376" s="650"/>
      <c r="O376" s="650"/>
      <c r="P376" s="651"/>
      <c r="Q376" s="651"/>
      <c r="R376" s="651"/>
      <c r="S376" s="651"/>
    </row>
    <row r="377" spans="12:19" ht="15.75" customHeight="1" x14ac:dyDescent="0.35">
      <c r="L377" s="2"/>
      <c r="M377" s="2"/>
      <c r="N377" s="650"/>
      <c r="O377" s="650"/>
      <c r="P377" s="651"/>
      <c r="Q377" s="651"/>
      <c r="R377" s="651"/>
      <c r="S377" s="651"/>
    </row>
    <row r="378" spans="12:19" ht="15.75" customHeight="1" x14ac:dyDescent="0.35">
      <c r="L378" s="2"/>
      <c r="M378" s="2"/>
      <c r="N378" s="650"/>
      <c r="O378" s="650"/>
      <c r="P378" s="651"/>
      <c r="Q378" s="651"/>
      <c r="R378" s="651"/>
      <c r="S378" s="651"/>
    </row>
    <row r="379" spans="12:19" ht="15.75" customHeight="1" x14ac:dyDescent="0.35">
      <c r="L379" s="2"/>
      <c r="M379" s="2"/>
      <c r="N379" s="650"/>
      <c r="O379" s="650"/>
      <c r="P379" s="651"/>
      <c r="Q379" s="651"/>
      <c r="R379" s="651"/>
      <c r="S379" s="651"/>
    </row>
    <row r="380" spans="12:19" ht="15.75" customHeight="1" x14ac:dyDescent="0.35">
      <c r="L380" s="2"/>
      <c r="M380" s="2"/>
      <c r="N380" s="650"/>
      <c r="O380" s="650"/>
      <c r="P380" s="651"/>
      <c r="Q380" s="651"/>
      <c r="R380" s="651"/>
      <c r="S380" s="651"/>
    </row>
    <row r="381" spans="12:19" ht="15.75" customHeight="1" x14ac:dyDescent="0.35">
      <c r="L381" s="2"/>
      <c r="M381" s="2"/>
      <c r="N381" s="650"/>
      <c r="O381" s="650"/>
      <c r="P381" s="651"/>
      <c r="Q381" s="651"/>
      <c r="R381" s="651"/>
      <c r="S381" s="651"/>
    </row>
    <row r="382" spans="12:19" ht="15.75" customHeight="1" x14ac:dyDescent="0.35">
      <c r="L382" s="2"/>
      <c r="M382" s="2"/>
      <c r="N382" s="650"/>
      <c r="O382" s="650"/>
      <c r="P382" s="651"/>
      <c r="Q382" s="651"/>
      <c r="R382" s="651"/>
      <c r="S382" s="651"/>
    </row>
    <row r="383" spans="12:19" ht="15.75" customHeight="1" x14ac:dyDescent="0.35">
      <c r="L383" s="2"/>
      <c r="M383" s="2"/>
      <c r="N383" s="650"/>
      <c r="O383" s="650"/>
      <c r="P383" s="651"/>
      <c r="Q383" s="651"/>
      <c r="R383" s="651"/>
      <c r="S383" s="651"/>
    </row>
    <row r="384" spans="12:19" ht="15.75" customHeight="1" x14ac:dyDescent="0.35">
      <c r="L384" s="2"/>
      <c r="M384" s="2"/>
      <c r="N384" s="650"/>
      <c r="O384" s="650"/>
      <c r="P384" s="651"/>
      <c r="Q384" s="651"/>
      <c r="R384" s="651"/>
      <c r="S384" s="651"/>
    </row>
    <row r="385" spans="12:19" ht="15.75" customHeight="1" x14ac:dyDescent="0.35">
      <c r="L385" s="2"/>
      <c r="M385" s="2"/>
      <c r="N385" s="650"/>
      <c r="O385" s="650"/>
      <c r="P385" s="651"/>
      <c r="Q385" s="651"/>
      <c r="R385" s="651"/>
      <c r="S385" s="651"/>
    </row>
    <row r="386" spans="12:19" ht="15.75" customHeight="1" x14ac:dyDescent="0.35">
      <c r="L386" s="2"/>
      <c r="M386" s="2"/>
      <c r="N386" s="650"/>
      <c r="O386" s="650"/>
      <c r="P386" s="651"/>
      <c r="Q386" s="651"/>
      <c r="R386" s="651"/>
      <c r="S386" s="651"/>
    </row>
    <row r="387" spans="12:19" ht="15.75" customHeight="1" x14ac:dyDescent="0.35">
      <c r="L387" s="2"/>
      <c r="M387" s="2"/>
      <c r="N387" s="650"/>
      <c r="O387" s="650"/>
      <c r="P387" s="651"/>
      <c r="Q387" s="651"/>
      <c r="R387" s="651"/>
      <c r="S387" s="651"/>
    </row>
    <row r="388" spans="12:19" ht="15.75" customHeight="1" x14ac:dyDescent="0.35">
      <c r="L388" s="2"/>
      <c r="M388" s="2"/>
      <c r="N388" s="650"/>
      <c r="O388" s="650"/>
      <c r="P388" s="651"/>
      <c r="Q388" s="651"/>
      <c r="R388" s="651"/>
      <c r="S388" s="651"/>
    </row>
    <row r="389" spans="12:19" ht="15.75" customHeight="1" x14ac:dyDescent="0.35">
      <c r="L389" s="2"/>
      <c r="M389" s="2"/>
      <c r="N389" s="650"/>
      <c r="O389" s="650"/>
      <c r="P389" s="651"/>
      <c r="Q389" s="651"/>
      <c r="R389" s="651"/>
      <c r="S389" s="651"/>
    </row>
    <row r="390" spans="12:19" ht="15.75" customHeight="1" x14ac:dyDescent="0.35">
      <c r="L390" s="2"/>
      <c r="M390" s="2"/>
      <c r="N390" s="650"/>
      <c r="O390" s="650"/>
      <c r="P390" s="651"/>
      <c r="Q390" s="651"/>
      <c r="R390" s="651"/>
      <c r="S390" s="651"/>
    </row>
    <row r="391" spans="12:19" ht="15.75" customHeight="1" x14ac:dyDescent="0.35">
      <c r="L391" s="2"/>
      <c r="M391" s="2"/>
      <c r="N391" s="650"/>
      <c r="O391" s="650"/>
      <c r="P391" s="651"/>
      <c r="Q391" s="651"/>
      <c r="R391" s="651"/>
      <c r="S391" s="651"/>
    </row>
    <row r="392" spans="12:19" ht="15.75" customHeight="1" x14ac:dyDescent="0.35">
      <c r="L392" s="2"/>
      <c r="M392" s="2"/>
      <c r="N392" s="650"/>
      <c r="O392" s="650"/>
      <c r="P392" s="651"/>
      <c r="Q392" s="651"/>
      <c r="R392" s="651"/>
      <c r="S392" s="651"/>
    </row>
    <row r="393" spans="12:19" ht="15.75" customHeight="1" x14ac:dyDescent="0.35">
      <c r="L393" s="2"/>
      <c r="M393" s="2"/>
      <c r="N393" s="650"/>
      <c r="O393" s="650"/>
      <c r="P393" s="651"/>
      <c r="Q393" s="651"/>
      <c r="R393" s="651"/>
      <c r="S393" s="651"/>
    </row>
    <row r="394" spans="12:19" ht="15.75" customHeight="1" x14ac:dyDescent="0.35">
      <c r="L394" s="2"/>
      <c r="M394" s="2"/>
      <c r="N394" s="650"/>
      <c r="O394" s="650"/>
      <c r="P394" s="651"/>
      <c r="Q394" s="651"/>
      <c r="R394" s="651"/>
      <c r="S394" s="651"/>
    </row>
    <row r="395" spans="12:19" ht="15.75" customHeight="1" x14ac:dyDescent="0.35">
      <c r="L395" s="2"/>
      <c r="M395" s="2"/>
      <c r="N395" s="650"/>
      <c r="O395" s="650"/>
      <c r="P395" s="651"/>
      <c r="Q395" s="651"/>
      <c r="R395" s="651"/>
      <c r="S395" s="651"/>
    </row>
    <row r="396" spans="12:19" ht="15.75" customHeight="1" x14ac:dyDescent="0.35">
      <c r="L396" s="2"/>
      <c r="M396" s="2"/>
      <c r="N396" s="650"/>
      <c r="O396" s="650"/>
      <c r="P396" s="651"/>
      <c r="Q396" s="651"/>
      <c r="R396" s="651"/>
      <c r="S396" s="651"/>
    </row>
    <row r="397" spans="12:19" ht="15.75" customHeight="1" x14ac:dyDescent="0.35">
      <c r="L397" s="2"/>
      <c r="M397" s="2"/>
      <c r="N397" s="650"/>
      <c r="O397" s="650"/>
      <c r="P397" s="651"/>
      <c r="Q397" s="651"/>
      <c r="R397" s="651"/>
      <c r="S397" s="651"/>
    </row>
    <row r="398" spans="12:19" ht="15.75" customHeight="1" x14ac:dyDescent="0.35">
      <c r="L398" s="2"/>
      <c r="M398" s="2"/>
      <c r="N398" s="650"/>
      <c r="O398" s="650"/>
      <c r="P398" s="651"/>
      <c r="Q398" s="651"/>
      <c r="R398" s="651"/>
      <c r="S398" s="651"/>
    </row>
    <row r="399" spans="12:19" ht="15.75" customHeight="1" x14ac:dyDescent="0.35">
      <c r="L399" s="2"/>
      <c r="M399" s="2"/>
      <c r="N399" s="650"/>
      <c r="O399" s="650"/>
      <c r="P399" s="651"/>
      <c r="Q399" s="651"/>
      <c r="R399" s="651"/>
      <c r="S399" s="651"/>
    </row>
    <row r="400" spans="12:19" ht="15.75" customHeight="1" x14ac:dyDescent="0.35">
      <c r="L400" s="2"/>
      <c r="M400" s="2"/>
      <c r="N400" s="650"/>
      <c r="O400" s="650"/>
      <c r="P400" s="651"/>
      <c r="Q400" s="651"/>
      <c r="R400" s="651"/>
      <c r="S400" s="651"/>
    </row>
    <row r="401" spans="12:19" ht="15.75" customHeight="1" x14ac:dyDescent="0.35">
      <c r="L401" s="2"/>
      <c r="M401" s="2"/>
      <c r="N401" s="650"/>
      <c r="O401" s="650"/>
      <c r="P401" s="651"/>
      <c r="Q401" s="651"/>
      <c r="R401" s="651"/>
      <c r="S401" s="651"/>
    </row>
    <row r="402" spans="12:19" ht="15.75" customHeight="1" x14ac:dyDescent="0.35">
      <c r="L402" s="2"/>
      <c r="M402" s="2"/>
      <c r="N402" s="650"/>
      <c r="O402" s="650"/>
      <c r="P402" s="651"/>
      <c r="Q402" s="651"/>
      <c r="R402" s="651"/>
      <c r="S402" s="651"/>
    </row>
    <row r="403" spans="12:19" ht="15.75" customHeight="1" x14ac:dyDescent="0.35">
      <c r="L403" s="2"/>
      <c r="M403" s="2"/>
      <c r="N403" s="650"/>
      <c r="O403" s="650"/>
      <c r="P403" s="651"/>
      <c r="Q403" s="651"/>
      <c r="R403" s="651"/>
      <c r="S403" s="651"/>
    </row>
    <row r="404" spans="12:19" ht="15.75" customHeight="1" x14ac:dyDescent="0.35">
      <c r="L404" s="2"/>
      <c r="M404" s="2"/>
      <c r="N404" s="650"/>
      <c r="O404" s="650"/>
      <c r="P404" s="651"/>
      <c r="Q404" s="651"/>
      <c r="R404" s="651"/>
      <c r="S404" s="651"/>
    </row>
    <row r="405" spans="12:19" ht="15.75" customHeight="1" x14ac:dyDescent="0.35">
      <c r="L405" s="2"/>
      <c r="M405" s="2"/>
      <c r="N405" s="650"/>
      <c r="O405" s="650"/>
      <c r="P405" s="651"/>
      <c r="Q405" s="651"/>
      <c r="R405" s="651"/>
      <c r="S405" s="651"/>
    </row>
    <row r="406" spans="12:19" ht="15.75" customHeight="1" x14ac:dyDescent="0.35">
      <c r="L406" s="2"/>
      <c r="M406" s="2"/>
      <c r="N406" s="650"/>
      <c r="O406" s="650"/>
      <c r="P406" s="651"/>
      <c r="Q406" s="651"/>
      <c r="R406" s="651"/>
      <c r="S406" s="651"/>
    </row>
    <row r="407" spans="12:19" ht="15.75" customHeight="1" x14ac:dyDescent="0.35">
      <c r="L407" s="2"/>
      <c r="M407" s="2"/>
      <c r="N407" s="650"/>
      <c r="O407" s="650"/>
      <c r="P407" s="651"/>
      <c r="Q407" s="651"/>
      <c r="R407" s="651"/>
      <c r="S407" s="651"/>
    </row>
    <row r="408" spans="12:19" ht="15.75" customHeight="1" x14ac:dyDescent="0.35">
      <c r="L408" s="2"/>
      <c r="M408" s="2"/>
      <c r="N408" s="650"/>
      <c r="O408" s="650"/>
      <c r="P408" s="651"/>
      <c r="Q408" s="651"/>
      <c r="R408" s="651"/>
      <c r="S408" s="651"/>
    </row>
    <row r="409" spans="12:19" ht="15.75" customHeight="1" x14ac:dyDescent="0.35">
      <c r="L409" s="2"/>
      <c r="M409" s="2"/>
      <c r="N409" s="650"/>
      <c r="O409" s="650"/>
      <c r="P409" s="651"/>
      <c r="Q409" s="651"/>
      <c r="R409" s="651"/>
      <c r="S409" s="651"/>
    </row>
    <row r="410" spans="12:19" ht="15.75" customHeight="1" x14ac:dyDescent="0.35">
      <c r="L410" s="2"/>
      <c r="M410" s="2"/>
      <c r="N410" s="650"/>
      <c r="O410" s="650"/>
      <c r="P410" s="651"/>
      <c r="Q410" s="651"/>
      <c r="R410" s="651"/>
      <c r="S410" s="651"/>
    </row>
    <row r="411" spans="12:19" ht="15.75" customHeight="1" x14ac:dyDescent="0.35">
      <c r="L411" s="2"/>
      <c r="M411" s="2"/>
      <c r="N411" s="650"/>
      <c r="O411" s="650"/>
      <c r="P411" s="651"/>
      <c r="Q411" s="651"/>
      <c r="R411" s="651"/>
      <c r="S411" s="651"/>
    </row>
    <row r="412" spans="12:19" ht="15.75" customHeight="1" x14ac:dyDescent="0.35">
      <c r="L412" s="2"/>
      <c r="M412" s="2"/>
      <c r="N412" s="650"/>
      <c r="O412" s="650"/>
      <c r="P412" s="651"/>
      <c r="Q412" s="651"/>
      <c r="R412" s="651"/>
      <c r="S412" s="651"/>
    </row>
    <row r="413" spans="12:19" ht="15.75" customHeight="1" x14ac:dyDescent="0.35">
      <c r="L413" s="2"/>
      <c r="M413" s="2"/>
      <c r="N413" s="650"/>
      <c r="O413" s="650"/>
      <c r="P413" s="651"/>
      <c r="Q413" s="651"/>
      <c r="R413" s="651"/>
      <c r="S413" s="651"/>
    </row>
    <row r="414" spans="12:19" ht="15.75" customHeight="1" x14ac:dyDescent="0.35">
      <c r="L414" s="2"/>
      <c r="M414" s="2"/>
      <c r="N414" s="650"/>
      <c r="O414" s="650"/>
      <c r="P414" s="651"/>
      <c r="Q414" s="651"/>
      <c r="R414" s="651"/>
      <c r="S414" s="651"/>
    </row>
    <row r="415" spans="12:19" ht="15.75" customHeight="1" x14ac:dyDescent="0.35">
      <c r="L415" s="2"/>
      <c r="M415" s="2"/>
      <c r="N415" s="650"/>
      <c r="O415" s="650"/>
      <c r="P415" s="651"/>
      <c r="Q415" s="651"/>
      <c r="R415" s="651"/>
      <c r="S415" s="651"/>
    </row>
    <row r="416" spans="12:19" ht="15.75" customHeight="1" x14ac:dyDescent="0.35">
      <c r="L416" s="2"/>
      <c r="M416" s="2"/>
      <c r="N416" s="650"/>
      <c r="O416" s="650"/>
      <c r="P416" s="651"/>
      <c r="Q416" s="651"/>
      <c r="R416" s="651"/>
      <c r="S416" s="651"/>
    </row>
    <row r="417" spans="12:19" ht="15.75" customHeight="1" x14ac:dyDescent="0.35">
      <c r="L417" s="2"/>
      <c r="M417" s="2"/>
      <c r="N417" s="650"/>
      <c r="O417" s="650"/>
      <c r="P417" s="651"/>
      <c r="Q417" s="651"/>
      <c r="R417" s="651"/>
      <c r="S417" s="651"/>
    </row>
    <row r="418" spans="12:19" ht="15.75" customHeight="1" x14ac:dyDescent="0.35">
      <c r="L418" s="2"/>
      <c r="M418" s="2"/>
      <c r="N418" s="650"/>
      <c r="O418" s="650"/>
      <c r="P418" s="651"/>
      <c r="Q418" s="651"/>
      <c r="R418" s="651"/>
      <c r="S418" s="651"/>
    </row>
    <row r="419" spans="12:19" ht="15.75" customHeight="1" x14ac:dyDescent="0.35">
      <c r="L419" s="2"/>
      <c r="M419" s="2"/>
      <c r="N419" s="650"/>
      <c r="O419" s="650"/>
      <c r="P419" s="651"/>
      <c r="Q419" s="651"/>
      <c r="R419" s="651"/>
      <c r="S419" s="651"/>
    </row>
    <row r="420" spans="12:19" ht="15.75" customHeight="1" x14ac:dyDescent="0.35">
      <c r="L420" s="2"/>
      <c r="M420" s="2"/>
      <c r="N420" s="650"/>
      <c r="O420" s="650"/>
      <c r="P420" s="651"/>
      <c r="Q420" s="651"/>
      <c r="R420" s="651"/>
      <c r="S420" s="651"/>
    </row>
    <row r="421" spans="12:19" ht="15.75" customHeight="1" x14ac:dyDescent="0.35">
      <c r="L421" s="2"/>
      <c r="M421" s="2"/>
      <c r="N421" s="650"/>
      <c r="O421" s="650"/>
      <c r="P421" s="651"/>
      <c r="Q421" s="651"/>
      <c r="R421" s="651"/>
      <c r="S421" s="651"/>
    </row>
    <row r="422" spans="12:19" ht="15.75" customHeight="1" x14ac:dyDescent="0.35">
      <c r="L422" s="2"/>
      <c r="M422" s="2"/>
      <c r="N422" s="650"/>
      <c r="O422" s="650"/>
      <c r="P422" s="651"/>
      <c r="Q422" s="651"/>
      <c r="R422" s="651"/>
      <c r="S422" s="651"/>
    </row>
    <row r="423" spans="12:19" ht="15.75" customHeight="1" x14ac:dyDescent="0.35">
      <c r="L423" s="2"/>
      <c r="M423" s="2"/>
      <c r="N423" s="650"/>
      <c r="O423" s="650"/>
      <c r="P423" s="651"/>
      <c r="Q423" s="651"/>
      <c r="R423" s="651"/>
      <c r="S423" s="651"/>
    </row>
    <row r="424" spans="12:19" ht="15.75" customHeight="1" x14ac:dyDescent="0.35">
      <c r="L424" s="2"/>
      <c r="M424" s="2"/>
      <c r="N424" s="650"/>
      <c r="O424" s="650"/>
      <c r="P424" s="651"/>
      <c r="Q424" s="651"/>
      <c r="R424" s="651"/>
      <c r="S424" s="651"/>
    </row>
    <row r="425" spans="12:19" ht="15.75" customHeight="1" x14ac:dyDescent="0.35">
      <c r="L425" s="2"/>
      <c r="M425" s="2"/>
      <c r="N425" s="650"/>
      <c r="O425" s="650"/>
      <c r="P425" s="651"/>
      <c r="Q425" s="651"/>
      <c r="R425" s="651"/>
      <c r="S425" s="651"/>
    </row>
    <row r="426" spans="12:19" ht="15.75" customHeight="1" x14ac:dyDescent="0.35">
      <c r="L426" s="2"/>
      <c r="M426" s="2"/>
      <c r="N426" s="650"/>
      <c r="O426" s="650"/>
      <c r="P426" s="651"/>
      <c r="Q426" s="651"/>
      <c r="R426" s="651"/>
      <c r="S426" s="651"/>
    </row>
    <row r="427" spans="12:19" ht="15.75" customHeight="1" x14ac:dyDescent="0.35">
      <c r="L427" s="2"/>
      <c r="M427" s="2"/>
      <c r="N427" s="650"/>
      <c r="O427" s="650"/>
      <c r="P427" s="651"/>
      <c r="Q427" s="651"/>
      <c r="R427" s="651"/>
      <c r="S427" s="651"/>
    </row>
    <row r="428" spans="12:19" ht="15.75" customHeight="1" x14ac:dyDescent="0.35">
      <c r="L428" s="2"/>
      <c r="M428" s="2"/>
      <c r="N428" s="650"/>
      <c r="O428" s="650"/>
      <c r="P428" s="651"/>
      <c r="Q428" s="651"/>
      <c r="R428" s="651"/>
      <c r="S428" s="651"/>
    </row>
    <row r="429" spans="12:19" ht="15.75" customHeight="1" x14ac:dyDescent="0.35">
      <c r="L429" s="2"/>
      <c r="M429" s="2"/>
      <c r="N429" s="650"/>
      <c r="O429" s="650"/>
      <c r="P429" s="651"/>
      <c r="Q429" s="651"/>
      <c r="R429" s="651"/>
      <c r="S429" s="651"/>
    </row>
    <row r="430" spans="12:19" ht="15.75" customHeight="1" x14ac:dyDescent="0.35">
      <c r="L430" s="2"/>
      <c r="M430" s="2"/>
      <c r="N430" s="650"/>
      <c r="O430" s="650"/>
      <c r="P430" s="651"/>
      <c r="Q430" s="651"/>
      <c r="R430" s="651"/>
      <c r="S430" s="651"/>
    </row>
    <row r="431" spans="12:19" ht="15.75" customHeight="1" x14ac:dyDescent="0.35">
      <c r="L431" s="2"/>
      <c r="M431" s="2"/>
      <c r="N431" s="650"/>
      <c r="O431" s="650"/>
      <c r="P431" s="651"/>
      <c r="Q431" s="651"/>
      <c r="R431" s="651"/>
      <c r="S431" s="651"/>
    </row>
    <row r="432" spans="12:19" ht="15.75" customHeight="1" x14ac:dyDescent="0.35">
      <c r="L432" s="2"/>
      <c r="M432" s="2"/>
      <c r="N432" s="650"/>
      <c r="O432" s="650"/>
      <c r="P432" s="651"/>
      <c r="Q432" s="651"/>
      <c r="R432" s="651"/>
      <c r="S432" s="651"/>
    </row>
    <row r="433" spans="12:19" ht="15.75" customHeight="1" x14ac:dyDescent="0.35">
      <c r="L433" s="2"/>
      <c r="M433" s="2"/>
      <c r="N433" s="650"/>
      <c r="O433" s="650"/>
      <c r="P433" s="651"/>
      <c r="Q433" s="651"/>
      <c r="R433" s="651"/>
      <c r="S433" s="651"/>
    </row>
    <row r="434" spans="12:19" ht="15.75" customHeight="1" x14ac:dyDescent="0.35">
      <c r="L434" s="2"/>
      <c r="M434" s="2"/>
      <c r="N434" s="650"/>
      <c r="O434" s="650"/>
      <c r="P434" s="651"/>
      <c r="Q434" s="651"/>
      <c r="R434" s="651"/>
      <c r="S434" s="651"/>
    </row>
    <row r="435" spans="12:19" ht="15.75" customHeight="1" x14ac:dyDescent="0.35">
      <c r="L435" s="2"/>
      <c r="M435" s="2"/>
      <c r="N435" s="650"/>
      <c r="O435" s="650"/>
      <c r="P435" s="651"/>
      <c r="Q435" s="651"/>
      <c r="R435" s="651"/>
      <c r="S435" s="651"/>
    </row>
    <row r="436" spans="12:19" ht="15.75" customHeight="1" x14ac:dyDescent="0.35">
      <c r="L436" s="2"/>
      <c r="M436" s="2"/>
      <c r="N436" s="650"/>
      <c r="O436" s="650"/>
      <c r="P436" s="651"/>
      <c r="Q436" s="651"/>
      <c r="R436" s="651"/>
      <c r="S436" s="651"/>
    </row>
    <row r="437" spans="12:19" ht="15.75" customHeight="1" x14ac:dyDescent="0.35">
      <c r="L437" s="2"/>
      <c r="M437" s="2"/>
      <c r="N437" s="650"/>
      <c r="O437" s="650"/>
      <c r="P437" s="651"/>
      <c r="Q437" s="651"/>
      <c r="R437" s="651"/>
      <c r="S437" s="651"/>
    </row>
    <row r="438" spans="12:19" ht="15.75" customHeight="1" x14ac:dyDescent="0.35">
      <c r="L438" s="2"/>
      <c r="M438" s="2"/>
      <c r="N438" s="650"/>
      <c r="O438" s="650"/>
      <c r="P438" s="651"/>
      <c r="Q438" s="651"/>
      <c r="R438" s="651"/>
      <c r="S438" s="651"/>
    </row>
    <row r="439" spans="12:19" ht="15.75" customHeight="1" x14ac:dyDescent="0.35">
      <c r="L439" s="2"/>
      <c r="M439" s="2"/>
      <c r="N439" s="650"/>
      <c r="O439" s="650"/>
      <c r="P439" s="651"/>
      <c r="Q439" s="651"/>
      <c r="R439" s="651"/>
      <c r="S439" s="651"/>
    </row>
    <row r="440" spans="12:19" ht="15.75" customHeight="1" x14ac:dyDescent="0.35">
      <c r="L440" s="2"/>
      <c r="M440" s="2"/>
      <c r="N440" s="650"/>
      <c r="O440" s="650"/>
      <c r="P440" s="651"/>
      <c r="Q440" s="651"/>
      <c r="R440" s="651"/>
      <c r="S440" s="651"/>
    </row>
    <row r="441" spans="12:19" ht="15.75" customHeight="1" x14ac:dyDescent="0.35">
      <c r="L441" s="2"/>
      <c r="M441" s="2"/>
      <c r="N441" s="650"/>
      <c r="O441" s="650"/>
      <c r="P441" s="651"/>
      <c r="Q441" s="651"/>
      <c r="R441" s="651"/>
      <c r="S441" s="651"/>
    </row>
    <row r="442" spans="12:19" ht="15.75" customHeight="1" x14ac:dyDescent="0.35">
      <c r="L442" s="2"/>
      <c r="M442" s="2"/>
      <c r="N442" s="650"/>
      <c r="O442" s="650"/>
      <c r="P442" s="651"/>
      <c r="Q442" s="651"/>
      <c r="R442" s="651"/>
      <c r="S442" s="651"/>
    </row>
    <row r="443" spans="12:19" ht="15.75" customHeight="1" x14ac:dyDescent="0.35">
      <c r="L443" s="2"/>
      <c r="M443" s="2"/>
      <c r="N443" s="650"/>
      <c r="O443" s="650"/>
      <c r="P443" s="651"/>
      <c r="Q443" s="651"/>
      <c r="R443" s="651"/>
      <c r="S443" s="651"/>
    </row>
    <row r="444" spans="12:19" ht="15.75" customHeight="1" x14ac:dyDescent="0.35">
      <c r="L444" s="2"/>
      <c r="M444" s="2"/>
      <c r="N444" s="650"/>
      <c r="O444" s="650"/>
      <c r="P444" s="651"/>
      <c r="Q444" s="651"/>
      <c r="R444" s="651"/>
      <c r="S444" s="651"/>
    </row>
    <row r="445" spans="12:19" ht="15.75" customHeight="1" x14ac:dyDescent="0.35">
      <c r="L445" s="2"/>
      <c r="M445" s="2"/>
      <c r="N445" s="650"/>
      <c r="O445" s="650"/>
      <c r="P445" s="651"/>
      <c r="Q445" s="651"/>
      <c r="R445" s="651"/>
      <c r="S445" s="651"/>
    </row>
    <row r="446" spans="12:19" ht="15.75" customHeight="1" x14ac:dyDescent="0.35">
      <c r="L446" s="2"/>
      <c r="M446" s="2"/>
      <c r="N446" s="650"/>
      <c r="O446" s="650"/>
      <c r="P446" s="651"/>
      <c r="Q446" s="651"/>
      <c r="R446" s="651"/>
      <c r="S446" s="651"/>
    </row>
    <row r="447" spans="12:19" ht="15.75" customHeight="1" x14ac:dyDescent="0.35">
      <c r="L447" s="2"/>
      <c r="M447" s="2"/>
      <c r="N447" s="650"/>
      <c r="O447" s="650"/>
      <c r="P447" s="651"/>
      <c r="Q447" s="651"/>
      <c r="R447" s="651"/>
      <c r="S447" s="651"/>
    </row>
    <row r="448" spans="12:19" ht="15.75" customHeight="1" x14ac:dyDescent="0.35">
      <c r="L448" s="2"/>
      <c r="M448" s="2"/>
      <c r="N448" s="650"/>
      <c r="O448" s="650"/>
      <c r="P448" s="651"/>
      <c r="Q448" s="651"/>
      <c r="R448" s="651"/>
      <c r="S448" s="651"/>
    </row>
    <row r="449" spans="12:19" ht="15.75" customHeight="1" x14ac:dyDescent="0.35">
      <c r="L449" s="2"/>
      <c r="M449" s="2"/>
      <c r="N449" s="650"/>
      <c r="O449" s="650"/>
      <c r="P449" s="651"/>
      <c r="Q449" s="651"/>
      <c r="R449" s="651"/>
      <c r="S449" s="651"/>
    </row>
    <row r="450" spans="12:19" ht="15.75" customHeight="1" x14ac:dyDescent="0.35">
      <c r="L450" s="2"/>
      <c r="M450" s="2"/>
      <c r="N450" s="650"/>
      <c r="O450" s="650"/>
      <c r="P450" s="651"/>
      <c r="Q450" s="651"/>
      <c r="R450" s="651"/>
      <c r="S450" s="651"/>
    </row>
    <row r="451" spans="12:19" ht="15.75" customHeight="1" x14ac:dyDescent="0.35">
      <c r="L451" s="2"/>
      <c r="M451" s="2"/>
      <c r="N451" s="650"/>
      <c r="O451" s="650"/>
      <c r="P451" s="651"/>
      <c r="Q451" s="651"/>
      <c r="R451" s="651"/>
      <c r="S451" s="651"/>
    </row>
    <row r="452" spans="12:19" ht="15.75" customHeight="1" x14ac:dyDescent="0.35">
      <c r="L452" s="2"/>
      <c r="M452" s="2"/>
      <c r="N452" s="650"/>
      <c r="O452" s="650"/>
      <c r="P452" s="651"/>
      <c r="Q452" s="651"/>
      <c r="R452" s="651"/>
      <c r="S452" s="651"/>
    </row>
    <row r="453" spans="12:19" ht="15.75" customHeight="1" x14ac:dyDescent="0.35">
      <c r="L453" s="2"/>
      <c r="M453" s="2"/>
      <c r="N453" s="650"/>
      <c r="O453" s="650"/>
      <c r="P453" s="651"/>
      <c r="Q453" s="651"/>
      <c r="R453" s="651"/>
      <c r="S453" s="651"/>
    </row>
    <row r="454" spans="12:19" ht="15.75" customHeight="1" x14ac:dyDescent="0.35">
      <c r="L454" s="2"/>
      <c r="M454" s="2"/>
      <c r="N454" s="650"/>
      <c r="O454" s="650"/>
      <c r="P454" s="651"/>
      <c r="Q454" s="651"/>
      <c r="R454" s="651"/>
      <c r="S454" s="651"/>
    </row>
    <row r="455" spans="12:19" ht="15.75" customHeight="1" x14ac:dyDescent="0.35">
      <c r="L455" s="2"/>
      <c r="M455" s="2"/>
      <c r="N455" s="650"/>
      <c r="O455" s="650"/>
      <c r="P455" s="651"/>
      <c r="Q455" s="651"/>
      <c r="R455" s="651"/>
      <c r="S455" s="651"/>
    </row>
    <row r="456" spans="12:19" ht="15.75" customHeight="1" x14ac:dyDescent="0.35">
      <c r="L456" s="2"/>
      <c r="M456" s="2"/>
      <c r="N456" s="650"/>
      <c r="O456" s="650"/>
      <c r="P456" s="651"/>
      <c r="Q456" s="651"/>
      <c r="R456" s="651"/>
      <c r="S456" s="651"/>
    </row>
    <row r="457" spans="12:19" ht="15.75" customHeight="1" x14ac:dyDescent="0.35">
      <c r="L457" s="2"/>
      <c r="M457" s="2"/>
      <c r="N457" s="650"/>
      <c r="O457" s="650"/>
      <c r="P457" s="651"/>
      <c r="Q457" s="651"/>
      <c r="R457" s="651"/>
      <c r="S457" s="651"/>
    </row>
    <row r="458" spans="12:19" ht="15.75" customHeight="1" x14ac:dyDescent="0.35">
      <c r="L458" s="2"/>
      <c r="M458" s="2"/>
      <c r="N458" s="650"/>
      <c r="O458" s="650"/>
      <c r="P458" s="651"/>
      <c r="Q458" s="651"/>
      <c r="R458" s="651"/>
      <c r="S458" s="651"/>
    </row>
    <row r="459" spans="12:19" ht="15.75" customHeight="1" x14ac:dyDescent="0.35">
      <c r="L459" s="2"/>
      <c r="M459" s="2"/>
      <c r="N459" s="650"/>
      <c r="O459" s="650"/>
      <c r="P459" s="651"/>
      <c r="Q459" s="651"/>
      <c r="R459" s="651"/>
      <c r="S459" s="651"/>
    </row>
    <row r="460" spans="12:19" ht="15.75" customHeight="1" x14ac:dyDescent="0.35">
      <c r="L460" s="2"/>
      <c r="M460" s="2"/>
      <c r="N460" s="650"/>
      <c r="O460" s="650"/>
      <c r="P460" s="651"/>
      <c r="Q460" s="651"/>
      <c r="R460" s="651"/>
      <c r="S460" s="651"/>
    </row>
    <row r="461" spans="12:19" ht="15.75" customHeight="1" x14ac:dyDescent="0.35">
      <c r="L461" s="2"/>
      <c r="M461" s="2"/>
      <c r="N461" s="650"/>
      <c r="O461" s="650"/>
      <c r="P461" s="651"/>
      <c r="Q461" s="651"/>
      <c r="R461" s="651"/>
      <c r="S461" s="651"/>
    </row>
    <row r="462" spans="12:19" ht="15.75" customHeight="1" x14ac:dyDescent="0.35">
      <c r="L462" s="2"/>
      <c r="M462" s="2"/>
      <c r="N462" s="650"/>
      <c r="O462" s="650"/>
      <c r="P462" s="651"/>
      <c r="Q462" s="651"/>
      <c r="R462" s="651"/>
      <c r="S462" s="651"/>
    </row>
    <row r="463" spans="12:19" ht="15.75" customHeight="1" x14ac:dyDescent="0.35">
      <c r="L463" s="2"/>
      <c r="M463" s="2"/>
      <c r="N463" s="650"/>
      <c r="O463" s="650"/>
      <c r="P463" s="651"/>
      <c r="Q463" s="651"/>
      <c r="R463" s="651"/>
      <c r="S463" s="651"/>
    </row>
    <row r="464" spans="12:19" ht="15.75" customHeight="1" x14ac:dyDescent="0.35">
      <c r="L464" s="2"/>
      <c r="M464" s="2"/>
      <c r="N464" s="650"/>
      <c r="O464" s="650"/>
      <c r="P464" s="651"/>
      <c r="Q464" s="651"/>
      <c r="R464" s="651"/>
      <c r="S464" s="651"/>
    </row>
    <row r="465" spans="12:19" ht="15.75" customHeight="1" x14ac:dyDescent="0.35">
      <c r="L465" s="2"/>
      <c r="M465" s="2"/>
      <c r="N465" s="650"/>
      <c r="O465" s="650"/>
      <c r="P465" s="651"/>
      <c r="Q465" s="651"/>
      <c r="R465" s="651"/>
      <c r="S465" s="651"/>
    </row>
    <row r="466" spans="12:19" ht="15.75" customHeight="1" x14ac:dyDescent="0.35">
      <c r="L466" s="2"/>
      <c r="M466" s="2"/>
      <c r="N466" s="650"/>
      <c r="O466" s="650"/>
      <c r="P466" s="651"/>
      <c r="Q466" s="651"/>
      <c r="R466" s="651"/>
      <c r="S466" s="651"/>
    </row>
    <row r="467" spans="12:19" ht="15.75" customHeight="1" x14ac:dyDescent="0.35">
      <c r="L467" s="2"/>
      <c r="M467" s="2"/>
      <c r="N467" s="650"/>
      <c r="O467" s="650"/>
      <c r="P467" s="651"/>
      <c r="Q467" s="651"/>
      <c r="R467" s="651"/>
      <c r="S467" s="651"/>
    </row>
    <row r="468" spans="12:19" ht="15.75" customHeight="1" x14ac:dyDescent="0.35">
      <c r="L468" s="2"/>
      <c r="M468" s="2"/>
      <c r="N468" s="650"/>
      <c r="O468" s="650"/>
      <c r="P468" s="651"/>
      <c r="Q468" s="651"/>
      <c r="R468" s="651"/>
      <c r="S468" s="651"/>
    </row>
    <row r="469" spans="12:19" ht="15.75" customHeight="1" x14ac:dyDescent="0.35">
      <c r="L469" s="2"/>
      <c r="M469" s="2"/>
      <c r="N469" s="650"/>
      <c r="O469" s="650"/>
      <c r="P469" s="651"/>
      <c r="Q469" s="651"/>
      <c r="R469" s="651"/>
      <c r="S469" s="651"/>
    </row>
    <row r="470" spans="12:19" ht="15.75" customHeight="1" x14ac:dyDescent="0.35">
      <c r="L470" s="2"/>
      <c r="M470" s="2"/>
      <c r="N470" s="650"/>
      <c r="O470" s="650"/>
      <c r="P470" s="651"/>
      <c r="Q470" s="651"/>
      <c r="R470" s="651"/>
      <c r="S470" s="651"/>
    </row>
    <row r="471" spans="12:19" ht="15.75" customHeight="1" x14ac:dyDescent="0.35">
      <c r="L471" s="2"/>
      <c r="M471" s="2"/>
      <c r="N471" s="650"/>
      <c r="O471" s="650"/>
      <c r="P471" s="651"/>
      <c r="Q471" s="651"/>
      <c r="R471" s="651"/>
      <c r="S471" s="651"/>
    </row>
    <row r="472" spans="12:19" ht="15.75" customHeight="1" x14ac:dyDescent="0.35">
      <c r="L472" s="2"/>
      <c r="M472" s="2"/>
      <c r="N472" s="650"/>
      <c r="O472" s="650"/>
      <c r="P472" s="651"/>
      <c r="Q472" s="651"/>
      <c r="R472" s="651"/>
      <c r="S472" s="651"/>
    </row>
    <row r="473" spans="12:19" ht="15.75" customHeight="1" x14ac:dyDescent="0.35">
      <c r="L473" s="2"/>
      <c r="M473" s="2"/>
      <c r="N473" s="650"/>
      <c r="O473" s="650"/>
      <c r="P473" s="651"/>
      <c r="Q473" s="651"/>
      <c r="R473" s="651"/>
      <c r="S473" s="651"/>
    </row>
    <row r="474" spans="12:19" ht="15.75" customHeight="1" x14ac:dyDescent="0.35">
      <c r="L474" s="2"/>
      <c r="M474" s="2"/>
      <c r="N474" s="650"/>
      <c r="O474" s="650"/>
      <c r="P474" s="651"/>
      <c r="Q474" s="651"/>
      <c r="R474" s="651"/>
      <c r="S474" s="651"/>
    </row>
    <row r="475" spans="12:19" ht="15.75" customHeight="1" x14ac:dyDescent="0.35">
      <c r="L475" s="2"/>
      <c r="M475" s="2"/>
      <c r="N475" s="650"/>
      <c r="O475" s="650"/>
      <c r="P475" s="651"/>
      <c r="Q475" s="651"/>
      <c r="R475" s="651"/>
      <c r="S475" s="651"/>
    </row>
    <row r="476" spans="12:19" ht="15.75" customHeight="1" x14ac:dyDescent="0.35">
      <c r="L476" s="2"/>
      <c r="M476" s="2"/>
      <c r="N476" s="650"/>
      <c r="O476" s="650"/>
      <c r="P476" s="651"/>
      <c r="Q476" s="651"/>
      <c r="R476" s="651"/>
      <c r="S476" s="651"/>
    </row>
    <row r="477" spans="12:19" ht="15.75" customHeight="1" x14ac:dyDescent="0.35">
      <c r="L477" s="2"/>
      <c r="M477" s="2"/>
      <c r="N477" s="650"/>
      <c r="O477" s="650"/>
      <c r="P477" s="651"/>
      <c r="Q477" s="651"/>
      <c r="R477" s="651"/>
      <c r="S477" s="651"/>
    </row>
    <row r="478" spans="12:19" ht="15.75" customHeight="1" x14ac:dyDescent="0.35">
      <c r="L478" s="2"/>
      <c r="M478" s="2"/>
      <c r="N478" s="650"/>
      <c r="O478" s="650"/>
      <c r="P478" s="651"/>
      <c r="Q478" s="651"/>
      <c r="R478" s="651"/>
      <c r="S478" s="651"/>
    </row>
    <row r="479" spans="12:19" ht="15.75" customHeight="1" x14ac:dyDescent="0.35">
      <c r="L479" s="2"/>
      <c r="M479" s="2"/>
      <c r="N479" s="650"/>
      <c r="O479" s="650"/>
      <c r="P479" s="651"/>
      <c r="Q479" s="651"/>
      <c r="R479" s="651"/>
      <c r="S479" s="651"/>
    </row>
    <row r="480" spans="12:19" ht="15.75" customHeight="1" x14ac:dyDescent="0.35">
      <c r="L480" s="2"/>
      <c r="M480" s="2"/>
      <c r="N480" s="650"/>
      <c r="O480" s="650"/>
      <c r="P480" s="651"/>
      <c r="Q480" s="651"/>
      <c r="R480" s="651"/>
      <c r="S480" s="651"/>
    </row>
    <row r="481" spans="12:19" ht="15.75" customHeight="1" x14ac:dyDescent="0.35">
      <c r="L481" s="2"/>
      <c r="M481" s="2"/>
      <c r="N481" s="650"/>
      <c r="O481" s="650"/>
      <c r="P481" s="651"/>
      <c r="Q481" s="651"/>
      <c r="R481" s="651"/>
      <c r="S481" s="651"/>
    </row>
    <row r="482" spans="12:19" ht="15.75" customHeight="1" x14ac:dyDescent="0.35">
      <c r="L482" s="2"/>
      <c r="M482" s="2"/>
      <c r="N482" s="650"/>
      <c r="O482" s="650"/>
      <c r="P482" s="651"/>
      <c r="Q482" s="651"/>
      <c r="R482" s="651"/>
      <c r="S482" s="651"/>
    </row>
    <row r="483" spans="12:19" ht="15.75" customHeight="1" x14ac:dyDescent="0.35">
      <c r="L483" s="2"/>
      <c r="M483" s="2"/>
      <c r="N483" s="650"/>
      <c r="O483" s="650"/>
      <c r="P483" s="651"/>
      <c r="Q483" s="651"/>
      <c r="R483" s="651"/>
      <c r="S483" s="651"/>
    </row>
    <row r="484" spans="12:19" ht="15.75" customHeight="1" x14ac:dyDescent="0.35">
      <c r="L484" s="2"/>
      <c r="M484" s="2"/>
      <c r="N484" s="650"/>
      <c r="O484" s="650"/>
      <c r="P484" s="651"/>
      <c r="Q484" s="651"/>
      <c r="R484" s="651"/>
      <c r="S484" s="651"/>
    </row>
    <row r="485" spans="12:19" ht="15.75" customHeight="1" x14ac:dyDescent="0.35">
      <c r="L485" s="2"/>
      <c r="M485" s="2"/>
      <c r="N485" s="650"/>
      <c r="O485" s="650"/>
      <c r="P485" s="651"/>
      <c r="Q485" s="651"/>
      <c r="R485" s="651"/>
      <c r="S485" s="651"/>
    </row>
    <row r="486" spans="12:19" ht="15.75" customHeight="1" x14ac:dyDescent="0.35">
      <c r="L486" s="2"/>
      <c r="M486" s="2"/>
      <c r="N486" s="650"/>
      <c r="O486" s="650"/>
      <c r="P486" s="651"/>
      <c r="Q486" s="651"/>
      <c r="R486" s="651"/>
      <c r="S486" s="651"/>
    </row>
    <row r="487" spans="12:19" ht="15.75" customHeight="1" x14ac:dyDescent="0.35">
      <c r="L487" s="2"/>
      <c r="M487" s="2"/>
      <c r="N487" s="650"/>
      <c r="O487" s="650"/>
      <c r="P487" s="651"/>
      <c r="Q487" s="651"/>
      <c r="R487" s="651"/>
      <c r="S487" s="651"/>
    </row>
    <row r="488" spans="12:19" ht="15.75" customHeight="1" x14ac:dyDescent="0.35">
      <c r="L488" s="2"/>
      <c r="M488" s="2"/>
      <c r="N488" s="650"/>
      <c r="O488" s="650"/>
      <c r="P488" s="651"/>
      <c r="Q488" s="651"/>
      <c r="R488" s="651"/>
      <c r="S488" s="651"/>
    </row>
    <row r="489" spans="12:19" ht="15.75" customHeight="1" x14ac:dyDescent="0.35">
      <c r="L489" s="2"/>
      <c r="M489" s="2"/>
      <c r="N489" s="650"/>
      <c r="O489" s="650"/>
      <c r="P489" s="651"/>
      <c r="Q489" s="651"/>
      <c r="R489" s="651"/>
      <c r="S489" s="651"/>
    </row>
    <row r="490" spans="12:19" ht="15.75" customHeight="1" x14ac:dyDescent="0.35">
      <c r="L490" s="2"/>
      <c r="M490" s="2"/>
      <c r="N490" s="650"/>
      <c r="O490" s="650"/>
      <c r="P490" s="651"/>
      <c r="Q490" s="651"/>
      <c r="R490" s="651"/>
      <c r="S490" s="651"/>
    </row>
    <row r="491" spans="12:19" ht="15.75" customHeight="1" x14ac:dyDescent="0.35">
      <c r="L491" s="2"/>
      <c r="M491" s="2"/>
      <c r="N491" s="650"/>
      <c r="O491" s="650"/>
      <c r="P491" s="651"/>
      <c r="Q491" s="651"/>
      <c r="R491" s="651"/>
      <c r="S491" s="651"/>
    </row>
    <row r="492" spans="12:19" ht="15.75" customHeight="1" x14ac:dyDescent="0.35">
      <c r="L492" s="2"/>
      <c r="M492" s="2"/>
      <c r="N492" s="650"/>
      <c r="O492" s="650"/>
      <c r="P492" s="651"/>
      <c r="Q492" s="651"/>
      <c r="R492" s="651"/>
      <c r="S492" s="651"/>
    </row>
    <row r="493" spans="12:19" ht="15.75" customHeight="1" x14ac:dyDescent="0.35">
      <c r="L493" s="2"/>
      <c r="M493" s="2"/>
      <c r="N493" s="650"/>
      <c r="O493" s="650"/>
      <c r="P493" s="651"/>
      <c r="Q493" s="651"/>
      <c r="R493" s="651"/>
      <c r="S493" s="651"/>
    </row>
    <row r="494" spans="12:19" ht="15.75" customHeight="1" x14ac:dyDescent="0.35">
      <c r="L494" s="2"/>
      <c r="M494" s="2"/>
      <c r="N494" s="650"/>
      <c r="O494" s="650"/>
      <c r="P494" s="651"/>
      <c r="Q494" s="651"/>
      <c r="R494" s="651"/>
      <c r="S494" s="651"/>
    </row>
    <row r="495" spans="12:19" ht="15.75" customHeight="1" x14ac:dyDescent="0.35">
      <c r="L495" s="2"/>
      <c r="M495" s="2"/>
      <c r="N495" s="650"/>
      <c r="O495" s="650"/>
      <c r="P495" s="651"/>
      <c r="Q495" s="651"/>
      <c r="R495" s="651"/>
      <c r="S495" s="651"/>
    </row>
    <row r="496" spans="12:19" ht="15.75" customHeight="1" x14ac:dyDescent="0.35">
      <c r="L496" s="2"/>
      <c r="M496" s="2"/>
      <c r="N496" s="650"/>
      <c r="O496" s="650"/>
      <c r="P496" s="651"/>
      <c r="Q496" s="651"/>
      <c r="R496" s="651"/>
      <c r="S496" s="651"/>
    </row>
    <row r="497" spans="12:19" ht="15.75" customHeight="1" x14ac:dyDescent="0.35">
      <c r="L497" s="2"/>
      <c r="M497" s="2"/>
      <c r="N497" s="650"/>
      <c r="O497" s="650"/>
      <c r="P497" s="651"/>
      <c r="Q497" s="651"/>
      <c r="R497" s="651"/>
      <c r="S497" s="651"/>
    </row>
    <row r="498" spans="12:19" ht="15.75" customHeight="1" x14ac:dyDescent="0.35">
      <c r="L498" s="2"/>
      <c r="M498" s="2"/>
      <c r="N498" s="650"/>
      <c r="O498" s="650"/>
      <c r="P498" s="651"/>
      <c r="Q498" s="651"/>
      <c r="R498" s="651"/>
      <c r="S498" s="651"/>
    </row>
    <row r="499" spans="12:19" ht="15.75" customHeight="1" x14ac:dyDescent="0.35">
      <c r="L499" s="2"/>
      <c r="M499" s="2"/>
      <c r="N499" s="650"/>
      <c r="O499" s="650"/>
      <c r="P499" s="651"/>
      <c r="Q499" s="651"/>
      <c r="R499" s="651"/>
      <c r="S499" s="651"/>
    </row>
    <row r="500" spans="12:19" ht="15.75" customHeight="1" x14ac:dyDescent="0.35">
      <c r="L500" s="2"/>
      <c r="M500" s="2"/>
      <c r="N500" s="650"/>
      <c r="O500" s="650"/>
      <c r="P500" s="651"/>
      <c r="Q500" s="651"/>
      <c r="R500" s="651"/>
      <c r="S500" s="651"/>
    </row>
    <row r="501" spans="12:19" ht="15.75" customHeight="1" x14ac:dyDescent="0.35">
      <c r="L501" s="2"/>
      <c r="M501" s="2"/>
      <c r="N501" s="650"/>
      <c r="O501" s="650"/>
      <c r="P501" s="651"/>
      <c r="Q501" s="651"/>
      <c r="R501" s="651"/>
      <c r="S501" s="651"/>
    </row>
    <row r="502" spans="12:19" ht="15.75" customHeight="1" x14ac:dyDescent="0.35">
      <c r="L502" s="2"/>
      <c r="M502" s="2"/>
      <c r="N502" s="650"/>
      <c r="O502" s="650"/>
      <c r="P502" s="651"/>
      <c r="Q502" s="651"/>
      <c r="R502" s="651"/>
      <c r="S502" s="651"/>
    </row>
    <row r="503" spans="12:19" ht="15.75" customHeight="1" x14ac:dyDescent="0.35">
      <c r="L503" s="2"/>
      <c r="M503" s="2"/>
      <c r="N503" s="650"/>
      <c r="O503" s="650"/>
      <c r="P503" s="651"/>
      <c r="Q503" s="651"/>
      <c r="R503" s="651"/>
      <c r="S503" s="651"/>
    </row>
    <row r="504" spans="12:19" ht="15.75" customHeight="1" x14ac:dyDescent="0.35">
      <c r="L504" s="2"/>
      <c r="M504" s="2"/>
      <c r="N504" s="650"/>
      <c r="O504" s="650"/>
      <c r="P504" s="651"/>
      <c r="Q504" s="651"/>
      <c r="R504" s="651"/>
      <c r="S504" s="651"/>
    </row>
    <row r="505" spans="12:19" ht="15.75" customHeight="1" x14ac:dyDescent="0.35">
      <c r="L505" s="2"/>
      <c r="M505" s="2"/>
      <c r="N505" s="650"/>
      <c r="O505" s="650"/>
      <c r="P505" s="651"/>
      <c r="Q505" s="651"/>
      <c r="R505" s="651"/>
      <c r="S505" s="651"/>
    </row>
    <row r="506" spans="12:19" ht="15.75" customHeight="1" x14ac:dyDescent="0.35">
      <c r="L506" s="2"/>
      <c r="M506" s="2"/>
      <c r="N506" s="650"/>
      <c r="O506" s="650"/>
      <c r="P506" s="651"/>
      <c r="Q506" s="651"/>
      <c r="R506" s="651"/>
      <c r="S506" s="651"/>
    </row>
    <row r="507" spans="12:19" ht="15.75" customHeight="1" x14ac:dyDescent="0.35">
      <c r="L507" s="2"/>
      <c r="M507" s="2"/>
      <c r="N507" s="650"/>
      <c r="O507" s="650"/>
      <c r="P507" s="651"/>
      <c r="Q507" s="651"/>
      <c r="R507" s="651"/>
      <c r="S507" s="651"/>
    </row>
    <row r="508" spans="12:19" ht="15.75" customHeight="1" x14ac:dyDescent="0.35">
      <c r="L508" s="2"/>
      <c r="M508" s="2"/>
      <c r="N508" s="650"/>
      <c r="O508" s="650"/>
      <c r="P508" s="651"/>
      <c r="Q508" s="651"/>
      <c r="R508" s="651"/>
      <c r="S508" s="651"/>
    </row>
    <row r="509" spans="12:19" ht="15.75" customHeight="1" x14ac:dyDescent="0.35">
      <c r="L509" s="2"/>
      <c r="M509" s="2"/>
      <c r="N509" s="650"/>
      <c r="O509" s="650"/>
      <c r="P509" s="651"/>
      <c r="Q509" s="651"/>
      <c r="R509" s="651"/>
      <c r="S509" s="651"/>
    </row>
    <row r="510" spans="12:19" ht="15.75" customHeight="1" x14ac:dyDescent="0.35">
      <c r="L510" s="2"/>
      <c r="M510" s="2"/>
      <c r="N510" s="650"/>
      <c r="O510" s="650"/>
      <c r="P510" s="651"/>
      <c r="Q510" s="651"/>
      <c r="R510" s="651"/>
      <c r="S510" s="651"/>
    </row>
    <row r="511" spans="12:19" ht="15.75" customHeight="1" x14ac:dyDescent="0.35">
      <c r="L511" s="2"/>
      <c r="M511" s="2"/>
      <c r="N511" s="650"/>
      <c r="O511" s="650"/>
      <c r="P511" s="651"/>
      <c r="Q511" s="651"/>
      <c r="R511" s="651"/>
      <c r="S511" s="651"/>
    </row>
    <row r="512" spans="12:19" ht="15.75" customHeight="1" x14ac:dyDescent="0.35">
      <c r="L512" s="2"/>
      <c r="M512" s="2"/>
      <c r="N512" s="650"/>
      <c r="O512" s="650"/>
      <c r="P512" s="651"/>
      <c r="Q512" s="651"/>
      <c r="R512" s="651"/>
      <c r="S512" s="651"/>
    </row>
    <row r="513" spans="12:19" ht="15.75" customHeight="1" x14ac:dyDescent="0.35">
      <c r="L513" s="2"/>
      <c r="M513" s="2"/>
      <c r="N513" s="650"/>
      <c r="O513" s="650"/>
      <c r="P513" s="651"/>
      <c r="Q513" s="651"/>
      <c r="R513" s="651"/>
      <c r="S513" s="651"/>
    </row>
    <row r="514" spans="12:19" ht="15.75" customHeight="1" x14ac:dyDescent="0.35">
      <c r="L514" s="2"/>
      <c r="M514" s="2"/>
      <c r="N514" s="650"/>
      <c r="O514" s="650"/>
      <c r="P514" s="651"/>
      <c r="Q514" s="651"/>
      <c r="R514" s="651"/>
      <c r="S514" s="651"/>
    </row>
    <row r="515" spans="12:19" ht="15.75" customHeight="1" x14ac:dyDescent="0.35">
      <c r="L515" s="2"/>
      <c r="M515" s="2"/>
      <c r="N515" s="650"/>
      <c r="O515" s="650"/>
      <c r="P515" s="651"/>
      <c r="Q515" s="651"/>
      <c r="R515" s="651"/>
      <c r="S515" s="651"/>
    </row>
    <row r="516" spans="12:19" ht="15.75" customHeight="1" x14ac:dyDescent="0.35">
      <c r="L516" s="2"/>
      <c r="M516" s="2"/>
      <c r="N516" s="650"/>
      <c r="O516" s="650"/>
      <c r="P516" s="651"/>
      <c r="Q516" s="651"/>
      <c r="R516" s="651"/>
      <c r="S516" s="651"/>
    </row>
    <row r="517" spans="12:19" ht="15.75" customHeight="1" x14ac:dyDescent="0.35">
      <c r="L517" s="2"/>
      <c r="M517" s="2"/>
      <c r="N517" s="650"/>
      <c r="O517" s="650"/>
      <c r="P517" s="651"/>
      <c r="Q517" s="651"/>
      <c r="R517" s="651"/>
      <c r="S517" s="651"/>
    </row>
    <row r="518" spans="12:19" ht="15.75" customHeight="1" x14ac:dyDescent="0.35">
      <c r="L518" s="2"/>
      <c r="M518" s="2"/>
      <c r="N518" s="650"/>
      <c r="O518" s="650"/>
      <c r="P518" s="651"/>
      <c r="Q518" s="651"/>
      <c r="R518" s="651"/>
      <c r="S518" s="651"/>
    </row>
    <row r="519" spans="12:19" ht="15.75" customHeight="1" x14ac:dyDescent="0.35">
      <c r="L519" s="2"/>
      <c r="M519" s="2"/>
      <c r="N519" s="650"/>
      <c r="O519" s="650"/>
      <c r="P519" s="651"/>
      <c r="Q519" s="651"/>
      <c r="R519" s="651"/>
      <c r="S519" s="651"/>
    </row>
    <row r="520" spans="12:19" ht="15.75" customHeight="1" x14ac:dyDescent="0.35">
      <c r="L520" s="2"/>
      <c r="M520" s="2"/>
      <c r="N520" s="650"/>
      <c r="O520" s="650"/>
      <c r="P520" s="651"/>
      <c r="Q520" s="651"/>
      <c r="R520" s="651"/>
      <c r="S520" s="651"/>
    </row>
    <row r="521" spans="12:19" ht="15.75" customHeight="1" x14ac:dyDescent="0.35">
      <c r="L521" s="2"/>
      <c r="M521" s="2"/>
      <c r="N521" s="650"/>
      <c r="O521" s="650"/>
      <c r="P521" s="651"/>
      <c r="Q521" s="651"/>
      <c r="R521" s="651"/>
      <c r="S521" s="651"/>
    </row>
    <row r="522" spans="12:19" ht="15.75" customHeight="1" x14ac:dyDescent="0.35">
      <c r="L522" s="2"/>
      <c r="M522" s="2"/>
      <c r="N522" s="650"/>
      <c r="O522" s="650"/>
      <c r="P522" s="651"/>
      <c r="Q522" s="651"/>
      <c r="R522" s="651"/>
      <c r="S522" s="651"/>
    </row>
    <row r="523" spans="12:19" ht="15.75" customHeight="1" x14ac:dyDescent="0.35">
      <c r="L523" s="2"/>
      <c r="M523" s="2"/>
      <c r="N523" s="650"/>
      <c r="O523" s="650"/>
      <c r="P523" s="651"/>
      <c r="Q523" s="651"/>
      <c r="R523" s="651"/>
      <c r="S523" s="651"/>
    </row>
    <row r="524" spans="12:19" ht="15.75" customHeight="1" x14ac:dyDescent="0.35">
      <c r="L524" s="2"/>
      <c r="M524" s="2"/>
      <c r="N524" s="650"/>
      <c r="O524" s="650"/>
      <c r="P524" s="651"/>
      <c r="Q524" s="651"/>
      <c r="R524" s="651"/>
      <c r="S524" s="651"/>
    </row>
    <row r="525" spans="12:19" ht="15.75" customHeight="1" x14ac:dyDescent="0.35">
      <c r="L525" s="2"/>
      <c r="M525" s="2"/>
      <c r="N525" s="650"/>
      <c r="O525" s="650"/>
      <c r="P525" s="651"/>
      <c r="Q525" s="651"/>
      <c r="R525" s="651"/>
      <c r="S525" s="651"/>
    </row>
    <row r="526" spans="12:19" ht="15.75" customHeight="1" x14ac:dyDescent="0.35">
      <c r="L526" s="2"/>
      <c r="M526" s="2"/>
      <c r="N526" s="650"/>
      <c r="O526" s="650"/>
      <c r="P526" s="651"/>
      <c r="Q526" s="651"/>
      <c r="R526" s="651"/>
      <c r="S526" s="651"/>
    </row>
    <row r="527" spans="12:19" ht="15.75" customHeight="1" x14ac:dyDescent="0.35">
      <c r="L527" s="2"/>
      <c r="M527" s="2"/>
      <c r="N527" s="650"/>
      <c r="O527" s="650"/>
      <c r="P527" s="651"/>
      <c r="Q527" s="651"/>
      <c r="R527" s="651"/>
      <c r="S527" s="651"/>
    </row>
    <row r="528" spans="12:19" ht="15.75" customHeight="1" x14ac:dyDescent="0.35">
      <c r="L528" s="2"/>
      <c r="M528" s="2"/>
      <c r="N528" s="650"/>
      <c r="O528" s="650"/>
      <c r="P528" s="651"/>
      <c r="Q528" s="651"/>
      <c r="R528" s="651"/>
      <c r="S528" s="651"/>
    </row>
    <row r="529" spans="12:19" ht="15.75" customHeight="1" x14ac:dyDescent="0.35">
      <c r="L529" s="2"/>
      <c r="M529" s="2"/>
      <c r="N529" s="650"/>
      <c r="O529" s="650"/>
      <c r="P529" s="651"/>
      <c r="Q529" s="651"/>
      <c r="R529" s="651"/>
      <c r="S529" s="651"/>
    </row>
    <row r="530" spans="12:19" ht="15.75" customHeight="1" x14ac:dyDescent="0.35">
      <c r="L530" s="2"/>
      <c r="M530" s="2"/>
      <c r="N530" s="650"/>
      <c r="O530" s="650"/>
      <c r="P530" s="651"/>
      <c r="Q530" s="651"/>
      <c r="R530" s="651"/>
      <c r="S530" s="651"/>
    </row>
    <row r="531" spans="12:19" ht="15.75" customHeight="1" x14ac:dyDescent="0.35">
      <c r="L531" s="2"/>
      <c r="M531" s="2"/>
      <c r="N531" s="650"/>
      <c r="O531" s="650"/>
      <c r="P531" s="651"/>
      <c r="Q531" s="651"/>
      <c r="R531" s="651"/>
      <c r="S531" s="651"/>
    </row>
    <row r="532" spans="12:19" ht="15.75" customHeight="1" x14ac:dyDescent="0.35">
      <c r="L532" s="2"/>
      <c r="M532" s="2"/>
      <c r="N532" s="650"/>
      <c r="O532" s="650"/>
      <c r="P532" s="651"/>
      <c r="Q532" s="651"/>
      <c r="R532" s="651"/>
      <c r="S532" s="651"/>
    </row>
    <row r="533" spans="12:19" ht="15.75" customHeight="1" x14ac:dyDescent="0.35">
      <c r="L533" s="2"/>
      <c r="M533" s="2"/>
      <c r="N533" s="650"/>
      <c r="O533" s="650"/>
      <c r="P533" s="651"/>
      <c r="Q533" s="651"/>
      <c r="R533" s="651"/>
      <c r="S533" s="651"/>
    </row>
    <row r="534" spans="12:19" ht="15.75" customHeight="1" x14ac:dyDescent="0.35">
      <c r="L534" s="2"/>
      <c r="M534" s="2"/>
      <c r="N534" s="650"/>
      <c r="O534" s="650"/>
      <c r="P534" s="651"/>
      <c r="Q534" s="651"/>
      <c r="R534" s="651"/>
      <c r="S534" s="651"/>
    </row>
    <row r="535" spans="12:19" ht="15.75" customHeight="1" x14ac:dyDescent="0.35">
      <c r="L535" s="2"/>
      <c r="M535" s="2"/>
      <c r="N535" s="650"/>
      <c r="O535" s="650"/>
      <c r="P535" s="651"/>
      <c r="Q535" s="651"/>
      <c r="R535" s="651"/>
      <c r="S535" s="651"/>
    </row>
    <row r="536" spans="12:19" ht="15.75" customHeight="1" x14ac:dyDescent="0.35">
      <c r="L536" s="2"/>
      <c r="M536" s="2"/>
      <c r="N536" s="650"/>
      <c r="O536" s="650"/>
      <c r="P536" s="651"/>
      <c r="Q536" s="651"/>
      <c r="R536" s="651"/>
      <c r="S536" s="651"/>
    </row>
    <row r="537" spans="12:19" ht="15.75" customHeight="1" x14ac:dyDescent="0.35">
      <c r="L537" s="2"/>
      <c r="M537" s="2"/>
      <c r="N537" s="650"/>
      <c r="O537" s="650"/>
      <c r="P537" s="651"/>
      <c r="Q537" s="651"/>
      <c r="R537" s="651"/>
      <c r="S537" s="651"/>
    </row>
    <row r="538" spans="12:19" ht="15.75" customHeight="1" x14ac:dyDescent="0.35">
      <c r="L538" s="2"/>
      <c r="M538" s="2"/>
      <c r="N538" s="650"/>
      <c r="O538" s="650"/>
      <c r="P538" s="651"/>
      <c r="Q538" s="651"/>
      <c r="R538" s="651"/>
      <c r="S538" s="651"/>
    </row>
    <row r="539" spans="12:19" ht="15.75" customHeight="1" x14ac:dyDescent="0.35">
      <c r="L539" s="2"/>
      <c r="M539" s="2"/>
      <c r="N539" s="650"/>
      <c r="O539" s="650"/>
      <c r="P539" s="651"/>
      <c r="Q539" s="651"/>
      <c r="R539" s="651"/>
      <c r="S539" s="651"/>
    </row>
    <row r="540" spans="12:19" ht="15.75" customHeight="1" x14ac:dyDescent="0.35">
      <c r="L540" s="2"/>
      <c r="M540" s="2"/>
      <c r="N540" s="650"/>
      <c r="O540" s="650"/>
      <c r="P540" s="651"/>
      <c r="Q540" s="651"/>
      <c r="R540" s="651"/>
      <c r="S540" s="651"/>
    </row>
    <row r="541" spans="12:19" ht="15.75" customHeight="1" x14ac:dyDescent="0.35">
      <c r="L541" s="2"/>
      <c r="M541" s="2"/>
      <c r="N541" s="650"/>
      <c r="O541" s="650"/>
      <c r="P541" s="651"/>
      <c r="Q541" s="651"/>
      <c r="R541" s="651"/>
      <c r="S541" s="651"/>
    </row>
    <row r="542" spans="12:19" ht="15.75" customHeight="1" x14ac:dyDescent="0.35">
      <c r="L542" s="2"/>
      <c r="M542" s="2"/>
      <c r="N542" s="650"/>
      <c r="O542" s="650"/>
      <c r="P542" s="651"/>
      <c r="Q542" s="651"/>
      <c r="R542" s="651"/>
      <c r="S542" s="651"/>
    </row>
    <row r="543" spans="12:19" ht="15.75" customHeight="1" x14ac:dyDescent="0.35">
      <c r="L543" s="2"/>
      <c r="M543" s="2"/>
      <c r="N543" s="650"/>
      <c r="O543" s="650"/>
      <c r="P543" s="651"/>
      <c r="Q543" s="651"/>
      <c r="R543" s="651"/>
      <c r="S543" s="651"/>
    </row>
    <row r="544" spans="12:19" ht="15.75" customHeight="1" x14ac:dyDescent="0.35">
      <c r="L544" s="2"/>
      <c r="M544" s="2"/>
      <c r="N544" s="650"/>
      <c r="O544" s="650"/>
      <c r="P544" s="651"/>
      <c r="Q544" s="651"/>
      <c r="R544" s="651"/>
      <c r="S544" s="651"/>
    </row>
    <row r="545" spans="12:19" ht="15.75" customHeight="1" x14ac:dyDescent="0.35">
      <c r="L545" s="2"/>
      <c r="M545" s="2"/>
      <c r="N545" s="650"/>
      <c r="O545" s="650"/>
      <c r="P545" s="651"/>
      <c r="Q545" s="651"/>
      <c r="R545" s="651"/>
      <c r="S545" s="651"/>
    </row>
    <row r="546" spans="12:19" ht="15.75" customHeight="1" x14ac:dyDescent="0.35">
      <c r="L546" s="2"/>
      <c r="M546" s="2"/>
      <c r="N546" s="650"/>
      <c r="O546" s="650"/>
      <c r="P546" s="651"/>
      <c r="Q546" s="651"/>
      <c r="R546" s="651"/>
      <c r="S546" s="651"/>
    </row>
    <row r="547" spans="12:19" ht="15.75" customHeight="1" x14ac:dyDescent="0.35">
      <c r="L547" s="2"/>
      <c r="M547" s="2"/>
      <c r="N547" s="650"/>
      <c r="O547" s="650"/>
      <c r="P547" s="651"/>
      <c r="Q547" s="651"/>
      <c r="R547" s="651"/>
      <c r="S547" s="651"/>
    </row>
    <row r="548" spans="12:19" ht="15.75" customHeight="1" x14ac:dyDescent="0.35">
      <c r="L548" s="2"/>
      <c r="M548" s="2"/>
      <c r="N548" s="650"/>
      <c r="O548" s="650"/>
      <c r="P548" s="651"/>
      <c r="Q548" s="651"/>
      <c r="R548" s="651"/>
      <c r="S548" s="651"/>
    </row>
    <row r="549" spans="12:19" ht="15.75" customHeight="1" x14ac:dyDescent="0.35">
      <c r="L549" s="2"/>
      <c r="M549" s="2"/>
      <c r="N549" s="650"/>
      <c r="O549" s="650"/>
      <c r="P549" s="651"/>
      <c r="Q549" s="651"/>
      <c r="R549" s="651"/>
      <c r="S549" s="651"/>
    </row>
    <row r="550" spans="12:19" ht="15.75" customHeight="1" x14ac:dyDescent="0.35">
      <c r="L550" s="2"/>
      <c r="M550" s="2"/>
      <c r="N550" s="650"/>
      <c r="O550" s="650"/>
      <c r="P550" s="651"/>
      <c r="Q550" s="651"/>
      <c r="R550" s="651"/>
      <c r="S550" s="651"/>
    </row>
    <row r="551" spans="12:19" ht="15.75" customHeight="1" x14ac:dyDescent="0.35">
      <c r="L551" s="2"/>
      <c r="M551" s="2"/>
      <c r="N551" s="650"/>
      <c r="O551" s="650"/>
      <c r="P551" s="651"/>
      <c r="Q551" s="651"/>
      <c r="R551" s="651"/>
      <c r="S551" s="651"/>
    </row>
    <row r="552" spans="12:19" ht="15.75" customHeight="1" x14ac:dyDescent="0.35">
      <c r="L552" s="2"/>
      <c r="M552" s="2"/>
      <c r="N552" s="650"/>
      <c r="O552" s="650"/>
      <c r="P552" s="651"/>
      <c r="Q552" s="651"/>
      <c r="R552" s="651"/>
      <c r="S552" s="651"/>
    </row>
    <row r="553" spans="12:19" ht="15.75" customHeight="1" x14ac:dyDescent="0.35">
      <c r="L553" s="2"/>
      <c r="M553" s="2"/>
      <c r="N553" s="650"/>
      <c r="O553" s="650"/>
      <c r="P553" s="651"/>
      <c r="Q553" s="651"/>
      <c r="R553" s="651"/>
      <c r="S553" s="651"/>
    </row>
    <row r="554" spans="12:19" ht="15.75" customHeight="1" x14ac:dyDescent="0.35">
      <c r="L554" s="2"/>
      <c r="M554" s="2"/>
      <c r="N554" s="650"/>
      <c r="O554" s="650"/>
      <c r="P554" s="651"/>
      <c r="Q554" s="651"/>
      <c r="R554" s="651"/>
      <c r="S554" s="651"/>
    </row>
    <row r="555" spans="12:19" ht="15.75" customHeight="1" x14ac:dyDescent="0.35">
      <c r="L555" s="2"/>
      <c r="M555" s="2"/>
      <c r="N555" s="650"/>
      <c r="O555" s="650"/>
      <c r="P555" s="651"/>
      <c r="Q555" s="651"/>
      <c r="R555" s="651"/>
      <c r="S555" s="651"/>
    </row>
    <row r="556" spans="12:19" ht="15.75" customHeight="1" x14ac:dyDescent="0.35">
      <c r="L556" s="2"/>
      <c r="M556" s="2"/>
      <c r="N556" s="650"/>
      <c r="O556" s="650"/>
      <c r="P556" s="651"/>
      <c r="Q556" s="651"/>
      <c r="R556" s="651"/>
      <c r="S556" s="651"/>
    </row>
    <row r="557" spans="12:19" ht="15.75" customHeight="1" x14ac:dyDescent="0.35">
      <c r="L557" s="2"/>
      <c r="M557" s="2"/>
      <c r="N557" s="650"/>
      <c r="O557" s="650"/>
      <c r="P557" s="651"/>
      <c r="Q557" s="651"/>
      <c r="R557" s="651"/>
      <c r="S557" s="651"/>
    </row>
    <row r="558" spans="12:19" ht="15.75" customHeight="1" x14ac:dyDescent="0.35">
      <c r="L558" s="2"/>
      <c r="M558" s="2"/>
      <c r="N558" s="650"/>
      <c r="O558" s="650"/>
      <c r="P558" s="651"/>
      <c r="Q558" s="651"/>
      <c r="R558" s="651"/>
      <c r="S558" s="651"/>
    </row>
    <row r="559" spans="12:19" ht="15.75" customHeight="1" x14ac:dyDescent="0.35">
      <c r="L559" s="2"/>
      <c r="M559" s="2"/>
      <c r="N559" s="650"/>
      <c r="O559" s="650"/>
      <c r="P559" s="651"/>
      <c r="Q559" s="651"/>
      <c r="R559" s="651"/>
      <c r="S559" s="651"/>
    </row>
    <row r="560" spans="12:19" ht="15.75" customHeight="1" x14ac:dyDescent="0.35">
      <c r="L560" s="2"/>
      <c r="M560" s="2"/>
      <c r="N560" s="650"/>
      <c r="O560" s="650"/>
      <c r="P560" s="651"/>
      <c r="Q560" s="651"/>
      <c r="R560" s="651"/>
      <c r="S560" s="651"/>
    </row>
    <row r="561" spans="12:19" ht="15.75" customHeight="1" x14ac:dyDescent="0.35">
      <c r="L561" s="2"/>
      <c r="M561" s="2"/>
      <c r="N561" s="650"/>
      <c r="O561" s="650"/>
      <c r="P561" s="651"/>
      <c r="Q561" s="651"/>
      <c r="R561" s="651"/>
      <c r="S561" s="651"/>
    </row>
    <row r="562" spans="12:19" ht="15.75" customHeight="1" x14ac:dyDescent="0.35">
      <c r="L562" s="2"/>
      <c r="M562" s="2"/>
      <c r="N562" s="650"/>
      <c r="O562" s="650"/>
      <c r="P562" s="651"/>
      <c r="Q562" s="651"/>
      <c r="R562" s="651"/>
      <c r="S562" s="651"/>
    </row>
    <row r="563" spans="12:19" ht="15.75" customHeight="1" x14ac:dyDescent="0.35">
      <c r="L563" s="2"/>
      <c r="M563" s="2"/>
      <c r="N563" s="650"/>
      <c r="O563" s="650"/>
      <c r="P563" s="651"/>
      <c r="Q563" s="651"/>
      <c r="R563" s="651"/>
      <c r="S563" s="651"/>
    </row>
    <row r="564" spans="12:19" ht="15.75" customHeight="1" x14ac:dyDescent="0.35">
      <c r="L564" s="2"/>
      <c r="M564" s="2"/>
      <c r="N564" s="650"/>
      <c r="O564" s="650"/>
      <c r="P564" s="651"/>
      <c r="Q564" s="651"/>
      <c r="R564" s="651"/>
      <c r="S564" s="651"/>
    </row>
    <row r="565" spans="12:19" ht="15.75" customHeight="1" x14ac:dyDescent="0.35">
      <c r="L565" s="2"/>
      <c r="M565" s="2"/>
      <c r="N565" s="650"/>
      <c r="O565" s="650"/>
      <c r="P565" s="651"/>
      <c r="Q565" s="651"/>
      <c r="R565" s="651"/>
      <c r="S565" s="651"/>
    </row>
    <row r="566" spans="12:19" ht="15.75" customHeight="1" x14ac:dyDescent="0.35">
      <c r="L566" s="2"/>
      <c r="M566" s="2"/>
      <c r="N566" s="650"/>
      <c r="O566" s="650"/>
      <c r="P566" s="651"/>
      <c r="Q566" s="651"/>
      <c r="R566" s="651"/>
      <c r="S566" s="651"/>
    </row>
    <row r="567" spans="12:19" ht="15.75" customHeight="1" x14ac:dyDescent="0.35">
      <c r="L567" s="2"/>
      <c r="M567" s="2"/>
      <c r="N567" s="650"/>
      <c r="O567" s="650"/>
      <c r="P567" s="651"/>
      <c r="Q567" s="651"/>
      <c r="R567" s="651"/>
      <c r="S567" s="651"/>
    </row>
    <row r="568" spans="12:19" ht="15.75" customHeight="1" x14ac:dyDescent="0.35">
      <c r="L568" s="2"/>
      <c r="M568" s="2"/>
      <c r="N568" s="650"/>
      <c r="O568" s="650"/>
      <c r="P568" s="651"/>
      <c r="Q568" s="651"/>
      <c r="R568" s="651"/>
      <c r="S568" s="651"/>
    </row>
    <row r="569" spans="12:19" ht="15.75" customHeight="1" x14ac:dyDescent="0.35">
      <c r="L569" s="2"/>
      <c r="M569" s="2"/>
      <c r="N569" s="650"/>
      <c r="O569" s="650"/>
      <c r="P569" s="651"/>
      <c r="Q569" s="651"/>
      <c r="R569" s="651"/>
      <c r="S569" s="651"/>
    </row>
    <row r="570" spans="12:19" ht="15.75" customHeight="1" x14ac:dyDescent="0.35">
      <c r="L570" s="2"/>
      <c r="M570" s="2"/>
      <c r="N570" s="650"/>
      <c r="O570" s="650"/>
      <c r="P570" s="651"/>
      <c r="Q570" s="651"/>
      <c r="R570" s="651"/>
      <c r="S570" s="651"/>
    </row>
    <row r="571" spans="12:19" ht="15.75" customHeight="1" x14ac:dyDescent="0.35">
      <c r="L571" s="2"/>
      <c r="M571" s="2"/>
      <c r="N571" s="650"/>
      <c r="O571" s="650"/>
      <c r="P571" s="651"/>
      <c r="Q571" s="651"/>
      <c r="R571" s="651"/>
      <c r="S571" s="651"/>
    </row>
    <row r="572" spans="12:19" ht="15.75" customHeight="1" x14ac:dyDescent="0.35">
      <c r="L572" s="2"/>
      <c r="M572" s="2"/>
      <c r="N572" s="650"/>
      <c r="O572" s="650"/>
      <c r="P572" s="651"/>
      <c r="Q572" s="651"/>
      <c r="R572" s="651"/>
      <c r="S572" s="651"/>
    </row>
    <row r="573" spans="12:19" ht="15.75" customHeight="1" x14ac:dyDescent="0.35">
      <c r="L573" s="2"/>
      <c r="M573" s="2"/>
      <c r="N573" s="650"/>
      <c r="O573" s="650"/>
      <c r="P573" s="651"/>
      <c r="Q573" s="651"/>
      <c r="R573" s="651"/>
      <c r="S573" s="651"/>
    </row>
    <row r="574" spans="12:19" ht="15.75" customHeight="1" x14ac:dyDescent="0.35">
      <c r="L574" s="2"/>
      <c r="M574" s="2"/>
      <c r="N574" s="650"/>
      <c r="O574" s="650"/>
      <c r="P574" s="651"/>
      <c r="Q574" s="651"/>
      <c r="R574" s="651"/>
      <c r="S574" s="651"/>
    </row>
    <row r="575" spans="12:19" ht="15.75" customHeight="1" x14ac:dyDescent="0.35">
      <c r="L575" s="2"/>
      <c r="M575" s="2"/>
      <c r="N575" s="650"/>
      <c r="O575" s="650"/>
      <c r="P575" s="651"/>
      <c r="Q575" s="651"/>
      <c r="R575" s="651"/>
      <c r="S575" s="651"/>
    </row>
    <row r="576" spans="12:19" ht="15.75" customHeight="1" x14ac:dyDescent="0.35">
      <c r="L576" s="2"/>
      <c r="M576" s="2"/>
      <c r="N576" s="650"/>
      <c r="O576" s="650"/>
      <c r="P576" s="651"/>
      <c r="Q576" s="651"/>
      <c r="R576" s="651"/>
      <c r="S576" s="651"/>
    </row>
    <row r="577" spans="12:19" ht="15.75" customHeight="1" x14ac:dyDescent="0.35">
      <c r="L577" s="2"/>
      <c r="M577" s="2"/>
      <c r="N577" s="650"/>
      <c r="O577" s="650"/>
      <c r="P577" s="651"/>
      <c r="Q577" s="651"/>
      <c r="R577" s="651"/>
      <c r="S577" s="651"/>
    </row>
    <row r="578" spans="12:19" ht="15.75" customHeight="1" x14ac:dyDescent="0.35">
      <c r="L578" s="2"/>
      <c r="M578" s="2"/>
      <c r="N578" s="650"/>
      <c r="O578" s="650"/>
      <c r="P578" s="651"/>
      <c r="Q578" s="651"/>
      <c r="R578" s="651"/>
      <c r="S578" s="651"/>
    </row>
    <row r="579" spans="12:19" ht="15.75" customHeight="1" x14ac:dyDescent="0.35">
      <c r="L579" s="2"/>
      <c r="M579" s="2"/>
      <c r="N579" s="650"/>
      <c r="O579" s="650"/>
      <c r="P579" s="651"/>
      <c r="Q579" s="651"/>
      <c r="R579" s="651"/>
      <c r="S579" s="651"/>
    </row>
    <row r="580" spans="12:19" ht="15.75" customHeight="1" x14ac:dyDescent="0.35">
      <c r="L580" s="2"/>
      <c r="M580" s="2"/>
      <c r="N580" s="650"/>
      <c r="O580" s="650"/>
      <c r="P580" s="651"/>
      <c r="Q580" s="651"/>
      <c r="R580" s="651"/>
      <c r="S580" s="651"/>
    </row>
    <row r="581" spans="12:19" ht="15.75" customHeight="1" x14ac:dyDescent="0.35">
      <c r="L581" s="2"/>
      <c r="M581" s="2"/>
      <c r="N581" s="650"/>
      <c r="O581" s="650"/>
      <c r="P581" s="651"/>
      <c r="Q581" s="651"/>
      <c r="R581" s="651"/>
      <c r="S581" s="651"/>
    </row>
    <row r="582" spans="12:19" ht="15.75" customHeight="1" x14ac:dyDescent="0.35">
      <c r="L582" s="2"/>
      <c r="M582" s="2"/>
      <c r="N582" s="650"/>
      <c r="O582" s="650"/>
      <c r="P582" s="651"/>
      <c r="Q582" s="651"/>
      <c r="R582" s="651"/>
      <c r="S582" s="651"/>
    </row>
    <row r="583" spans="12:19" ht="15.75" customHeight="1" x14ac:dyDescent="0.35">
      <c r="L583" s="2"/>
      <c r="M583" s="2"/>
      <c r="N583" s="650"/>
      <c r="O583" s="650"/>
      <c r="P583" s="651"/>
      <c r="Q583" s="651"/>
      <c r="R583" s="651"/>
      <c r="S583" s="651"/>
    </row>
    <row r="584" spans="12:19" ht="15.75" customHeight="1" x14ac:dyDescent="0.35">
      <c r="L584" s="2"/>
      <c r="M584" s="2"/>
      <c r="N584" s="650"/>
      <c r="O584" s="650"/>
      <c r="P584" s="651"/>
      <c r="Q584" s="651"/>
      <c r="R584" s="651"/>
      <c r="S584" s="651"/>
    </row>
    <row r="585" spans="12:19" ht="15.75" customHeight="1" x14ac:dyDescent="0.35">
      <c r="L585" s="2"/>
      <c r="M585" s="2"/>
      <c r="N585" s="650"/>
      <c r="O585" s="650"/>
      <c r="P585" s="651"/>
      <c r="Q585" s="651"/>
      <c r="R585" s="651"/>
      <c r="S585" s="651"/>
    </row>
    <row r="586" spans="12:19" ht="15.75" customHeight="1" x14ac:dyDescent="0.35">
      <c r="L586" s="2"/>
      <c r="M586" s="2"/>
      <c r="N586" s="650"/>
      <c r="O586" s="650"/>
      <c r="P586" s="651"/>
      <c r="Q586" s="651"/>
      <c r="R586" s="651"/>
      <c r="S586" s="651"/>
    </row>
    <row r="587" spans="12:19" ht="15.75" customHeight="1" x14ac:dyDescent="0.35">
      <c r="L587" s="2"/>
      <c r="M587" s="2"/>
      <c r="N587" s="650"/>
      <c r="O587" s="650"/>
      <c r="P587" s="651"/>
      <c r="Q587" s="651"/>
      <c r="R587" s="651"/>
      <c r="S587" s="651"/>
    </row>
    <row r="588" spans="12:19" ht="15.75" customHeight="1" x14ac:dyDescent="0.35">
      <c r="L588" s="2"/>
      <c r="M588" s="2"/>
      <c r="N588" s="650"/>
      <c r="O588" s="650"/>
      <c r="P588" s="651"/>
      <c r="Q588" s="651"/>
      <c r="R588" s="651"/>
      <c r="S588" s="651"/>
    </row>
    <row r="589" spans="12:19" ht="15.75" customHeight="1" x14ac:dyDescent="0.35">
      <c r="L589" s="2"/>
      <c r="M589" s="2"/>
      <c r="N589" s="650"/>
      <c r="O589" s="650"/>
      <c r="P589" s="651"/>
      <c r="Q589" s="651"/>
      <c r="R589" s="651"/>
      <c r="S589" s="651"/>
    </row>
    <row r="590" spans="12:19" ht="15.75" customHeight="1" x14ac:dyDescent="0.35">
      <c r="L590" s="2"/>
      <c r="M590" s="2"/>
      <c r="N590" s="650"/>
      <c r="O590" s="650"/>
      <c r="P590" s="651"/>
      <c r="Q590" s="651"/>
      <c r="R590" s="651"/>
      <c r="S590" s="651"/>
    </row>
    <row r="591" spans="12:19" ht="15.75" customHeight="1" x14ac:dyDescent="0.35">
      <c r="L591" s="2"/>
      <c r="M591" s="2"/>
      <c r="N591" s="650"/>
      <c r="O591" s="650"/>
      <c r="P591" s="651"/>
      <c r="Q591" s="651"/>
      <c r="R591" s="651"/>
      <c r="S591" s="651"/>
    </row>
    <row r="592" spans="12:19" ht="15.75" customHeight="1" x14ac:dyDescent="0.35">
      <c r="L592" s="2"/>
      <c r="M592" s="2"/>
      <c r="N592" s="650"/>
      <c r="O592" s="650"/>
      <c r="P592" s="651"/>
      <c r="Q592" s="651"/>
      <c r="R592" s="651"/>
      <c r="S592" s="651"/>
    </row>
    <row r="593" spans="12:19" ht="15.75" customHeight="1" x14ac:dyDescent="0.35">
      <c r="L593" s="2"/>
      <c r="M593" s="2"/>
      <c r="N593" s="650"/>
      <c r="O593" s="650"/>
      <c r="P593" s="651"/>
      <c r="Q593" s="651"/>
      <c r="R593" s="651"/>
      <c r="S593" s="651"/>
    </row>
    <row r="594" spans="12:19" ht="15.75" customHeight="1" x14ac:dyDescent="0.35">
      <c r="L594" s="2"/>
      <c r="M594" s="2"/>
      <c r="N594" s="650"/>
      <c r="O594" s="650"/>
      <c r="P594" s="651"/>
      <c r="Q594" s="651"/>
      <c r="R594" s="651"/>
      <c r="S594" s="651"/>
    </row>
    <row r="595" spans="12:19" ht="15.75" customHeight="1" x14ac:dyDescent="0.35">
      <c r="L595" s="2"/>
      <c r="M595" s="2"/>
      <c r="N595" s="650"/>
      <c r="O595" s="650"/>
      <c r="P595" s="651"/>
      <c r="Q595" s="651"/>
      <c r="R595" s="651"/>
      <c r="S595" s="651"/>
    </row>
    <row r="596" spans="12:19" ht="15.75" customHeight="1" x14ac:dyDescent="0.35">
      <c r="L596" s="2"/>
      <c r="M596" s="2"/>
      <c r="N596" s="650"/>
      <c r="O596" s="650"/>
      <c r="P596" s="651"/>
      <c r="Q596" s="651"/>
      <c r="R596" s="651"/>
      <c r="S596" s="651"/>
    </row>
    <row r="597" spans="12:19" ht="15.75" customHeight="1" x14ac:dyDescent="0.35">
      <c r="L597" s="2"/>
      <c r="M597" s="2"/>
      <c r="N597" s="650"/>
      <c r="O597" s="650"/>
      <c r="P597" s="651"/>
      <c r="Q597" s="651"/>
      <c r="R597" s="651"/>
      <c r="S597" s="651"/>
    </row>
    <row r="598" spans="12:19" ht="15.75" customHeight="1" x14ac:dyDescent="0.35">
      <c r="L598" s="2"/>
      <c r="M598" s="2"/>
      <c r="N598" s="650"/>
      <c r="O598" s="650"/>
      <c r="P598" s="651"/>
      <c r="Q598" s="651"/>
      <c r="R598" s="651"/>
      <c r="S598" s="651"/>
    </row>
    <row r="599" spans="12:19" ht="15.75" customHeight="1" x14ac:dyDescent="0.35">
      <c r="L599" s="2"/>
      <c r="M599" s="2"/>
      <c r="N599" s="650"/>
      <c r="O599" s="650"/>
      <c r="P599" s="651"/>
      <c r="Q599" s="651"/>
      <c r="R599" s="651"/>
      <c r="S599" s="651"/>
    </row>
    <row r="600" spans="12:19" ht="15.75" customHeight="1" x14ac:dyDescent="0.35">
      <c r="L600" s="2"/>
      <c r="M600" s="2"/>
      <c r="N600" s="650"/>
      <c r="O600" s="650"/>
      <c r="P600" s="651"/>
      <c r="Q600" s="651"/>
      <c r="R600" s="651"/>
      <c r="S600" s="651"/>
    </row>
    <row r="601" spans="12:19" ht="15.75" customHeight="1" x14ac:dyDescent="0.35">
      <c r="L601" s="2"/>
      <c r="M601" s="2"/>
      <c r="N601" s="650"/>
      <c r="O601" s="650"/>
      <c r="P601" s="651"/>
      <c r="Q601" s="651"/>
      <c r="R601" s="651"/>
      <c r="S601" s="651"/>
    </row>
    <row r="602" spans="12:19" ht="15.75" customHeight="1" x14ac:dyDescent="0.35">
      <c r="L602" s="2"/>
      <c r="M602" s="2"/>
      <c r="N602" s="650"/>
      <c r="O602" s="650"/>
      <c r="P602" s="651"/>
      <c r="Q602" s="651"/>
      <c r="R602" s="651"/>
      <c r="S602" s="651"/>
    </row>
    <row r="603" spans="12:19" ht="15.75" customHeight="1" x14ac:dyDescent="0.35">
      <c r="L603" s="2"/>
      <c r="M603" s="2"/>
      <c r="N603" s="650"/>
      <c r="O603" s="650"/>
      <c r="P603" s="651"/>
      <c r="Q603" s="651"/>
      <c r="R603" s="651"/>
      <c r="S603" s="651"/>
    </row>
    <row r="604" spans="12:19" ht="15.75" customHeight="1" x14ac:dyDescent="0.35">
      <c r="L604" s="2"/>
      <c r="M604" s="2"/>
      <c r="N604" s="650"/>
      <c r="O604" s="650"/>
      <c r="P604" s="651"/>
      <c r="Q604" s="651"/>
      <c r="R604" s="651"/>
      <c r="S604" s="651"/>
    </row>
    <row r="605" spans="12:19" ht="15.75" customHeight="1" x14ac:dyDescent="0.35">
      <c r="L605" s="2"/>
      <c r="M605" s="2"/>
      <c r="N605" s="650"/>
      <c r="O605" s="650"/>
      <c r="P605" s="651"/>
      <c r="Q605" s="651"/>
      <c r="R605" s="651"/>
      <c r="S605" s="651"/>
    </row>
    <row r="606" spans="12:19" ht="15.75" customHeight="1" x14ac:dyDescent="0.35">
      <c r="L606" s="2"/>
      <c r="M606" s="2"/>
      <c r="N606" s="650"/>
      <c r="O606" s="650"/>
      <c r="P606" s="651"/>
      <c r="Q606" s="651"/>
      <c r="R606" s="651"/>
      <c r="S606" s="651"/>
    </row>
    <row r="607" spans="12:19" ht="15.75" customHeight="1" x14ac:dyDescent="0.35">
      <c r="L607" s="2"/>
      <c r="M607" s="2"/>
      <c r="N607" s="650"/>
      <c r="O607" s="650"/>
      <c r="P607" s="651"/>
      <c r="Q607" s="651"/>
      <c r="R607" s="651"/>
      <c r="S607" s="651"/>
    </row>
    <row r="608" spans="12:19" ht="15.75" customHeight="1" x14ac:dyDescent="0.35">
      <c r="L608" s="2"/>
      <c r="M608" s="2"/>
      <c r="N608" s="650"/>
      <c r="O608" s="650"/>
      <c r="P608" s="651"/>
      <c r="Q608" s="651"/>
      <c r="R608" s="651"/>
      <c r="S608" s="651"/>
    </row>
    <row r="609" spans="12:19" ht="15.75" customHeight="1" x14ac:dyDescent="0.35">
      <c r="L609" s="2"/>
      <c r="M609" s="2"/>
      <c r="N609" s="650"/>
      <c r="O609" s="650"/>
      <c r="P609" s="651"/>
      <c r="Q609" s="651"/>
      <c r="R609" s="651"/>
      <c r="S609" s="651"/>
    </row>
    <row r="610" spans="12:19" ht="15.75" customHeight="1" x14ac:dyDescent="0.35">
      <c r="L610" s="2"/>
      <c r="M610" s="2"/>
      <c r="N610" s="650"/>
      <c r="O610" s="650"/>
      <c r="P610" s="651"/>
      <c r="Q610" s="651"/>
      <c r="R610" s="651"/>
      <c r="S610" s="651"/>
    </row>
    <row r="611" spans="12:19" ht="15.75" customHeight="1" x14ac:dyDescent="0.35">
      <c r="L611" s="2"/>
      <c r="M611" s="2"/>
      <c r="N611" s="650"/>
      <c r="O611" s="650"/>
      <c r="P611" s="651"/>
      <c r="Q611" s="651"/>
      <c r="R611" s="651"/>
      <c r="S611" s="651"/>
    </row>
    <row r="612" spans="12:19" ht="15.75" customHeight="1" x14ac:dyDescent="0.35">
      <c r="L612" s="2"/>
      <c r="M612" s="2"/>
      <c r="N612" s="650"/>
      <c r="O612" s="650"/>
      <c r="P612" s="651"/>
      <c r="Q612" s="651"/>
      <c r="R612" s="651"/>
      <c r="S612" s="651"/>
    </row>
    <row r="613" spans="12:19" ht="15.75" customHeight="1" x14ac:dyDescent="0.35">
      <c r="L613" s="2"/>
      <c r="M613" s="2"/>
      <c r="N613" s="650"/>
      <c r="O613" s="650"/>
      <c r="P613" s="651"/>
      <c r="Q613" s="651"/>
      <c r="R613" s="651"/>
      <c r="S613" s="651"/>
    </row>
    <row r="614" spans="12:19" ht="15.75" customHeight="1" x14ac:dyDescent="0.35">
      <c r="L614" s="2"/>
      <c r="M614" s="2"/>
      <c r="N614" s="650"/>
      <c r="O614" s="650"/>
      <c r="P614" s="651"/>
      <c r="Q614" s="651"/>
      <c r="R614" s="651"/>
      <c r="S614" s="651"/>
    </row>
    <row r="615" spans="12:19" ht="15.75" customHeight="1" x14ac:dyDescent="0.35">
      <c r="L615" s="2"/>
      <c r="M615" s="2"/>
      <c r="N615" s="650"/>
      <c r="O615" s="650"/>
      <c r="P615" s="651"/>
      <c r="Q615" s="651"/>
      <c r="R615" s="651"/>
      <c r="S615" s="651"/>
    </row>
    <row r="616" spans="12:19" ht="15.75" customHeight="1" x14ac:dyDescent="0.35">
      <c r="L616" s="2"/>
      <c r="M616" s="2"/>
      <c r="N616" s="650"/>
      <c r="O616" s="650"/>
      <c r="P616" s="651"/>
      <c r="Q616" s="651"/>
      <c r="R616" s="651"/>
      <c r="S616" s="651"/>
    </row>
    <row r="617" spans="12:19" ht="15.75" customHeight="1" x14ac:dyDescent="0.35">
      <c r="L617" s="2"/>
      <c r="M617" s="2"/>
      <c r="N617" s="650"/>
      <c r="O617" s="650"/>
      <c r="P617" s="651"/>
      <c r="Q617" s="651"/>
      <c r="R617" s="651"/>
      <c r="S617" s="651"/>
    </row>
    <row r="618" spans="12:19" ht="15.75" customHeight="1" x14ac:dyDescent="0.35">
      <c r="L618" s="2"/>
      <c r="M618" s="2"/>
      <c r="N618" s="650"/>
      <c r="O618" s="650"/>
      <c r="P618" s="651"/>
      <c r="Q618" s="651"/>
      <c r="R618" s="651"/>
      <c r="S618" s="651"/>
    </row>
    <row r="619" spans="12:19" ht="15.75" customHeight="1" x14ac:dyDescent="0.35">
      <c r="L619" s="2"/>
      <c r="M619" s="2"/>
      <c r="N619" s="650"/>
      <c r="O619" s="650"/>
      <c r="P619" s="651"/>
      <c r="Q619" s="651"/>
      <c r="R619" s="651"/>
      <c r="S619" s="651"/>
    </row>
    <row r="620" spans="12:19" ht="15.75" customHeight="1" x14ac:dyDescent="0.35">
      <c r="L620" s="2"/>
      <c r="M620" s="2"/>
      <c r="N620" s="650"/>
      <c r="O620" s="650"/>
      <c r="P620" s="651"/>
      <c r="Q620" s="651"/>
      <c r="R620" s="651"/>
      <c r="S620" s="651"/>
    </row>
    <row r="621" spans="12:19" ht="15.75" customHeight="1" x14ac:dyDescent="0.35">
      <c r="L621" s="2"/>
      <c r="M621" s="2"/>
      <c r="N621" s="650"/>
      <c r="O621" s="650"/>
      <c r="P621" s="651"/>
      <c r="Q621" s="651"/>
      <c r="R621" s="651"/>
      <c r="S621" s="651"/>
    </row>
    <row r="622" spans="12:19" ht="15.75" customHeight="1" x14ac:dyDescent="0.35">
      <c r="L622" s="2"/>
      <c r="M622" s="2"/>
      <c r="N622" s="650"/>
      <c r="O622" s="650"/>
      <c r="P622" s="651"/>
      <c r="Q622" s="651"/>
      <c r="R622" s="651"/>
      <c r="S622" s="651"/>
    </row>
    <row r="623" spans="12:19" ht="15.75" customHeight="1" x14ac:dyDescent="0.35">
      <c r="L623" s="2"/>
      <c r="M623" s="2"/>
      <c r="N623" s="650"/>
      <c r="O623" s="650"/>
      <c r="P623" s="651"/>
      <c r="Q623" s="651"/>
      <c r="R623" s="651"/>
      <c r="S623" s="651"/>
    </row>
    <row r="624" spans="12:19" ht="15.75" customHeight="1" x14ac:dyDescent="0.35">
      <c r="L624" s="2"/>
      <c r="M624" s="2"/>
      <c r="N624" s="650"/>
      <c r="O624" s="650"/>
      <c r="P624" s="651"/>
      <c r="Q624" s="651"/>
      <c r="R624" s="651"/>
      <c r="S624" s="651"/>
    </row>
    <row r="625" spans="12:19" ht="15.75" customHeight="1" x14ac:dyDescent="0.35">
      <c r="L625" s="2"/>
      <c r="M625" s="2"/>
      <c r="N625" s="650"/>
      <c r="O625" s="650"/>
      <c r="P625" s="651"/>
      <c r="Q625" s="651"/>
      <c r="R625" s="651"/>
      <c r="S625" s="651"/>
    </row>
    <row r="626" spans="12:19" ht="15.75" customHeight="1" x14ac:dyDescent="0.35">
      <c r="L626" s="2"/>
      <c r="M626" s="2"/>
      <c r="N626" s="650"/>
      <c r="O626" s="650"/>
      <c r="P626" s="651"/>
      <c r="Q626" s="651"/>
      <c r="R626" s="651"/>
      <c r="S626" s="651"/>
    </row>
    <row r="627" spans="12:19" ht="15.75" customHeight="1" x14ac:dyDescent="0.35">
      <c r="L627" s="2"/>
      <c r="M627" s="2"/>
      <c r="N627" s="650"/>
      <c r="O627" s="650"/>
      <c r="P627" s="651"/>
      <c r="Q627" s="651"/>
      <c r="R627" s="651"/>
      <c r="S627" s="651"/>
    </row>
    <row r="628" spans="12:19" ht="15.75" customHeight="1" x14ac:dyDescent="0.35">
      <c r="L628" s="2"/>
      <c r="M628" s="2"/>
      <c r="N628" s="650"/>
      <c r="O628" s="650"/>
      <c r="P628" s="651"/>
      <c r="Q628" s="651"/>
      <c r="R628" s="651"/>
      <c r="S628" s="651"/>
    </row>
    <row r="629" spans="12:19" ht="15.75" customHeight="1" x14ac:dyDescent="0.35">
      <c r="L629" s="2"/>
      <c r="M629" s="2"/>
      <c r="N629" s="650"/>
      <c r="O629" s="650"/>
      <c r="P629" s="651"/>
      <c r="Q629" s="651"/>
      <c r="R629" s="651"/>
      <c r="S629" s="651"/>
    </row>
    <row r="630" spans="12:19" ht="15.75" customHeight="1" x14ac:dyDescent="0.35">
      <c r="L630" s="2"/>
      <c r="M630" s="2"/>
      <c r="N630" s="650"/>
      <c r="O630" s="650"/>
      <c r="P630" s="651"/>
      <c r="Q630" s="651"/>
      <c r="R630" s="651"/>
      <c r="S630" s="651"/>
    </row>
    <row r="631" spans="12:19" ht="15.75" customHeight="1" x14ac:dyDescent="0.35">
      <c r="L631" s="2"/>
      <c r="M631" s="2"/>
      <c r="N631" s="650"/>
      <c r="O631" s="650"/>
      <c r="P631" s="651"/>
      <c r="Q631" s="651"/>
      <c r="R631" s="651"/>
      <c r="S631" s="651"/>
    </row>
    <row r="632" spans="12:19" ht="15.75" customHeight="1" x14ac:dyDescent="0.35">
      <c r="L632" s="2"/>
      <c r="M632" s="2"/>
      <c r="N632" s="650"/>
      <c r="O632" s="650"/>
      <c r="P632" s="651"/>
      <c r="Q632" s="651"/>
      <c r="R632" s="651"/>
      <c r="S632" s="651"/>
    </row>
    <row r="633" spans="12:19" ht="15.75" customHeight="1" x14ac:dyDescent="0.35">
      <c r="L633" s="2"/>
      <c r="M633" s="2"/>
      <c r="N633" s="650"/>
      <c r="O633" s="650"/>
      <c r="P633" s="651"/>
      <c r="Q633" s="651"/>
      <c r="R633" s="651"/>
      <c r="S633" s="651"/>
    </row>
    <row r="634" spans="12:19" ht="15.75" customHeight="1" x14ac:dyDescent="0.35">
      <c r="L634" s="2"/>
      <c r="M634" s="2"/>
      <c r="N634" s="650"/>
      <c r="O634" s="650"/>
      <c r="P634" s="651"/>
      <c r="Q634" s="651"/>
      <c r="R634" s="651"/>
      <c r="S634" s="651"/>
    </row>
    <row r="635" spans="12:19" ht="15.75" customHeight="1" x14ac:dyDescent="0.35">
      <c r="L635" s="2"/>
      <c r="M635" s="2"/>
      <c r="N635" s="650"/>
      <c r="O635" s="650"/>
      <c r="P635" s="651"/>
      <c r="Q635" s="651"/>
      <c r="R635" s="651"/>
      <c r="S635" s="651"/>
    </row>
    <row r="636" spans="12:19" ht="15.75" customHeight="1" x14ac:dyDescent="0.35">
      <c r="L636" s="2"/>
      <c r="M636" s="2"/>
      <c r="N636" s="650"/>
      <c r="O636" s="650"/>
      <c r="P636" s="651"/>
      <c r="Q636" s="651"/>
      <c r="R636" s="651"/>
      <c r="S636" s="651"/>
    </row>
    <row r="637" spans="12:19" ht="15.75" customHeight="1" x14ac:dyDescent="0.35">
      <c r="L637" s="2"/>
      <c r="M637" s="2"/>
      <c r="N637" s="650"/>
      <c r="O637" s="650"/>
      <c r="P637" s="651"/>
      <c r="Q637" s="651"/>
      <c r="R637" s="651"/>
      <c r="S637" s="651"/>
    </row>
    <row r="638" spans="12:19" ht="15.75" customHeight="1" x14ac:dyDescent="0.35">
      <c r="L638" s="2"/>
      <c r="M638" s="2"/>
      <c r="N638" s="650"/>
      <c r="O638" s="650"/>
      <c r="P638" s="651"/>
      <c r="Q638" s="651"/>
      <c r="R638" s="651"/>
      <c r="S638" s="651"/>
    </row>
    <row r="639" spans="12:19" ht="15.75" customHeight="1" x14ac:dyDescent="0.35">
      <c r="L639" s="2"/>
      <c r="M639" s="2"/>
      <c r="N639" s="650"/>
      <c r="O639" s="650"/>
      <c r="P639" s="651"/>
      <c r="Q639" s="651"/>
      <c r="R639" s="651"/>
      <c r="S639" s="651"/>
    </row>
    <row r="640" spans="12:19" ht="15.75" customHeight="1" x14ac:dyDescent="0.35">
      <c r="L640" s="2"/>
      <c r="M640" s="2"/>
      <c r="N640" s="650"/>
      <c r="O640" s="650"/>
      <c r="P640" s="651"/>
      <c r="Q640" s="651"/>
      <c r="R640" s="651"/>
      <c r="S640" s="651"/>
    </row>
    <row r="641" spans="12:19" ht="15.75" customHeight="1" x14ac:dyDescent="0.35">
      <c r="L641" s="2"/>
      <c r="M641" s="2"/>
      <c r="N641" s="650"/>
      <c r="O641" s="650"/>
      <c r="P641" s="651"/>
      <c r="Q641" s="651"/>
      <c r="R641" s="651"/>
      <c r="S641" s="651"/>
    </row>
    <row r="642" spans="12:19" ht="15.75" customHeight="1" x14ac:dyDescent="0.35">
      <c r="L642" s="2"/>
      <c r="M642" s="2"/>
      <c r="N642" s="650"/>
      <c r="O642" s="650"/>
      <c r="P642" s="651"/>
      <c r="Q642" s="651"/>
      <c r="R642" s="651"/>
      <c r="S642" s="651"/>
    </row>
    <row r="643" spans="12:19" ht="15.75" customHeight="1" x14ac:dyDescent="0.35">
      <c r="L643" s="2"/>
      <c r="M643" s="2"/>
      <c r="N643" s="650"/>
      <c r="O643" s="650"/>
      <c r="P643" s="651"/>
      <c r="Q643" s="651"/>
      <c r="R643" s="651"/>
      <c r="S643" s="651"/>
    </row>
    <row r="644" spans="12:19" ht="15.75" customHeight="1" x14ac:dyDescent="0.35">
      <c r="L644" s="2"/>
      <c r="M644" s="2"/>
      <c r="N644" s="650"/>
      <c r="O644" s="650"/>
      <c r="P644" s="651"/>
      <c r="Q644" s="651"/>
      <c r="R644" s="651"/>
      <c r="S644" s="651"/>
    </row>
    <row r="645" spans="12:19" ht="15.75" customHeight="1" x14ac:dyDescent="0.35">
      <c r="L645" s="2"/>
      <c r="M645" s="2"/>
      <c r="N645" s="650"/>
      <c r="O645" s="650"/>
      <c r="P645" s="651"/>
      <c r="Q645" s="651"/>
      <c r="R645" s="651"/>
      <c r="S645" s="651"/>
    </row>
    <row r="646" spans="12:19" ht="15.75" customHeight="1" x14ac:dyDescent="0.35">
      <c r="L646" s="2"/>
      <c r="M646" s="2"/>
      <c r="N646" s="650"/>
      <c r="O646" s="650"/>
      <c r="P646" s="651"/>
      <c r="Q646" s="651"/>
      <c r="R646" s="651"/>
      <c r="S646" s="651"/>
    </row>
    <row r="647" spans="12:19" ht="15.75" customHeight="1" x14ac:dyDescent="0.35">
      <c r="L647" s="2"/>
      <c r="M647" s="2"/>
      <c r="N647" s="650"/>
      <c r="O647" s="650"/>
      <c r="P647" s="651"/>
      <c r="Q647" s="651"/>
      <c r="R647" s="651"/>
      <c r="S647" s="651"/>
    </row>
    <row r="648" spans="12:19" ht="15.75" customHeight="1" x14ac:dyDescent="0.35">
      <c r="L648" s="2"/>
      <c r="M648" s="2"/>
      <c r="N648" s="650"/>
      <c r="O648" s="650"/>
      <c r="P648" s="651"/>
      <c r="Q648" s="651"/>
      <c r="R648" s="651"/>
      <c r="S648" s="651"/>
    </row>
    <row r="649" spans="12:19" ht="15.75" customHeight="1" x14ac:dyDescent="0.35">
      <c r="L649" s="2"/>
      <c r="M649" s="2"/>
      <c r="N649" s="650"/>
      <c r="O649" s="650"/>
      <c r="P649" s="651"/>
      <c r="Q649" s="651"/>
      <c r="R649" s="651"/>
      <c r="S649" s="651"/>
    </row>
    <row r="650" spans="12:19" ht="15.75" customHeight="1" x14ac:dyDescent="0.35">
      <c r="L650" s="2"/>
      <c r="M650" s="2"/>
      <c r="N650" s="650"/>
      <c r="O650" s="650"/>
      <c r="P650" s="651"/>
      <c r="Q650" s="651"/>
      <c r="R650" s="651"/>
      <c r="S650" s="651"/>
    </row>
    <row r="651" spans="12:19" ht="15.75" customHeight="1" x14ac:dyDescent="0.35">
      <c r="L651" s="2"/>
      <c r="M651" s="2"/>
      <c r="N651" s="650"/>
      <c r="O651" s="650"/>
      <c r="P651" s="651"/>
      <c r="Q651" s="651"/>
      <c r="R651" s="651"/>
      <c r="S651" s="651"/>
    </row>
    <row r="652" spans="12:19" ht="15.75" customHeight="1" x14ac:dyDescent="0.35">
      <c r="L652" s="2"/>
      <c r="M652" s="2"/>
      <c r="N652" s="650"/>
      <c r="O652" s="650"/>
      <c r="P652" s="651"/>
      <c r="Q652" s="651"/>
      <c r="R652" s="651"/>
      <c r="S652" s="651"/>
    </row>
    <row r="653" spans="12:19" ht="15.75" customHeight="1" x14ac:dyDescent="0.35">
      <c r="L653" s="2"/>
      <c r="M653" s="2"/>
      <c r="N653" s="650"/>
      <c r="O653" s="650"/>
      <c r="P653" s="651"/>
      <c r="Q653" s="651"/>
      <c r="R653" s="651"/>
      <c r="S653" s="651"/>
    </row>
    <row r="654" spans="12:19" ht="15.75" customHeight="1" x14ac:dyDescent="0.35">
      <c r="L654" s="2"/>
      <c r="M654" s="2"/>
      <c r="N654" s="650"/>
      <c r="O654" s="650"/>
      <c r="P654" s="651"/>
      <c r="Q654" s="651"/>
      <c r="R654" s="651"/>
      <c r="S654" s="651"/>
    </row>
    <row r="655" spans="12:19" ht="15.75" customHeight="1" x14ac:dyDescent="0.35">
      <c r="L655" s="2"/>
      <c r="M655" s="2"/>
      <c r="N655" s="650"/>
      <c r="O655" s="650"/>
      <c r="P655" s="651"/>
      <c r="Q655" s="651"/>
      <c r="R655" s="651"/>
      <c r="S655" s="651"/>
    </row>
    <row r="656" spans="12:19" ht="15.75" customHeight="1" x14ac:dyDescent="0.35">
      <c r="L656" s="2"/>
      <c r="M656" s="2"/>
      <c r="N656" s="650"/>
      <c r="O656" s="650"/>
      <c r="P656" s="651"/>
      <c r="Q656" s="651"/>
      <c r="R656" s="651"/>
      <c r="S656" s="651"/>
    </row>
    <row r="657" spans="12:19" ht="15.75" customHeight="1" x14ac:dyDescent="0.35">
      <c r="L657" s="2"/>
      <c r="M657" s="2"/>
      <c r="N657" s="650"/>
      <c r="O657" s="650"/>
      <c r="P657" s="651"/>
      <c r="Q657" s="651"/>
      <c r="R657" s="651"/>
      <c r="S657" s="651"/>
    </row>
    <row r="658" spans="12:19" ht="15.75" customHeight="1" x14ac:dyDescent="0.35">
      <c r="L658" s="2"/>
      <c r="M658" s="2"/>
      <c r="N658" s="650"/>
      <c r="O658" s="650"/>
      <c r="P658" s="651"/>
      <c r="Q658" s="651"/>
      <c r="R658" s="651"/>
      <c r="S658" s="651"/>
    </row>
    <row r="659" spans="12:19" ht="15.75" customHeight="1" x14ac:dyDescent="0.35">
      <c r="L659" s="2"/>
      <c r="M659" s="2"/>
      <c r="N659" s="650"/>
      <c r="O659" s="650"/>
      <c r="P659" s="651"/>
      <c r="Q659" s="651"/>
      <c r="R659" s="651"/>
      <c r="S659" s="651"/>
    </row>
    <row r="660" spans="12:19" ht="15.75" customHeight="1" x14ac:dyDescent="0.35">
      <c r="L660" s="2"/>
      <c r="M660" s="2"/>
      <c r="N660" s="650"/>
      <c r="O660" s="650"/>
      <c r="P660" s="651"/>
      <c r="Q660" s="651"/>
      <c r="R660" s="651"/>
      <c r="S660" s="651"/>
    </row>
    <row r="661" spans="12:19" ht="15.75" customHeight="1" x14ac:dyDescent="0.35">
      <c r="L661" s="2"/>
      <c r="M661" s="2"/>
      <c r="N661" s="650"/>
      <c r="O661" s="650"/>
      <c r="P661" s="651"/>
      <c r="Q661" s="651"/>
      <c r="R661" s="651"/>
      <c r="S661" s="651"/>
    </row>
    <row r="662" spans="12:19" ht="15.75" customHeight="1" x14ac:dyDescent="0.35">
      <c r="L662" s="2"/>
      <c r="M662" s="2"/>
      <c r="N662" s="650"/>
      <c r="O662" s="650"/>
      <c r="P662" s="651"/>
      <c r="Q662" s="651"/>
      <c r="R662" s="651"/>
      <c r="S662" s="651"/>
    </row>
    <row r="663" spans="12:19" ht="15.75" customHeight="1" x14ac:dyDescent="0.35">
      <c r="L663" s="2"/>
      <c r="M663" s="2"/>
      <c r="N663" s="650"/>
      <c r="O663" s="650"/>
      <c r="P663" s="651"/>
      <c r="Q663" s="651"/>
      <c r="R663" s="651"/>
      <c r="S663" s="651"/>
    </row>
    <row r="664" spans="12:19" ht="15.75" customHeight="1" x14ac:dyDescent="0.35">
      <c r="L664" s="2"/>
      <c r="M664" s="2"/>
      <c r="N664" s="650"/>
      <c r="O664" s="650"/>
      <c r="P664" s="651"/>
      <c r="Q664" s="651"/>
      <c r="R664" s="651"/>
      <c r="S664" s="651"/>
    </row>
    <row r="665" spans="12:19" ht="15.75" customHeight="1" x14ac:dyDescent="0.35">
      <c r="L665" s="2"/>
      <c r="M665" s="2"/>
      <c r="N665" s="650"/>
      <c r="O665" s="650"/>
      <c r="P665" s="651"/>
      <c r="Q665" s="651"/>
      <c r="R665" s="651"/>
      <c r="S665" s="651"/>
    </row>
    <row r="666" spans="12:19" ht="15.75" customHeight="1" x14ac:dyDescent="0.35">
      <c r="L666" s="2"/>
      <c r="M666" s="2"/>
      <c r="N666" s="650"/>
      <c r="O666" s="650"/>
      <c r="P666" s="651"/>
      <c r="Q666" s="651"/>
      <c r="R666" s="651"/>
      <c r="S666" s="651"/>
    </row>
    <row r="667" spans="12:19" ht="15.75" customHeight="1" x14ac:dyDescent="0.35">
      <c r="L667" s="2"/>
      <c r="M667" s="2"/>
      <c r="N667" s="650"/>
      <c r="O667" s="650"/>
      <c r="P667" s="651"/>
      <c r="Q667" s="651"/>
      <c r="R667" s="651"/>
      <c r="S667" s="651"/>
    </row>
    <row r="668" spans="12:19" ht="15.75" customHeight="1" x14ac:dyDescent="0.35">
      <c r="L668" s="2"/>
      <c r="M668" s="2"/>
      <c r="N668" s="650"/>
      <c r="O668" s="650"/>
      <c r="P668" s="651"/>
      <c r="Q668" s="651"/>
      <c r="R668" s="651"/>
      <c r="S668" s="651"/>
    </row>
    <row r="669" spans="12:19" ht="15.75" customHeight="1" x14ac:dyDescent="0.35">
      <c r="L669" s="2"/>
      <c r="M669" s="2"/>
      <c r="N669" s="650"/>
      <c r="O669" s="650"/>
      <c r="P669" s="651"/>
      <c r="Q669" s="651"/>
      <c r="R669" s="651"/>
      <c r="S669" s="651"/>
    </row>
    <row r="670" spans="12:19" ht="15.75" customHeight="1" x14ac:dyDescent="0.35">
      <c r="L670" s="2"/>
      <c r="M670" s="2"/>
      <c r="N670" s="650"/>
      <c r="O670" s="650"/>
      <c r="P670" s="651"/>
      <c r="Q670" s="651"/>
      <c r="R670" s="651"/>
      <c r="S670" s="651"/>
    </row>
    <row r="671" spans="12:19" ht="15.75" customHeight="1" x14ac:dyDescent="0.35">
      <c r="L671" s="2"/>
      <c r="M671" s="2"/>
      <c r="N671" s="650"/>
      <c r="O671" s="650"/>
      <c r="P671" s="651"/>
      <c r="Q671" s="651"/>
      <c r="R671" s="651"/>
      <c r="S671" s="651"/>
    </row>
    <row r="672" spans="12:19" ht="15.75" customHeight="1" x14ac:dyDescent="0.35">
      <c r="L672" s="2"/>
      <c r="M672" s="2"/>
      <c r="N672" s="650"/>
      <c r="O672" s="650"/>
      <c r="P672" s="651"/>
      <c r="Q672" s="651"/>
      <c r="R672" s="651"/>
      <c r="S672" s="651"/>
    </row>
    <row r="673" spans="12:19" ht="15.75" customHeight="1" x14ac:dyDescent="0.35">
      <c r="L673" s="2"/>
      <c r="M673" s="2"/>
      <c r="N673" s="650"/>
      <c r="O673" s="650"/>
      <c r="P673" s="651"/>
      <c r="Q673" s="651"/>
      <c r="R673" s="651"/>
      <c r="S673" s="651"/>
    </row>
    <row r="674" spans="12:19" ht="15.75" customHeight="1" x14ac:dyDescent="0.35">
      <c r="L674" s="2"/>
      <c r="M674" s="2"/>
      <c r="N674" s="650"/>
      <c r="O674" s="650"/>
      <c r="P674" s="651"/>
      <c r="Q674" s="651"/>
      <c r="R674" s="651"/>
      <c r="S674" s="651"/>
    </row>
    <row r="675" spans="12:19" ht="15.75" customHeight="1" x14ac:dyDescent="0.35">
      <c r="L675" s="2"/>
      <c r="M675" s="2"/>
      <c r="N675" s="650"/>
      <c r="O675" s="650"/>
      <c r="P675" s="651"/>
      <c r="Q675" s="651"/>
      <c r="R675" s="651"/>
      <c r="S675" s="651"/>
    </row>
    <row r="676" spans="12:19" ht="15.75" customHeight="1" x14ac:dyDescent="0.35">
      <c r="L676" s="2"/>
      <c r="M676" s="2"/>
      <c r="N676" s="650"/>
      <c r="O676" s="650"/>
      <c r="P676" s="651"/>
      <c r="Q676" s="651"/>
      <c r="R676" s="651"/>
      <c r="S676" s="651"/>
    </row>
    <row r="677" spans="12:19" ht="15.75" customHeight="1" x14ac:dyDescent="0.35">
      <c r="L677" s="2"/>
      <c r="M677" s="2"/>
      <c r="N677" s="650"/>
      <c r="O677" s="650"/>
      <c r="P677" s="651"/>
      <c r="Q677" s="651"/>
      <c r="R677" s="651"/>
      <c r="S677" s="651"/>
    </row>
    <row r="678" spans="12:19" ht="15.75" customHeight="1" x14ac:dyDescent="0.35">
      <c r="L678" s="2"/>
      <c r="M678" s="2"/>
      <c r="N678" s="650"/>
      <c r="O678" s="650"/>
      <c r="P678" s="651"/>
      <c r="Q678" s="651"/>
      <c r="R678" s="651"/>
      <c r="S678" s="651"/>
    </row>
    <row r="679" spans="12:19" ht="15.75" customHeight="1" x14ac:dyDescent="0.35">
      <c r="L679" s="2"/>
      <c r="M679" s="2"/>
      <c r="N679" s="650"/>
      <c r="O679" s="650"/>
      <c r="P679" s="651"/>
      <c r="Q679" s="651"/>
      <c r="R679" s="651"/>
      <c r="S679" s="651"/>
    </row>
    <row r="680" spans="12:19" ht="15.75" customHeight="1" x14ac:dyDescent="0.35">
      <c r="L680" s="2"/>
      <c r="M680" s="2"/>
      <c r="N680" s="650"/>
      <c r="O680" s="650"/>
      <c r="P680" s="651"/>
      <c r="Q680" s="651"/>
      <c r="R680" s="651"/>
      <c r="S680" s="651"/>
    </row>
    <row r="681" spans="12:19" ht="15.75" customHeight="1" x14ac:dyDescent="0.35">
      <c r="L681" s="2"/>
      <c r="M681" s="2"/>
      <c r="N681" s="650"/>
      <c r="O681" s="650"/>
      <c r="P681" s="651"/>
      <c r="Q681" s="651"/>
      <c r="R681" s="651"/>
      <c r="S681" s="651"/>
    </row>
    <row r="682" spans="12:19" ht="15.75" customHeight="1" x14ac:dyDescent="0.35">
      <c r="L682" s="2"/>
      <c r="M682" s="2"/>
      <c r="N682" s="650"/>
      <c r="O682" s="650"/>
      <c r="P682" s="651"/>
      <c r="Q682" s="651"/>
      <c r="R682" s="651"/>
      <c r="S682" s="651"/>
    </row>
    <row r="683" spans="12:19" ht="15.75" customHeight="1" x14ac:dyDescent="0.35">
      <c r="L683" s="2"/>
      <c r="M683" s="2"/>
      <c r="N683" s="650"/>
      <c r="O683" s="650"/>
      <c r="P683" s="651"/>
      <c r="Q683" s="651"/>
      <c r="R683" s="651"/>
      <c r="S683" s="651"/>
    </row>
    <row r="684" spans="12:19" ht="15.75" customHeight="1" x14ac:dyDescent="0.35">
      <c r="L684" s="2"/>
      <c r="M684" s="2"/>
      <c r="N684" s="650"/>
      <c r="O684" s="650"/>
      <c r="P684" s="651"/>
      <c r="Q684" s="651"/>
      <c r="R684" s="651"/>
      <c r="S684" s="651"/>
    </row>
    <row r="685" spans="12:19" ht="15.75" customHeight="1" x14ac:dyDescent="0.35">
      <c r="L685" s="2"/>
      <c r="M685" s="2"/>
      <c r="N685" s="650"/>
      <c r="O685" s="650"/>
      <c r="P685" s="651"/>
      <c r="Q685" s="651"/>
      <c r="R685" s="651"/>
      <c r="S685" s="651"/>
    </row>
    <row r="686" spans="12:19" ht="15.75" customHeight="1" x14ac:dyDescent="0.35">
      <c r="L686" s="2"/>
      <c r="M686" s="2"/>
      <c r="N686" s="650"/>
      <c r="O686" s="650"/>
      <c r="P686" s="651"/>
      <c r="Q686" s="651"/>
      <c r="R686" s="651"/>
      <c r="S686" s="651"/>
    </row>
    <row r="687" spans="12:19" ht="15.75" customHeight="1" x14ac:dyDescent="0.35">
      <c r="L687" s="2"/>
      <c r="M687" s="2"/>
      <c r="N687" s="650"/>
      <c r="O687" s="650"/>
      <c r="P687" s="651"/>
      <c r="Q687" s="651"/>
      <c r="R687" s="651"/>
      <c r="S687" s="651"/>
    </row>
    <row r="688" spans="12:19" ht="15.75" customHeight="1" x14ac:dyDescent="0.35">
      <c r="L688" s="2"/>
      <c r="M688" s="2"/>
      <c r="N688" s="650"/>
      <c r="O688" s="650"/>
      <c r="P688" s="651"/>
      <c r="Q688" s="651"/>
      <c r="R688" s="651"/>
      <c r="S688" s="651"/>
    </row>
    <row r="689" spans="12:19" ht="15.75" customHeight="1" x14ac:dyDescent="0.35">
      <c r="L689" s="2"/>
      <c r="M689" s="2"/>
      <c r="N689" s="650"/>
      <c r="O689" s="650"/>
      <c r="P689" s="651"/>
      <c r="Q689" s="651"/>
      <c r="R689" s="651"/>
      <c r="S689" s="651"/>
    </row>
    <row r="690" spans="12:19" ht="15.75" customHeight="1" x14ac:dyDescent="0.35">
      <c r="L690" s="2"/>
      <c r="M690" s="2"/>
      <c r="N690" s="650"/>
      <c r="O690" s="650"/>
      <c r="P690" s="651"/>
      <c r="Q690" s="651"/>
      <c r="R690" s="651"/>
      <c r="S690" s="651"/>
    </row>
    <row r="691" spans="12:19" ht="15.75" customHeight="1" x14ac:dyDescent="0.35">
      <c r="L691" s="2"/>
      <c r="M691" s="2"/>
      <c r="N691" s="650"/>
      <c r="O691" s="650"/>
      <c r="P691" s="651"/>
      <c r="Q691" s="651"/>
      <c r="R691" s="651"/>
      <c r="S691" s="651"/>
    </row>
    <row r="692" spans="12:19" ht="15.75" customHeight="1" x14ac:dyDescent="0.35">
      <c r="L692" s="2"/>
      <c r="M692" s="2"/>
      <c r="N692" s="650"/>
      <c r="O692" s="650"/>
      <c r="P692" s="651"/>
      <c r="Q692" s="651"/>
      <c r="R692" s="651"/>
      <c r="S692" s="651"/>
    </row>
    <row r="693" spans="12:19" ht="15.75" customHeight="1" x14ac:dyDescent="0.35">
      <c r="L693" s="2"/>
      <c r="M693" s="2"/>
      <c r="N693" s="650"/>
      <c r="O693" s="650"/>
      <c r="P693" s="651"/>
      <c r="Q693" s="651"/>
      <c r="R693" s="651"/>
      <c r="S693" s="651"/>
    </row>
    <row r="694" spans="12:19" ht="15.75" customHeight="1" x14ac:dyDescent="0.35">
      <c r="L694" s="2"/>
      <c r="M694" s="2"/>
      <c r="N694" s="650"/>
      <c r="O694" s="650"/>
      <c r="P694" s="651"/>
      <c r="Q694" s="651"/>
      <c r="R694" s="651"/>
      <c r="S694" s="651"/>
    </row>
    <row r="695" spans="12:19" ht="15.75" customHeight="1" x14ac:dyDescent="0.35">
      <c r="L695" s="2"/>
      <c r="M695" s="2"/>
      <c r="N695" s="650"/>
      <c r="O695" s="650"/>
      <c r="P695" s="651"/>
      <c r="Q695" s="651"/>
      <c r="R695" s="651"/>
      <c r="S695" s="651"/>
    </row>
    <row r="696" spans="12:19" ht="15.75" customHeight="1" x14ac:dyDescent="0.35">
      <c r="L696" s="2"/>
      <c r="M696" s="2"/>
      <c r="N696" s="650"/>
      <c r="O696" s="650"/>
      <c r="P696" s="651"/>
      <c r="Q696" s="651"/>
      <c r="R696" s="651"/>
      <c r="S696" s="651"/>
    </row>
    <row r="697" spans="12:19" ht="15.75" customHeight="1" x14ac:dyDescent="0.35">
      <c r="L697" s="2"/>
      <c r="M697" s="2"/>
      <c r="N697" s="650"/>
      <c r="O697" s="650"/>
      <c r="P697" s="651"/>
      <c r="Q697" s="651"/>
      <c r="R697" s="651"/>
      <c r="S697" s="651"/>
    </row>
    <row r="698" spans="12:19" ht="15.75" customHeight="1" x14ac:dyDescent="0.35">
      <c r="L698" s="2"/>
      <c r="M698" s="2"/>
      <c r="N698" s="650"/>
      <c r="O698" s="650"/>
      <c r="P698" s="651"/>
      <c r="Q698" s="651"/>
      <c r="R698" s="651"/>
      <c r="S698" s="651"/>
    </row>
    <row r="699" spans="12:19" ht="15.75" customHeight="1" x14ac:dyDescent="0.35">
      <c r="L699" s="2"/>
      <c r="M699" s="2"/>
      <c r="N699" s="650"/>
      <c r="O699" s="650"/>
      <c r="P699" s="651"/>
      <c r="Q699" s="651"/>
      <c r="R699" s="651"/>
      <c r="S699" s="651"/>
    </row>
    <row r="700" spans="12:19" ht="15.75" customHeight="1" x14ac:dyDescent="0.35">
      <c r="L700" s="2"/>
      <c r="M700" s="2"/>
      <c r="N700" s="650"/>
      <c r="O700" s="650"/>
      <c r="P700" s="651"/>
      <c r="Q700" s="651"/>
      <c r="R700" s="651"/>
      <c r="S700" s="651"/>
    </row>
    <row r="701" spans="12:19" ht="15.75" customHeight="1" x14ac:dyDescent="0.35">
      <c r="L701" s="2"/>
      <c r="M701" s="2"/>
      <c r="N701" s="650"/>
      <c r="O701" s="650"/>
      <c r="P701" s="651"/>
      <c r="Q701" s="651"/>
      <c r="R701" s="651"/>
      <c r="S701" s="651"/>
    </row>
    <row r="702" spans="12:19" ht="15.75" customHeight="1" x14ac:dyDescent="0.35">
      <c r="L702" s="2"/>
      <c r="M702" s="2"/>
      <c r="N702" s="650"/>
      <c r="O702" s="650"/>
      <c r="P702" s="651"/>
      <c r="Q702" s="651"/>
      <c r="R702" s="651"/>
      <c r="S702" s="651"/>
    </row>
    <row r="703" spans="12:19" ht="15.75" customHeight="1" x14ac:dyDescent="0.35">
      <c r="L703" s="2"/>
      <c r="M703" s="2"/>
      <c r="N703" s="650"/>
      <c r="O703" s="650"/>
      <c r="P703" s="651"/>
      <c r="Q703" s="651"/>
      <c r="R703" s="651"/>
      <c r="S703" s="651"/>
    </row>
    <row r="704" spans="12:19" ht="15.75" customHeight="1" x14ac:dyDescent="0.35">
      <c r="L704" s="2"/>
      <c r="M704" s="2"/>
      <c r="N704" s="650"/>
      <c r="O704" s="650"/>
      <c r="P704" s="651"/>
      <c r="Q704" s="651"/>
      <c r="R704" s="651"/>
      <c r="S704" s="651"/>
    </row>
    <row r="705" spans="12:19" ht="15.75" customHeight="1" x14ac:dyDescent="0.35">
      <c r="L705" s="2"/>
      <c r="M705" s="2"/>
      <c r="N705" s="650"/>
      <c r="O705" s="650"/>
      <c r="P705" s="651"/>
      <c r="Q705" s="651"/>
      <c r="R705" s="651"/>
      <c r="S705" s="651"/>
    </row>
    <row r="706" spans="12:19" ht="15.75" customHeight="1" x14ac:dyDescent="0.35">
      <c r="L706" s="2"/>
      <c r="M706" s="2"/>
      <c r="N706" s="650"/>
      <c r="O706" s="650"/>
      <c r="P706" s="651"/>
      <c r="Q706" s="651"/>
      <c r="R706" s="651"/>
      <c r="S706" s="651"/>
    </row>
    <row r="707" spans="12:19" ht="15.75" customHeight="1" x14ac:dyDescent="0.35">
      <c r="L707" s="2"/>
      <c r="M707" s="2"/>
      <c r="N707" s="650"/>
      <c r="O707" s="650"/>
      <c r="P707" s="651"/>
      <c r="Q707" s="651"/>
      <c r="R707" s="651"/>
      <c r="S707" s="651"/>
    </row>
    <row r="708" spans="12:19" ht="15.75" customHeight="1" x14ac:dyDescent="0.35">
      <c r="L708" s="2"/>
      <c r="M708" s="2"/>
      <c r="N708" s="650"/>
      <c r="O708" s="650"/>
      <c r="P708" s="651"/>
      <c r="Q708" s="651"/>
      <c r="R708" s="651"/>
      <c r="S708" s="651"/>
    </row>
    <row r="709" spans="12:19" ht="15.75" customHeight="1" x14ac:dyDescent="0.35">
      <c r="L709" s="2"/>
      <c r="M709" s="2"/>
      <c r="N709" s="650"/>
      <c r="O709" s="650"/>
      <c r="P709" s="651"/>
      <c r="Q709" s="651"/>
      <c r="R709" s="651"/>
      <c r="S709" s="651"/>
    </row>
    <row r="710" spans="12:19" ht="15.75" customHeight="1" x14ac:dyDescent="0.35">
      <c r="L710" s="2"/>
      <c r="M710" s="2"/>
      <c r="N710" s="650"/>
      <c r="O710" s="650"/>
      <c r="P710" s="651"/>
      <c r="Q710" s="651"/>
      <c r="R710" s="651"/>
      <c r="S710" s="651"/>
    </row>
    <row r="711" spans="12:19" ht="15.75" customHeight="1" x14ac:dyDescent="0.35">
      <c r="L711" s="2"/>
      <c r="M711" s="2"/>
      <c r="N711" s="650"/>
      <c r="O711" s="650"/>
      <c r="P711" s="651"/>
      <c r="Q711" s="651"/>
      <c r="R711" s="651"/>
      <c r="S711" s="651"/>
    </row>
    <row r="712" spans="12:19" ht="15.75" customHeight="1" x14ac:dyDescent="0.35">
      <c r="L712" s="2"/>
      <c r="M712" s="2"/>
      <c r="N712" s="650"/>
      <c r="O712" s="650"/>
      <c r="P712" s="651"/>
      <c r="Q712" s="651"/>
      <c r="R712" s="651"/>
      <c r="S712" s="651"/>
    </row>
    <row r="713" spans="12:19" ht="15.75" customHeight="1" x14ac:dyDescent="0.35">
      <c r="L713" s="2"/>
      <c r="M713" s="2"/>
      <c r="N713" s="650"/>
      <c r="O713" s="650"/>
      <c r="P713" s="651"/>
      <c r="Q713" s="651"/>
      <c r="R713" s="651"/>
      <c r="S713" s="651"/>
    </row>
    <row r="714" spans="12:19" ht="15.75" customHeight="1" x14ac:dyDescent="0.35">
      <c r="L714" s="2"/>
      <c r="M714" s="2"/>
      <c r="N714" s="650"/>
      <c r="O714" s="650"/>
      <c r="P714" s="651"/>
      <c r="Q714" s="651"/>
      <c r="R714" s="651"/>
      <c r="S714" s="651"/>
    </row>
    <row r="715" spans="12:19" ht="15.75" customHeight="1" x14ac:dyDescent="0.35">
      <c r="L715" s="2"/>
      <c r="M715" s="2"/>
      <c r="N715" s="650"/>
      <c r="O715" s="650"/>
      <c r="P715" s="651"/>
      <c r="Q715" s="651"/>
      <c r="R715" s="651"/>
      <c r="S715" s="651"/>
    </row>
    <row r="716" spans="12:19" ht="15.75" customHeight="1" x14ac:dyDescent="0.35">
      <c r="L716" s="2"/>
      <c r="M716" s="2"/>
      <c r="N716" s="650"/>
      <c r="O716" s="650"/>
      <c r="P716" s="651"/>
      <c r="Q716" s="651"/>
      <c r="R716" s="651"/>
      <c r="S716" s="651"/>
    </row>
    <row r="717" spans="12:19" ht="15.75" customHeight="1" x14ac:dyDescent="0.35">
      <c r="L717" s="2"/>
      <c r="M717" s="2"/>
      <c r="N717" s="650"/>
      <c r="O717" s="650"/>
      <c r="P717" s="651"/>
      <c r="Q717" s="651"/>
      <c r="R717" s="651"/>
      <c r="S717" s="651"/>
    </row>
    <row r="718" spans="12:19" ht="15.75" customHeight="1" x14ac:dyDescent="0.35">
      <c r="L718" s="2"/>
      <c r="M718" s="2"/>
      <c r="N718" s="650"/>
      <c r="O718" s="650"/>
      <c r="P718" s="651"/>
      <c r="Q718" s="651"/>
      <c r="R718" s="651"/>
      <c r="S718" s="651"/>
    </row>
    <row r="719" spans="12:19" ht="15.75" customHeight="1" x14ac:dyDescent="0.35">
      <c r="L719" s="2"/>
      <c r="M719" s="2"/>
      <c r="N719" s="650"/>
      <c r="O719" s="650"/>
      <c r="P719" s="651"/>
      <c r="Q719" s="651"/>
      <c r="R719" s="651"/>
      <c r="S719" s="651"/>
    </row>
    <row r="720" spans="12:19" ht="15.75" customHeight="1" x14ac:dyDescent="0.35">
      <c r="L720" s="2"/>
      <c r="M720" s="2"/>
      <c r="N720" s="650"/>
      <c r="O720" s="650"/>
      <c r="P720" s="651"/>
      <c r="Q720" s="651"/>
      <c r="R720" s="651"/>
      <c r="S720" s="651"/>
    </row>
    <row r="721" spans="12:19" ht="15.75" customHeight="1" x14ac:dyDescent="0.35">
      <c r="L721" s="2"/>
      <c r="M721" s="2"/>
      <c r="N721" s="650"/>
      <c r="O721" s="650"/>
      <c r="P721" s="651"/>
      <c r="Q721" s="651"/>
      <c r="R721" s="651"/>
      <c r="S721" s="651"/>
    </row>
    <row r="722" spans="12:19" ht="15.75" customHeight="1" x14ac:dyDescent="0.35">
      <c r="L722" s="2"/>
      <c r="M722" s="2"/>
      <c r="N722" s="650"/>
      <c r="O722" s="650"/>
      <c r="P722" s="651"/>
      <c r="Q722" s="651"/>
      <c r="R722" s="651"/>
      <c r="S722" s="651"/>
    </row>
    <row r="723" spans="12:19" ht="15.75" customHeight="1" x14ac:dyDescent="0.35">
      <c r="L723" s="2"/>
      <c r="M723" s="2"/>
      <c r="N723" s="650"/>
      <c r="O723" s="650"/>
      <c r="P723" s="651"/>
      <c r="Q723" s="651"/>
      <c r="R723" s="651"/>
      <c r="S723" s="651"/>
    </row>
    <row r="724" spans="12:19" ht="15.75" customHeight="1" x14ac:dyDescent="0.35">
      <c r="L724" s="2"/>
      <c r="M724" s="2"/>
      <c r="N724" s="650"/>
      <c r="O724" s="650"/>
      <c r="P724" s="651"/>
      <c r="Q724" s="651"/>
      <c r="R724" s="651"/>
      <c r="S724" s="651"/>
    </row>
    <row r="725" spans="12:19" ht="15.75" customHeight="1" x14ac:dyDescent="0.35">
      <c r="L725" s="2"/>
      <c r="M725" s="2"/>
      <c r="N725" s="650"/>
      <c r="O725" s="650"/>
      <c r="P725" s="651"/>
      <c r="Q725" s="651"/>
      <c r="R725" s="651"/>
      <c r="S725" s="651"/>
    </row>
    <row r="726" spans="12:19" ht="15.75" customHeight="1" x14ac:dyDescent="0.35">
      <c r="L726" s="2"/>
      <c r="M726" s="2"/>
      <c r="N726" s="650"/>
      <c r="O726" s="650"/>
      <c r="P726" s="651"/>
      <c r="Q726" s="651"/>
      <c r="R726" s="651"/>
      <c r="S726" s="651"/>
    </row>
    <row r="727" spans="12:19" ht="15.75" customHeight="1" x14ac:dyDescent="0.35">
      <c r="L727" s="2"/>
      <c r="M727" s="2"/>
      <c r="N727" s="650"/>
      <c r="O727" s="650"/>
      <c r="P727" s="651"/>
      <c r="Q727" s="651"/>
      <c r="R727" s="651"/>
      <c r="S727" s="651"/>
    </row>
    <row r="728" spans="12:19" ht="15.75" customHeight="1" x14ac:dyDescent="0.35">
      <c r="L728" s="2"/>
      <c r="M728" s="2"/>
      <c r="N728" s="650"/>
      <c r="O728" s="650"/>
      <c r="P728" s="651"/>
      <c r="Q728" s="651"/>
      <c r="R728" s="651"/>
      <c r="S728" s="651"/>
    </row>
    <row r="729" spans="12:19" ht="15.75" customHeight="1" x14ac:dyDescent="0.35">
      <c r="L729" s="2"/>
      <c r="M729" s="2"/>
      <c r="N729" s="650"/>
      <c r="O729" s="650"/>
      <c r="P729" s="651"/>
      <c r="Q729" s="651"/>
      <c r="R729" s="651"/>
      <c r="S729" s="651"/>
    </row>
    <row r="730" spans="12:19" ht="15.75" customHeight="1" x14ac:dyDescent="0.35">
      <c r="L730" s="2"/>
      <c r="M730" s="2"/>
      <c r="N730" s="650"/>
      <c r="O730" s="650"/>
      <c r="P730" s="651"/>
      <c r="Q730" s="651"/>
      <c r="R730" s="651"/>
      <c r="S730" s="651"/>
    </row>
    <row r="731" spans="12:19" ht="15.75" customHeight="1" x14ac:dyDescent="0.35">
      <c r="L731" s="2"/>
      <c r="M731" s="2"/>
      <c r="N731" s="650"/>
      <c r="O731" s="650"/>
      <c r="P731" s="651"/>
      <c r="Q731" s="651"/>
      <c r="R731" s="651"/>
      <c r="S731" s="651"/>
    </row>
    <row r="732" spans="12:19" ht="15.75" customHeight="1" x14ac:dyDescent="0.35">
      <c r="L732" s="2"/>
      <c r="M732" s="2"/>
      <c r="N732" s="650"/>
      <c r="O732" s="650"/>
      <c r="P732" s="651"/>
      <c r="Q732" s="651"/>
      <c r="R732" s="651"/>
      <c r="S732" s="651"/>
    </row>
    <row r="733" spans="12:19" ht="15.75" customHeight="1" x14ac:dyDescent="0.35">
      <c r="L733" s="2"/>
      <c r="M733" s="2"/>
      <c r="N733" s="650"/>
      <c r="O733" s="650"/>
      <c r="P733" s="651"/>
      <c r="Q733" s="651"/>
      <c r="R733" s="651"/>
      <c r="S733" s="651"/>
    </row>
    <row r="734" spans="12:19" ht="15.75" customHeight="1" x14ac:dyDescent="0.35">
      <c r="L734" s="2"/>
      <c r="M734" s="2"/>
      <c r="N734" s="650"/>
      <c r="O734" s="650"/>
      <c r="P734" s="651"/>
      <c r="Q734" s="651"/>
      <c r="R734" s="651"/>
      <c r="S734" s="651"/>
    </row>
    <row r="735" spans="12:19" ht="15.75" customHeight="1" x14ac:dyDescent="0.35">
      <c r="L735" s="2"/>
      <c r="M735" s="2"/>
      <c r="N735" s="650"/>
      <c r="O735" s="650"/>
      <c r="P735" s="651"/>
      <c r="Q735" s="651"/>
      <c r="R735" s="651"/>
      <c r="S735" s="651"/>
    </row>
    <row r="736" spans="12:19" ht="15.75" customHeight="1" x14ac:dyDescent="0.35">
      <c r="L736" s="2"/>
      <c r="M736" s="2"/>
      <c r="N736" s="650"/>
      <c r="O736" s="650"/>
      <c r="P736" s="651"/>
      <c r="Q736" s="651"/>
      <c r="R736" s="651"/>
      <c r="S736" s="651"/>
    </row>
    <row r="737" spans="12:19" ht="15.75" customHeight="1" x14ac:dyDescent="0.35">
      <c r="L737" s="2"/>
      <c r="M737" s="2"/>
      <c r="N737" s="650"/>
      <c r="O737" s="650"/>
      <c r="P737" s="651"/>
      <c r="Q737" s="651"/>
      <c r="R737" s="651"/>
      <c r="S737" s="651"/>
    </row>
    <row r="738" spans="12:19" ht="15.75" customHeight="1" x14ac:dyDescent="0.35">
      <c r="L738" s="2"/>
      <c r="M738" s="2"/>
      <c r="N738" s="650"/>
      <c r="O738" s="650"/>
      <c r="P738" s="651"/>
      <c r="Q738" s="651"/>
      <c r="R738" s="651"/>
      <c r="S738" s="651"/>
    </row>
    <row r="739" spans="12:19" ht="15.75" customHeight="1" x14ac:dyDescent="0.35">
      <c r="L739" s="2"/>
      <c r="M739" s="2"/>
      <c r="N739" s="650"/>
      <c r="O739" s="650"/>
      <c r="P739" s="651"/>
      <c r="Q739" s="651"/>
      <c r="R739" s="651"/>
      <c r="S739" s="651"/>
    </row>
    <row r="740" spans="12:19" ht="15.75" customHeight="1" x14ac:dyDescent="0.35">
      <c r="L740" s="2"/>
      <c r="M740" s="2"/>
      <c r="N740" s="650"/>
      <c r="O740" s="650"/>
      <c r="P740" s="651"/>
      <c r="Q740" s="651"/>
      <c r="R740" s="651"/>
      <c r="S740" s="651"/>
    </row>
    <row r="741" spans="12:19" ht="15.75" customHeight="1" x14ac:dyDescent="0.35">
      <c r="L741" s="2"/>
      <c r="M741" s="2"/>
      <c r="N741" s="650"/>
      <c r="O741" s="650"/>
      <c r="P741" s="651"/>
      <c r="Q741" s="651"/>
      <c r="R741" s="651"/>
      <c r="S741" s="651"/>
    </row>
    <row r="742" spans="12:19" ht="15.75" customHeight="1" x14ac:dyDescent="0.35">
      <c r="L742" s="2"/>
      <c r="M742" s="2"/>
      <c r="N742" s="650"/>
      <c r="O742" s="650"/>
      <c r="P742" s="651"/>
      <c r="Q742" s="651"/>
      <c r="R742" s="651"/>
      <c r="S742" s="651"/>
    </row>
    <row r="743" spans="12:19" ht="15.75" customHeight="1" x14ac:dyDescent="0.35">
      <c r="L743" s="2"/>
      <c r="M743" s="2"/>
      <c r="N743" s="650"/>
      <c r="O743" s="650"/>
      <c r="P743" s="651"/>
      <c r="Q743" s="651"/>
      <c r="R743" s="651"/>
      <c r="S743" s="651"/>
    </row>
    <row r="744" spans="12:19" ht="15.75" customHeight="1" x14ac:dyDescent="0.35">
      <c r="L744" s="2"/>
      <c r="M744" s="2"/>
      <c r="N744" s="650"/>
      <c r="O744" s="650"/>
      <c r="P744" s="651"/>
      <c r="Q744" s="651"/>
      <c r="R744" s="651"/>
      <c r="S744" s="651"/>
    </row>
    <row r="745" spans="12:19" ht="15.75" customHeight="1" x14ac:dyDescent="0.35">
      <c r="L745" s="2"/>
      <c r="M745" s="2"/>
      <c r="N745" s="650"/>
      <c r="O745" s="650"/>
      <c r="P745" s="651"/>
      <c r="Q745" s="651"/>
      <c r="R745" s="651"/>
      <c r="S745" s="651"/>
    </row>
    <row r="746" spans="12:19" ht="15.75" customHeight="1" x14ac:dyDescent="0.35">
      <c r="L746" s="2"/>
      <c r="M746" s="2"/>
      <c r="N746" s="650"/>
      <c r="O746" s="650"/>
      <c r="P746" s="651"/>
      <c r="Q746" s="651"/>
      <c r="R746" s="651"/>
      <c r="S746" s="651"/>
    </row>
    <row r="747" spans="12:19" ht="15.75" customHeight="1" x14ac:dyDescent="0.35">
      <c r="L747" s="2"/>
      <c r="M747" s="2"/>
      <c r="N747" s="650"/>
      <c r="O747" s="650"/>
      <c r="P747" s="651"/>
      <c r="Q747" s="651"/>
      <c r="R747" s="651"/>
      <c r="S747" s="651"/>
    </row>
    <row r="748" spans="12:19" ht="15.75" customHeight="1" x14ac:dyDescent="0.35">
      <c r="L748" s="2"/>
      <c r="M748" s="2"/>
      <c r="N748" s="650"/>
      <c r="O748" s="650"/>
      <c r="P748" s="651"/>
      <c r="Q748" s="651"/>
      <c r="R748" s="651"/>
      <c r="S748" s="651"/>
    </row>
    <row r="749" spans="12:19" ht="15.75" customHeight="1" x14ac:dyDescent="0.35">
      <c r="L749" s="2"/>
      <c r="M749" s="2"/>
      <c r="N749" s="650"/>
      <c r="O749" s="650"/>
      <c r="P749" s="651"/>
      <c r="Q749" s="651"/>
      <c r="R749" s="651"/>
      <c r="S749" s="651"/>
    </row>
    <row r="750" spans="12:19" ht="15.75" customHeight="1" x14ac:dyDescent="0.35">
      <c r="L750" s="2"/>
      <c r="M750" s="2"/>
      <c r="N750" s="650"/>
      <c r="O750" s="650"/>
      <c r="P750" s="651"/>
      <c r="Q750" s="651"/>
      <c r="R750" s="651"/>
      <c r="S750" s="651"/>
    </row>
    <row r="751" spans="12:19" ht="15.75" customHeight="1" x14ac:dyDescent="0.35">
      <c r="L751" s="2"/>
      <c r="M751" s="2"/>
      <c r="N751" s="650"/>
      <c r="O751" s="650"/>
      <c r="P751" s="651"/>
      <c r="Q751" s="651"/>
      <c r="R751" s="651"/>
      <c r="S751" s="651"/>
    </row>
    <row r="752" spans="12:19" ht="15.75" customHeight="1" x14ac:dyDescent="0.35">
      <c r="L752" s="2"/>
      <c r="M752" s="2"/>
      <c r="N752" s="650"/>
      <c r="O752" s="650"/>
      <c r="P752" s="651"/>
      <c r="Q752" s="651"/>
      <c r="R752" s="651"/>
      <c r="S752" s="651"/>
    </row>
    <row r="753" spans="12:19" ht="15.75" customHeight="1" x14ac:dyDescent="0.35">
      <c r="L753" s="2"/>
      <c r="M753" s="2"/>
      <c r="N753" s="650"/>
      <c r="O753" s="650"/>
      <c r="P753" s="651"/>
      <c r="Q753" s="651"/>
      <c r="R753" s="651"/>
      <c r="S753" s="651"/>
    </row>
    <row r="754" spans="12:19" ht="15.75" customHeight="1" x14ac:dyDescent="0.35">
      <c r="L754" s="2"/>
      <c r="M754" s="2"/>
      <c r="N754" s="650"/>
      <c r="O754" s="650"/>
      <c r="P754" s="651"/>
      <c r="Q754" s="651"/>
      <c r="R754" s="651"/>
      <c r="S754" s="651"/>
    </row>
    <row r="755" spans="12:19" ht="15.75" customHeight="1" x14ac:dyDescent="0.35">
      <c r="L755" s="2"/>
      <c r="M755" s="2"/>
      <c r="N755" s="650"/>
      <c r="O755" s="650"/>
      <c r="P755" s="651"/>
      <c r="Q755" s="651"/>
      <c r="R755" s="651"/>
      <c r="S755" s="651"/>
    </row>
    <row r="756" spans="12:19" ht="15.75" customHeight="1" x14ac:dyDescent="0.35">
      <c r="L756" s="2"/>
      <c r="M756" s="2"/>
      <c r="N756" s="650"/>
      <c r="O756" s="650"/>
      <c r="P756" s="651"/>
      <c r="Q756" s="651"/>
      <c r="R756" s="651"/>
      <c r="S756" s="651"/>
    </row>
    <row r="757" spans="12:19" ht="15.75" customHeight="1" x14ac:dyDescent="0.35">
      <c r="L757" s="2"/>
      <c r="M757" s="2"/>
      <c r="N757" s="650"/>
      <c r="O757" s="650"/>
      <c r="P757" s="651"/>
      <c r="Q757" s="651"/>
      <c r="R757" s="651"/>
      <c r="S757" s="651"/>
    </row>
    <row r="758" spans="12:19" ht="15.75" customHeight="1" x14ac:dyDescent="0.35">
      <c r="L758" s="2"/>
      <c r="M758" s="2"/>
      <c r="N758" s="650"/>
      <c r="O758" s="650"/>
      <c r="P758" s="651"/>
      <c r="Q758" s="651"/>
      <c r="R758" s="651"/>
      <c r="S758" s="651"/>
    </row>
    <row r="759" spans="12:19" ht="15.75" customHeight="1" x14ac:dyDescent="0.35">
      <c r="L759" s="2"/>
      <c r="M759" s="2"/>
      <c r="N759" s="650"/>
      <c r="O759" s="650"/>
      <c r="P759" s="651"/>
      <c r="Q759" s="651"/>
      <c r="R759" s="651"/>
      <c r="S759" s="651"/>
    </row>
    <row r="760" spans="12:19" ht="15.75" customHeight="1" x14ac:dyDescent="0.35">
      <c r="L760" s="2"/>
      <c r="M760" s="2"/>
      <c r="N760" s="650"/>
      <c r="O760" s="650"/>
      <c r="P760" s="651"/>
      <c r="Q760" s="651"/>
      <c r="R760" s="651"/>
      <c r="S760" s="651"/>
    </row>
    <row r="761" spans="12:19" ht="15.75" customHeight="1" x14ac:dyDescent="0.35">
      <c r="L761" s="2"/>
      <c r="M761" s="2"/>
      <c r="N761" s="650"/>
      <c r="O761" s="650"/>
      <c r="P761" s="651"/>
      <c r="Q761" s="651"/>
      <c r="R761" s="651"/>
      <c r="S761" s="651"/>
    </row>
    <row r="762" spans="12:19" ht="15.75" customHeight="1" x14ac:dyDescent="0.35">
      <c r="L762" s="2"/>
      <c r="M762" s="2"/>
      <c r="N762" s="650"/>
      <c r="O762" s="650"/>
      <c r="P762" s="651"/>
      <c r="Q762" s="651"/>
      <c r="R762" s="651"/>
      <c r="S762" s="651"/>
    </row>
    <row r="763" spans="12:19" ht="15.75" customHeight="1" x14ac:dyDescent="0.35">
      <c r="L763" s="2"/>
      <c r="M763" s="2"/>
      <c r="N763" s="650"/>
      <c r="O763" s="650"/>
      <c r="P763" s="651"/>
      <c r="Q763" s="651"/>
      <c r="R763" s="651"/>
      <c r="S763" s="651"/>
    </row>
    <row r="764" spans="12:19" ht="15.75" customHeight="1" x14ac:dyDescent="0.35">
      <c r="L764" s="2"/>
      <c r="M764" s="2"/>
      <c r="N764" s="650"/>
      <c r="O764" s="650"/>
      <c r="P764" s="651"/>
      <c r="Q764" s="651"/>
      <c r="R764" s="651"/>
      <c r="S764" s="651"/>
    </row>
    <row r="765" spans="12:19" ht="15.75" customHeight="1" x14ac:dyDescent="0.35">
      <c r="L765" s="2"/>
      <c r="M765" s="2"/>
      <c r="N765" s="650"/>
      <c r="O765" s="650"/>
      <c r="P765" s="651"/>
      <c r="Q765" s="651"/>
      <c r="R765" s="651"/>
      <c r="S765" s="651"/>
    </row>
    <row r="766" spans="12:19" ht="15.75" customHeight="1" x14ac:dyDescent="0.35">
      <c r="L766" s="2"/>
      <c r="M766" s="2"/>
      <c r="N766" s="650"/>
      <c r="O766" s="650"/>
      <c r="P766" s="651"/>
      <c r="Q766" s="651"/>
      <c r="R766" s="651"/>
      <c r="S766" s="651"/>
    </row>
    <row r="767" spans="12:19" ht="15.75" customHeight="1" x14ac:dyDescent="0.35">
      <c r="L767" s="2"/>
      <c r="M767" s="2"/>
      <c r="N767" s="650"/>
      <c r="O767" s="650"/>
      <c r="P767" s="651"/>
      <c r="Q767" s="651"/>
      <c r="R767" s="651"/>
      <c r="S767" s="651"/>
    </row>
    <row r="768" spans="12:19" ht="15.75" customHeight="1" x14ac:dyDescent="0.35">
      <c r="L768" s="2"/>
      <c r="M768" s="2"/>
      <c r="N768" s="650"/>
      <c r="O768" s="650"/>
      <c r="P768" s="651"/>
      <c r="Q768" s="651"/>
      <c r="R768" s="651"/>
      <c r="S768" s="651"/>
    </row>
    <row r="769" spans="12:19" ht="15.75" customHeight="1" x14ac:dyDescent="0.35">
      <c r="L769" s="2"/>
      <c r="M769" s="2"/>
      <c r="N769" s="650"/>
      <c r="O769" s="650"/>
      <c r="P769" s="651"/>
      <c r="Q769" s="651"/>
      <c r="R769" s="651"/>
      <c r="S769" s="651"/>
    </row>
    <row r="770" spans="12:19" ht="15.75" customHeight="1" x14ac:dyDescent="0.35">
      <c r="L770" s="2"/>
      <c r="M770" s="2"/>
      <c r="N770" s="650"/>
      <c r="O770" s="650"/>
      <c r="P770" s="651"/>
      <c r="Q770" s="651"/>
      <c r="R770" s="651"/>
      <c r="S770" s="651"/>
    </row>
    <row r="771" spans="12:19" ht="15.75" customHeight="1" x14ac:dyDescent="0.35">
      <c r="L771" s="2"/>
      <c r="M771" s="2"/>
      <c r="N771" s="650"/>
      <c r="O771" s="650"/>
      <c r="P771" s="651"/>
      <c r="Q771" s="651"/>
      <c r="R771" s="651"/>
      <c r="S771" s="651"/>
    </row>
    <row r="772" spans="12:19" ht="15.75" customHeight="1" x14ac:dyDescent="0.35">
      <c r="L772" s="2"/>
      <c r="M772" s="2"/>
      <c r="N772" s="650"/>
      <c r="O772" s="650"/>
      <c r="P772" s="651"/>
      <c r="Q772" s="651"/>
      <c r="R772" s="651"/>
      <c r="S772" s="651"/>
    </row>
    <row r="773" spans="12:19" ht="15.75" customHeight="1" x14ac:dyDescent="0.35">
      <c r="L773" s="2"/>
      <c r="M773" s="2"/>
      <c r="N773" s="650"/>
      <c r="O773" s="650"/>
      <c r="P773" s="651"/>
      <c r="Q773" s="651"/>
      <c r="R773" s="651"/>
      <c r="S773" s="651"/>
    </row>
    <row r="774" spans="12:19" ht="15.75" customHeight="1" x14ac:dyDescent="0.35">
      <c r="L774" s="2"/>
      <c r="M774" s="2"/>
      <c r="N774" s="650"/>
      <c r="O774" s="650"/>
      <c r="P774" s="651"/>
      <c r="Q774" s="651"/>
      <c r="R774" s="651"/>
      <c r="S774" s="651"/>
    </row>
    <row r="775" spans="12:19" ht="15.75" customHeight="1" x14ac:dyDescent="0.35">
      <c r="L775" s="2"/>
      <c r="M775" s="2"/>
      <c r="N775" s="650"/>
      <c r="O775" s="650"/>
      <c r="P775" s="651"/>
      <c r="Q775" s="651"/>
      <c r="R775" s="651"/>
      <c r="S775" s="651"/>
    </row>
    <row r="776" spans="12:19" ht="15.75" customHeight="1" x14ac:dyDescent="0.35">
      <c r="L776" s="2"/>
      <c r="M776" s="2"/>
      <c r="N776" s="650"/>
      <c r="O776" s="650"/>
      <c r="P776" s="651"/>
      <c r="Q776" s="651"/>
      <c r="R776" s="651"/>
      <c r="S776" s="651"/>
    </row>
    <row r="777" spans="12:19" ht="15.75" customHeight="1" x14ac:dyDescent="0.35">
      <c r="L777" s="2"/>
      <c r="M777" s="2"/>
      <c r="N777" s="650"/>
      <c r="O777" s="650"/>
      <c r="P777" s="651"/>
      <c r="Q777" s="651"/>
      <c r="R777" s="651"/>
      <c r="S777" s="651"/>
    </row>
    <row r="778" spans="12:19" ht="15.75" customHeight="1" x14ac:dyDescent="0.35">
      <c r="L778" s="2"/>
      <c r="M778" s="2"/>
      <c r="N778" s="650"/>
      <c r="O778" s="650"/>
      <c r="P778" s="651"/>
      <c r="Q778" s="651"/>
      <c r="R778" s="651"/>
      <c r="S778" s="651"/>
    </row>
    <row r="779" spans="12:19" ht="15.75" customHeight="1" x14ac:dyDescent="0.35">
      <c r="L779" s="2"/>
      <c r="M779" s="2"/>
      <c r="N779" s="650"/>
      <c r="O779" s="650"/>
      <c r="P779" s="651"/>
      <c r="Q779" s="651"/>
      <c r="R779" s="651"/>
      <c r="S779" s="651"/>
    </row>
    <row r="780" spans="12:19" ht="15.75" customHeight="1" x14ac:dyDescent="0.35">
      <c r="L780" s="2"/>
      <c r="M780" s="2"/>
      <c r="N780" s="650"/>
      <c r="O780" s="650"/>
      <c r="P780" s="651"/>
      <c r="Q780" s="651"/>
      <c r="R780" s="651"/>
      <c r="S780" s="651"/>
    </row>
    <row r="781" spans="12:19" ht="15.75" customHeight="1" x14ac:dyDescent="0.35">
      <c r="L781" s="2"/>
      <c r="M781" s="2"/>
      <c r="N781" s="650"/>
      <c r="O781" s="650"/>
      <c r="P781" s="651"/>
      <c r="Q781" s="651"/>
      <c r="R781" s="651"/>
      <c r="S781" s="651"/>
    </row>
    <row r="782" spans="12:19" ht="15.75" customHeight="1" x14ac:dyDescent="0.35">
      <c r="L782" s="2"/>
      <c r="M782" s="2"/>
      <c r="N782" s="650"/>
      <c r="O782" s="650"/>
      <c r="P782" s="651"/>
      <c r="Q782" s="651"/>
      <c r="R782" s="651"/>
      <c r="S782" s="651"/>
    </row>
    <row r="783" spans="12:19" ht="15.75" customHeight="1" x14ac:dyDescent="0.35">
      <c r="L783" s="2"/>
      <c r="M783" s="2"/>
      <c r="N783" s="650"/>
      <c r="O783" s="650"/>
      <c r="P783" s="651"/>
      <c r="Q783" s="651"/>
      <c r="R783" s="651"/>
      <c r="S783" s="651"/>
    </row>
    <row r="784" spans="12:19" ht="15.75" customHeight="1" x14ac:dyDescent="0.35">
      <c r="L784" s="2"/>
      <c r="M784" s="2"/>
      <c r="N784" s="650"/>
      <c r="O784" s="650"/>
      <c r="P784" s="651"/>
      <c r="Q784" s="651"/>
      <c r="R784" s="651"/>
      <c r="S784" s="651"/>
    </row>
    <row r="785" spans="12:19" ht="15.75" customHeight="1" x14ac:dyDescent="0.35">
      <c r="L785" s="2"/>
      <c r="M785" s="2"/>
      <c r="N785" s="650"/>
      <c r="O785" s="650"/>
      <c r="P785" s="651"/>
      <c r="Q785" s="651"/>
      <c r="R785" s="651"/>
      <c r="S785" s="651"/>
    </row>
    <row r="786" spans="12:19" ht="15.75" customHeight="1" x14ac:dyDescent="0.35">
      <c r="L786" s="2"/>
      <c r="M786" s="2"/>
      <c r="N786" s="650"/>
      <c r="O786" s="650"/>
      <c r="P786" s="651"/>
      <c r="Q786" s="651"/>
      <c r="R786" s="651"/>
      <c r="S786" s="651"/>
    </row>
    <row r="787" spans="12:19" ht="15.75" customHeight="1" x14ac:dyDescent="0.35">
      <c r="L787" s="2"/>
      <c r="M787" s="2"/>
      <c r="N787" s="650"/>
      <c r="O787" s="650"/>
      <c r="P787" s="651"/>
      <c r="Q787" s="651"/>
      <c r="R787" s="651"/>
      <c r="S787" s="651"/>
    </row>
    <row r="788" spans="12:19" ht="15.75" customHeight="1" x14ac:dyDescent="0.35">
      <c r="L788" s="2"/>
      <c r="M788" s="2"/>
      <c r="N788" s="650"/>
      <c r="O788" s="650"/>
      <c r="P788" s="651"/>
      <c r="Q788" s="651"/>
      <c r="R788" s="651"/>
      <c r="S788" s="651"/>
    </row>
    <row r="789" spans="12:19" ht="15.75" customHeight="1" x14ac:dyDescent="0.35">
      <c r="L789" s="2"/>
      <c r="M789" s="2"/>
      <c r="N789" s="650"/>
      <c r="O789" s="650"/>
      <c r="P789" s="651"/>
      <c r="Q789" s="651"/>
      <c r="R789" s="651"/>
      <c r="S789" s="651"/>
    </row>
    <row r="790" spans="12:19" ht="15.75" customHeight="1" x14ac:dyDescent="0.35">
      <c r="L790" s="2"/>
      <c r="M790" s="2"/>
      <c r="N790" s="650"/>
      <c r="O790" s="650"/>
      <c r="P790" s="651"/>
      <c r="Q790" s="651"/>
      <c r="R790" s="651"/>
      <c r="S790" s="651"/>
    </row>
    <row r="791" spans="12:19" ht="15.75" customHeight="1" x14ac:dyDescent="0.35">
      <c r="L791" s="2"/>
      <c r="M791" s="2"/>
      <c r="N791" s="650"/>
      <c r="O791" s="650"/>
      <c r="P791" s="651"/>
      <c r="Q791" s="651"/>
      <c r="R791" s="651"/>
      <c r="S791" s="651"/>
    </row>
    <row r="792" spans="12:19" ht="15.75" customHeight="1" x14ac:dyDescent="0.35">
      <c r="L792" s="2"/>
      <c r="M792" s="2"/>
      <c r="N792" s="650"/>
      <c r="O792" s="650"/>
      <c r="P792" s="651"/>
      <c r="Q792" s="651"/>
      <c r="R792" s="651"/>
      <c r="S792" s="651"/>
    </row>
    <row r="793" spans="12:19" ht="15.75" customHeight="1" x14ac:dyDescent="0.35">
      <c r="L793" s="2"/>
      <c r="M793" s="2"/>
      <c r="N793" s="650"/>
      <c r="O793" s="650"/>
      <c r="P793" s="651"/>
      <c r="Q793" s="651"/>
      <c r="R793" s="651"/>
      <c r="S793" s="651"/>
    </row>
    <row r="794" spans="12:19" ht="15.75" customHeight="1" x14ac:dyDescent="0.35">
      <c r="L794" s="2"/>
      <c r="M794" s="2"/>
      <c r="N794" s="650"/>
      <c r="O794" s="650"/>
      <c r="P794" s="651"/>
      <c r="Q794" s="651"/>
      <c r="R794" s="651"/>
      <c r="S794" s="651"/>
    </row>
    <row r="795" spans="12:19" ht="15.75" customHeight="1" x14ac:dyDescent="0.35">
      <c r="L795" s="2"/>
      <c r="M795" s="2"/>
      <c r="N795" s="650"/>
      <c r="O795" s="650"/>
      <c r="P795" s="651"/>
      <c r="Q795" s="651"/>
      <c r="R795" s="651"/>
      <c r="S795" s="651"/>
    </row>
    <row r="796" spans="12:19" ht="15.75" customHeight="1" x14ac:dyDescent="0.35">
      <c r="L796" s="2"/>
      <c r="M796" s="2"/>
      <c r="N796" s="650"/>
      <c r="O796" s="650"/>
      <c r="P796" s="651"/>
      <c r="Q796" s="651"/>
      <c r="R796" s="651"/>
      <c r="S796" s="651"/>
    </row>
    <row r="797" spans="12:19" ht="15.75" customHeight="1" x14ac:dyDescent="0.35">
      <c r="L797" s="2"/>
      <c r="M797" s="2"/>
      <c r="N797" s="650"/>
      <c r="O797" s="650"/>
      <c r="P797" s="651"/>
      <c r="Q797" s="651"/>
      <c r="R797" s="651"/>
      <c r="S797" s="651"/>
    </row>
    <row r="798" spans="12:19" ht="15.75" customHeight="1" x14ac:dyDescent="0.35">
      <c r="L798" s="2"/>
      <c r="M798" s="2"/>
      <c r="N798" s="650"/>
      <c r="O798" s="650"/>
      <c r="P798" s="651"/>
      <c r="Q798" s="651"/>
      <c r="R798" s="651"/>
      <c r="S798" s="651"/>
    </row>
    <row r="799" spans="12:19" ht="15.75" customHeight="1" x14ac:dyDescent="0.35">
      <c r="L799" s="2"/>
      <c r="M799" s="2"/>
      <c r="N799" s="650"/>
      <c r="O799" s="650"/>
      <c r="P799" s="651"/>
      <c r="Q799" s="651"/>
      <c r="R799" s="651"/>
      <c r="S799" s="651"/>
    </row>
    <row r="800" spans="12:19" ht="15.75" customHeight="1" x14ac:dyDescent="0.35">
      <c r="L800" s="2"/>
      <c r="M800" s="2"/>
      <c r="N800" s="650"/>
      <c r="O800" s="650"/>
      <c r="P800" s="651"/>
      <c r="Q800" s="651"/>
      <c r="R800" s="651"/>
      <c r="S800" s="651"/>
    </row>
    <row r="801" spans="12:19" ht="15.75" customHeight="1" x14ac:dyDescent="0.35">
      <c r="L801" s="2"/>
      <c r="M801" s="2"/>
      <c r="N801" s="650"/>
      <c r="O801" s="650"/>
      <c r="P801" s="651"/>
      <c r="Q801" s="651"/>
      <c r="R801" s="651"/>
      <c r="S801" s="651"/>
    </row>
    <row r="802" spans="12:19" ht="15.75" customHeight="1" x14ac:dyDescent="0.35">
      <c r="L802" s="2"/>
      <c r="M802" s="2"/>
      <c r="N802" s="650"/>
      <c r="O802" s="650"/>
      <c r="P802" s="651"/>
      <c r="Q802" s="651"/>
      <c r="R802" s="651"/>
      <c r="S802" s="651"/>
    </row>
    <row r="803" spans="12:19" ht="15.75" customHeight="1" x14ac:dyDescent="0.35">
      <c r="L803" s="2"/>
      <c r="M803" s="2"/>
      <c r="N803" s="650"/>
      <c r="O803" s="650"/>
      <c r="P803" s="651"/>
      <c r="Q803" s="651"/>
      <c r="R803" s="651"/>
      <c r="S803" s="651"/>
    </row>
    <row r="804" spans="12:19" ht="15.75" customHeight="1" x14ac:dyDescent="0.35">
      <c r="L804" s="2"/>
      <c r="M804" s="2"/>
      <c r="N804" s="650"/>
      <c r="O804" s="650"/>
      <c r="P804" s="651"/>
      <c r="Q804" s="651"/>
      <c r="R804" s="651"/>
      <c r="S804" s="651"/>
    </row>
    <row r="805" spans="12:19" ht="15.75" customHeight="1" x14ac:dyDescent="0.35">
      <c r="L805" s="2"/>
      <c r="M805" s="2"/>
      <c r="N805" s="650"/>
      <c r="O805" s="650"/>
      <c r="P805" s="651"/>
      <c r="Q805" s="651"/>
      <c r="R805" s="651"/>
      <c r="S805" s="651"/>
    </row>
    <row r="806" spans="12:19" ht="15.75" customHeight="1" x14ac:dyDescent="0.35">
      <c r="L806" s="2"/>
      <c r="M806" s="2"/>
      <c r="N806" s="650"/>
      <c r="O806" s="650"/>
      <c r="P806" s="651"/>
      <c r="Q806" s="651"/>
      <c r="R806" s="651"/>
      <c r="S806" s="651"/>
    </row>
    <row r="807" spans="12:19" ht="15.75" customHeight="1" x14ac:dyDescent="0.35">
      <c r="L807" s="2"/>
      <c r="M807" s="2"/>
      <c r="N807" s="650"/>
      <c r="O807" s="650"/>
      <c r="P807" s="651"/>
      <c r="Q807" s="651"/>
      <c r="R807" s="651"/>
      <c r="S807" s="651"/>
    </row>
    <row r="808" spans="12:19" ht="15.75" customHeight="1" x14ac:dyDescent="0.35">
      <c r="L808" s="2"/>
      <c r="M808" s="2"/>
      <c r="N808" s="650"/>
      <c r="O808" s="650"/>
      <c r="P808" s="651"/>
      <c r="Q808" s="651"/>
      <c r="R808" s="651"/>
      <c r="S808" s="651"/>
    </row>
    <row r="809" spans="12:19" ht="15.75" customHeight="1" x14ac:dyDescent="0.35">
      <c r="L809" s="2"/>
      <c r="M809" s="2"/>
      <c r="N809" s="650"/>
      <c r="O809" s="650"/>
      <c r="P809" s="651"/>
      <c r="Q809" s="651"/>
      <c r="R809" s="651"/>
      <c r="S809" s="651"/>
    </row>
    <row r="810" spans="12:19" ht="15.75" customHeight="1" x14ac:dyDescent="0.35">
      <c r="L810" s="2"/>
      <c r="M810" s="2"/>
      <c r="N810" s="650"/>
      <c r="O810" s="650"/>
      <c r="P810" s="651"/>
      <c r="Q810" s="651"/>
      <c r="R810" s="651"/>
      <c r="S810" s="651"/>
    </row>
    <row r="811" spans="12:19" ht="15.75" customHeight="1" x14ac:dyDescent="0.35">
      <c r="L811" s="2"/>
      <c r="M811" s="2"/>
      <c r="N811" s="650"/>
      <c r="O811" s="650"/>
      <c r="P811" s="651"/>
      <c r="Q811" s="651"/>
      <c r="R811" s="651"/>
      <c r="S811" s="651"/>
    </row>
    <row r="812" spans="12:19" ht="15.75" customHeight="1" x14ac:dyDescent="0.35">
      <c r="L812" s="2"/>
      <c r="M812" s="2"/>
      <c r="N812" s="650"/>
      <c r="O812" s="650"/>
      <c r="P812" s="651"/>
      <c r="Q812" s="651"/>
      <c r="R812" s="651"/>
      <c r="S812" s="651"/>
    </row>
    <row r="813" spans="12:19" ht="15.75" customHeight="1" x14ac:dyDescent="0.35">
      <c r="L813" s="2"/>
      <c r="M813" s="2"/>
      <c r="N813" s="650"/>
      <c r="O813" s="650"/>
      <c r="P813" s="651"/>
      <c r="Q813" s="651"/>
      <c r="R813" s="651"/>
      <c r="S813" s="651"/>
    </row>
    <row r="814" spans="12:19" ht="15.75" customHeight="1" x14ac:dyDescent="0.35">
      <c r="L814" s="2"/>
      <c r="M814" s="2"/>
      <c r="N814" s="650"/>
      <c r="O814" s="650"/>
      <c r="P814" s="651"/>
      <c r="Q814" s="651"/>
      <c r="R814" s="651"/>
      <c r="S814" s="651"/>
    </row>
    <row r="815" spans="12:19" ht="15.75" customHeight="1" x14ac:dyDescent="0.35">
      <c r="L815" s="2"/>
      <c r="M815" s="2"/>
      <c r="N815" s="650"/>
      <c r="O815" s="650"/>
      <c r="P815" s="651"/>
      <c r="Q815" s="651"/>
      <c r="R815" s="651"/>
      <c r="S815" s="651"/>
    </row>
    <row r="816" spans="12:19" ht="15.75" customHeight="1" x14ac:dyDescent="0.35">
      <c r="L816" s="2"/>
      <c r="M816" s="2"/>
      <c r="N816" s="650"/>
      <c r="O816" s="650"/>
      <c r="P816" s="651"/>
      <c r="Q816" s="651"/>
      <c r="R816" s="651"/>
      <c r="S816" s="651"/>
    </row>
    <row r="817" spans="12:19" ht="15.75" customHeight="1" x14ac:dyDescent="0.35">
      <c r="L817" s="2"/>
      <c r="M817" s="2"/>
      <c r="N817" s="650"/>
      <c r="O817" s="650"/>
      <c r="P817" s="651"/>
      <c r="Q817" s="651"/>
      <c r="R817" s="651"/>
      <c r="S817" s="651"/>
    </row>
    <row r="818" spans="12:19" ht="15.75" customHeight="1" x14ac:dyDescent="0.35">
      <c r="L818" s="2"/>
      <c r="M818" s="2"/>
      <c r="N818" s="650"/>
      <c r="O818" s="650"/>
      <c r="P818" s="651"/>
      <c r="Q818" s="651"/>
      <c r="R818" s="651"/>
      <c r="S818" s="651"/>
    </row>
    <row r="819" spans="12:19" ht="15.75" customHeight="1" x14ac:dyDescent="0.35">
      <c r="L819" s="2"/>
      <c r="M819" s="2"/>
      <c r="N819" s="650"/>
      <c r="O819" s="650"/>
      <c r="P819" s="651"/>
      <c r="Q819" s="651"/>
      <c r="R819" s="651"/>
      <c r="S819" s="651"/>
    </row>
    <row r="820" spans="12:19" ht="15.75" customHeight="1" x14ac:dyDescent="0.35">
      <c r="L820" s="2"/>
      <c r="M820" s="2"/>
      <c r="N820" s="650"/>
      <c r="O820" s="650"/>
      <c r="P820" s="651"/>
      <c r="Q820" s="651"/>
      <c r="R820" s="651"/>
      <c r="S820" s="651"/>
    </row>
    <row r="821" spans="12:19" ht="15.75" customHeight="1" x14ac:dyDescent="0.35">
      <c r="L821" s="2"/>
      <c r="M821" s="2"/>
      <c r="N821" s="650"/>
      <c r="O821" s="650"/>
      <c r="P821" s="651"/>
      <c r="Q821" s="651"/>
      <c r="R821" s="651"/>
      <c r="S821" s="651"/>
    </row>
    <row r="822" spans="12:19" ht="15.75" customHeight="1" x14ac:dyDescent="0.35">
      <c r="L822" s="2"/>
      <c r="M822" s="2"/>
      <c r="N822" s="650"/>
      <c r="O822" s="650"/>
      <c r="P822" s="651"/>
      <c r="Q822" s="651"/>
      <c r="R822" s="651"/>
      <c r="S822" s="651"/>
    </row>
    <row r="823" spans="12:19" ht="15.75" customHeight="1" x14ac:dyDescent="0.35">
      <c r="L823" s="2"/>
      <c r="M823" s="2"/>
      <c r="N823" s="650"/>
      <c r="O823" s="650"/>
      <c r="P823" s="651"/>
      <c r="Q823" s="651"/>
      <c r="R823" s="651"/>
      <c r="S823" s="651"/>
    </row>
    <row r="824" spans="12:19" ht="15.75" customHeight="1" x14ac:dyDescent="0.35">
      <c r="L824" s="2"/>
      <c r="M824" s="2"/>
      <c r="N824" s="650"/>
      <c r="O824" s="650"/>
      <c r="P824" s="651"/>
      <c r="Q824" s="651"/>
      <c r="R824" s="651"/>
      <c r="S824" s="651"/>
    </row>
    <row r="825" spans="12:19" ht="15.75" customHeight="1" x14ac:dyDescent="0.35">
      <c r="L825" s="2"/>
      <c r="M825" s="2"/>
      <c r="N825" s="650"/>
      <c r="O825" s="650"/>
      <c r="P825" s="651"/>
      <c r="Q825" s="651"/>
      <c r="R825" s="651"/>
      <c r="S825" s="651"/>
    </row>
    <row r="826" spans="12:19" ht="15.75" customHeight="1" x14ac:dyDescent="0.35">
      <c r="L826" s="2"/>
      <c r="M826" s="2"/>
      <c r="N826" s="650"/>
      <c r="O826" s="650"/>
      <c r="P826" s="651"/>
      <c r="Q826" s="651"/>
      <c r="R826" s="651"/>
      <c r="S826" s="651"/>
    </row>
    <row r="827" spans="12:19" ht="15.75" customHeight="1" x14ac:dyDescent="0.35">
      <c r="L827" s="2"/>
      <c r="M827" s="2"/>
      <c r="N827" s="650"/>
      <c r="O827" s="650"/>
      <c r="P827" s="651"/>
      <c r="Q827" s="651"/>
      <c r="R827" s="651"/>
      <c r="S827" s="651"/>
    </row>
    <row r="828" spans="12:19" ht="15.75" customHeight="1" x14ac:dyDescent="0.35">
      <c r="L828" s="2"/>
      <c r="M828" s="2"/>
      <c r="N828" s="650"/>
      <c r="O828" s="650"/>
      <c r="P828" s="651"/>
      <c r="Q828" s="651"/>
      <c r="R828" s="651"/>
      <c r="S828" s="651"/>
    </row>
    <row r="829" spans="12:19" ht="15.75" customHeight="1" x14ac:dyDescent="0.35">
      <c r="L829" s="2"/>
      <c r="M829" s="2"/>
      <c r="N829" s="650"/>
      <c r="O829" s="650"/>
      <c r="P829" s="651"/>
      <c r="Q829" s="651"/>
      <c r="R829" s="651"/>
      <c r="S829" s="651"/>
    </row>
    <row r="830" spans="12:19" ht="15.75" customHeight="1" x14ac:dyDescent="0.35">
      <c r="L830" s="2"/>
      <c r="M830" s="2"/>
      <c r="N830" s="650"/>
      <c r="O830" s="650"/>
      <c r="P830" s="651"/>
      <c r="Q830" s="651"/>
      <c r="R830" s="651"/>
      <c r="S830" s="651"/>
    </row>
    <row r="831" spans="12:19" ht="15.75" customHeight="1" x14ac:dyDescent="0.35">
      <c r="L831" s="2"/>
      <c r="M831" s="2"/>
      <c r="N831" s="650"/>
      <c r="O831" s="650"/>
      <c r="P831" s="651"/>
      <c r="Q831" s="651"/>
      <c r="R831" s="651"/>
      <c r="S831" s="651"/>
    </row>
    <row r="832" spans="12:19" ht="15.75" customHeight="1" x14ac:dyDescent="0.35">
      <c r="L832" s="2"/>
      <c r="M832" s="2"/>
      <c r="N832" s="650"/>
      <c r="O832" s="650"/>
      <c r="P832" s="651"/>
      <c r="Q832" s="651"/>
      <c r="R832" s="651"/>
      <c r="S832" s="651"/>
    </row>
    <row r="833" spans="12:19" ht="15.75" customHeight="1" x14ac:dyDescent="0.35">
      <c r="L833" s="2"/>
      <c r="M833" s="2"/>
      <c r="N833" s="650"/>
      <c r="O833" s="650"/>
      <c r="P833" s="651"/>
      <c r="Q833" s="651"/>
      <c r="R833" s="651"/>
      <c r="S833" s="651"/>
    </row>
    <row r="834" spans="12:19" ht="15.75" customHeight="1" x14ac:dyDescent="0.35">
      <c r="L834" s="2"/>
      <c r="M834" s="2"/>
      <c r="N834" s="650"/>
      <c r="O834" s="650"/>
      <c r="P834" s="651"/>
      <c r="Q834" s="651"/>
      <c r="R834" s="651"/>
      <c r="S834" s="651"/>
    </row>
    <row r="835" spans="12:19" ht="15.75" customHeight="1" x14ac:dyDescent="0.35">
      <c r="L835" s="2"/>
      <c r="M835" s="2"/>
      <c r="N835" s="650"/>
      <c r="O835" s="650"/>
      <c r="P835" s="651"/>
      <c r="Q835" s="651"/>
      <c r="R835" s="651"/>
      <c r="S835" s="651"/>
    </row>
    <row r="836" spans="12:19" ht="15.75" customHeight="1" x14ac:dyDescent="0.35">
      <c r="L836" s="2"/>
      <c r="M836" s="2"/>
      <c r="N836" s="650"/>
      <c r="O836" s="650"/>
      <c r="P836" s="651"/>
      <c r="Q836" s="651"/>
      <c r="R836" s="651"/>
      <c r="S836" s="651"/>
    </row>
    <row r="837" spans="12:19" ht="15.75" customHeight="1" x14ac:dyDescent="0.35">
      <c r="L837" s="2"/>
      <c r="M837" s="2"/>
      <c r="N837" s="650"/>
      <c r="O837" s="650"/>
      <c r="P837" s="651"/>
      <c r="Q837" s="651"/>
      <c r="R837" s="651"/>
      <c r="S837" s="651"/>
    </row>
    <row r="838" spans="12:19" ht="15.75" customHeight="1" x14ac:dyDescent="0.35">
      <c r="L838" s="2"/>
      <c r="M838" s="2"/>
      <c r="N838" s="650"/>
      <c r="O838" s="650"/>
      <c r="P838" s="651"/>
      <c r="Q838" s="651"/>
      <c r="R838" s="651"/>
      <c r="S838" s="651"/>
    </row>
    <row r="839" spans="12:19" ht="15.75" customHeight="1" x14ac:dyDescent="0.35">
      <c r="L839" s="2"/>
      <c r="M839" s="2"/>
      <c r="N839" s="650"/>
      <c r="O839" s="650"/>
      <c r="P839" s="651"/>
      <c r="Q839" s="651"/>
      <c r="R839" s="651"/>
      <c r="S839" s="651"/>
    </row>
    <row r="840" spans="12:19" ht="15.75" customHeight="1" x14ac:dyDescent="0.35">
      <c r="L840" s="2"/>
      <c r="M840" s="2"/>
      <c r="N840" s="650"/>
      <c r="O840" s="650"/>
      <c r="P840" s="651"/>
      <c r="Q840" s="651"/>
      <c r="R840" s="651"/>
      <c r="S840" s="651"/>
    </row>
    <row r="841" spans="12:19" ht="15.75" customHeight="1" x14ac:dyDescent="0.35">
      <c r="L841" s="2"/>
      <c r="M841" s="2"/>
      <c r="N841" s="650"/>
      <c r="O841" s="650"/>
      <c r="P841" s="651"/>
      <c r="Q841" s="651"/>
      <c r="R841" s="651"/>
      <c r="S841" s="651"/>
    </row>
    <row r="842" spans="12:19" ht="15.75" customHeight="1" x14ac:dyDescent="0.35">
      <c r="L842" s="2"/>
      <c r="M842" s="2"/>
      <c r="N842" s="650"/>
      <c r="O842" s="650"/>
      <c r="P842" s="651"/>
      <c r="Q842" s="651"/>
      <c r="R842" s="651"/>
      <c r="S842" s="651"/>
    </row>
    <row r="843" spans="12:19" ht="15.75" customHeight="1" x14ac:dyDescent="0.35">
      <c r="L843" s="2"/>
      <c r="M843" s="2"/>
      <c r="N843" s="650"/>
      <c r="O843" s="650"/>
      <c r="P843" s="651"/>
      <c r="Q843" s="651"/>
      <c r="R843" s="651"/>
      <c r="S843" s="651"/>
    </row>
    <row r="844" spans="12:19" ht="15.75" customHeight="1" x14ac:dyDescent="0.35">
      <c r="L844" s="2"/>
      <c r="M844" s="2"/>
      <c r="N844" s="650"/>
      <c r="O844" s="650"/>
      <c r="P844" s="651"/>
      <c r="Q844" s="651"/>
      <c r="R844" s="651"/>
      <c r="S844" s="651"/>
    </row>
    <row r="845" spans="12:19" ht="15.75" customHeight="1" x14ac:dyDescent="0.35">
      <c r="L845" s="2"/>
      <c r="M845" s="2"/>
      <c r="N845" s="650"/>
      <c r="O845" s="650"/>
      <c r="P845" s="651"/>
      <c r="Q845" s="651"/>
      <c r="R845" s="651"/>
      <c r="S845" s="651"/>
    </row>
    <row r="846" spans="12:19" ht="15.75" customHeight="1" x14ac:dyDescent="0.35">
      <c r="L846" s="2"/>
      <c r="M846" s="2"/>
      <c r="N846" s="650"/>
      <c r="O846" s="650"/>
      <c r="P846" s="651"/>
      <c r="Q846" s="651"/>
      <c r="R846" s="651"/>
      <c r="S846" s="651"/>
    </row>
    <row r="847" spans="12:19" ht="15.75" customHeight="1" x14ac:dyDescent="0.35">
      <c r="L847" s="2"/>
      <c r="M847" s="2"/>
      <c r="N847" s="650"/>
      <c r="O847" s="650"/>
      <c r="P847" s="651"/>
      <c r="Q847" s="651"/>
      <c r="R847" s="651"/>
      <c r="S847" s="651"/>
    </row>
    <row r="848" spans="12:19" ht="15.75" customHeight="1" x14ac:dyDescent="0.35">
      <c r="L848" s="2"/>
      <c r="M848" s="2"/>
      <c r="N848" s="650"/>
      <c r="O848" s="650"/>
      <c r="P848" s="651"/>
      <c r="Q848" s="651"/>
      <c r="R848" s="651"/>
      <c r="S848" s="651"/>
    </row>
    <row r="849" spans="12:19" ht="15.75" customHeight="1" x14ac:dyDescent="0.35">
      <c r="L849" s="2"/>
      <c r="M849" s="2"/>
      <c r="N849" s="650"/>
      <c r="O849" s="650"/>
      <c r="P849" s="651"/>
      <c r="Q849" s="651"/>
      <c r="R849" s="651"/>
      <c r="S849" s="651"/>
    </row>
    <row r="850" spans="12:19" ht="15.75" customHeight="1" x14ac:dyDescent="0.35">
      <c r="L850" s="2"/>
      <c r="M850" s="2"/>
      <c r="N850" s="650"/>
      <c r="O850" s="650"/>
      <c r="P850" s="651"/>
      <c r="Q850" s="651"/>
      <c r="R850" s="651"/>
      <c r="S850" s="651"/>
    </row>
    <row r="851" spans="12:19" ht="15.75" customHeight="1" x14ac:dyDescent="0.35">
      <c r="L851" s="2"/>
      <c r="M851" s="2"/>
      <c r="N851" s="650"/>
      <c r="O851" s="650"/>
      <c r="P851" s="651"/>
      <c r="Q851" s="651"/>
      <c r="R851" s="651"/>
      <c r="S851" s="651"/>
    </row>
    <row r="852" spans="12:19" ht="15.75" customHeight="1" x14ac:dyDescent="0.35">
      <c r="L852" s="2"/>
      <c r="M852" s="2"/>
      <c r="N852" s="650"/>
      <c r="O852" s="650"/>
      <c r="P852" s="651"/>
      <c r="Q852" s="651"/>
      <c r="R852" s="651"/>
      <c r="S852" s="651"/>
    </row>
    <row r="853" spans="12:19" ht="15.75" customHeight="1" x14ac:dyDescent="0.35">
      <c r="L853" s="2"/>
      <c r="M853" s="2"/>
      <c r="N853" s="650"/>
      <c r="O853" s="650"/>
      <c r="P853" s="651"/>
      <c r="Q853" s="651"/>
      <c r="R853" s="651"/>
      <c r="S853" s="651"/>
    </row>
    <row r="854" spans="12:19" ht="15.75" customHeight="1" x14ac:dyDescent="0.35">
      <c r="L854" s="2"/>
      <c r="M854" s="2"/>
      <c r="N854" s="650"/>
      <c r="O854" s="650"/>
      <c r="P854" s="651"/>
      <c r="Q854" s="651"/>
      <c r="R854" s="651"/>
      <c r="S854" s="651"/>
    </row>
    <row r="855" spans="12:19" ht="15.75" customHeight="1" x14ac:dyDescent="0.35">
      <c r="L855" s="2"/>
      <c r="M855" s="2"/>
      <c r="N855" s="650"/>
      <c r="O855" s="650"/>
      <c r="P855" s="651"/>
      <c r="Q855" s="651"/>
      <c r="R855" s="651"/>
      <c r="S855" s="651"/>
    </row>
    <row r="856" spans="12:19" ht="15.75" customHeight="1" x14ac:dyDescent="0.35">
      <c r="L856" s="2"/>
      <c r="M856" s="2"/>
      <c r="N856" s="650"/>
      <c r="O856" s="650"/>
      <c r="P856" s="651"/>
      <c r="Q856" s="651"/>
      <c r="R856" s="651"/>
      <c r="S856" s="651"/>
    </row>
    <row r="857" spans="12:19" ht="15.75" customHeight="1" x14ac:dyDescent="0.35">
      <c r="L857" s="2"/>
      <c r="M857" s="2"/>
      <c r="N857" s="650"/>
      <c r="O857" s="650"/>
      <c r="P857" s="651"/>
      <c r="Q857" s="651"/>
      <c r="R857" s="651"/>
      <c r="S857" s="651"/>
    </row>
    <row r="858" spans="12:19" ht="15.75" customHeight="1" x14ac:dyDescent="0.35">
      <c r="L858" s="2"/>
      <c r="M858" s="2"/>
      <c r="N858" s="650"/>
      <c r="O858" s="650"/>
      <c r="P858" s="651"/>
      <c r="Q858" s="651"/>
      <c r="R858" s="651"/>
      <c r="S858" s="651"/>
    </row>
    <row r="859" spans="12:19" ht="15.75" customHeight="1" x14ac:dyDescent="0.35">
      <c r="L859" s="2"/>
      <c r="M859" s="2"/>
      <c r="N859" s="650"/>
      <c r="O859" s="650"/>
      <c r="P859" s="651"/>
      <c r="Q859" s="651"/>
      <c r="R859" s="651"/>
      <c r="S859" s="651"/>
    </row>
    <row r="860" spans="12:19" ht="15.75" customHeight="1" x14ac:dyDescent="0.35">
      <c r="L860" s="2"/>
      <c r="M860" s="2"/>
      <c r="N860" s="650"/>
      <c r="O860" s="650"/>
      <c r="P860" s="651"/>
      <c r="Q860" s="651"/>
      <c r="R860" s="651"/>
      <c r="S860" s="651"/>
    </row>
    <row r="861" spans="12:19" ht="15.75" customHeight="1" x14ac:dyDescent="0.35">
      <c r="L861" s="2"/>
      <c r="M861" s="2"/>
      <c r="N861" s="650"/>
      <c r="O861" s="650"/>
      <c r="P861" s="651"/>
      <c r="Q861" s="651"/>
      <c r="R861" s="651"/>
      <c r="S861" s="651"/>
    </row>
    <row r="862" spans="12:19" ht="15.75" customHeight="1" x14ac:dyDescent="0.35">
      <c r="L862" s="2"/>
      <c r="M862" s="2"/>
      <c r="N862" s="650"/>
      <c r="O862" s="650"/>
      <c r="P862" s="651"/>
      <c r="Q862" s="651"/>
      <c r="R862" s="651"/>
      <c r="S862" s="651"/>
    </row>
    <row r="863" spans="12:19" ht="15.75" customHeight="1" x14ac:dyDescent="0.35">
      <c r="L863" s="2"/>
      <c r="M863" s="2"/>
      <c r="N863" s="650"/>
      <c r="O863" s="650"/>
      <c r="P863" s="651"/>
      <c r="Q863" s="651"/>
      <c r="R863" s="651"/>
      <c r="S863" s="651"/>
    </row>
    <row r="864" spans="12:19" ht="15.75" customHeight="1" x14ac:dyDescent="0.35">
      <c r="L864" s="2"/>
      <c r="M864" s="2"/>
      <c r="N864" s="650"/>
      <c r="O864" s="650"/>
      <c r="P864" s="651"/>
      <c r="Q864" s="651"/>
      <c r="R864" s="651"/>
      <c r="S864" s="651"/>
    </row>
    <row r="865" spans="12:19" ht="15.75" customHeight="1" x14ac:dyDescent="0.35">
      <c r="L865" s="2"/>
      <c r="M865" s="2"/>
      <c r="N865" s="650"/>
      <c r="O865" s="650"/>
      <c r="P865" s="651"/>
      <c r="Q865" s="651"/>
      <c r="R865" s="651"/>
      <c r="S865" s="651"/>
    </row>
    <row r="866" spans="12:19" ht="15.75" customHeight="1" x14ac:dyDescent="0.35">
      <c r="L866" s="2"/>
      <c r="M866" s="2"/>
      <c r="N866" s="650"/>
      <c r="O866" s="650"/>
      <c r="P866" s="651"/>
      <c r="Q866" s="651"/>
      <c r="R866" s="651"/>
      <c r="S866" s="651"/>
    </row>
    <row r="867" spans="12:19" ht="15.75" customHeight="1" x14ac:dyDescent="0.35">
      <c r="L867" s="2"/>
      <c r="M867" s="2"/>
      <c r="N867" s="650"/>
      <c r="O867" s="650"/>
      <c r="P867" s="651"/>
      <c r="Q867" s="651"/>
      <c r="R867" s="651"/>
      <c r="S867" s="651"/>
    </row>
    <row r="868" spans="12:19" ht="15.75" customHeight="1" x14ac:dyDescent="0.35">
      <c r="L868" s="2"/>
      <c r="M868" s="2"/>
      <c r="N868" s="650"/>
      <c r="O868" s="650"/>
      <c r="P868" s="651"/>
      <c r="Q868" s="651"/>
      <c r="R868" s="651"/>
      <c r="S868" s="651"/>
    </row>
    <row r="869" spans="12:19" ht="15.75" customHeight="1" x14ac:dyDescent="0.35">
      <c r="L869" s="2"/>
      <c r="M869" s="2"/>
      <c r="N869" s="650"/>
      <c r="O869" s="650"/>
      <c r="P869" s="651"/>
      <c r="Q869" s="651"/>
      <c r="R869" s="651"/>
      <c r="S869" s="651"/>
    </row>
    <row r="870" spans="12:19" ht="15.75" customHeight="1" x14ac:dyDescent="0.35">
      <c r="L870" s="2"/>
      <c r="M870" s="2"/>
      <c r="N870" s="650"/>
      <c r="O870" s="650"/>
      <c r="P870" s="651"/>
      <c r="Q870" s="651"/>
      <c r="R870" s="651"/>
      <c r="S870" s="651"/>
    </row>
    <row r="871" spans="12:19" ht="15.75" customHeight="1" x14ac:dyDescent="0.35">
      <c r="L871" s="2"/>
      <c r="M871" s="2"/>
      <c r="N871" s="650"/>
      <c r="O871" s="650"/>
      <c r="P871" s="651"/>
      <c r="Q871" s="651"/>
      <c r="R871" s="651"/>
      <c r="S871" s="651"/>
    </row>
    <row r="872" spans="12:19" ht="15.75" customHeight="1" x14ac:dyDescent="0.35">
      <c r="L872" s="2"/>
      <c r="M872" s="2"/>
      <c r="N872" s="650"/>
      <c r="O872" s="650"/>
      <c r="P872" s="651"/>
      <c r="Q872" s="651"/>
      <c r="R872" s="651"/>
      <c r="S872" s="651"/>
    </row>
    <row r="873" spans="12:19" ht="15.75" customHeight="1" x14ac:dyDescent="0.35">
      <c r="L873" s="2"/>
      <c r="M873" s="2"/>
      <c r="N873" s="650"/>
      <c r="O873" s="650"/>
      <c r="P873" s="651"/>
      <c r="Q873" s="651"/>
      <c r="R873" s="651"/>
      <c r="S873" s="651"/>
    </row>
    <row r="874" spans="12:19" ht="15.75" customHeight="1" x14ac:dyDescent="0.35">
      <c r="L874" s="2"/>
      <c r="M874" s="2"/>
      <c r="N874" s="650"/>
      <c r="O874" s="650"/>
      <c r="P874" s="651"/>
      <c r="Q874" s="651"/>
      <c r="R874" s="651"/>
      <c r="S874" s="651"/>
    </row>
    <row r="875" spans="12:19" ht="15.75" customHeight="1" x14ac:dyDescent="0.35">
      <c r="L875" s="2"/>
      <c r="M875" s="2"/>
      <c r="N875" s="650"/>
      <c r="O875" s="650"/>
      <c r="P875" s="651"/>
      <c r="Q875" s="651"/>
      <c r="R875" s="651"/>
      <c r="S875" s="651"/>
    </row>
    <row r="876" spans="12:19" ht="15.75" customHeight="1" x14ac:dyDescent="0.35">
      <c r="L876" s="2"/>
      <c r="M876" s="2"/>
      <c r="N876" s="650"/>
      <c r="O876" s="650"/>
      <c r="P876" s="651"/>
      <c r="Q876" s="651"/>
      <c r="R876" s="651"/>
      <c r="S876" s="651"/>
    </row>
    <row r="877" spans="12:19" ht="15.75" customHeight="1" x14ac:dyDescent="0.35">
      <c r="L877" s="2"/>
      <c r="M877" s="2"/>
      <c r="N877" s="650"/>
      <c r="O877" s="650"/>
      <c r="P877" s="651"/>
      <c r="Q877" s="651"/>
      <c r="R877" s="651"/>
      <c r="S877" s="651"/>
    </row>
    <row r="878" spans="12:19" ht="15.75" customHeight="1" x14ac:dyDescent="0.35">
      <c r="L878" s="2"/>
      <c r="M878" s="2"/>
      <c r="N878" s="650"/>
      <c r="O878" s="650"/>
      <c r="P878" s="651"/>
      <c r="Q878" s="651"/>
      <c r="R878" s="651"/>
      <c r="S878" s="651"/>
    </row>
    <row r="879" spans="12:19" ht="15.75" customHeight="1" x14ac:dyDescent="0.35">
      <c r="L879" s="2"/>
      <c r="M879" s="2"/>
      <c r="N879" s="650"/>
      <c r="O879" s="650"/>
      <c r="P879" s="651"/>
      <c r="Q879" s="651"/>
      <c r="R879" s="651"/>
      <c r="S879" s="651"/>
    </row>
    <row r="880" spans="12:19" ht="15.75" customHeight="1" x14ac:dyDescent="0.35">
      <c r="L880" s="2"/>
      <c r="M880" s="2"/>
      <c r="N880" s="650"/>
      <c r="O880" s="650"/>
      <c r="P880" s="651"/>
      <c r="Q880" s="651"/>
      <c r="R880" s="651"/>
      <c r="S880" s="651"/>
    </row>
    <row r="881" spans="12:19" ht="15.75" customHeight="1" x14ac:dyDescent="0.35">
      <c r="L881" s="2"/>
      <c r="M881" s="2"/>
      <c r="N881" s="650"/>
      <c r="O881" s="650"/>
      <c r="P881" s="651"/>
      <c r="Q881" s="651"/>
      <c r="R881" s="651"/>
      <c r="S881" s="651"/>
    </row>
    <row r="882" spans="12:19" ht="15.75" customHeight="1" x14ac:dyDescent="0.35">
      <c r="L882" s="2"/>
      <c r="M882" s="2"/>
      <c r="N882" s="650"/>
      <c r="O882" s="650"/>
      <c r="P882" s="651"/>
      <c r="Q882" s="651"/>
      <c r="R882" s="651"/>
      <c r="S882" s="651"/>
    </row>
    <row r="883" spans="12:19" ht="15.75" customHeight="1" x14ac:dyDescent="0.35">
      <c r="L883" s="2"/>
      <c r="M883" s="2"/>
      <c r="N883" s="650"/>
      <c r="O883" s="650"/>
      <c r="P883" s="651"/>
      <c r="Q883" s="651"/>
      <c r="R883" s="651"/>
      <c r="S883" s="651"/>
    </row>
    <row r="884" spans="12:19" ht="15.75" customHeight="1" x14ac:dyDescent="0.35">
      <c r="L884" s="2"/>
      <c r="M884" s="2"/>
      <c r="N884" s="650"/>
      <c r="O884" s="650"/>
      <c r="P884" s="651"/>
      <c r="Q884" s="651"/>
      <c r="R884" s="651"/>
      <c r="S884" s="651"/>
    </row>
    <row r="885" spans="12:19" ht="15.75" customHeight="1" x14ac:dyDescent="0.35">
      <c r="L885" s="2"/>
      <c r="M885" s="2"/>
      <c r="N885" s="650"/>
      <c r="O885" s="650"/>
      <c r="P885" s="651"/>
      <c r="Q885" s="651"/>
      <c r="R885" s="651"/>
      <c r="S885" s="651"/>
    </row>
    <row r="886" spans="12:19" ht="15.75" customHeight="1" x14ac:dyDescent="0.35">
      <c r="L886" s="2"/>
      <c r="M886" s="2"/>
      <c r="N886" s="650"/>
      <c r="O886" s="650"/>
      <c r="P886" s="651"/>
      <c r="Q886" s="651"/>
      <c r="R886" s="651"/>
      <c r="S886" s="651"/>
    </row>
    <row r="887" spans="12:19" ht="15.75" customHeight="1" x14ac:dyDescent="0.35">
      <c r="L887" s="2"/>
      <c r="M887" s="2"/>
      <c r="N887" s="650"/>
      <c r="O887" s="650"/>
      <c r="P887" s="651"/>
      <c r="Q887" s="651"/>
      <c r="R887" s="651"/>
      <c r="S887" s="651"/>
    </row>
    <row r="888" spans="12:19" ht="15.75" customHeight="1" x14ac:dyDescent="0.35">
      <c r="L888" s="2"/>
      <c r="M888" s="2"/>
      <c r="N888" s="650"/>
      <c r="O888" s="650"/>
      <c r="P888" s="651"/>
      <c r="Q888" s="651"/>
      <c r="R888" s="651"/>
      <c r="S888" s="651"/>
    </row>
    <row r="889" spans="12:19" ht="15.75" customHeight="1" x14ac:dyDescent="0.35">
      <c r="L889" s="2"/>
      <c r="M889" s="2"/>
      <c r="N889" s="650"/>
      <c r="O889" s="650"/>
      <c r="P889" s="651"/>
      <c r="Q889" s="651"/>
      <c r="R889" s="651"/>
      <c r="S889" s="651"/>
    </row>
    <row r="890" spans="12:19" ht="15.75" customHeight="1" x14ac:dyDescent="0.35">
      <c r="L890" s="2"/>
      <c r="M890" s="2"/>
      <c r="N890" s="650"/>
      <c r="O890" s="650"/>
      <c r="P890" s="651"/>
      <c r="Q890" s="651"/>
      <c r="R890" s="651"/>
      <c r="S890" s="651"/>
    </row>
    <row r="891" spans="12:19" ht="15.75" customHeight="1" x14ac:dyDescent="0.35">
      <c r="L891" s="2"/>
      <c r="M891" s="2"/>
      <c r="N891" s="650"/>
      <c r="O891" s="650"/>
      <c r="P891" s="651"/>
      <c r="Q891" s="651"/>
      <c r="R891" s="651"/>
      <c r="S891" s="651"/>
    </row>
    <row r="892" spans="12:19" ht="15.75" customHeight="1" x14ac:dyDescent="0.35">
      <c r="L892" s="2"/>
      <c r="M892" s="2"/>
      <c r="N892" s="650"/>
      <c r="O892" s="650"/>
      <c r="P892" s="651"/>
      <c r="Q892" s="651"/>
      <c r="R892" s="651"/>
      <c r="S892" s="651"/>
    </row>
    <row r="893" spans="12:19" ht="15.75" customHeight="1" x14ac:dyDescent="0.35">
      <c r="L893" s="2"/>
      <c r="M893" s="2"/>
      <c r="N893" s="650"/>
      <c r="O893" s="650"/>
      <c r="P893" s="651"/>
      <c r="Q893" s="651"/>
      <c r="R893" s="651"/>
      <c r="S893" s="651"/>
    </row>
    <row r="894" spans="12:19" ht="15.75" customHeight="1" x14ac:dyDescent="0.35">
      <c r="L894" s="2"/>
      <c r="M894" s="2"/>
      <c r="N894" s="650"/>
      <c r="O894" s="650"/>
      <c r="P894" s="651"/>
      <c r="Q894" s="651"/>
      <c r="R894" s="651"/>
      <c r="S894" s="651"/>
    </row>
    <row r="895" spans="12:19" ht="15.75" customHeight="1" x14ac:dyDescent="0.35">
      <c r="L895" s="2"/>
      <c r="M895" s="2"/>
      <c r="N895" s="650"/>
      <c r="O895" s="650"/>
      <c r="P895" s="651"/>
      <c r="Q895" s="651"/>
      <c r="R895" s="651"/>
      <c r="S895" s="651"/>
    </row>
    <row r="896" spans="12:19" ht="15.75" customHeight="1" x14ac:dyDescent="0.35">
      <c r="L896" s="2"/>
      <c r="M896" s="2"/>
      <c r="N896" s="650"/>
      <c r="O896" s="650"/>
      <c r="P896" s="651"/>
      <c r="Q896" s="651"/>
      <c r="R896" s="651"/>
      <c r="S896" s="651"/>
    </row>
    <row r="897" spans="12:19" ht="15.75" customHeight="1" x14ac:dyDescent="0.35">
      <c r="L897" s="2"/>
      <c r="M897" s="2"/>
      <c r="N897" s="650"/>
      <c r="O897" s="650"/>
      <c r="P897" s="651"/>
      <c r="Q897" s="651"/>
      <c r="R897" s="651"/>
      <c r="S897" s="651"/>
    </row>
    <row r="898" spans="12:19" ht="15.75" customHeight="1" x14ac:dyDescent="0.35">
      <c r="L898" s="2"/>
      <c r="M898" s="2"/>
      <c r="N898" s="650"/>
      <c r="O898" s="650"/>
      <c r="P898" s="651"/>
      <c r="Q898" s="651"/>
      <c r="R898" s="651"/>
      <c r="S898" s="651"/>
    </row>
    <row r="899" spans="12:19" ht="15.75" customHeight="1" x14ac:dyDescent="0.35">
      <c r="L899" s="2"/>
      <c r="M899" s="2"/>
      <c r="N899" s="650"/>
      <c r="O899" s="650"/>
      <c r="P899" s="651"/>
      <c r="Q899" s="651"/>
      <c r="R899" s="651"/>
      <c r="S899" s="651"/>
    </row>
    <row r="900" spans="12:19" ht="15.75" customHeight="1" x14ac:dyDescent="0.35">
      <c r="L900" s="2"/>
      <c r="M900" s="2"/>
      <c r="N900" s="650"/>
      <c r="O900" s="650"/>
      <c r="P900" s="651"/>
      <c r="Q900" s="651"/>
      <c r="R900" s="651"/>
      <c r="S900" s="651"/>
    </row>
    <row r="901" spans="12:19" ht="15.75" customHeight="1" x14ac:dyDescent="0.35">
      <c r="L901" s="2"/>
      <c r="M901" s="2"/>
      <c r="N901" s="650"/>
      <c r="O901" s="650"/>
      <c r="P901" s="651"/>
      <c r="Q901" s="651"/>
      <c r="R901" s="651"/>
      <c r="S901" s="651"/>
    </row>
    <row r="902" spans="12:19" ht="15.75" customHeight="1" x14ac:dyDescent="0.35">
      <c r="L902" s="2"/>
      <c r="M902" s="2"/>
      <c r="N902" s="650"/>
      <c r="O902" s="650"/>
      <c r="P902" s="651"/>
      <c r="Q902" s="651"/>
      <c r="R902" s="651"/>
      <c r="S902" s="651"/>
    </row>
    <row r="903" spans="12:19" ht="15.75" customHeight="1" x14ac:dyDescent="0.35">
      <c r="L903" s="2"/>
      <c r="M903" s="2"/>
      <c r="N903" s="650"/>
      <c r="O903" s="650"/>
      <c r="P903" s="651"/>
      <c r="Q903" s="651"/>
      <c r="R903" s="651"/>
      <c r="S903" s="651"/>
    </row>
    <row r="904" spans="12:19" ht="15.75" customHeight="1" x14ac:dyDescent="0.35">
      <c r="L904" s="2"/>
      <c r="M904" s="2"/>
      <c r="N904" s="650"/>
      <c r="O904" s="650"/>
      <c r="P904" s="651"/>
      <c r="Q904" s="651"/>
      <c r="R904" s="651"/>
      <c r="S904" s="651"/>
    </row>
    <row r="905" spans="12:19" ht="15.75" customHeight="1" x14ac:dyDescent="0.35">
      <c r="L905" s="2"/>
      <c r="M905" s="2"/>
      <c r="N905" s="650"/>
      <c r="O905" s="650"/>
      <c r="P905" s="651"/>
      <c r="Q905" s="651"/>
      <c r="R905" s="651"/>
      <c r="S905" s="651"/>
    </row>
    <row r="906" spans="12:19" ht="15.75" customHeight="1" x14ac:dyDescent="0.35">
      <c r="L906" s="2"/>
      <c r="M906" s="2"/>
      <c r="N906" s="650"/>
      <c r="O906" s="650"/>
      <c r="P906" s="651"/>
      <c r="Q906" s="651"/>
      <c r="R906" s="651"/>
      <c r="S906" s="651"/>
    </row>
    <row r="907" spans="12:19" ht="15.75" customHeight="1" x14ac:dyDescent="0.35">
      <c r="L907" s="2"/>
      <c r="M907" s="2"/>
      <c r="N907" s="650"/>
      <c r="O907" s="650"/>
      <c r="P907" s="651"/>
      <c r="Q907" s="651"/>
      <c r="R907" s="651"/>
      <c r="S907" s="651"/>
    </row>
    <row r="908" spans="12:19" ht="15.75" customHeight="1" x14ac:dyDescent="0.35">
      <c r="L908" s="2"/>
      <c r="M908" s="2"/>
      <c r="N908" s="650"/>
      <c r="O908" s="650"/>
      <c r="P908" s="651"/>
      <c r="Q908" s="651"/>
      <c r="R908" s="651"/>
      <c r="S908" s="651"/>
    </row>
    <row r="909" spans="12:19" ht="15.75" customHeight="1" x14ac:dyDescent="0.35">
      <c r="L909" s="2"/>
      <c r="M909" s="2"/>
      <c r="N909" s="650"/>
      <c r="O909" s="650"/>
      <c r="P909" s="651"/>
      <c r="Q909" s="651"/>
      <c r="R909" s="651"/>
      <c r="S909" s="651"/>
    </row>
    <row r="910" spans="12:19" ht="15.75" customHeight="1" x14ac:dyDescent="0.35">
      <c r="L910" s="2"/>
      <c r="M910" s="2"/>
      <c r="N910" s="650"/>
      <c r="O910" s="650"/>
      <c r="P910" s="651"/>
      <c r="Q910" s="651"/>
      <c r="R910" s="651"/>
      <c r="S910" s="651"/>
    </row>
    <row r="911" spans="12:19" ht="15.75" customHeight="1" x14ac:dyDescent="0.35">
      <c r="L911" s="2"/>
      <c r="M911" s="2"/>
      <c r="N911" s="650"/>
      <c r="O911" s="650"/>
      <c r="P911" s="651"/>
      <c r="Q911" s="651"/>
      <c r="R911" s="651"/>
      <c r="S911" s="651"/>
    </row>
    <row r="912" spans="12:19" ht="15.75" customHeight="1" x14ac:dyDescent="0.35">
      <c r="L912" s="2"/>
      <c r="M912" s="2"/>
      <c r="N912" s="650"/>
      <c r="O912" s="650"/>
      <c r="P912" s="651"/>
      <c r="Q912" s="651"/>
      <c r="R912" s="651"/>
      <c r="S912" s="651"/>
    </row>
    <row r="913" spans="12:19" ht="15.75" customHeight="1" x14ac:dyDescent="0.35">
      <c r="L913" s="2"/>
      <c r="M913" s="2"/>
      <c r="N913" s="650"/>
      <c r="O913" s="650"/>
      <c r="P913" s="651"/>
      <c r="Q913" s="651"/>
      <c r="R913" s="651"/>
      <c r="S913" s="651"/>
    </row>
    <row r="914" spans="12:19" ht="15.75" customHeight="1" x14ac:dyDescent="0.35">
      <c r="L914" s="2"/>
      <c r="M914" s="2"/>
      <c r="N914" s="650"/>
      <c r="O914" s="650"/>
      <c r="P914" s="651"/>
      <c r="Q914" s="651"/>
      <c r="R914" s="651"/>
      <c r="S914" s="651"/>
    </row>
    <row r="915" spans="12:19" ht="15.75" customHeight="1" x14ac:dyDescent="0.35">
      <c r="L915" s="2"/>
      <c r="M915" s="2"/>
      <c r="N915" s="650"/>
      <c r="O915" s="650"/>
      <c r="P915" s="651"/>
      <c r="Q915" s="651"/>
      <c r="R915" s="651"/>
      <c r="S915" s="651"/>
    </row>
    <row r="916" spans="12:19" ht="15.75" customHeight="1" x14ac:dyDescent="0.35">
      <c r="L916" s="2"/>
      <c r="M916" s="2"/>
      <c r="N916" s="650"/>
      <c r="O916" s="650"/>
      <c r="P916" s="651"/>
      <c r="Q916" s="651"/>
      <c r="R916" s="651"/>
      <c r="S916" s="651"/>
    </row>
    <row r="917" spans="12:19" ht="15.75" customHeight="1" x14ac:dyDescent="0.35">
      <c r="L917" s="2"/>
      <c r="M917" s="2"/>
      <c r="N917" s="650"/>
      <c r="O917" s="650"/>
      <c r="P917" s="651"/>
      <c r="Q917" s="651"/>
      <c r="R917" s="651"/>
      <c r="S917" s="651"/>
    </row>
    <row r="918" spans="12:19" ht="15.75" customHeight="1" x14ac:dyDescent="0.35">
      <c r="L918" s="2"/>
      <c r="M918" s="2"/>
      <c r="N918" s="650"/>
      <c r="O918" s="650"/>
      <c r="P918" s="651"/>
      <c r="Q918" s="651"/>
      <c r="R918" s="651"/>
      <c r="S918" s="651"/>
    </row>
    <row r="919" spans="12:19" ht="15.75" customHeight="1" x14ac:dyDescent="0.35">
      <c r="L919" s="2"/>
      <c r="M919" s="2"/>
      <c r="N919" s="650"/>
      <c r="O919" s="650"/>
      <c r="P919" s="651"/>
      <c r="Q919" s="651"/>
      <c r="R919" s="651"/>
      <c r="S919" s="651"/>
    </row>
    <row r="920" spans="12:19" ht="15.75" customHeight="1" x14ac:dyDescent="0.35">
      <c r="L920" s="2"/>
      <c r="M920" s="2"/>
      <c r="N920" s="650"/>
      <c r="O920" s="650"/>
      <c r="P920" s="651"/>
      <c r="Q920" s="651"/>
      <c r="R920" s="651"/>
      <c r="S920" s="651"/>
    </row>
    <row r="921" spans="12:19" ht="15.75" customHeight="1" x14ac:dyDescent="0.35">
      <c r="L921" s="2"/>
      <c r="M921" s="2"/>
      <c r="N921" s="650"/>
      <c r="O921" s="650"/>
      <c r="P921" s="651"/>
      <c r="Q921" s="651"/>
      <c r="R921" s="651"/>
      <c r="S921" s="651"/>
    </row>
    <row r="922" spans="12:19" ht="15.75" customHeight="1" x14ac:dyDescent="0.35">
      <c r="L922" s="2"/>
      <c r="M922" s="2"/>
      <c r="N922" s="650"/>
      <c r="O922" s="650"/>
      <c r="P922" s="651"/>
      <c r="Q922" s="651"/>
      <c r="R922" s="651"/>
      <c r="S922" s="651"/>
    </row>
    <row r="923" spans="12:19" ht="15.75" customHeight="1" x14ac:dyDescent="0.35">
      <c r="L923" s="2"/>
      <c r="M923" s="2"/>
      <c r="N923" s="650"/>
      <c r="O923" s="650"/>
      <c r="P923" s="651"/>
      <c r="Q923" s="651"/>
      <c r="R923" s="651"/>
      <c r="S923" s="651"/>
    </row>
    <row r="924" spans="12:19" ht="15.75" customHeight="1" x14ac:dyDescent="0.35">
      <c r="L924" s="2"/>
      <c r="M924" s="2"/>
      <c r="N924" s="650"/>
      <c r="O924" s="650"/>
      <c r="P924" s="651"/>
      <c r="Q924" s="651"/>
      <c r="R924" s="651"/>
      <c r="S924" s="651"/>
    </row>
    <row r="925" spans="12:19" ht="15.75" customHeight="1" x14ac:dyDescent="0.35">
      <c r="L925" s="2"/>
      <c r="M925" s="2"/>
      <c r="N925" s="650"/>
      <c r="O925" s="650"/>
      <c r="P925" s="651"/>
      <c r="Q925" s="651"/>
      <c r="R925" s="651"/>
      <c r="S925" s="651"/>
    </row>
    <row r="926" spans="12:19" ht="15.75" customHeight="1" x14ac:dyDescent="0.35">
      <c r="L926" s="2"/>
      <c r="M926" s="2"/>
      <c r="N926" s="650"/>
      <c r="O926" s="650"/>
      <c r="P926" s="651"/>
      <c r="Q926" s="651"/>
      <c r="R926" s="651"/>
      <c r="S926" s="651"/>
    </row>
    <row r="927" spans="12:19" ht="15.75" customHeight="1" x14ac:dyDescent="0.35">
      <c r="L927" s="2"/>
      <c r="M927" s="2"/>
      <c r="N927" s="650"/>
      <c r="O927" s="650"/>
      <c r="P927" s="651"/>
      <c r="Q927" s="651"/>
      <c r="R927" s="651"/>
      <c r="S927" s="651"/>
    </row>
    <row r="928" spans="12:19" ht="15.75" customHeight="1" x14ac:dyDescent="0.35">
      <c r="L928" s="2"/>
      <c r="M928" s="2"/>
      <c r="N928" s="650"/>
      <c r="O928" s="650"/>
      <c r="P928" s="651"/>
      <c r="Q928" s="651"/>
      <c r="R928" s="651"/>
      <c r="S928" s="651"/>
    </row>
    <row r="929" spans="12:19" ht="15.75" customHeight="1" x14ac:dyDescent="0.35">
      <c r="L929" s="2"/>
      <c r="M929" s="2"/>
      <c r="N929" s="650"/>
      <c r="O929" s="650"/>
      <c r="P929" s="651"/>
      <c r="Q929" s="651"/>
      <c r="R929" s="651"/>
      <c r="S929" s="651"/>
    </row>
    <row r="930" spans="12:19" ht="15.75" customHeight="1" x14ac:dyDescent="0.35">
      <c r="L930" s="2"/>
      <c r="M930" s="2"/>
      <c r="N930" s="650"/>
      <c r="O930" s="650"/>
      <c r="P930" s="651"/>
      <c r="Q930" s="651"/>
      <c r="R930" s="651"/>
      <c r="S930" s="651"/>
    </row>
    <row r="931" spans="12:19" ht="15.75" customHeight="1" x14ac:dyDescent="0.35">
      <c r="L931" s="2"/>
      <c r="M931" s="2"/>
      <c r="N931" s="650"/>
      <c r="O931" s="650"/>
      <c r="P931" s="651"/>
      <c r="Q931" s="651"/>
      <c r="R931" s="651"/>
      <c r="S931" s="651"/>
    </row>
    <row r="932" spans="12:19" ht="15.75" customHeight="1" x14ac:dyDescent="0.35">
      <c r="L932" s="2"/>
      <c r="M932" s="2"/>
      <c r="N932" s="650"/>
      <c r="O932" s="650"/>
      <c r="P932" s="651"/>
      <c r="Q932" s="651"/>
      <c r="R932" s="651"/>
      <c r="S932" s="651"/>
    </row>
    <row r="933" spans="12:19" ht="15.75" customHeight="1" x14ac:dyDescent="0.35">
      <c r="L933" s="2"/>
      <c r="M933" s="2"/>
      <c r="N933" s="650"/>
      <c r="O933" s="650"/>
      <c r="P933" s="651"/>
      <c r="Q933" s="651"/>
      <c r="R933" s="651"/>
      <c r="S933" s="651"/>
    </row>
    <row r="934" spans="12:19" ht="15.75" customHeight="1" x14ac:dyDescent="0.35">
      <c r="L934" s="2"/>
      <c r="M934" s="2"/>
      <c r="N934" s="650"/>
      <c r="O934" s="650"/>
      <c r="P934" s="651"/>
      <c r="Q934" s="651"/>
      <c r="R934" s="651"/>
      <c r="S934" s="651"/>
    </row>
    <row r="935" spans="12:19" ht="15.75" customHeight="1" x14ac:dyDescent="0.35">
      <c r="L935" s="2"/>
      <c r="M935" s="2"/>
      <c r="N935" s="650"/>
      <c r="O935" s="650"/>
      <c r="P935" s="651"/>
      <c r="Q935" s="651"/>
      <c r="R935" s="651"/>
      <c r="S935" s="651"/>
    </row>
    <row r="936" spans="12:19" ht="15.75" customHeight="1" x14ac:dyDescent="0.35">
      <c r="L936" s="2"/>
      <c r="M936" s="2"/>
      <c r="N936" s="650"/>
      <c r="O936" s="650"/>
      <c r="P936" s="651"/>
      <c r="Q936" s="651"/>
      <c r="R936" s="651"/>
      <c r="S936" s="651"/>
    </row>
    <row r="937" spans="12:19" ht="15.75" customHeight="1" x14ac:dyDescent="0.35">
      <c r="L937" s="2"/>
      <c r="M937" s="2"/>
      <c r="N937" s="650"/>
      <c r="O937" s="650"/>
      <c r="P937" s="651"/>
      <c r="Q937" s="651"/>
      <c r="R937" s="651"/>
      <c r="S937" s="651"/>
    </row>
    <row r="938" spans="12:19" ht="15.75" customHeight="1" x14ac:dyDescent="0.35">
      <c r="L938" s="2"/>
      <c r="M938" s="2"/>
      <c r="N938" s="650"/>
      <c r="O938" s="650"/>
      <c r="P938" s="651"/>
      <c r="Q938" s="651"/>
      <c r="R938" s="651"/>
      <c r="S938" s="651"/>
    </row>
    <row r="939" spans="12:19" ht="15.75" customHeight="1" x14ac:dyDescent="0.35">
      <c r="L939" s="2"/>
      <c r="M939" s="2"/>
      <c r="N939" s="650"/>
      <c r="O939" s="650"/>
      <c r="P939" s="651"/>
      <c r="Q939" s="651"/>
      <c r="R939" s="651"/>
      <c r="S939" s="651"/>
    </row>
    <row r="940" spans="12:19" ht="15.75" customHeight="1" x14ac:dyDescent="0.35">
      <c r="L940" s="2"/>
      <c r="M940" s="2"/>
      <c r="N940" s="650"/>
      <c r="O940" s="650"/>
      <c r="P940" s="651"/>
      <c r="Q940" s="651"/>
      <c r="R940" s="651"/>
      <c r="S940" s="651"/>
    </row>
    <row r="941" spans="12:19" ht="15.75" customHeight="1" x14ac:dyDescent="0.35">
      <c r="L941" s="2"/>
      <c r="M941" s="2"/>
      <c r="N941" s="650"/>
      <c r="O941" s="650"/>
      <c r="P941" s="651"/>
      <c r="Q941" s="651"/>
      <c r="R941" s="651"/>
      <c r="S941" s="651"/>
    </row>
    <row r="942" spans="12:19" ht="15.75" customHeight="1" x14ac:dyDescent="0.35">
      <c r="L942" s="2"/>
      <c r="M942" s="2"/>
      <c r="N942" s="650"/>
      <c r="O942" s="650"/>
      <c r="P942" s="651"/>
      <c r="Q942" s="651"/>
      <c r="R942" s="651"/>
      <c r="S942" s="651"/>
    </row>
    <row r="943" spans="12:19" ht="15.75" customHeight="1" x14ac:dyDescent="0.35">
      <c r="L943" s="2"/>
      <c r="M943" s="2"/>
      <c r="N943" s="650"/>
      <c r="O943" s="650"/>
      <c r="P943" s="651"/>
      <c r="Q943" s="651"/>
      <c r="R943" s="651"/>
      <c r="S943" s="651"/>
    </row>
    <row r="944" spans="12:19" ht="15.75" customHeight="1" x14ac:dyDescent="0.35">
      <c r="L944" s="2"/>
      <c r="M944" s="2"/>
      <c r="N944" s="650"/>
      <c r="O944" s="650"/>
      <c r="P944" s="651"/>
      <c r="Q944" s="651"/>
      <c r="R944" s="651"/>
      <c r="S944" s="651"/>
    </row>
    <row r="945" spans="12:19" ht="15.75" customHeight="1" x14ac:dyDescent="0.35">
      <c r="L945" s="2"/>
      <c r="M945" s="2"/>
      <c r="N945" s="650"/>
      <c r="O945" s="650"/>
      <c r="P945" s="651"/>
      <c r="Q945" s="651"/>
      <c r="R945" s="651"/>
      <c r="S945" s="651"/>
    </row>
    <row r="946" spans="12:19" ht="15.75" customHeight="1" x14ac:dyDescent="0.35">
      <c r="L946" s="2"/>
      <c r="M946" s="2"/>
      <c r="N946" s="650"/>
      <c r="O946" s="650"/>
      <c r="P946" s="651"/>
      <c r="Q946" s="651"/>
      <c r="R946" s="651"/>
      <c r="S946" s="651"/>
    </row>
    <row r="947" spans="12:19" ht="15.75" customHeight="1" x14ac:dyDescent="0.35">
      <c r="L947" s="2"/>
      <c r="M947" s="2"/>
      <c r="N947" s="650"/>
      <c r="O947" s="650"/>
      <c r="P947" s="651"/>
      <c r="Q947" s="651"/>
      <c r="R947" s="651"/>
      <c r="S947" s="651"/>
    </row>
    <row r="948" spans="12:19" ht="15.75" customHeight="1" x14ac:dyDescent="0.35">
      <c r="L948" s="2"/>
      <c r="M948" s="2"/>
      <c r="N948" s="650"/>
      <c r="O948" s="650"/>
      <c r="P948" s="651"/>
      <c r="Q948" s="651"/>
      <c r="R948" s="651"/>
      <c r="S948" s="651"/>
    </row>
    <row r="949" spans="12:19" ht="15.75" customHeight="1" x14ac:dyDescent="0.35">
      <c r="L949" s="2"/>
      <c r="M949" s="2"/>
      <c r="N949" s="650"/>
      <c r="O949" s="650"/>
      <c r="P949" s="651"/>
      <c r="Q949" s="651"/>
      <c r="R949" s="651"/>
      <c r="S949" s="651"/>
    </row>
    <row r="950" spans="12:19" ht="15.75" customHeight="1" x14ac:dyDescent="0.35">
      <c r="L950" s="2"/>
      <c r="M950" s="2"/>
      <c r="N950" s="650"/>
      <c r="O950" s="650"/>
      <c r="P950" s="651"/>
      <c r="Q950" s="651"/>
      <c r="R950" s="651"/>
      <c r="S950" s="651"/>
    </row>
    <row r="951" spans="12:19" ht="15.75" customHeight="1" x14ac:dyDescent="0.35">
      <c r="L951" s="2"/>
      <c r="M951" s="2"/>
      <c r="N951" s="650"/>
      <c r="O951" s="650"/>
      <c r="P951" s="651"/>
      <c r="Q951" s="651"/>
      <c r="R951" s="651"/>
      <c r="S951" s="651"/>
    </row>
    <row r="952" spans="12:19" ht="15.75" customHeight="1" x14ac:dyDescent="0.35">
      <c r="L952" s="2"/>
      <c r="M952" s="2"/>
      <c r="N952" s="650"/>
      <c r="O952" s="650"/>
      <c r="P952" s="651"/>
      <c r="Q952" s="651"/>
      <c r="R952" s="651"/>
      <c r="S952" s="651"/>
    </row>
    <row r="953" spans="12:19" ht="15.75" customHeight="1" x14ac:dyDescent="0.35">
      <c r="L953" s="2"/>
      <c r="M953" s="2"/>
      <c r="N953" s="650"/>
      <c r="O953" s="650"/>
      <c r="P953" s="651"/>
      <c r="Q953" s="651"/>
      <c r="R953" s="651"/>
      <c r="S953" s="651"/>
    </row>
    <row r="954" spans="12:19" ht="15.75" customHeight="1" x14ac:dyDescent="0.35">
      <c r="L954" s="2"/>
      <c r="M954" s="2"/>
      <c r="N954" s="650"/>
      <c r="O954" s="650"/>
      <c r="P954" s="651"/>
      <c r="Q954" s="651"/>
      <c r="R954" s="651"/>
      <c r="S954" s="651"/>
    </row>
    <row r="955" spans="12:19" ht="15.75" customHeight="1" x14ac:dyDescent="0.35">
      <c r="L955" s="2"/>
      <c r="M955" s="2"/>
      <c r="N955" s="650"/>
      <c r="O955" s="650"/>
      <c r="P955" s="651"/>
      <c r="Q955" s="651"/>
      <c r="R955" s="651"/>
      <c r="S955" s="651"/>
    </row>
    <row r="956" spans="12:19" ht="15.75" customHeight="1" x14ac:dyDescent="0.35">
      <c r="L956" s="2"/>
      <c r="M956" s="2"/>
      <c r="N956" s="650"/>
      <c r="O956" s="650"/>
      <c r="P956" s="651"/>
      <c r="Q956" s="651"/>
      <c r="R956" s="651"/>
      <c r="S956" s="651"/>
    </row>
    <row r="957" spans="12:19" ht="15.75" customHeight="1" x14ac:dyDescent="0.35">
      <c r="L957" s="2"/>
      <c r="M957" s="2"/>
      <c r="N957" s="650"/>
      <c r="O957" s="650"/>
      <c r="P957" s="651"/>
      <c r="Q957" s="651"/>
      <c r="R957" s="651"/>
      <c r="S957" s="651"/>
    </row>
    <row r="958" spans="12:19" ht="15.75" customHeight="1" x14ac:dyDescent="0.35">
      <c r="L958" s="2"/>
      <c r="M958" s="2"/>
      <c r="N958" s="650"/>
      <c r="O958" s="650"/>
      <c r="P958" s="651"/>
      <c r="Q958" s="651"/>
      <c r="R958" s="651"/>
      <c r="S958" s="651"/>
    </row>
    <row r="959" spans="12:19" ht="15.75" customHeight="1" x14ac:dyDescent="0.35">
      <c r="L959" s="2"/>
      <c r="M959" s="2"/>
      <c r="N959" s="650"/>
      <c r="O959" s="650"/>
      <c r="P959" s="651"/>
      <c r="Q959" s="651"/>
      <c r="R959" s="651"/>
      <c r="S959" s="651"/>
    </row>
    <row r="960" spans="12:19" ht="15.75" customHeight="1" x14ac:dyDescent="0.35">
      <c r="L960" s="2"/>
      <c r="M960" s="2"/>
      <c r="N960" s="650"/>
      <c r="O960" s="650"/>
      <c r="P960" s="651"/>
      <c r="Q960" s="651"/>
      <c r="R960" s="651"/>
      <c r="S960" s="651"/>
    </row>
    <row r="961" spans="12:19" ht="15.75" customHeight="1" x14ac:dyDescent="0.35">
      <c r="L961" s="2"/>
      <c r="M961" s="2"/>
      <c r="N961" s="650"/>
      <c r="O961" s="650"/>
      <c r="P961" s="651"/>
      <c r="Q961" s="651"/>
      <c r="R961" s="651"/>
      <c r="S961" s="651"/>
    </row>
    <row r="962" spans="12:19" ht="15.75" customHeight="1" x14ac:dyDescent="0.35">
      <c r="L962" s="2"/>
      <c r="M962" s="2"/>
      <c r="N962" s="650"/>
      <c r="O962" s="650"/>
      <c r="P962" s="651"/>
      <c r="Q962" s="651"/>
      <c r="R962" s="651"/>
      <c r="S962" s="651"/>
    </row>
    <row r="963" spans="12:19" ht="15.75" customHeight="1" x14ac:dyDescent="0.35">
      <c r="L963" s="2"/>
      <c r="M963" s="2"/>
      <c r="N963" s="650"/>
      <c r="O963" s="650"/>
      <c r="P963" s="651"/>
      <c r="Q963" s="651"/>
      <c r="R963" s="651"/>
      <c r="S963" s="651"/>
    </row>
    <row r="964" spans="12:19" ht="15.75" customHeight="1" x14ac:dyDescent="0.35">
      <c r="L964" s="2"/>
      <c r="M964" s="2"/>
      <c r="N964" s="650"/>
      <c r="O964" s="650"/>
      <c r="P964" s="651"/>
      <c r="Q964" s="651"/>
      <c r="R964" s="651"/>
      <c r="S964" s="651"/>
    </row>
    <row r="965" spans="12:19" ht="15.75" customHeight="1" x14ac:dyDescent="0.35">
      <c r="L965" s="2"/>
      <c r="M965" s="2"/>
      <c r="N965" s="650"/>
      <c r="O965" s="650"/>
      <c r="P965" s="651"/>
      <c r="Q965" s="651"/>
      <c r="R965" s="651"/>
      <c r="S965" s="651"/>
    </row>
    <row r="966" spans="12:19" ht="15.75" customHeight="1" x14ac:dyDescent="0.35">
      <c r="L966" s="2"/>
      <c r="M966" s="2"/>
      <c r="N966" s="650"/>
      <c r="O966" s="650"/>
      <c r="P966" s="651"/>
      <c r="Q966" s="651"/>
      <c r="R966" s="651"/>
      <c r="S966" s="651"/>
    </row>
    <row r="967" spans="12:19" ht="15.75" customHeight="1" x14ac:dyDescent="0.35">
      <c r="L967" s="2"/>
      <c r="M967" s="2"/>
      <c r="N967" s="650"/>
      <c r="O967" s="650"/>
      <c r="P967" s="651"/>
      <c r="Q967" s="651"/>
      <c r="R967" s="651"/>
      <c r="S967" s="651"/>
    </row>
    <row r="968" spans="12:19" ht="15.75" customHeight="1" x14ac:dyDescent="0.35">
      <c r="L968" s="2"/>
      <c r="M968" s="2"/>
      <c r="N968" s="650"/>
      <c r="O968" s="650"/>
      <c r="P968" s="651"/>
      <c r="Q968" s="651"/>
      <c r="R968" s="651"/>
      <c r="S968" s="651"/>
    </row>
    <row r="969" spans="12:19" ht="15.75" customHeight="1" x14ac:dyDescent="0.35">
      <c r="L969" s="2"/>
      <c r="M969" s="2"/>
      <c r="N969" s="650"/>
      <c r="O969" s="650"/>
      <c r="P969" s="651"/>
      <c r="Q969" s="651"/>
      <c r="R969" s="651"/>
      <c r="S969" s="651"/>
    </row>
    <row r="970" spans="12:19" ht="15.75" customHeight="1" x14ac:dyDescent="0.35">
      <c r="L970" s="2"/>
      <c r="M970" s="2"/>
      <c r="N970" s="650"/>
      <c r="O970" s="650"/>
      <c r="P970" s="651"/>
      <c r="Q970" s="651"/>
      <c r="R970" s="651"/>
      <c r="S970" s="651"/>
    </row>
    <row r="971" spans="12:19" ht="15.75" customHeight="1" x14ac:dyDescent="0.35">
      <c r="L971" s="2"/>
      <c r="M971" s="2"/>
      <c r="N971" s="650"/>
      <c r="O971" s="650"/>
      <c r="P971" s="651"/>
      <c r="Q971" s="651"/>
      <c r="R971" s="651"/>
      <c r="S971" s="651"/>
    </row>
    <row r="972" spans="12:19" ht="15.75" customHeight="1" x14ac:dyDescent="0.35">
      <c r="L972" s="2"/>
      <c r="M972" s="2"/>
      <c r="N972" s="650"/>
      <c r="O972" s="650"/>
      <c r="P972" s="651"/>
      <c r="Q972" s="651"/>
      <c r="R972" s="651"/>
      <c r="S972" s="651"/>
    </row>
    <row r="973" spans="12:19" ht="15.75" customHeight="1" x14ac:dyDescent="0.35">
      <c r="L973" s="2"/>
      <c r="M973" s="2"/>
      <c r="N973" s="650"/>
      <c r="O973" s="650"/>
      <c r="P973" s="651"/>
      <c r="Q973" s="651"/>
      <c r="R973" s="651"/>
      <c r="S973" s="651"/>
    </row>
    <row r="974" spans="12:19" ht="15.75" customHeight="1" x14ac:dyDescent="0.35">
      <c r="L974" s="2"/>
      <c r="M974" s="2"/>
      <c r="N974" s="650"/>
      <c r="O974" s="650"/>
      <c r="P974" s="651"/>
      <c r="Q974" s="651"/>
      <c r="R974" s="651"/>
      <c r="S974" s="651"/>
    </row>
    <row r="975" spans="12:19" ht="15.75" customHeight="1" x14ac:dyDescent="0.35">
      <c r="L975" s="2"/>
      <c r="M975" s="2"/>
      <c r="N975" s="650"/>
      <c r="O975" s="650"/>
      <c r="P975" s="651"/>
      <c r="Q975" s="651"/>
      <c r="R975" s="651"/>
      <c r="S975" s="651"/>
    </row>
    <row r="976" spans="12:19" ht="15.75" customHeight="1" x14ac:dyDescent="0.35">
      <c r="L976" s="2"/>
      <c r="M976" s="2"/>
      <c r="N976" s="650"/>
      <c r="O976" s="650"/>
      <c r="P976" s="651"/>
      <c r="Q976" s="651"/>
      <c r="R976" s="651"/>
      <c r="S976" s="651"/>
    </row>
    <row r="977" spans="12:19" ht="15.75" customHeight="1" x14ac:dyDescent="0.35">
      <c r="L977" s="2"/>
      <c r="M977" s="2"/>
      <c r="N977" s="650"/>
      <c r="O977" s="650"/>
      <c r="P977" s="651"/>
      <c r="Q977" s="651"/>
      <c r="R977" s="651"/>
      <c r="S977" s="651"/>
    </row>
    <row r="978" spans="12:19" ht="15.75" customHeight="1" x14ac:dyDescent="0.35">
      <c r="L978" s="2"/>
      <c r="M978" s="2"/>
      <c r="N978" s="650"/>
      <c r="O978" s="650"/>
      <c r="P978" s="651"/>
      <c r="Q978" s="651"/>
      <c r="R978" s="651"/>
      <c r="S978" s="651"/>
    </row>
    <row r="979" spans="12:19" ht="15.75" customHeight="1" x14ac:dyDescent="0.35">
      <c r="L979" s="2"/>
      <c r="M979" s="2"/>
      <c r="N979" s="650"/>
      <c r="O979" s="650"/>
      <c r="P979" s="651"/>
      <c r="Q979" s="651"/>
      <c r="R979" s="651"/>
      <c r="S979" s="651"/>
    </row>
    <row r="980" spans="12:19" ht="15.75" customHeight="1" x14ac:dyDescent="0.35">
      <c r="L980" s="2"/>
      <c r="M980" s="2"/>
      <c r="N980" s="650"/>
      <c r="O980" s="650"/>
      <c r="P980" s="651"/>
      <c r="Q980" s="651"/>
      <c r="R980" s="651"/>
      <c r="S980" s="651"/>
    </row>
    <row r="981" spans="12:19" ht="15.75" customHeight="1" x14ac:dyDescent="0.35">
      <c r="L981" s="2"/>
      <c r="M981" s="2"/>
      <c r="N981" s="650"/>
      <c r="O981" s="650"/>
      <c r="P981" s="651"/>
      <c r="Q981" s="651"/>
      <c r="R981" s="651"/>
      <c r="S981" s="651"/>
    </row>
    <row r="982" spans="12:19" ht="15.75" customHeight="1" x14ac:dyDescent="0.35">
      <c r="L982" s="2"/>
      <c r="M982" s="2"/>
      <c r="N982" s="650"/>
      <c r="O982" s="650"/>
      <c r="P982" s="651"/>
      <c r="Q982" s="651"/>
      <c r="R982" s="651"/>
      <c r="S982" s="651"/>
    </row>
    <row r="983" spans="12:19" ht="15.75" customHeight="1" x14ac:dyDescent="0.35">
      <c r="L983" s="2"/>
      <c r="M983" s="2"/>
      <c r="N983" s="650"/>
      <c r="O983" s="650"/>
      <c r="P983" s="651"/>
      <c r="Q983" s="651"/>
      <c r="R983" s="651"/>
      <c r="S983" s="651"/>
    </row>
    <row r="984" spans="12:19" ht="15.75" customHeight="1" x14ac:dyDescent="0.35">
      <c r="L984" s="2"/>
      <c r="M984" s="2"/>
      <c r="N984" s="650"/>
      <c r="O984" s="650"/>
      <c r="P984" s="651"/>
      <c r="Q984" s="651"/>
      <c r="R984" s="651"/>
      <c r="S984" s="651"/>
    </row>
    <row r="985" spans="12:19" ht="15.75" customHeight="1" x14ac:dyDescent="0.35">
      <c r="L985" s="2"/>
      <c r="M985" s="2"/>
      <c r="N985" s="650"/>
      <c r="O985" s="650"/>
      <c r="P985" s="651"/>
      <c r="Q985" s="651"/>
      <c r="R985" s="651"/>
      <c r="S985" s="651"/>
    </row>
    <row r="986" spans="12:19" ht="15.75" customHeight="1" x14ac:dyDescent="0.35">
      <c r="L986" s="2"/>
      <c r="M986" s="2"/>
      <c r="N986" s="650"/>
      <c r="O986" s="650"/>
      <c r="P986" s="651"/>
      <c r="Q986" s="651"/>
      <c r="R986" s="651"/>
      <c r="S986" s="651"/>
    </row>
    <row r="987" spans="12:19" ht="15.75" customHeight="1" x14ac:dyDescent="0.35">
      <c r="L987" s="2"/>
      <c r="M987" s="2"/>
      <c r="N987" s="650"/>
      <c r="O987" s="650"/>
      <c r="P987" s="651"/>
      <c r="Q987" s="651"/>
      <c r="R987" s="651"/>
      <c r="S987" s="651"/>
    </row>
    <row r="988" spans="12:19" ht="15.75" customHeight="1" x14ac:dyDescent="0.35">
      <c r="L988" s="2"/>
      <c r="M988" s="2"/>
      <c r="N988" s="650"/>
      <c r="O988" s="650"/>
      <c r="P988" s="651"/>
      <c r="Q988" s="651"/>
      <c r="R988" s="651"/>
      <c r="S988" s="651"/>
    </row>
    <row r="989" spans="12:19" ht="15.75" customHeight="1" x14ac:dyDescent="0.35">
      <c r="L989" s="2"/>
      <c r="M989" s="2"/>
      <c r="N989" s="650"/>
      <c r="O989" s="650"/>
      <c r="P989" s="651"/>
      <c r="Q989" s="651"/>
      <c r="R989" s="651"/>
      <c r="S989" s="651"/>
    </row>
    <row r="990" spans="12:19" ht="15.75" customHeight="1" x14ac:dyDescent="0.35">
      <c r="L990" s="2"/>
      <c r="M990" s="2"/>
      <c r="N990" s="650"/>
      <c r="O990" s="650"/>
      <c r="P990" s="651"/>
      <c r="Q990" s="651"/>
      <c r="R990" s="651"/>
      <c r="S990" s="651"/>
    </row>
    <row r="991" spans="12:19" ht="15.75" customHeight="1" x14ac:dyDescent="0.35">
      <c r="L991" s="2"/>
      <c r="M991" s="2"/>
      <c r="N991" s="650"/>
      <c r="O991" s="650"/>
      <c r="P991" s="651"/>
      <c r="Q991" s="651"/>
      <c r="R991" s="651"/>
      <c r="S991" s="651"/>
    </row>
    <row r="992" spans="12:19" ht="15.75" customHeight="1" x14ac:dyDescent="0.35">
      <c r="L992" s="2"/>
      <c r="M992" s="2"/>
      <c r="N992" s="650"/>
      <c r="O992" s="650"/>
      <c r="P992" s="651"/>
      <c r="Q992" s="651"/>
      <c r="R992" s="651"/>
      <c r="S992" s="651"/>
    </row>
    <row r="993" spans="12:19" ht="15.75" customHeight="1" x14ac:dyDescent="0.35">
      <c r="L993" s="2"/>
      <c r="M993" s="2"/>
      <c r="N993" s="650"/>
      <c r="O993" s="650"/>
      <c r="P993" s="651"/>
      <c r="Q993" s="651"/>
      <c r="R993" s="651"/>
      <c r="S993" s="651"/>
    </row>
    <row r="994" spans="12:19" ht="15.75" customHeight="1" x14ac:dyDescent="0.35">
      <c r="L994" s="2"/>
      <c r="M994" s="2"/>
      <c r="N994" s="650"/>
      <c r="O994" s="650"/>
      <c r="P994" s="651"/>
      <c r="Q994" s="651"/>
      <c r="R994" s="651"/>
      <c r="S994" s="651"/>
    </row>
    <row r="995" spans="12:19" ht="15.75" customHeight="1" x14ac:dyDescent="0.35">
      <c r="L995" s="2"/>
      <c r="M995" s="2"/>
      <c r="N995" s="650"/>
      <c r="O995" s="650"/>
      <c r="P995" s="651"/>
      <c r="Q995" s="651"/>
      <c r="R995" s="651"/>
      <c r="S995" s="651"/>
    </row>
    <row r="996" spans="12:19" ht="15.75" customHeight="1" x14ac:dyDescent="0.35">
      <c r="L996" s="2"/>
      <c r="M996" s="2"/>
      <c r="N996" s="650"/>
      <c r="O996" s="650"/>
      <c r="P996" s="651"/>
      <c r="Q996" s="651"/>
      <c r="R996" s="651"/>
      <c r="S996" s="651"/>
    </row>
    <row r="997" spans="12:19" ht="15.75" customHeight="1" x14ac:dyDescent="0.35">
      <c r="L997" s="2"/>
      <c r="M997" s="2"/>
      <c r="N997" s="650"/>
      <c r="O997" s="650"/>
      <c r="P997" s="651"/>
      <c r="Q997" s="651"/>
      <c r="R997" s="651"/>
      <c r="S997" s="651"/>
    </row>
    <row r="998" spans="12:19" ht="15.75" customHeight="1" x14ac:dyDescent="0.35">
      <c r="L998" s="2"/>
      <c r="M998" s="2"/>
      <c r="N998" s="650"/>
      <c r="O998" s="650"/>
      <c r="P998" s="651"/>
      <c r="Q998" s="651"/>
      <c r="R998" s="651"/>
      <c r="S998" s="651"/>
    </row>
    <row r="999" spans="12:19" ht="15.75" customHeight="1" x14ac:dyDescent="0.35">
      <c r="L999" s="2"/>
      <c r="M999" s="2"/>
      <c r="N999" s="650"/>
      <c r="O999" s="650"/>
      <c r="P999" s="651"/>
      <c r="Q999" s="651"/>
      <c r="R999" s="651"/>
      <c r="S999" s="651"/>
    </row>
    <row r="1000" spans="12:19" ht="15.75" customHeight="1" x14ac:dyDescent="0.35">
      <c r="L1000" s="2"/>
      <c r="M1000" s="2"/>
      <c r="N1000" s="650"/>
      <c r="O1000" s="650"/>
      <c r="P1000" s="651"/>
      <c r="Q1000" s="651"/>
      <c r="R1000" s="651"/>
      <c r="S1000" s="651"/>
    </row>
    <row r="1001" spans="12:19" ht="15.75" customHeight="1" x14ac:dyDescent="0.35">
      <c r="L1001" s="2"/>
      <c r="M1001" s="2"/>
      <c r="N1001" s="650"/>
      <c r="O1001" s="650"/>
      <c r="P1001" s="651"/>
      <c r="Q1001" s="651"/>
      <c r="R1001" s="651"/>
      <c r="S1001" s="651"/>
    </row>
    <row r="1002" spans="12:19" ht="15.75" customHeight="1" x14ac:dyDescent="0.35">
      <c r="L1002" s="2"/>
      <c r="M1002" s="2"/>
      <c r="N1002" s="650"/>
      <c r="O1002" s="650"/>
      <c r="P1002" s="651"/>
      <c r="Q1002" s="651"/>
      <c r="R1002" s="651"/>
      <c r="S1002" s="651"/>
    </row>
    <row r="1003" spans="12:19" ht="15.75" customHeight="1" x14ac:dyDescent="0.35">
      <c r="L1003" s="2"/>
      <c r="M1003" s="2"/>
      <c r="N1003" s="650"/>
      <c r="O1003" s="650"/>
      <c r="P1003" s="651"/>
      <c r="Q1003" s="651"/>
      <c r="R1003" s="651"/>
      <c r="S1003" s="651"/>
    </row>
    <row r="1004" spans="12:19" ht="15.75" customHeight="1" x14ac:dyDescent="0.35">
      <c r="L1004" s="2"/>
      <c r="M1004" s="2"/>
      <c r="N1004" s="650"/>
      <c r="O1004" s="650"/>
      <c r="P1004" s="651"/>
      <c r="Q1004" s="651"/>
      <c r="R1004" s="651"/>
      <c r="S1004" s="651"/>
    </row>
    <row r="1005" spans="12:19" ht="15.75" customHeight="1" x14ac:dyDescent="0.35">
      <c r="L1005" s="2"/>
      <c r="M1005" s="2"/>
      <c r="N1005" s="650"/>
      <c r="O1005" s="650"/>
      <c r="P1005" s="651"/>
      <c r="Q1005" s="651"/>
      <c r="R1005" s="651"/>
      <c r="S1005" s="651"/>
    </row>
    <row r="1006" spans="12:19" ht="15.75" customHeight="1" x14ac:dyDescent="0.35">
      <c r="L1006" s="2"/>
      <c r="M1006" s="2"/>
      <c r="N1006" s="650"/>
      <c r="O1006" s="650"/>
      <c r="P1006" s="651"/>
      <c r="Q1006" s="651"/>
      <c r="R1006" s="651"/>
      <c r="S1006" s="651"/>
    </row>
    <row r="1007" spans="12:19" ht="15.75" customHeight="1" x14ac:dyDescent="0.35">
      <c r="L1007" s="2"/>
      <c r="M1007" s="2"/>
      <c r="N1007" s="650"/>
      <c r="O1007" s="650"/>
      <c r="P1007" s="651"/>
      <c r="Q1007" s="651"/>
      <c r="R1007" s="651"/>
      <c r="S1007" s="651"/>
    </row>
    <row r="1008" spans="12:19" ht="15.75" customHeight="1" x14ac:dyDescent="0.35">
      <c r="L1008" s="2"/>
      <c r="M1008" s="2"/>
      <c r="N1008" s="650"/>
      <c r="O1008" s="650"/>
      <c r="P1008" s="651"/>
      <c r="Q1008" s="651"/>
      <c r="R1008" s="651"/>
      <c r="S1008" s="651"/>
    </row>
    <row r="1009" spans="12:19" ht="15.75" customHeight="1" x14ac:dyDescent="0.35">
      <c r="L1009" s="2"/>
      <c r="M1009" s="2"/>
      <c r="N1009" s="650"/>
      <c r="O1009" s="650"/>
      <c r="P1009" s="651"/>
      <c r="Q1009" s="651"/>
      <c r="R1009" s="651"/>
      <c r="S1009" s="651"/>
    </row>
    <row r="1010" spans="12:19" ht="15.75" customHeight="1" x14ac:dyDescent="0.35">
      <c r="L1010" s="2"/>
      <c r="M1010" s="2"/>
      <c r="N1010" s="650"/>
      <c r="O1010" s="650"/>
      <c r="P1010" s="651"/>
      <c r="Q1010" s="651"/>
      <c r="R1010" s="651"/>
      <c r="S1010" s="651"/>
    </row>
    <row r="1011" spans="12:19" ht="15.75" customHeight="1" x14ac:dyDescent="0.35">
      <c r="L1011" s="2"/>
      <c r="M1011" s="2"/>
      <c r="N1011" s="650"/>
      <c r="O1011" s="650"/>
      <c r="P1011" s="651"/>
      <c r="Q1011" s="651"/>
      <c r="R1011" s="651"/>
      <c r="S1011" s="651"/>
    </row>
    <row r="1012" spans="12:19" ht="15.75" customHeight="1" x14ac:dyDescent="0.35">
      <c r="L1012" s="2"/>
      <c r="M1012" s="2"/>
      <c r="N1012" s="650"/>
      <c r="O1012" s="650"/>
      <c r="P1012" s="651"/>
      <c r="Q1012" s="651"/>
      <c r="R1012" s="651"/>
      <c r="S1012" s="651"/>
    </row>
    <row r="1013" spans="12:19" ht="15.75" customHeight="1" x14ac:dyDescent="0.35">
      <c r="L1013" s="2"/>
      <c r="M1013" s="2"/>
      <c r="N1013" s="650"/>
      <c r="O1013" s="650"/>
      <c r="P1013" s="651"/>
      <c r="Q1013" s="651"/>
      <c r="R1013" s="651"/>
      <c r="S1013" s="651"/>
    </row>
    <row r="1014" spans="12:19" ht="15.75" customHeight="1" x14ac:dyDescent="0.35">
      <c r="L1014" s="2"/>
      <c r="M1014" s="2"/>
      <c r="N1014" s="650"/>
      <c r="O1014" s="650"/>
      <c r="P1014" s="651"/>
      <c r="Q1014" s="651"/>
      <c r="R1014" s="651"/>
      <c r="S1014" s="651"/>
    </row>
    <row r="1015" spans="12:19" ht="15.75" customHeight="1" x14ac:dyDescent="0.35">
      <c r="L1015" s="2"/>
      <c r="M1015" s="2"/>
      <c r="N1015" s="650"/>
      <c r="O1015" s="650"/>
      <c r="P1015" s="651"/>
      <c r="Q1015" s="651"/>
      <c r="R1015" s="651"/>
      <c r="S1015" s="651"/>
    </row>
    <row r="1016" spans="12:19" ht="15.75" customHeight="1" x14ac:dyDescent="0.35">
      <c r="L1016" s="2"/>
      <c r="M1016" s="2"/>
      <c r="N1016" s="650"/>
      <c r="O1016" s="650"/>
      <c r="P1016" s="651"/>
      <c r="Q1016" s="651"/>
      <c r="R1016" s="651"/>
      <c r="S1016" s="651"/>
    </row>
    <row r="1017" spans="12:19" ht="15.75" customHeight="1" x14ac:dyDescent="0.35">
      <c r="L1017" s="2"/>
      <c r="M1017" s="2"/>
      <c r="N1017" s="650"/>
      <c r="O1017" s="650"/>
      <c r="P1017" s="651"/>
      <c r="Q1017" s="651"/>
      <c r="R1017" s="651"/>
      <c r="S1017" s="651"/>
    </row>
    <row r="1018" spans="12:19" ht="15.75" customHeight="1" x14ac:dyDescent="0.35">
      <c r="L1018" s="2"/>
      <c r="M1018" s="2"/>
      <c r="N1018" s="650"/>
      <c r="O1018" s="650"/>
      <c r="P1018" s="651"/>
      <c r="Q1018" s="651"/>
      <c r="R1018" s="651"/>
      <c r="S1018" s="651"/>
    </row>
    <row r="1019" spans="12:19" ht="15.75" customHeight="1" x14ac:dyDescent="0.35">
      <c r="L1019" s="2"/>
      <c r="M1019" s="2"/>
      <c r="N1019" s="650"/>
      <c r="O1019" s="650"/>
      <c r="P1019" s="651"/>
      <c r="Q1019" s="651"/>
      <c r="R1019" s="651"/>
      <c r="S1019" s="651"/>
    </row>
    <row r="1020" spans="12:19" ht="15.75" customHeight="1" x14ac:dyDescent="0.35">
      <c r="L1020" s="2"/>
      <c r="M1020" s="2"/>
      <c r="N1020" s="650"/>
      <c r="O1020" s="650"/>
      <c r="P1020" s="651"/>
      <c r="Q1020" s="651"/>
      <c r="R1020" s="651"/>
      <c r="S1020" s="651"/>
    </row>
    <row r="1021" spans="12:19" ht="15.75" customHeight="1" x14ac:dyDescent="0.35">
      <c r="L1021" s="2"/>
      <c r="M1021" s="2"/>
      <c r="N1021" s="650"/>
      <c r="O1021" s="650"/>
      <c r="P1021" s="651"/>
      <c r="Q1021" s="651"/>
      <c r="R1021" s="651"/>
      <c r="S1021" s="651"/>
    </row>
    <row r="1022" spans="12:19" ht="15.75" customHeight="1" x14ac:dyDescent="0.35">
      <c r="L1022" s="2"/>
      <c r="M1022" s="2"/>
      <c r="N1022" s="650"/>
      <c r="O1022" s="650"/>
      <c r="P1022" s="651"/>
      <c r="Q1022" s="651"/>
      <c r="R1022" s="651"/>
      <c r="S1022" s="651"/>
    </row>
    <row r="1023" spans="12:19" ht="15.75" customHeight="1" x14ac:dyDescent="0.35">
      <c r="L1023" s="2"/>
      <c r="M1023" s="2"/>
      <c r="N1023" s="650"/>
      <c r="O1023" s="650"/>
      <c r="P1023" s="651"/>
      <c r="Q1023" s="651"/>
      <c r="R1023" s="651"/>
      <c r="S1023" s="651"/>
    </row>
    <row r="1024" spans="12:19" ht="15.75" customHeight="1" x14ac:dyDescent="0.35">
      <c r="L1024" s="2"/>
      <c r="M1024" s="2"/>
      <c r="N1024" s="650"/>
      <c r="O1024" s="650"/>
      <c r="P1024" s="651"/>
      <c r="Q1024" s="651"/>
      <c r="R1024" s="651"/>
      <c r="S1024" s="651"/>
    </row>
    <row r="1025" spans="12:19" ht="15.75" customHeight="1" x14ac:dyDescent="0.35">
      <c r="L1025" s="2"/>
      <c r="M1025" s="2"/>
      <c r="N1025" s="650"/>
      <c r="O1025" s="650"/>
      <c r="P1025" s="651"/>
      <c r="Q1025" s="651"/>
      <c r="R1025" s="651"/>
      <c r="S1025" s="651"/>
    </row>
    <row r="1026" spans="12:19" ht="15.75" customHeight="1" x14ac:dyDescent="0.35">
      <c r="L1026" s="2"/>
      <c r="M1026" s="2"/>
      <c r="N1026" s="650"/>
      <c r="O1026" s="650"/>
      <c r="P1026" s="651"/>
      <c r="Q1026" s="651"/>
      <c r="R1026" s="651"/>
      <c r="S1026" s="651"/>
    </row>
    <row r="1027" spans="12:19" ht="15.75" customHeight="1" x14ac:dyDescent="0.35">
      <c r="L1027" s="2"/>
      <c r="M1027" s="2"/>
      <c r="N1027" s="650"/>
      <c r="O1027" s="650"/>
      <c r="P1027" s="651"/>
      <c r="Q1027" s="651"/>
      <c r="R1027" s="651"/>
      <c r="S1027" s="651"/>
    </row>
    <row r="1028" spans="12:19" ht="15.75" customHeight="1" x14ac:dyDescent="0.35">
      <c r="L1028" s="2"/>
      <c r="M1028" s="2"/>
      <c r="N1028" s="650"/>
      <c r="O1028" s="650"/>
      <c r="P1028" s="651"/>
      <c r="Q1028" s="651"/>
      <c r="R1028" s="651"/>
      <c r="S1028" s="651"/>
    </row>
    <row r="1029" spans="12:19" ht="15.75" customHeight="1" x14ac:dyDescent="0.35">
      <c r="L1029" s="2"/>
      <c r="M1029" s="2"/>
      <c r="N1029" s="650"/>
      <c r="O1029" s="650"/>
      <c r="P1029" s="651"/>
      <c r="Q1029" s="651"/>
      <c r="R1029" s="651"/>
      <c r="S1029" s="651"/>
    </row>
    <row r="1030" spans="12:19" ht="15.75" customHeight="1" x14ac:dyDescent="0.35">
      <c r="L1030" s="2"/>
      <c r="M1030" s="2"/>
      <c r="N1030" s="650"/>
      <c r="O1030" s="650"/>
      <c r="P1030" s="651"/>
      <c r="Q1030" s="651"/>
      <c r="R1030" s="651"/>
      <c r="S1030" s="651"/>
    </row>
    <row r="1031" spans="12:19" ht="15.75" customHeight="1" x14ac:dyDescent="0.35">
      <c r="L1031" s="2"/>
      <c r="M1031" s="2"/>
      <c r="N1031" s="650"/>
      <c r="O1031" s="650"/>
      <c r="P1031" s="651"/>
      <c r="Q1031" s="651"/>
      <c r="R1031" s="651"/>
      <c r="S1031" s="651"/>
    </row>
    <row r="1032" spans="12:19" ht="15.75" customHeight="1" x14ac:dyDescent="0.35">
      <c r="L1032" s="2"/>
      <c r="M1032" s="2"/>
      <c r="N1032" s="650"/>
      <c r="O1032" s="650"/>
      <c r="P1032" s="651"/>
      <c r="Q1032" s="651"/>
      <c r="R1032" s="651"/>
      <c r="S1032" s="651"/>
    </row>
    <row r="1033" spans="12:19" ht="15.75" customHeight="1" x14ac:dyDescent="0.35">
      <c r="L1033" s="2"/>
      <c r="M1033" s="2"/>
      <c r="N1033" s="650"/>
      <c r="O1033" s="650"/>
      <c r="P1033" s="651"/>
      <c r="Q1033" s="651"/>
      <c r="R1033" s="651"/>
      <c r="S1033" s="651"/>
    </row>
    <row r="1034" spans="12:19" ht="15.75" customHeight="1" x14ac:dyDescent="0.35">
      <c r="L1034" s="2"/>
      <c r="M1034" s="2"/>
      <c r="N1034" s="650"/>
      <c r="O1034" s="650"/>
      <c r="P1034" s="651"/>
      <c r="Q1034" s="651"/>
      <c r="R1034" s="651"/>
      <c r="S1034" s="651"/>
    </row>
    <row r="1035" spans="12:19" ht="15.75" customHeight="1" x14ac:dyDescent="0.35">
      <c r="L1035" s="2"/>
      <c r="M1035" s="2"/>
      <c r="N1035" s="650"/>
      <c r="O1035" s="650"/>
      <c r="P1035" s="651"/>
      <c r="Q1035" s="651"/>
      <c r="R1035" s="651"/>
      <c r="S1035" s="651"/>
    </row>
    <row r="1036" spans="12:19" ht="15.75" customHeight="1" x14ac:dyDescent="0.35">
      <c r="L1036" s="2"/>
      <c r="M1036" s="2"/>
      <c r="N1036" s="650"/>
      <c r="O1036" s="650"/>
      <c r="P1036" s="651"/>
      <c r="Q1036" s="651"/>
      <c r="R1036" s="651"/>
      <c r="S1036" s="651"/>
    </row>
    <row r="1037" spans="12:19" ht="15.75" customHeight="1" x14ac:dyDescent="0.35">
      <c r="L1037" s="2"/>
      <c r="M1037" s="2"/>
      <c r="N1037" s="650"/>
      <c r="O1037" s="650"/>
      <c r="P1037" s="651"/>
      <c r="Q1037" s="651"/>
      <c r="R1037" s="651"/>
      <c r="S1037" s="651"/>
    </row>
    <row r="1038" spans="12:19" ht="15.75" customHeight="1" x14ac:dyDescent="0.35">
      <c r="L1038" s="2"/>
      <c r="M1038" s="2"/>
      <c r="N1038" s="650"/>
      <c r="O1038" s="650"/>
      <c r="P1038" s="651"/>
      <c r="Q1038" s="651"/>
      <c r="R1038" s="651"/>
      <c r="S1038" s="651"/>
    </row>
    <row r="1039" spans="12:19" ht="15.75" customHeight="1" x14ac:dyDescent="0.35">
      <c r="L1039" s="2"/>
      <c r="M1039" s="2"/>
      <c r="N1039" s="650"/>
      <c r="O1039" s="650"/>
      <c r="P1039" s="651"/>
      <c r="Q1039" s="651"/>
      <c r="R1039" s="651"/>
      <c r="S1039" s="651"/>
    </row>
    <row r="1040" spans="12:19" ht="15.75" customHeight="1" x14ac:dyDescent="0.35">
      <c r="L1040" s="2"/>
      <c r="M1040" s="2"/>
      <c r="N1040" s="650"/>
      <c r="O1040" s="650"/>
      <c r="P1040" s="651"/>
      <c r="Q1040" s="651"/>
      <c r="R1040" s="651"/>
      <c r="S1040" s="651"/>
    </row>
    <row r="1041" spans="12:19" ht="15.75" customHeight="1" x14ac:dyDescent="0.35">
      <c r="L1041" s="2"/>
      <c r="M1041" s="2"/>
      <c r="N1041" s="650"/>
      <c r="O1041" s="650"/>
      <c r="P1041" s="651"/>
      <c r="Q1041" s="651"/>
      <c r="R1041" s="651"/>
      <c r="S1041" s="651"/>
    </row>
    <row r="1042" spans="12:19" ht="15.75" customHeight="1" x14ac:dyDescent="0.35">
      <c r="L1042" s="2"/>
      <c r="M1042" s="2"/>
      <c r="N1042" s="650"/>
      <c r="O1042" s="650"/>
      <c r="P1042" s="651"/>
      <c r="Q1042" s="651"/>
      <c r="R1042" s="651"/>
      <c r="S1042" s="651"/>
    </row>
    <row r="1043" spans="12:19" ht="15.75" customHeight="1" x14ac:dyDescent="0.35">
      <c r="L1043" s="2"/>
      <c r="M1043" s="2"/>
      <c r="N1043" s="650"/>
      <c r="O1043" s="650"/>
      <c r="P1043" s="651"/>
      <c r="Q1043" s="651"/>
      <c r="R1043" s="651"/>
      <c r="S1043" s="651"/>
    </row>
    <row r="1044" spans="12:19" ht="15.75" customHeight="1" x14ac:dyDescent="0.35">
      <c r="L1044" s="2"/>
      <c r="M1044" s="2"/>
      <c r="N1044" s="650"/>
      <c r="O1044" s="650"/>
      <c r="P1044" s="651"/>
      <c r="Q1044" s="651"/>
      <c r="R1044" s="651"/>
      <c r="S1044" s="651"/>
    </row>
    <row r="1045" spans="12:19" ht="15.75" customHeight="1" x14ac:dyDescent="0.35">
      <c r="L1045" s="2"/>
      <c r="M1045" s="2"/>
      <c r="N1045" s="650"/>
      <c r="O1045" s="650"/>
      <c r="P1045" s="651"/>
      <c r="Q1045" s="651"/>
      <c r="R1045" s="651"/>
      <c r="S1045" s="651"/>
    </row>
    <row r="1046" spans="12:19" ht="15.75" customHeight="1" x14ac:dyDescent="0.35">
      <c r="L1046" s="2"/>
      <c r="M1046" s="2"/>
      <c r="N1046" s="650"/>
      <c r="O1046" s="650"/>
      <c r="P1046" s="651"/>
      <c r="Q1046" s="651"/>
      <c r="R1046" s="651"/>
      <c r="S1046" s="651"/>
    </row>
    <row r="1047" spans="12:19" ht="15.75" customHeight="1" x14ac:dyDescent="0.35">
      <c r="L1047" s="2"/>
      <c r="M1047" s="2"/>
      <c r="N1047" s="650"/>
      <c r="O1047" s="650"/>
      <c r="P1047" s="651"/>
      <c r="Q1047" s="651"/>
      <c r="R1047" s="651"/>
      <c r="S1047" s="651"/>
    </row>
    <row r="1048" spans="12:19" ht="15.75" customHeight="1" x14ac:dyDescent="0.35">
      <c r="L1048" s="2"/>
      <c r="M1048" s="2"/>
      <c r="N1048" s="650"/>
      <c r="O1048" s="650"/>
      <c r="P1048" s="651"/>
      <c r="Q1048" s="651"/>
      <c r="R1048" s="651"/>
      <c r="S1048" s="651"/>
    </row>
    <row r="1049" spans="12:19" ht="15.75" customHeight="1" x14ac:dyDescent="0.35">
      <c r="L1049" s="2"/>
      <c r="M1049" s="2"/>
      <c r="N1049" s="650"/>
      <c r="O1049" s="650"/>
      <c r="P1049" s="651"/>
      <c r="Q1049" s="651"/>
      <c r="R1049" s="651"/>
      <c r="S1049" s="651"/>
    </row>
    <row r="1050" spans="12:19" ht="15.75" customHeight="1" x14ac:dyDescent="0.35">
      <c r="L1050" s="2"/>
      <c r="M1050" s="2"/>
      <c r="N1050" s="650"/>
      <c r="O1050" s="650"/>
      <c r="P1050" s="651"/>
      <c r="Q1050" s="651"/>
      <c r="R1050" s="651"/>
      <c r="S1050" s="651"/>
    </row>
    <row r="1051" spans="12:19" ht="15.75" customHeight="1" x14ac:dyDescent="0.35">
      <c r="L1051" s="2"/>
      <c r="M1051" s="2"/>
      <c r="N1051" s="650"/>
      <c r="O1051" s="650"/>
      <c r="P1051" s="651"/>
      <c r="Q1051" s="651"/>
      <c r="R1051" s="651"/>
      <c r="S1051" s="651"/>
    </row>
    <row r="1052" spans="12:19" ht="15.75" customHeight="1" x14ac:dyDescent="0.35">
      <c r="L1052" s="2"/>
      <c r="M1052" s="2"/>
      <c r="N1052" s="650"/>
      <c r="O1052" s="650"/>
      <c r="P1052" s="651"/>
      <c r="Q1052" s="651"/>
      <c r="R1052" s="651"/>
      <c r="S1052" s="651"/>
    </row>
    <row r="1053" spans="12:19" ht="15.75" customHeight="1" x14ac:dyDescent="0.35">
      <c r="L1053" s="2"/>
      <c r="M1053" s="2"/>
      <c r="N1053" s="650"/>
      <c r="O1053" s="650"/>
      <c r="P1053" s="651"/>
      <c r="Q1053" s="651"/>
      <c r="R1053" s="651"/>
      <c r="S1053" s="651"/>
    </row>
    <row r="1054" spans="12:19" ht="15.75" customHeight="1" x14ac:dyDescent="0.35">
      <c r="L1054" s="2"/>
      <c r="M1054" s="2"/>
      <c r="N1054" s="650"/>
      <c r="O1054" s="650"/>
      <c r="P1054" s="651"/>
      <c r="Q1054" s="651"/>
      <c r="R1054" s="651"/>
      <c r="S1054" s="651"/>
    </row>
    <row r="1055" spans="12:19" ht="15.75" customHeight="1" x14ac:dyDescent="0.35">
      <c r="L1055" s="2"/>
      <c r="M1055" s="2"/>
      <c r="N1055" s="650"/>
      <c r="O1055" s="650"/>
      <c r="P1055" s="651"/>
      <c r="Q1055" s="651"/>
      <c r="R1055" s="651"/>
      <c r="S1055" s="651"/>
    </row>
    <row r="1056" spans="12:19" ht="15.75" customHeight="1" x14ac:dyDescent="0.35">
      <c r="L1056" s="2"/>
      <c r="M1056" s="2"/>
      <c r="N1056" s="650"/>
      <c r="O1056" s="650"/>
      <c r="P1056" s="651"/>
      <c r="Q1056" s="651"/>
      <c r="R1056" s="651"/>
      <c r="S1056" s="651"/>
    </row>
    <row r="1057" spans="12:19" ht="15.75" customHeight="1" x14ac:dyDescent="0.35">
      <c r="L1057" s="2"/>
      <c r="M1057" s="2"/>
      <c r="N1057" s="650"/>
      <c r="O1057" s="650"/>
      <c r="P1057" s="651"/>
      <c r="Q1057" s="651"/>
      <c r="R1057" s="651"/>
      <c r="S1057" s="651"/>
    </row>
    <row r="1058" spans="12:19" ht="15.75" customHeight="1" x14ac:dyDescent="0.35">
      <c r="L1058" s="2"/>
      <c r="M1058" s="2"/>
      <c r="N1058" s="650"/>
      <c r="O1058" s="650"/>
      <c r="P1058" s="651"/>
      <c r="Q1058" s="651"/>
      <c r="R1058" s="651"/>
      <c r="S1058" s="651"/>
    </row>
    <row r="1059" spans="12:19" ht="15.75" customHeight="1" x14ac:dyDescent="0.35">
      <c r="L1059" s="2"/>
      <c r="M1059" s="2"/>
      <c r="N1059" s="650"/>
      <c r="O1059" s="650"/>
      <c r="P1059" s="651"/>
      <c r="Q1059" s="651"/>
      <c r="R1059" s="651"/>
      <c r="S1059" s="651"/>
    </row>
    <row r="1060" spans="12:19" ht="15.75" customHeight="1" x14ac:dyDescent="0.35">
      <c r="L1060" s="2"/>
      <c r="M1060" s="2"/>
      <c r="N1060" s="650"/>
      <c r="O1060" s="650"/>
      <c r="P1060" s="651"/>
      <c r="Q1060" s="651"/>
      <c r="R1060" s="651"/>
      <c r="S1060" s="651"/>
    </row>
    <row r="1061" spans="12:19" ht="15.75" customHeight="1" x14ac:dyDescent="0.35">
      <c r="L1061" s="2"/>
      <c r="M1061" s="2"/>
      <c r="N1061" s="650"/>
      <c r="O1061" s="650"/>
      <c r="P1061" s="651"/>
      <c r="Q1061" s="651"/>
      <c r="R1061" s="651"/>
      <c r="S1061" s="651"/>
    </row>
    <row r="1062" spans="12:19" ht="15.75" customHeight="1" x14ac:dyDescent="0.35">
      <c r="L1062" s="2"/>
      <c r="M1062" s="2"/>
      <c r="N1062" s="650"/>
      <c r="O1062" s="650"/>
      <c r="P1062" s="651"/>
      <c r="Q1062" s="651"/>
      <c r="R1062" s="651"/>
      <c r="S1062" s="651"/>
    </row>
    <row r="1063" spans="12:19" ht="15.75" customHeight="1" x14ac:dyDescent="0.35">
      <c r="L1063" s="2"/>
      <c r="M1063" s="2"/>
      <c r="N1063" s="650"/>
      <c r="O1063" s="650"/>
      <c r="P1063" s="651"/>
      <c r="Q1063" s="651"/>
      <c r="R1063" s="651"/>
      <c r="S1063" s="651"/>
    </row>
    <row r="1064" spans="12:19" ht="15.75" customHeight="1" x14ac:dyDescent="0.35">
      <c r="L1064" s="2"/>
      <c r="M1064" s="2"/>
      <c r="N1064" s="650"/>
      <c r="O1064" s="650"/>
      <c r="P1064" s="651"/>
      <c r="Q1064" s="651"/>
      <c r="R1064" s="651"/>
      <c r="S1064" s="651"/>
    </row>
    <row r="1065" spans="12:19" ht="15.75" customHeight="1" x14ac:dyDescent="0.35">
      <c r="L1065" s="2"/>
      <c r="M1065" s="2"/>
      <c r="N1065" s="650"/>
      <c r="O1065" s="650"/>
      <c r="P1065" s="651"/>
      <c r="Q1065" s="651"/>
      <c r="R1065" s="651"/>
      <c r="S1065" s="651"/>
    </row>
    <row r="1066" spans="12:19" ht="15.75" customHeight="1" x14ac:dyDescent="0.35">
      <c r="L1066" s="2"/>
      <c r="M1066" s="2"/>
      <c r="N1066" s="650"/>
      <c r="O1066" s="650"/>
      <c r="P1066" s="651"/>
      <c r="Q1066" s="651"/>
      <c r="R1066" s="651"/>
      <c r="S1066" s="651"/>
    </row>
    <row r="1067" spans="12:19" ht="15.75" customHeight="1" x14ac:dyDescent="0.35">
      <c r="L1067" s="2"/>
      <c r="M1067" s="2"/>
      <c r="N1067" s="650"/>
      <c r="O1067" s="650"/>
      <c r="P1067" s="651"/>
      <c r="Q1067" s="651"/>
      <c r="R1067" s="651"/>
      <c r="S1067" s="651"/>
    </row>
    <row r="1068" spans="12:19" ht="15.75" customHeight="1" x14ac:dyDescent="0.35">
      <c r="L1068" s="2"/>
      <c r="M1068" s="2"/>
      <c r="N1068" s="650"/>
      <c r="O1068" s="650"/>
      <c r="P1068" s="651"/>
      <c r="Q1068" s="651"/>
      <c r="R1068" s="651"/>
      <c r="S1068" s="651"/>
    </row>
    <row r="1069" spans="12:19" ht="15.75" customHeight="1" x14ac:dyDescent="0.35">
      <c r="L1069" s="2"/>
      <c r="M1069" s="2"/>
      <c r="N1069" s="650"/>
      <c r="O1069" s="650"/>
      <c r="P1069" s="651"/>
      <c r="Q1069" s="651"/>
      <c r="R1069" s="651"/>
      <c r="S1069" s="651"/>
    </row>
    <row r="1070" spans="12:19" ht="15.75" customHeight="1" x14ac:dyDescent="0.35">
      <c r="L1070" s="2"/>
      <c r="M1070" s="2"/>
      <c r="N1070" s="650"/>
      <c r="O1070" s="650"/>
      <c r="P1070" s="651"/>
      <c r="Q1070" s="651"/>
      <c r="R1070" s="651"/>
      <c r="S1070" s="651"/>
    </row>
    <row r="1071" spans="12:19" ht="15.75" customHeight="1" x14ac:dyDescent="0.35">
      <c r="L1071" s="2"/>
      <c r="M1071" s="2"/>
      <c r="N1071" s="650"/>
      <c r="O1071" s="650"/>
      <c r="P1071" s="651"/>
      <c r="Q1071" s="651"/>
      <c r="R1071" s="651"/>
      <c r="S1071" s="651"/>
    </row>
    <row r="1072" spans="12:19" ht="15.75" customHeight="1" x14ac:dyDescent="0.35">
      <c r="L1072" s="2"/>
      <c r="M1072" s="2"/>
      <c r="N1072" s="650"/>
      <c r="O1072" s="650"/>
      <c r="P1072" s="651"/>
      <c r="Q1072" s="651"/>
      <c r="R1072" s="651"/>
      <c r="S1072" s="651"/>
    </row>
    <row r="1073" spans="12:19" ht="15.75" customHeight="1" x14ac:dyDescent="0.35">
      <c r="L1073" s="2"/>
      <c r="M1073" s="2"/>
      <c r="N1073" s="650"/>
      <c r="O1073" s="650"/>
      <c r="P1073" s="651"/>
      <c r="Q1073" s="651"/>
      <c r="R1073" s="651"/>
      <c r="S1073" s="651"/>
    </row>
    <row r="1074" spans="12:19" ht="15.75" customHeight="1" x14ac:dyDescent="0.35">
      <c r="L1074" s="2"/>
      <c r="M1074" s="2"/>
      <c r="N1074" s="650"/>
      <c r="O1074" s="650"/>
      <c r="P1074" s="651"/>
      <c r="Q1074" s="651"/>
      <c r="R1074" s="651"/>
      <c r="S1074" s="651"/>
    </row>
    <row r="1075" spans="12:19" ht="15.75" customHeight="1" x14ac:dyDescent="0.35">
      <c r="L1075" s="2"/>
      <c r="M1075" s="2"/>
      <c r="N1075" s="650"/>
      <c r="O1075" s="650"/>
      <c r="P1075" s="651"/>
      <c r="Q1075" s="651"/>
      <c r="R1075" s="651"/>
      <c r="S1075" s="651"/>
    </row>
    <row r="1076" spans="12:19" ht="15.75" customHeight="1" x14ac:dyDescent="0.35">
      <c r="L1076" s="2"/>
      <c r="M1076" s="2"/>
      <c r="N1076" s="650"/>
      <c r="O1076" s="650"/>
      <c r="P1076" s="651"/>
      <c r="Q1076" s="651"/>
      <c r="R1076" s="651"/>
      <c r="S1076" s="651"/>
    </row>
    <row r="1077" spans="12:19" ht="15.75" customHeight="1" x14ac:dyDescent="0.35">
      <c r="L1077" s="2"/>
      <c r="M1077" s="2"/>
      <c r="N1077" s="650"/>
      <c r="O1077" s="650"/>
      <c r="P1077" s="651"/>
      <c r="Q1077" s="651"/>
      <c r="R1077" s="651"/>
      <c r="S1077" s="651"/>
    </row>
    <row r="1078" spans="12:19" ht="15.75" customHeight="1" x14ac:dyDescent="0.35">
      <c r="L1078" s="2"/>
      <c r="M1078" s="2"/>
      <c r="N1078" s="650"/>
      <c r="O1078" s="650"/>
      <c r="P1078" s="651"/>
      <c r="Q1078" s="651"/>
      <c r="R1078" s="651"/>
      <c r="S1078" s="651"/>
    </row>
    <row r="1079" spans="12:19" ht="15.75" customHeight="1" x14ac:dyDescent="0.35">
      <c r="L1079" s="2"/>
      <c r="M1079" s="2"/>
      <c r="N1079" s="650"/>
      <c r="O1079" s="650"/>
      <c r="P1079" s="651"/>
      <c r="Q1079" s="651"/>
      <c r="R1079" s="651"/>
      <c r="S1079" s="651"/>
    </row>
    <row r="1080" spans="12:19" ht="15.75" customHeight="1" x14ac:dyDescent="0.35">
      <c r="L1080" s="2"/>
      <c r="M1080" s="2"/>
      <c r="N1080" s="650"/>
      <c r="O1080" s="650"/>
      <c r="P1080" s="651"/>
      <c r="Q1080" s="651"/>
      <c r="R1080" s="651"/>
      <c r="S1080" s="651"/>
    </row>
    <row r="1081" spans="12:19" ht="15.75" customHeight="1" x14ac:dyDescent="0.35">
      <c r="L1081" s="2"/>
      <c r="M1081" s="2"/>
      <c r="N1081" s="650"/>
      <c r="O1081" s="650"/>
      <c r="P1081" s="651"/>
      <c r="Q1081" s="651"/>
      <c r="R1081" s="651"/>
      <c r="S1081" s="651"/>
    </row>
    <row r="1082" spans="12:19" ht="15.75" customHeight="1" x14ac:dyDescent="0.35">
      <c r="L1082" s="2"/>
      <c r="M1082" s="2"/>
      <c r="N1082" s="650"/>
      <c r="O1082" s="650"/>
      <c r="P1082" s="651"/>
      <c r="Q1082" s="651"/>
      <c r="R1082" s="651"/>
      <c r="S1082" s="651"/>
    </row>
    <row r="1083" spans="12:19" ht="15.75" customHeight="1" x14ac:dyDescent="0.35">
      <c r="L1083" s="2"/>
      <c r="M1083" s="2"/>
      <c r="N1083" s="650"/>
      <c r="O1083" s="650"/>
      <c r="P1083" s="651"/>
      <c r="Q1083" s="651"/>
      <c r="R1083" s="651"/>
      <c r="S1083" s="651"/>
    </row>
    <row r="1084" spans="12:19" ht="15.75" customHeight="1" x14ac:dyDescent="0.35">
      <c r="L1084" s="2"/>
      <c r="M1084" s="2"/>
      <c r="N1084" s="650"/>
      <c r="O1084" s="650"/>
      <c r="P1084" s="651"/>
      <c r="Q1084" s="651"/>
      <c r="R1084" s="651"/>
      <c r="S1084" s="651"/>
    </row>
    <row r="1085" spans="12:19" ht="15.75" customHeight="1" x14ac:dyDescent="0.35">
      <c r="L1085" s="2"/>
      <c r="M1085" s="2"/>
      <c r="N1085" s="650"/>
      <c r="O1085" s="650"/>
      <c r="P1085" s="651"/>
      <c r="Q1085" s="651"/>
      <c r="R1085" s="651"/>
      <c r="S1085" s="651"/>
    </row>
    <row r="1086" spans="12:19" ht="15.75" customHeight="1" x14ac:dyDescent="0.35">
      <c r="L1086" s="2"/>
      <c r="M1086" s="2"/>
      <c r="N1086" s="650"/>
      <c r="O1086" s="650"/>
      <c r="P1086" s="651"/>
      <c r="Q1086" s="651"/>
      <c r="R1086" s="651"/>
      <c r="S1086" s="651"/>
    </row>
    <row r="1087" spans="12:19" ht="15.75" customHeight="1" x14ac:dyDescent="0.35">
      <c r="L1087" s="2"/>
      <c r="M1087" s="2"/>
      <c r="N1087" s="650"/>
      <c r="O1087" s="650"/>
      <c r="P1087" s="651"/>
      <c r="Q1087" s="651"/>
      <c r="R1087" s="651"/>
      <c r="S1087" s="651"/>
    </row>
    <row r="1088" spans="12:19" ht="15.75" customHeight="1" x14ac:dyDescent="0.35">
      <c r="L1088" s="2"/>
      <c r="M1088" s="2"/>
      <c r="N1088" s="650"/>
      <c r="O1088" s="650"/>
      <c r="P1088" s="651"/>
      <c r="Q1088" s="651"/>
      <c r="R1088" s="651"/>
      <c r="S1088" s="651"/>
    </row>
    <row r="1089" spans="12:19" ht="15.75" customHeight="1" x14ac:dyDescent="0.35">
      <c r="L1089" s="2"/>
      <c r="M1089" s="2"/>
      <c r="N1089" s="650"/>
      <c r="O1089" s="650"/>
      <c r="P1089" s="651"/>
      <c r="Q1089" s="651"/>
      <c r="R1089" s="651"/>
      <c r="S1089" s="651"/>
    </row>
    <row r="1090" spans="12:19" ht="15.75" customHeight="1" x14ac:dyDescent="0.35">
      <c r="L1090" s="2"/>
      <c r="M1090" s="2"/>
      <c r="N1090" s="650"/>
      <c r="O1090" s="650"/>
      <c r="P1090" s="651"/>
      <c r="Q1090" s="651"/>
      <c r="R1090" s="651"/>
      <c r="S1090" s="651"/>
    </row>
    <row r="1091" spans="12:19" ht="15.75" customHeight="1" x14ac:dyDescent="0.35">
      <c r="L1091" s="2"/>
      <c r="M1091" s="2"/>
      <c r="N1091" s="650"/>
      <c r="O1091" s="650"/>
      <c r="P1091" s="651"/>
      <c r="Q1091" s="651"/>
      <c r="R1091" s="651"/>
      <c r="S1091" s="651"/>
    </row>
    <row r="1092" spans="12:19" ht="15.75" customHeight="1" x14ac:dyDescent="0.35">
      <c r="L1092" s="2"/>
      <c r="M1092" s="2"/>
      <c r="N1092" s="650"/>
      <c r="O1092" s="650"/>
      <c r="P1092" s="651"/>
      <c r="Q1092" s="651"/>
      <c r="R1092" s="651"/>
      <c r="S1092" s="651"/>
    </row>
    <row r="1093" spans="12:19" ht="15.75" customHeight="1" x14ac:dyDescent="0.35">
      <c r="L1093" s="2"/>
      <c r="M1093" s="2"/>
      <c r="N1093" s="650"/>
      <c r="O1093" s="650"/>
      <c r="P1093" s="651"/>
      <c r="Q1093" s="651"/>
      <c r="R1093" s="651"/>
      <c r="S1093" s="651"/>
    </row>
    <row r="1094" spans="12:19" ht="15.75" customHeight="1" x14ac:dyDescent="0.35">
      <c r="L1094" s="2"/>
      <c r="M1094" s="2"/>
      <c r="N1094" s="650"/>
      <c r="O1094" s="650"/>
      <c r="P1094" s="651"/>
      <c r="Q1094" s="651"/>
      <c r="R1094" s="651"/>
      <c r="S1094" s="651"/>
    </row>
    <row r="1095" spans="12:19" ht="15.75" customHeight="1" x14ac:dyDescent="0.35">
      <c r="L1095" s="2"/>
      <c r="M1095" s="2"/>
      <c r="N1095" s="650"/>
      <c r="O1095" s="650"/>
      <c r="P1095" s="651"/>
      <c r="Q1095" s="651"/>
      <c r="R1095" s="651"/>
      <c r="S1095" s="651"/>
    </row>
    <row r="1096" spans="12:19" ht="15.75" customHeight="1" x14ac:dyDescent="0.35">
      <c r="L1096" s="2"/>
      <c r="M1096" s="2"/>
      <c r="N1096" s="650"/>
      <c r="O1096" s="650"/>
      <c r="P1096" s="651"/>
      <c r="Q1096" s="651"/>
      <c r="R1096" s="651"/>
      <c r="S1096" s="651"/>
    </row>
    <row r="1097" spans="12:19" ht="15.75" customHeight="1" x14ac:dyDescent="0.35">
      <c r="L1097" s="2"/>
      <c r="M1097" s="2"/>
      <c r="N1097" s="650"/>
      <c r="O1097" s="650"/>
      <c r="P1097" s="651"/>
      <c r="Q1097" s="651"/>
      <c r="R1097" s="651"/>
      <c r="S1097" s="651"/>
    </row>
    <row r="1098" spans="12:19" ht="15.75" customHeight="1" x14ac:dyDescent="0.35">
      <c r="L1098" s="2"/>
      <c r="M1098" s="2"/>
      <c r="N1098" s="650"/>
      <c r="O1098" s="650"/>
      <c r="P1098" s="651"/>
      <c r="Q1098" s="651"/>
      <c r="R1098" s="651"/>
      <c r="S1098" s="651"/>
    </row>
    <row r="1099" spans="12:19" ht="15.75" customHeight="1" x14ac:dyDescent="0.35">
      <c r="L1099" s="2"/>
      <c r="M1099" s="2"/>
      <c r="N1099" s="650"/>
      <c r="O1099" s="650"/>
      <c r="P1099" s="651"/>
      <c r="Q1099" s="651"/>
      <c r="R1099" s="651"/>
      <c r="S1099" s="651"/>
    </row>
    <row r="1100" spans="12:19" ht="15.75" customHeight="1" x14ac:dyDescent="0.35">
      <c r="L1100" s="2"/>
      <c r="M1100" s="2"/>
      <c r="N1100" s="650"/>
      <c r="O1100" s="650"/>
      <c r="P1100" s="651"/>
      <c r="Q1100" s="651"/>
      <c r="R1100" s="651"/>
      <c r="S1100" s="651"/>
    </row>
    <row r="1101" spans="12:19" ht="15.75" customHeight="1" x14ac:dyDescent="0.35">
      <c r="L1101" s="2"/>
      <c r="M1101" s="2"/>
      <c r="N1101" s="650"/>
      <c r="O1101" s="650"/>
      <c r="P1101" s="651"/>
      <c r="Q1101" s="651"/>
      <c r="R1101" s="651"/>
      <c r="S1101" s="651"/>
    </row>
    <row r="1102" spans="12:19" ht="15.75" customHeight="1" x14ac:dyDescent="0.35">
      <c r="L1102" s="2"/>
      <c r="M1102" s="2"/>
      <c r="N1102" s="650"/>
      <c r="O1102" s="650"/>
      <c r="P1102" s="651"/>
      <c r="Q1102" s="651"/>
      <c r="R1102" s="651"/>
      <c r="S1102" s="651"/>
    </row>
    <row r="1103" spans="12:19" ht="15.75" customHeight="1" x14ac:dyDescent="0.35">
      <c r="L1103" s="2"/>
      <c r="M1103" s="2"/>
      <c r="N1103" s="650"/>
      <c r="O1103" s="650"/>
      <c r="P1103" s="651"/>
      <c r="Q1103" s="651"/>
      <c r="R1103" s="651"/>
      <c r="S1103" s="651"/>
    </row>
    <row r="1104" spans="12:19" ht="15.75" customHeight="1" x14ac:dyDescent="0.35">
      <c r="L1104" s="2"/>
      <c r="M1104" s="2"/>
      <c r="N1104" s="650"/>
      <c r="O1104" s="650"/>
      <c r="P1104" s="651"/>
      <c r="Q1104" s="651"/>
      <c r="R1104" s="651"/>
      <c r="S1104" s="651"/>
    </row>
    <row r="1105" spans="12:19" ht="15.75" customHeight="1" x14ac:dyDescent="0.35">
      <c r="L1105" s="2"/>
      <c r="M1105" s="2"/>
      <c r="N1105" s="650"/>
      <c r="O1105" s="650"/>
      <c r="P1105" s="651"/>
      <c r="Q1105" s="651"/>
      <c r="R1105" s="651"/>
      <c r="S1105" s="651"/>
    </row>
    <row r="1106" spans="12:19" ht="15.75" customHeight="1" x14ac:dyDescent="0.35">
      <c r="L1106" s="2"/>
      <c r="M1106" s="2"/>
      <c r="N1106" s="650"/>
      <c r="O1106" s="650"/>
      <c r="P1106" s="651"/>
      <c r="Q1106" s="651"/>
      <c r="R1106" s="651"/>
      <c r="S1106" s="651"/>
    </row>
    <row r="1107" spans="12:19" ht="15.75" customHeight="1" x14ac:dyDescent="0.35">
      <c r="L1107" s="2"/>
      <c r="M1107" s="2"/>
      <c r="N1107" s="650"/>
      <c r="O1107" s="650"/>
      <c r="P1107" s="651"/>
      <c r="Q1107" s="651"/>
      <c r="R1107" s="651"/>
      <c r="S1107" s="651"/>
    </row>
    <row r="1108" spans="12:19" ht="15.75" customHeight="1" x14ac:dyDescent="0.35">
      <c r="L1108" s="2"/>
      <c r="M1108" s="2"/>
      <c r="N1108" s="650"/>
      <c r="O1108" s="650"/>
      <c r="P1108" s="651"/>
      <c r="Q1108" s="651"/>
      <c r="R1108" s="651"/>
      <c r="S1108" s="651"/>
    </row>
    <row r="1109" spans="12:19" ht="15.75" customHeight="1" x14ac:dyDescent="0.35">
      <c r="L1109" s="2"/>
      <c r="M1109" s="2"/>
      <c r="N1109" s="650"/>
      <c r="O1109" s="650"/>
      <c r="P1109" s="651"/>
      <c r="Q1109" s="651"/>
      <c r="R1109" s="651"/>
      <c r="S1109" s="651"/>
    </row>
    <row r="1110" spans="12:19" ht="15.75" customHeight="1" x14ac:dyDescent="0.35">
      <c r="L1110" s="2"/>
      <c r="M1110" s="2"/>
      <c r="N1110" s="650"/>
      <c r="O1110" s="650"/>
      <c r="P1110" s="651"/>
      <c r="Q1110" s="651"/>
      <c r="R1110" s="651"/>
      <c r="S1110" s="651"/>
    </row>
    <row r="1111" spans="12:19" ht="15.75" customHeight="1" x14ac:dyDescent="0.35">
      <c r="L1111" s="2"/>
      <c r="M1111" s="2"/>
      <c r="N1111" s="650"/>
      <c r="O1111" s="650"/>
      <c r="P1111" s="651"/>
      <c r="Q1111" s="651"/>
      <c r="R1111" s="651"/>
      <c r="S1111" s="651"/>
    </row>
    <row r="1112" spans="12:19" ht="15.75" customHeight="1" x14ac:dyDescent="0.35">
      <c r="L1112" s="2"/>
      <c r="M1112" s="2"/>
      <c r="N1112" s="650"/>
      <c r="O1112" s="650"/>
      <c r="P1112" s="651"/>
      <c r="Q1112" s="651"/>
      <c r="R1112" s="651"/>
      <c r="S1112" s="651"/>
    </row>
    <row r="1113" spans="12:19" ht="15.75" customHeight="1" x14ac:dyDescent="0.35">
      <c r="L1113" s="2"/>
      <c r="M1113" s="2"/>
      <c r="N1113" s="650"/>
      <c r="O1113" s="650"/>
      <c r="P1113" s="651"/>
      <c r="Q1113" s="651"/>
      <c r="R1113" s="651"/>
      <c r="S1113" s="651"/>
    </row>
    <row r="1114" spans="12:19" ht="15.75" customHeight="1" x14ac:dyDescent="0.35">
      <c r="L1114" s="2"/>
      <c r="M1114" s="2"/>
      <c r="N1114" s="650"/>
      <c r="O1114" s="650"/>
      <c r="P1114" s="651"/>
      <c r="Q1114" s="651"/>
      <c r="R1114" s="651"/>
      <c r="S1114" s="651"/>
    </row>
    <row r="1115" spans="12:19" ht="15.75" customHeight="1" x14ac:dyDescent="0.35">
      <c r="L1115" s="2"/>
      <c r="M1115" s="2"/>
      <c r="N1115" s="650"/>
      <c r="O1115" s="650"/>
      <c r="P1115" s="651"/>
      <c r="Q1115" s="651"/>
      <c r="R1115" s="651"/>
      <c r="S1115" s="651"/>
    </row>
    <row r="1116" spans="12:19" ht="15.75" customHeight="1" x14ac:dyDescent="0.35">
      <c r="L1116" s="2"/>
      <c r="M1116" s="2"/>
      <c r="N1116" s="650"/>
      <c r="O1116" s="650"/>
      <c r="P1116" s="651"/>
      <c r="Q1116" s="651"/>
      <c r="R1116" s="651"/>
      <c r="S1116" s="651"/>
    </row>
    <row r="1117" spans="12:19" ht="15.75" customHeight="1" x14ac:dyDescent="0.35">
      <c r="L1117" s="2"/>
      <c r="M1117" s="2"/>
      <c r="N1117" s="650"/>
      <c r="O1117" s="650"/>
      <c r="P1117" s="651"/>
      <c r="Q1117" s="651"/>
      <c r="R1117" s="651"/>
      <c r="S1117" s="651"/>
    </row>
    <row r="1118" spans="12:19" ht="15.75" customHeight="1" x14ac:dyDescent="0.35">
      <c r="L1118" s="2"/>
      <c r="M1118" s="2"/>
      <c r="N1118" s="650"/>
      <c r="O1118" s="650"/>
      <c r="P1118" s="651"/>
      <c r="Q1118" s="651"/>
      <c r="R1118" s="651"/>
      <c r="S1118" s="651"/>
    </row>
    <row r="1119" spans="12:19" ht="15.75" customHeight="1" x14ac:dyDescent="0.35">
      <c r="L1119" s="2"/>
      <c r="M1119" s="2"/>
      <c r="N1119" s="650"/>
      <c r="O1119" s="650"/>
      <c r="P1119" s="651"/>
      <c r="Q1119" s="651"/>
      <c r="R1119" s="651"/>
      <c r="S1119" s="651"/>
    </row>
    <row r="1120" spans="12:19" ht="15.75" customHeight="1" x14ac:dyDescent="0.35">
      <c r="L1120" s="2"/>
      <c r="M1120" s="2"/>
      <c r="N1120" s="650"/>
      <c r="O1120" s="650"/>
      <c r="P1120" s="651"/>
      <c r="Q1120" s="651"/>
      <c r="R1120" s="651"/>
      <c r="S1120" s="651"/>
    </row>
    <row r="1121" spans="12:19" ht="15.75" customHeight="1" x14ac:dyDescent="0.35">
      <c r="L1121" s="2"/>
      <c r="M1121" s="2"/>
      <c r="N1121" s="650"/>
      <c r="O1121" s="650"/>
      <c r="P1121" s="651"/>
      <c r="Q1121" s="651"/>
      <c r="R1121" s="651"/>
      <c r="S1121" s="651"/>
    </row>
    <row r="1122" spans="12:19" ht="15.75" customHeight="1" x14ac:dyDescent="0.35">
      <c r="L1122" s="2"/>
      <c r="M1122" s="2"/>
      <c r="N1122" s="650"/>
      <c r="O1122" s="650"/>
      <c r="P1122" s="651"/>
      <c r="Q1122" s="651"/>
      <c r="R1122" s="651"/>
      <c r="S1122" s="651"/>
    </row>
    <row r="1123" spans="12:19" ht="15.75" customHeight="1" x14ac:dyDescent="0.35">
      <c r="L1123" s="2"/>
      <c r="M1123" s="2"/>
      <c r="N1123" s="650"/>
      <c r="O1123" s="650"/>
      <c r="P1123" s="651"/>
      <c r="Q1123" s="651"/>
      <c r="R1123" s="651"/>
      <c r="S1123" s="651"/>
    </row>
    <row r="1124" spans="12:19" ht="15.75" customHeight="1" x14ac:dyDescent="0.35">
      <c r="L1124" s="2"/>
      <c r="M1124" s="2"/>
      <c r="N1124" s="650"/>
      <c r="O1124" s="650"/>
      <c r="P1124" s="651"/>
      <c r="Q1124" s="651"/>
      <c r="R1124" s="651"/>
      <c r="S1124" s="651"/>
    </row>
    <row r="1125" spans="12:19" ht="15.75" customHeight="1" x14ac:dyDescent="0.35">
      <c r="L1125" s="2"/>
      <c r="M1125" s="2"/>
      <c r="N1125" s="650"/>
      <c r="O1125" s="650"/>
      <c r="P1125" s="651"/>
      <c r="Q1125" s="651"/>
      <c r="R1125" s="651"/>
      <c r="S1125" s="651"/>
    </row>
    <row r="1126" spans="12:19" ht="15.75" customHeight="1" x14ac:dyDescent="0.35">
      <c r="L1126" s="2"/>
      <c r="M1126" s="2"/>
      <c r="N1126" s="650"/>
      <c r="O1126" s="650"/>
      <c r="P1126" s="651"/>
      <c r="Q1126" s="651"/>
      <c r="R1126" s="651"/>
      <c r="S1126" s="651"/>
    </row>
    <row r="1127" spans="12:19" ht="15.75" customHeight="1" x14ac:dyDescent="0.35">
      <c r="L1127" s="2"/>
      <c r="M1127" s="2"/>
      <c r="N1127" s="650"/>
      <c r="O1127" s="650"/>
      <c r="P1127" s="651"/>
      <c r="Q1127" s="651"/>
      <c r="R1127" s="651"/>
      <c r="S1127" s="651"/>
    </row>
    <row r="1128" spans="12:19" ht="15.75" customHeight="1" x14ac:dyDescent="0.35">
      <c r="L1128" s="2"/>
      <c r="M1128" s="2"/>
      <c r="N1128" s="650"/>
      <c r="O1128" s="650"/>
      <c r="P1128" s="651"/>
      <c r="Q1128" s="651"/>
      <c r="R1128" s="651"/>
      <c r="S1128" s="651"/>
    </row>
    <row r="1129" spans="12:19" ht="15.75" customHeight="1" x14ac:dyDescent="0.35">
      <c r="L1129" s="2"/>
      <c r="M1129" s="2"/>
      <c r="N1129" s="650"/>
      <c r="O1129" s="650"/>
      <c r="P1129" s="651"/>
      <c r="Q1129" s="651"/>
      <c r="R1129" s="651"/>
      <c r="S1129" s="651"/>
    </row>
    <row r="1130" spans="12:19" ht="15.75" customHeight="1" x14ac:dyDescent="0.35">
      <c r="L1130" s="2"/>
      <c r="M1130" s="2"/>
      <c r="N1130" s="650"/>
      <c r="O1130" s="650"/>
      <c r="P1130" s="651"/>
      <c r="Q1130" s="651"/>
      <c r="R1130" s="651"/>
      <c r="S1130" s="651"/>
    </row>
    <row r="1131" spans="12:19" ht="15.75" customHeight="1" x14ac:dyDescent="0.35">
      <c r="L1131" s="2"/>
      <c r="M1131" s="2"/>
      <c r="N1131" s="650"/>
      <c r="O1131" s="650"/>
      <c r="P1131" s="651"/>
      <c r="Q1131" s="651"/>
      <c r="R1131" s="651"/>
      <c r="S1131" s="651"/>
    </row>
    <row r="1132" spans="12:19" ht="15.75" customHeight="1" x14ac:dyDescent="0.35">
      <c r="L1132" s="2"/>
      <c r="M1132" s="2"/>
      <c r="N1132" s="650"/>
      <c r="O1132" s="650"/>
      <c r="P1132" s="651"/>
      <c r="Q1132" s="651"/>
      <c r="R1132" s="651"/>
      <c r="S1132" s="651"/>
    </row>
    <row r="1133" spans="12:19" ht="15.75" customHeight="1" x14ac:dyDescent="0.35">
      <c r="L1133" s="2"/>
      <c r="M1133" s="2"/>
      <c r="N1133" s="650"/>
      <c r="O1133" s="650"/>
      <c r="P1133" s="651"/>
      <c r="Q1133" s="651"/>
      <c r="R1133" s="651"/>
      <c r="S1133" s="651"/>
    </row>
    <row r="1134" spans="12:19" ht="15.75" customHeight="1" x14ac:dyDescent="0.35">
      <c r="L1134" s="2"/>
      <c r="M1134" s="2"/>
      <c r="N1134" s="650"/>
      <c r="O1134" s="650"/>
      <c r="P1134" s="651"/>
      <c r="Q1134" s="651"/>
      <c r="R1134" s="651"/>
      <c r="S1134" s="651"/>
    </row>
    <row r="1135" spans="12:19" ht="15.75" customHeight="1" x14ac:dyDescent="0.35">
      <c r="L1135" s="2"/>
      <c r="M1135" s="2"/>
      <c r="N1135" s="650"/>
      <c r="O1135" s="650"/>
      <c r="P1135" s="651"/>
      <c r="Q1135" s="651"/>
      <c r="R1135" s="651"/>
      <c r="S1135" s="651"/>
    </row>
    <row r="1136" spans="12:19" ht="15.75" customHeight="1" x14ac:dyDescent="0.35">
      <c r="L1136" s="2"/>
      <c r="M1136" s="2"/>
      <c r="N1136" s="650"/>
      <c r="O1136" s="650"/>
      <c r="P1136" s="651"/>
      <c r="Q1136" s="651"/>
      <c r="R1136" s="651"/>
      <c r="S1136" s="651"/>
    </row>
    <row r="1137" spans="12:19" ht="15.75" customHeight="1" x14ac:dyDescent="0.35">
      <c r="L1137" s="2"/>
      <c r="M1137" s="2"/>
      <c r="N1137" s="650"/>
      <c r="O1137" s="650"/>
      <c r="P1137" s="651"/>
      <c r="Q1137" s="651"/>
      <c r="R1137" s="651"/>
      <c r="S1137" s="651"/>
    </row>
    <row r="1138" spans="12:19" ht="15.75" customHeight="1" x14ac:dyDescent="0.35">
      <c r="L1138" s="2"/>
      <c r="M1138" s="2"/>
      <c r="N1138" s="650"/>
      <c r="O1138" s="650"/>
      <c r="P1138" s="651"/>
      <c r="Q1138" s="651"/>
      <c r="R1138" s="651"/>
      <c r="S1138" s="651"/>
    </row>
    <row r="1139" spans="12:19" ht="15.75" customHeight="1" x14ac:dyDescent="0.35">
      <c r="L1139" s="2"/>
      <c r="M1139" s="2"/>
      <c r="N1139" s="650"/>
      <c r="O1139" s="650"/>
      <c r="P1139" s="651"/>
      <c r="Q1139" s="651"/>
      <c r="R1139" s="651"/>
      <c r="S1139" s="651"/>
    </row>
    <row r="1140" spans="12:19" ht="15.75" customHeight="1" x14ac:dyDescent="0.35">
      <c r="L1140" s="2"/>
      <c r="M1140" s="2"/>
      <c r="N1140" s="650"/>
      <c r="O1140" s="650"/>
      <c r="P1140" s="651"/>
      <c r="Q1140" s="651"/>
      <c r="R1140" s="651"/>
      <c r="S1140" s="651"/>
    </row>
    <row r="1141" spans="12:19" ht="15.75" customHeight="1" x14ac:dyDescent="0.35">
      <c r="L1141" s="2"/>
      <c r="M1141" s="2"/>
      <c r="N1141" s="650"/>
      <c r="O1141" s="650"/>
      <c r="P1141" s="651"/>
      <c r="Q1141" s="651"/>
      <c r="R1141" s="651"/>
      <c r="S1141" s="651"/>
    </row>
    <row r="1142" spans="12:19" ht="15.75" customHeight="1" x14ac:dyDescent="0.35">
      <c r="L1142" s="2"/>
      <c r="M1142" s="2"/>
      <c r="N1142" s="650"/>
      <c r="O1142" s="650"/>
      <c r="P1142" s="651"/>
      <c r="Q1142" s="651"/>
      <c r="R1142" s="651"/>
      <c r="S1142" s="651"/>
    </row>
    <row r="1143" spans="12:19" ht="15.75" customHeight="1" x14ac:dyDescent="0.35">
      <c r="L1143" s="2"/>
      <c r="M1143" s="2"/>
      <c r="N1143" s="650"/>
      <c r="O1143" s="650"/>
      <c r="P1143" s="651"/>
      <c r="Q1143" s="651"/>
      <c r="R1143" s="651"/>
      <c r="S1143" s="651"/>
    </row>
    <row r="1144" spans="12:19" ht="15.75" customHeight="1" x14ac:dyDescent="0.35">
      <c r="L1144" s="2"/>
      <c r="M1144" s="2"/>
      <c r="N1144" s="650"/>
      <c r="O1144" s="650"/>
      <c r="P1144" s="651"/>
      <c r="Q1144" s="651"/>
      <c r="R1144" s="651"/>
      <c r="S1144" s="651"/>
    </row>
    <row r="1145" spans="12:19" ht="15.75" customHeight="1" x14ac:dyDescent="0.35">
      <c r="L1145" s="2"/>
      <c r="M1145" s="2"/>
      <c r="N1145" s="650"/>
      <c r="O1145" s="650"/>
      <c r="P1145" s="651"/>
      <c r="Q1145" s="651"/>
      <c r="R1145" s="651"/>
      <c r="S1145" s="651"/>
    </row>
    <row r="1146" spans="12:19" ht="15.75" customHeight="1" x14ac:dyDescent="0.35">
      <c r="L1146" s="2"/>
      <c r="M1146" s="2"/>
      <c r="N1146" s="650"/>
      <c r="O1146" s="650"/>
      <c r="P1146" s="651"/>
      <c r="Q1146" s="651"/>
      <c r="R1146" s="651"/>
      <c r="S1146" s="651"/>
    </row>
    <row r="1147" spans="12:19" ht="15.75" customHeight="1" x14ac:dyDescent="0.35">
      <c r="L1147" s="2"/>
      <c r="M1147" s="2"/>
      <c r="N1147" s="650"/>
      <c r="O1147" s="650"/>
      <c r="P1147" s="651"/>
      <c r="Q1147" s="651"/>
      <c r="R1147" s="651"/>
      <c r="S1147" s="651"/>
    </row>
    <row r="1148" spans="12:19" ht="15.75" customHeight="1" x14ac:dyDescent="0.35">
      <c r="L1148" s="2"/>
      <c r="M1148" s="2"/>
      <c r="N1148" s="650"/>
      <c r="O1148" s="650"/>
      <c r="P1148" s="651"/>
      <c r="Q1148" s="651"/>
      <c r="R1148" s="651"/>
      <c r="S1148" s="651"/>
    </row>
    <row r="1149" spans="12:19" ht="15.75" customHeight="1" x14ac:dyDescent="0.35">
      <c r="L1149" s="2"/>
      <c r="M1149" s="2"/>
      <c r="N1149" s="650"/>
      <c r="O1149" s="650"/>
      <c r="P1149" s="651"/>
      <c r="Q1149" s="651"/>
      <c r="R1149" s="651"/>
      <c r="S1149" s="651"/>
    </row>
    <row r="1150" spans="12:19" ht="15.75" customHeight="1" x14ac:dyDescent="0.35">
      <c r="L1150" s="2"/>
      <c r="M1150" s="2"/>
      <c r="N1150" s="650"/>
      <c r="O1150" s="650"/>
      <c r="P1150" s="651"/>
      <c r="Q1150" s="651"/>
      <c r="R1150" s="651"/>
      <c r="S1150" s="651"/>
    </row>
    <row r="1151" spans="12:19" ht="15.75" customHeight="1" x14ac:dyDescent="0.35">
      <c r="L1151" s="2"/>
      <c r="M1151" s="2"/>
      <c r="N1151" s="650"/>
      <c r="O1151" s="650"/>
      <c r="P1151" s="651"/>
      <c r="Q1151" s="651"/>
      <c r="R1151" s="651"/>
      <c r="S1151" s="651"/>
    </row>
    <row r="1152" spans="12:19" ht="15.75" customHeight="1" x14ac:dyDescent="0.35">
      <c r="L1152" s="2"/>
      <c r="M1152" s="2"/>
      <c r="N1152" s="650"/>
      <c r="O1152" s="650"/>
      <c r="P1152" s="651"/>
      <c r="Q1152" s="651"/>
      <c r="R1152" s="651"/>
      <c r="S1152" s="651"/>
    </row>
    <row r="1153" spans="12:19" ht="15.75" customHeight="1" x14ac:dyDescent="0.35">
      <c r="L1153" s="2"/>
      <c r="M1153" s="2"/>
      <c r="N1153" s="650"/>
      <c r="O1153" s="650"/>
      <c r="P1153" s="651"/>
      <c r="Q1153" s="651"/>
      <c r="R1153" s="651"/>
      <c r="S1153" s="651"/>
    </row>
    <row r="1154" spans="12:19" ht="15.75" customHeight="1" x14ac:dyDescent="0.35">
      <c r="L1154" s="2"/>
      <c r="M1154" s="2"/>
      <c r="N1154" s="650"/>
      <c r="O1154" s="650"/>
      <c r="P1154" s="651"/>
      <c r="Q1154" s="651"/>
      <c r="R1154" s="651"/>
      <c r="S1154" s="651"/>
    </row>
    <row r="1155" spans="12:19" ht="15.75" customHeight="1" x14ac:dyDescent="0.35">
      <c r="L1155" s="2"/>
      <c r="M1155" s="2"/>
      <c r="N1155" s="650"/>
      <c r="O1155" s="650"/>
      <c r="P1155" s="651"/>
      <c r="Q1155" s="651"/>
      <c r="R1155" s="651"/>
      <c r="S1155" s="651"/>
    </row>
    <row r="1156" spans="12:19" ht="15.75" customHeight="1" x14ac:dyDescent="0.35">
      <c r="L1156" s="2"/>
      <c r="M1156" s="2"/>
      <c r="N1156" s="650"/>
      <c r="O1156" s="650"/>
      <c r="P1156" s="651"/>
      <c r="Q1156" s="651"/>
      <c r="R1156" s="651"/>
      <c r="S1156" s="651"/>
    </row>
    <row r="1157" spans="12:19" ht="15.75" customHeight="1" x14ac:dyDescent="0.35">
      <c r="L1157" s="2"/>
      <c r="M1157" s="2"/>
      <c r="N1157" s="650"/>
      <c r="O1157" s="650"/>
      <c r="P1157" s="651"/>
      <c r="Q1157" s="651"/>
      <c r="R1157" s="651"/>
      <c r="S1157" s="651"/>
    </row>
    <row r="1158" spans="12:19" ht="15.75" customHeight="1" x14ac:dyDescent="0.35">
      <c r="L1158" s="2"/>
      <c r="M1158" s="2"/>
      <c r="N1158" s="650"/>
      <c r="O1158" s="650"/>
      <c r="P1158" s="651"/>
      <c r="Q1158" s="651"/>
      <c r="R1158" s="651"/>
      <c r="S1158" s="651"/>
    </row>
    <row r="1159" spans="12:19" ht="15.75" customHeight="1" x14ac:dyDescent="0.35">
      <c r="L1159" s="2"/>
      <c r="M1159" s="2"/>
      <c r="N1159" s="650"/>
      <c r="O1159" s="650"/>
      <c r="P1159" s="651"/>
      <c r="Q1159" s="651"/>
      <c r="R1159" s="651"/>
      <c r="S1159" s="651"/>
    </row>
    <row r="1160" spans="12:19" ht="15.75" customHeight="1" x14ac:dyDescent="0.35">
      <c r="L1160" s="2"/>
      <c r="M1160" s="2"/>
      <c r="N1160" s="650"/>
      <c r="O1160" s="650"/>
      <c r="P1160" s="651"/>
      <c r="Q1160" s="651"/>
      <c r="R1160" s="651"/>
      <c r="S1160" s="651"/>
    </row>
    <row r="1161" spans="12:19" ht="15.75" customHeight="1" x14ac:dyDescent="0.35">
      <c r="L1161" s="2"/>
      <c r="M1161" s="2"/>
      <c r="N1161" s="650"/>
      <c r="O1161" s="650"/>
      <c r="P1161" s="651"/>
      <c r="Q1161" s="651"/>
      <c r="R1161" s="651"/>
      <c r="S1161" s="651"/>
    </row>
    <row r="1162" spans="12:19" ht="15.75" customHeight="1" x14ac:dyDescent="0.35">
      <c r="L1162" s="2"/>
      <c r="M1162" s="2"/>
      <c r="N1162" s="650"/>
      <c r="O1162" s="650"/>
      <c r="P1162" s="651"/>
      <c r="Q1162" s="651"/>
      <c r="R1162" s="651"/>
      <c r="S1162" s="651"/>
    </row>
    <row r="1163" spans="12:19" ht="15.75" customHeight="1" x14ac:dyDescent="0.35">
      <c r="L1163" s="2"/>
      <c r="M1163" s="2"/>
      <c r="N1163" s="650"/>
      <c r="O1163" s="650"/>
      <c r="P1163" s="651"/>
      <c r="Q1163" s="651"/>
      <c r="R1163" s="651"/>
      <c r="S1163" s="651"/>
    </row>
    <row r="1164" spans="12:19" ht="15.75" customHeight="1" x14ac:dyDescent="0.35">
      <c r="L1164" s="2"/>
      <c r="M1164" s="2"/>
      <c r="N1164" s="650"/>
      <c r="O1164" s="650"/>
      <c r="P1164" s="651"/>
      <c r="Q1164" s="651"/>
      <c r="R1164" s="651"/>
      <c r="S1164" s="651"/>
    </row>
    <row r="1165" spans="12:19" ht="15.75" customHeight="1" x14ac:dyDescent="0.35">
      <c r="L1165" s="2"/>
      <c r="M1165" s="2"/>
      <c r="N1165" s="650"/>
      <c r="O1165" s="650"/>
      <c r="P1165" s="651"/>
      <c r="Q1165" s="651"/>
      <c r="R1165" s="651"/>
      <c r="S1165" s="651"/>
    </row>
    <row r="1166" spans="12:19" ht="15.75" customHeight="1" x14ac:dyDescent="0.35">
      <c r="L1166" s="2"/>
      <c r="M1166" s="2"/>
      <c r="N1166" s="650"/>
      <c r="O1166" s="650"/>
      <c r="P1166" s="651"/>
      <c r="Q1166" s="651"/>
      <c r="R1166" s="651"/>
      <c r="S1166" s="651"/>
    </row>
    <row r="1167" spans="12:19" ht="15.75" customHeight="1" x14ac:dyDescent="0.35">
      <c r="L1167" s="2"/>
      <c r="M1167" s="2"/>
      <c r="N1167" s="650"/>
      <c r="O1167" s="650"/>
      <c r="P1167" s="651"/>
      <c r="Q1167" s="651"/>
      <c r="R1167" s="651"/>
      <c r="S1167" s="651"/>
    </row>
    <row r="1168" spans="12:19" ht="15.75" customHeight="1" x14ac:dyDescent="0.35">
      <c r="L1168" s="2"/>
      <c r="M1168" s="2"/>
      <c r="N1168" s="650"/>
      <c r="O1168" s="650"/>
      <c r="P1168" s="651"/>
      <c r="Q1168" s="651"/>
      <c r="R1168" s="651"/>
      <c r="S1168" s="651"/>
    </row>
    <row r="1169" spans="12:19" ht="15.75" customHeight="1" x14ac:dyDescent="0.35">
      <c r="L1169" s="2"/>
      <c r="M1169" s="2"/>
      <c r="N1169" s="650"/>
      <c r="O1169" s="650"/>
      <c r="P1169" s="651"/>
      <c r="Q1169" s="651"/>
      <c r="R1169" s="651"/>
      <c r="S1169" s="651"/>
    </row>
    <row r="1170" spans="12:19" ht="15.75" customHeight="1" x14ac:dyDescent="0.35">
      <c r="L1170" s="2"/>
      <c r="M1170" s="2"/>
      <c r="N1170" s="650"/>
      <c r="O1170" s="650"/>
      <c r="P1170" s="651"/>
      <c r="Q1170" s="651"/>
      <c r="R1170" s="651"/>
      <c r="S1170" s="651"/>
    </row>
    <row r="1171" spans="12:19" ht="15.75" customHeight="1" x14ac:dyDescent="0.35">
      <c r="L1171" s="2"/>
      <c r="M1171" s="2"/>
      <c r="N1171" s="650"/>
      <c r="O1171" s="650"/>
      <c r="P1171" s="651"/>
      <c r="Q1171" s="651"/>
      <c r="R1171" s="651"/>
      <c r="S1171" s="651"/>
    </row>
    <row r="1172" spans="12:19" ht="15.75" customHeight="1" x14ac:dyDescent="0.35">
      <c r="L1172" s="2"/>
      <c r="M1172" s="2"/>
      <c r="N1172" s="650"/>
      <c r="O1172" s="650"/>
      <c r="P1172" s="651"/>
      <c r="Q1172" s="651"/>
      <c r="R1172" s="651"/>
      <c r="S1172" s="651"/>
    </row>
    <row r="1173" spans="12:19" ht="15.75" customHeight="1" x14ac:dyDescent="0.35">
      <c r="L1173" s="2"/>
      <c r="M1173" s="2"/>
      <c r="N1173" s="650"/>
      <c r="O1173" s="650"/>
      <c r="P1173" s="651"/>
      <c r="Q1173" s="651"/>
      <c r="R1173" s="651"/>
      <c r="S1173" s="651"/>
    </row>
    <row r="1174" spans="12:19" ht="15.75" customHeight="1" x14ac:dyDescent="0.35">
      <c r="L1174" s="2"/>
      <c r="M1174" s="2"/>
      <c r="N1174" s="650"/>
      <c r="O1174" s="650"/>
      <c r="P1174" s="651"/>
      <c r="Q1174" s="651"/>
      <c r="R1174" s="651"/>
      <c r="S1174" s="651"/>
    </row>
    <row r="1175" spans="12:19" ht="15.75" customHeight="1" x14ac:dyDescent="0.35">
      <c r="L1175" s="2"/>
      <c r="M1175" s="2"/>
      <c r="N1175" s="650"/>
      <c r="O1175" s="650"/>
      <c r="P1175" s="651"/>
      <c r="Q1175" s="651"/>
      <c r="R1175" s="651"/>
      <c r="S1175" s="651"/>
    </row>
    <row r="1176" spans="12:19" ht="15.75" customHeight="1" x14ac:dyDescent="0.35">
      <c r="L1176" s="2"/>
      <c r="M1176" s="2"/>
      <c r="N1176" s="650"/>
      <c r="O1176" s="650"/>
      <c r="P1176" s="651"/>
      <c r="Q1176" s="651"/>
      <c r="R1176" s="651"/>
      <c r="S1176" s="651"/>
    </row>
    <row r="1177" spans="12:19" ht="15.75" customHeight="1" x14ac:dyDescent="0.35">
      <c r="L1177" s="2"/>
      <c r="M1177" s="2"/>
      <c r="N1177" s="650"/>
      <c r="O1177" s="650"/>
      <c r="P1177" s="651"/>
      <c r="Q1177" s="651"/>
      <c r="R1177" s="651"/>
      <c r="S1177" s="651"/>
    </row>
    <row r="1178" spans="12:19" ht="15.75" customHeight="1" x14ac:dyDescent="0.35">
      <c r="L1178" s="2"/>
      <c r="M1178" s="2"/>
      <c r="N1178" s="650"/>
      <c r="O1178" s="650"/>
      <c r="P1178" s="651"/>
      <c r="Q1178" s="651"/>
      <c r="R1178" s="651"/>
      <c r="S1178" s="651"/>
    </row>
    <row r="1179" spans="12:19" ht="15.75" customHeight="1" x14ac:dyDescent="0.35">
      <c r="L1179" s="2"/>
      <c r="M1179" s="2"/>
      <c r="N1179" s="650"/>
      <c r="O1179" s="650"/>
      <c r="P1179" s="651"/>
      <c r="Q1179" s="651"/>
      <c r="R1179" s="651"/>
      <c r="S1179" s="651"/>
    </row>
    <row r="1180" spans="12:19" ht="15.75" customHeight="1" x14ac:dyDescent="0.35">
      <c r="L1180" s="2"/>
      <c r="M1180" s="2"/>
      <c r="N1180" s="650"/>
      <c r="O1180" s="650"/>
      <c r="P1180" s="651"/>
      <c r="Q1180" s="651"/>
      <c r="R1180" s="651"/>
      <c r="S1180" s="651"/>
    </row>
    <row r="1181" spans="12:19" ht="15.75" customHeight="1" x14ac:dyDescent="0.35">
      <c r="L1181" s="2"/>
      <c r="M1181" s="2"/>
      <c r="N1181" s="650"/>
      <c r="O1181" s="650"/>
      <c r="P1181" s="651"/>
      <c r="Q1181" s="651"/>
      <c r="R1181" s="651"/>
      <c r="S1181" s="651"/>
    </row>
    <row r="1182" spans="12:19" ht="15.75" customHeight="1" x14ac:dyDescent="0.35">
      <c r="L1182" s="2"/>
      <c r="M1182" s="2"/>
      <c r="N1182" s="650"/>
      <c r="O1182" s="650"/>
      <c r="P1182" s="651"/>
      <c r="Q1182" s="651"/>
      <c r="R1182" s="651"/>
      <c r="S1182" s="651"/>
    </row>
    <row r="1183" spans="12:19" ht="15.75" customHeight="1" x14ac:dyDescent="0.35">
      <c r="L1183" s="2"/>
      <c r="M1183" s="2"/>
      <c r="N1183" s="650"/>
      <c r="O1183" s="650"/>
      <c r="P1183" s="651"/>
      <c r="Q1183" s="651"/>
      <c r="R1183" s="651"/>
      <c r="S1183" s="651"/>
    </row>
    <row r="1184" spans="12:19" ht="15.75" customHeight="1" x14ac:dyDescent="0.35">
      <c r="L1184" s="2"/>
      <c r="M1184" s="2"/>
      <c r="N1184" s="650"/>
      <c r="O1184" s="650"/>
      <c r="P1184" s="651"/>
      <c r="Q1184" s="651"/>
      <c r="R1184" s="651"/>
      <c r="S1184" s="651"/>
    </row>
    <row r="1185" spans="12:19" ht="15.75" customHeight="1" x14ac:dyDescent="0.35">
      <c r="L1185" s="2"/>
      <c r="M1185" s="2"/>
      <c r="N1185" s="650"/>
      <c r="O1185" s="650"/>
      <c r="P1185" s="651"/>
      <c r="Q1185" s="651"/>
      <c r="R1185" s="651"/>
      <c r="S1185" s="651"/>
    </row>
    <row r="1186" spans="12:19" ht="15.75" customHeight="1" x14ac:dyDescent="0.35">
      <c r="L1186" s="2"/>
      <c r="M1186" s="2"/>
      <c r="N1186" s="650"/>
      <c r="O1186" s="650"/>
      <c r="P1186" s="651"/>
      <c r="Q1186" s="651"/>
      <c r="R1186" s="651"/>
      <c r="S1186" s="651"/>
    </row>
    <row r="1187" spans="12:19" ht="15.75" customHeight="1" x14ac:dyDescent="0.35">
      <c r="L1187" s="2"/>
      <c r="M1187" s="2"/>
      <c r="N1187" s="650"/>
      <c r="O1187" s="650"/>
      <c r="P1187" s="651"/>
      <c r="Q1187" s="651"/>
      <c r="R1187" s="651"/>
      <c r="S1187" s="651"/>
    </row>
    <row r="1188" spans="12:19" ht="15.75" customHeight="1" x14ac:dyDescent="0.35">
      <c r="L1188" s="2"/>
      <c r="M1188" s="2"/>
      <c r="N1188" s="650"/>
      <c r="O1188" s="650"/>
      <c r="P1188" s="651"/>
      <c r="Q1188" s="651"/>
      <c r="R1188" s="651"/>
      <c r="S1188" s="651"/>
    </row>
    <row r="1189" spans="12:19" ht="15.75" customHeight="1" x14ac:dyDescent="0.35">
      <c r="L1189" s="2"/>
      <c r="M1189" s="2"/>
      <c r="N1189" s="650"/>
      <c r="O1189" s="650"/>
      <c r="P1189" s="651"/>
      <c r="Q1189" s="651"/>
      <c r="R1189" s="651"/>
      <c r="S1189" s="651"/>
    </row>
    <row r="1190" spans="12:19" ht="15.75" customHeight="1" x14ac:dyDescent="0.35">
      <c r="L1190" s="2"/>
      <c r="M1190" s="2"/>
      <c r="N1190" s="650"/>
      <c r="O1190" s="650"/>
      <c r="P1190" s="651"/>
      <c r="Q1190" s="651"/>
      <c r="R1190" s="651"/>
      <c r="S1190" s="651"/>
    </row>
    <row r="1191" spans="12:19" ht="15.75" customHeight="1" x14ac:dyDescent="0.35">
      <c r="L1191" s="2"/>
      <c r="M1191" s="2"/>
      <c r="N1191" s="650"/>
      <c r="O1191" s="650"/>
      <c r="P1191" s="651"/>
      <c r="Q1191" s="651"/>
      <c r="R1191" s="651"/>
      <c r="S1191" s="651"/>
    </row>
    <row r="1192" spans="12:19" ht="15.75" customHeight="1" x14ac:dyDescent="0.35">
      <c r="L1192" s="2"/>
      <c r="M1192" s="2"/>
      <c r="N1192" s="650"/>
      <c r="O1192" s="650"/>
      <c r="P1192" s="651"/>
      <c r="Q1192" s="651"/>
      <c r="R1192" s="651"/>
      <c r="S1192" s="651"/>
    </row>
    <row r="1193" spans="12:19" ht="15.75" customHeight="1" x14ac:dyDescent="0.35">
      <c r="L1193" s="2"/>
      <c r="M1193" s="2"/>
      <c r="N1193" s="650"/>
      <c r="O1193" s="650"/>
      <c r="P1193" s="651"/>
      <c r="Q1193" s="651"/>
      <c r="R1193" s="651"/>
      <c r="S1193" s="651"/>
    </row>
    <row r="1194" spans="12:19" ht="15.75" customHeight="1" x14ac:dyDescent="0.35">
      <c r="L1194" s="2"/>
      <c r="M1194" s="2"/>
      <c r="N1194" s="650"/>
      <c r="O1194" s="650"/>
      <c r="P1194" s="651"/>
      <c r="Q1194" s="651"/>
      <c r="R1194" s="651"/>
      <c r="S1194" s="651"/>
    </row>
    <row r="1195" spans="12:19" ht="15.75" customHeight="1" x14ac:dyDescent="0.35">
      <c r="L1195" s="2"/>
      <c r="M1195" s="2"/>
      <c r="N1195" s="650"/>
      <c r="O1195" s="650"/>
      <c r="P1195" s="651"/>
      <c r="Q1195" s="651"/>
      <c r="R1195" s="651"/>
      <c r="S1195" s="651"/>
    </row>
    <row r="1196" spans="12:19" ht="15.75" customHeight="1" x14ac:dyDescent="0.35">
      <c r="L1196" s="2"/>
      <c r="M1196" s="2"/>
      <c r="N1196" s="650"/>
      <c r="O1196" s="650"/>
      <c r="P1196" s="651"/>
      <c r="Q1196" s="651"/>
      <c r="R1196" s="651"/>
      <c r="S1196" s="651"/>
    </row>
    <row r="1197" spans="12:19" ht="15.75" customHeight="1" x14ac:dyDescent="0.35">
      <c r="L1197" s="2"/>
      <c r="M1197" s="2"/>
      <c r="N1197" s="650"/>
      <c r="O1197" s="650"/>
      <c r="P1197" s="651"/>
      <c r="Q1197" s="651"/>
      <c r="R1197" s="651"/>
      <c r="S1197" s="651"/>
    </row>
    <row r="1198" spans="12:19" ht="15.75" customHeight="1" x14ac:dyDescent="0.35">
      <c r="L1198" s="2"/>
      <c r="M1198" s="2"/>
      <c r="N1198" s="650"/>
      <c r="O1198" s="650"/>
      <c r="P1198" s="651"/>
      <c r="Q1198" s="651"/>
      <c r="R1198" s="651"/>
      <c r="S1198" s="651"/>
    </row>
    <row r="1199" spans="12:19" ht="15.75" customHeight="1" x14ac:dyDescent="0.35">
      <c r="L1199" s="2"/>
      <c r="M1199" s="2"/>
      <c r="N1199" s="650"/>
      <c r="O1199" s="650"/>
      <c r="P1199" s="651"/>
      <c r="Q1199" s="651"/>
      <c r="R1199" s="651"/>
      <c r="S1199" s="651"/>
    </row>
    <row r="1200" spans="12:19" ht="15.75" customHeight="1" x14ac:dyDescent="0.35">
      <c r="L1200" s="2"/>
      <c r="M1200" s="2"/>
      <c r="N1200" s="650"/>
      <c r="O1200" s="650"/>
      <c r="P1200" s="651"/>
      <c r="Q1200" s="651"/>
      <c r="R1200" s="651"/>
      <c r="S1200" s="651"/>
    </row>
    <row r="1201" spans="12:19" ht="15.75" customHeight="1" x14ac:dyDescent="0.35">
      <c r="L1201" s="2"/>
      <c r="M1201" s="2"/>
      <c r="N1201" s="650"/>
      <c r="O1201" s="650"/>
      <c r="P1201" s="651"/>
      <c r="Q1201" s="651"/>
      <c r="R1201" s="651"/>
      <c r="S1201" s="651"/>
    </row>
    <row r="1202" spans="12:19" ht="15.75" customHeight="1" x14ac:dyDescent="0.35">
      <c r="L1202" s="2"/>
      <c r="M1202" s="2"/>
      <c r="N1202" s="650"/>
      <c r="O1202" s="650"/>
      <c r="P1202" s="651"/>
      <c r="Q1202" s="651"/>
      <c r="R1202" s="651"/>
      <c r="S1202" s="651"/>
    </row>
    <row r="1203" spans="12:19" ht="15.75" customHeight="1" x14ac:dyDescent="0.35">
      <c r="L1203" s="2"/>
      <c r="M1203" s="2"/>
      <c r="N1203" s="650"/>
      <c r="O1203" s="650"/>
      <c r="P1203" s="651"/>
      <c r="Q1203" s="651"/>
      <c r="R1203" s="651"/>
      <c r="S1203" s="651"/>
    </row>
    <row r="1204" spans="12:19" ht="15.75" customHeight="1" x14ac:dyDescent="0.35">
      <c r="L1204" s="2"/>
      <c r="M1204" s="2"/>
      <c r="N1204" s="650"/>
      <c r="O1204" s="650"/>
      <c r="P1204" s="651"/>
      <c r="Q1204" s="651"/>
      <c r="R1204" s="651"/>
      <c r="S1204" s="651"/>
    </row>
    <row r="1205" spans="12:19" ht="15.75" customHeight="1" x14ac:dyDescent="0.35">
      <c r="L1205" s="2"/>
      <c r="M1205" s="2"/>
      <c r="N1205" s="650"/>
      <c r="O1205" s="650"/>
      <c r="P1205" s="651"/>
      <c r="Q1205" s="651"/>
      <c r="R1205" s="651"/>
      <c r="S1205" s="651"/>
    </row>
    <row r="1206" spans="12:19" ht="15.75" customHeight="1" x14ac:dyDescent="0.35">
      <c r="L1206" s="2"/>
      <c r="M1206" s="2"/>
      <c r="N1206" s="650"/>
      <c r="O1206" s="650"/>
      <c r="P1206" s="651"/>
      <c r="Q1206" s="651"/>
      <c r="R1206" s="651"/>
      <c r="S1206" s="651"/>
    </row>
    <row r="1207" spans="12:19" ht="15.75" customHeight="1" x14ac:dyDescent="0.35">
      <c r="L1207" s="2"/>
      <c r="M1207" s="2"/>
      <c r="N1207" s="650"/>
      <c r="O1207" s="650"/>
      <c r="P1207" s="651"/>
      <c r="Q1207" s="651"/>
      <c r="R1207" s="651"/>
      <c r="S1207" s="651"/>
    </row>
    <row r="1208" spans="12:19" ht="15.75" customHeight="1" x14ac:dyDescent="0.35">
      <c r="L1208" s="2"/>
      <c r="M1208" s="2"/>
      <c r="N1208" s="650"/>
      <c r="O1208" s="650"/>
      <c r="P1208" s="651"/>
      <c r="Q1208" s="651"/>
      <c r="R1208" s="651"/>
      <c r="S1208" s="651"/>
    </row>
    <row r="1209" spans="12:19" ht="15.75" customHeight="1" x14ac:dyDescent="0.35">
      <c r="L1209" s="2"/>
      <c r="M1209" s="2"/>
      <c r="N1209" s="650"/>
      <c r="O1209" s="650"/>
      <c r="P1209" s="651"/>
      <c r="Q1209" s="651"/>
      <c r="R1209" s="651"/>
      <c r="S1209" s="651"/>
    </row>
    <row r="1210" spans="12:19" ht="15.75" customHeight="1" x14ac:dyDescent="0.35">
      <c r="L1210" s="2"/>
      <c r="M1210" s="2"/>
      <c r="N1210" s="650"/>
      <c r="O1210" s="650"/>
      <c r="P1210" s="651"/>
      <c r="Q1210" s="651"/>
      <c r="R1210" s="651"/>
      <c r="S1210" s="651"/>
    </row>
    <row r="1211" spans="12:19" ht="15.75" customHeight="1" x14ac:dyDescent="0.35">
      <c r="L1211" s="2"/>
      <c r="M1211" s="2"/>
      <c r="N1211" s="650"/>
      <c r="O1211" s="650"/>
      <c r="P1211" s="651"/>
      <c r="Q1211" s="651"/>
      <c r="R1211" s="651"/>
      <c r="S1211" s="651"/>
    </row>
    <row r="1212" spans="12:19" ht="15.75" customHeight="1" x14ac:dyDescent="0.35">
      <c r="L1212" s="2"/>
      <c r="M1212" s="2"/>
      <c r="N1212" s="650"/>
      <c r="O1212" s="650"/>
      <c r="P1212" s="651"/>
      <c r="Q1212" s="651"/>
      <c r="R1212" s="651"/>
      <c r="S1212" s="651"/>
    </row>
    <row r="1213" spans="12:19" ht="15.75" customHeight="1" x14ac:dyDescent="0.35">
      <c r="L1213" s="2"/>
      <c r="M1213" s="2"/>
      <c r="N1213" s="650"/>
      <c r="O1213" s="650"/>
      <c r="P1213" s="651"/>
      <c r="Q1213" s="651"/>
      <c r="R1213" s="651"/>
      <c r="S1213" s="651"/>
    </row>
    <row r="1214" spans="12:19" ht="15.75" customHeight="1" x14ac:dyDescent="0.35">
      <c r="L1214" s="2"/>
      <c r="M1214" s="2"/>
      <c r="N1214" s="650"/>
      <c r="O1214" s="650"/>
      <c r="P1214" s="651"/>
      <c r="Q1214" s="651"/>
      <c r="R1214" s="651"/>
      <c r="S1214" s="651"/>
    </row>
    <row r="1215" spans="12:19" ht="15.75" customHeight="1" x14ac:dyDescent="0.35">
      <c r="L1215" s="2"/>
      <c r="M1215" s="2"/>
      <c r="N1215" s="650"/>
      <c r="O1215" s="650"/>
      <c r="P1215" s="651"/>
      <c r="Q1215" s="651"/>
      <c r="R1215" s="651"/>
      <c r="S1215" s="651"/>
    </row>
    <row r="1216" spans="12:19" ht="15.75" customHeight="1" x14ac:dyDescent="0.35">
      <c r="L1216" s="2"/>
      <c r="M1216" s="2"/>
      <c r="N1216" s="650"/>
      <c r="O1216" s="650"/>
      <c r="P1216" s="651"/>
      <c r="Q1216" s="651"/>
      <c r="R1216" s="651"/>
      <c r="S1216" s="651"/>
    </row>
    <row r="1217" spans="12:19" ht="15.75" customHeight="1" x14ac:dyDescent="0.35">
      <c r="L1217" s="2"/>
      <c r="M1217" s="2"/>
      <c r="N1217" s="650"/>
      <c r="O1217" s="650"/>
      <c r="P1217" s="651"/>
      <c r="Q1217" s="651"/>
      <c r="R1217" s="651"/>
      <c r="S1217" s="651"/>
    </row>
    <row r="1218" spans="12:19" ht="15.75" customHeight="1" x14ac:dyDescent="0.35">
      <c r="L1218" s="2"/>
      <c r="M1218" s="2"/>
      <c r="N1218" s="650"/>
      <c r="O1218" s="650"/>
      <c r="P1218" s="651"/>
      <c r="Q1218" s="651"/>
      <c r="R1218" s="651"/>
      <c r="S1218" s="651"/>
    </row>
    <row r="1219" spans="12:19" ht="15.75" customHeight="1" x14ac:dyDescent="0.35">
      <c r="L1219" s="2"/>
      <c r="M1219" s="2"/>
      <c r="N1219" s="650"/>
      <c r="O1219" s="650"/>
      <c r="P1219" s="651"/>
      <c r="Q1219" s="651"/>
      <c r="R1219" s="651"/>
      <c r="S1219" s="651"/>
    </row>
    <row r="1220" spans="12:19" ht="15.75" customHeight="1" x14ac:dyDescent="0.35">
      <c r="L1220" s="2"/>
      <c r="M1220" s="2"/>
      <c r="N1220" s="650"/>
      <c r="O1220" s="650"/>
      <c r="P1220" s="651"/>
      <c r="Q1220" s="651"/>
      <c r="R1220" s="651"/>
      <c r="S1220" s="651"/>
    </row>
    <row r="1221" spans="12:19" ht="15.75" customHeight="1" x14ac:dyDescent="0.35">
      <c r="L1221" s="2"/>
      <c r="M1221" s="2"/>
      <c r="N1221" s="650"/>
      <c r="O1221" s="650"/>
      <c r="P1221" s="651"/>
      <c r="Q1221" s="651"/>
      <c r="R1221" s="651"/>
      <c r="S1221" s="651"/>
    </row>
    <row r="1222" spans="12:19" ht="15.75" customHeight="1" x14ac:dyDescent="0.35">
      <c r="L1222" s="2"/>
      <c r="M1222" s="2"/>
      <c r="N1222" s="650"/>
      <c r="O1222" s="650"/>
      <c r="P1222" s="651"/>
      <c r="Q1222" s="651"/>
      <c r="R1222" s="651"/>
      <c r="S1222" s="651"/>
    </row>
    <row r="1223" spans="12:19" ht="15.75" customHeight="1" x14ac:dyDescent="0.35">
      <c r="L1223" s="2"/>
      <c r="M1223" s="2"/>
      <c r="N1223" s="650"/>
      <c r="O1223" s="650"/>
      <c r="P1223" s="651"/>
      <c r="Q1223" s="651"/>
      <c r="R1223" s="651"/>
      <c r="S1223" s="651"/>
    </row>
    <row r="1224" spans="12:19" ht="15.75" customHeight="1" x14ac:dyDescent="0.35">
      <c r="L1224" s="2"/>
      <c r="M1224" s="2"/>
      <c r="N1224" s="650"/>
      <c r="O1224" s="650"/>
      <c r="P1224" s="651"/>
      <c r="Q1224" s="651"/>
      <c r="R1224" s="651"/>
      <c r="S1224" s="651"/>
    </row>
    <row r="1225" spans="12:19" ht="15.75" customHeight="1" x14ac:dyDescent="0.35">
      <c r="L1225" s="2"/>
      <c r="M1225" s="2"/>
      <c r="N1225" s="650"/>
      <c r="O1225" s="650"/>
      <c r="P1225" s="651"/>
      <c r="Q1225" s="651"/>
      <c r="R1225" s="651"/>
      <c r="S1225" s="651"/>
    </row>
    <row r="1226" spans="12:19" ht="15.75" customHeight="1" x14ac:dyDescent="0.35">
      <c r="L1226" s="2"/>
      <c r="M1226" s="2"/>
      <c r="N1226" s="650"/>
      <c r="O1226" s="650"/>
      <c r="P1226" s="651"/>
      <c r="Q1226" s="651"/>
      <c r="R1226" s="651"/>
      <c r="S1226" s="651"/>
    </row>
    <row r="1227" spans="12:19" ht="15.75" customHeight="1" x14ac:dyDescent="0.35">
      <c r="L1227" s="2"/>
      <c r="M1227" s="2"/>
      <c r="N1227" s="650"/>
      <c r="O1227" s="650"/>
      <c r="P1227" s="651"/>
      <c r="Q1227" s="651"/>
      <c r="R1227" s="651"/>
      <c r="S1227" s="651"/>
    </row>
    <row r="1228" spans="12:19" ht="15.75" customHeight="1" x14ac:dyDescent="0.35">
      <c r="L1228" s="2"/>
      <c r="M1228" s="2"/>
      <c r="N1228" s="650"/>
      <c r="O1228" s="650"/>
      <c r="P1228" s="651"/>
      <c r="Q1228" s="651"/>
      <c r="R1228" s="651"/>
      <c r="S1228" s="651"/>
    </row>
    <row r="1229" spans="12:19" ht="15.75" customHeight="1" x14ac:dyDescent="0.35">
      <c r="L1229" s="2"/>
      <c r="M1229" s="2"/>
      <c r="N1229" s="650"/>
      <c r="O1229" s="650"/>
      <c r="P1229" s="651"/>
      <c r="Q1229" s="651"/>
      <c r="R1229" s="651"/>
      <c r="S1229" s="651"/>
    </row>
    <row r="1230" spans="12:19" ht="15.75" customHeight="1" x14ac:dyDescent="0.35">
      <c r="L1230" s="2"/>
      <c r="M1230" s="2"/>
      <c r="N1230" s="650"/>
      <c r="O1230" s="650"/>
      <c r="P1230" s="651"/>
      <c r="Q1230" s="651"/>
      <c r="R1230" s="651"/>
      <c r="S1230" s="651"/>
    </row>
    <row r="1231" spans="12:19" ht="15.75" customHeight="1" x14ac:dyDescent="0.35">
      <c r="L1231" s="2"/>
      <c r="M1231" s="2"/>
      <c r="N1231" s="650"/>
      <c r="O1231" s="650"/>
      <c r="P1231" s="651"/>
      <c r="Q1231" s="651"/>
      <c r="R1231" s="651"/>
      <c r="S1231" s="651"/>
    </row>
    <row r="1232" spans="12:19" ht="15.75" customHeight="1" x14ac:dyDescent="0.35">
      <c r="L1232" s="2"/>
      <c r="M1232" s="2"/>
      <c r="N1232" s="650"/>
      <c r="O1232" s="650"/>
      <c r="P1232" s="651"/>
      <c r="Q1232" s="651"/>
      <c r="R1232" s="651"/>
      <c r="S1232" s="651"/>
    </row>
    <row r="1233" spans="12:19" ht="15.75" customHeight="1" x14ac:dyDescent="0.35">
      <c r="L1233" s="2"/>
      <c r="M1233" s="2"/>
      <c r="N1233" s="650"/>
      <c r="O1233" s="650"/>
      <c r="P1233" s="651"/>
      <c r="Q1233" s="651"/>
      <c r="R1233" s="651"/>
      <c r="S1233" s="651"/>
    </row>
    <row r="1234" spans="12:19" ht="15.75" customHeight="1" x14ac:dyDescent="0.35">
      <c r="L1234" s="2"/>
      <c r="M1234" s="2"/>
      <c r="N1234" s="650"/>
      <c r="O1234" s="650"/>
      <c r="P1234" s="651"/>
      <c r="Q1234" s="651"/>
      <c r="R1234" s="651"/>
      <c r="S1234" s="651"/>
    </row>
    <row r="1235" spans="12:19" ht="15.75" customHeight="1" x14ac:dyDescent="0.35">
      <c r="L1235" s="2"/>
      <c r="M1235" s="2"/>
      <c r="N1235" s="650"/>
      <c r="O1235" s="650"/>
      <c r="P1235" s="651"/>
      <c r="Q1235" s="651"/>
      <c r="R1235" s="651"/>
      <c r="S1235" s="651"/>
    </row>
    <row r="1236" spans="12:19" ht="15.75" customHeight="1" x14ac:dyDescent="0.35">
      <c r="L1236" s="2"/>
      <c r="M1236" s="2"/>
      <c r="N1236" s="650"/>
      <c r="O1236" s="650"/>
      <c r="P1236" s="651"/>
      <c r="Q1236" s="651"/>
      <c r="R1236" s="651"/>
      <c r="S1236" s="651"/>
    </row>
    <row r="1237" spans="12:19" ht="15.75" customHeight="1" x14ac:dyDescent="0.35">
      <c r="L1237" s="2"/>
      <c r="M1237" s="2"/>
      <c r="N1237" s="650"/>
      <c r="O1237" s="650"/>
      <c r="P1237" s="651"/>
      <c r="Q1237" s="651"/>
      <c r="R1237" s="651"/>
      <c r="S1237" s="651"/>
    </row>
    <row r="1238" spans="12:19" ht="15.75" customHeight="1" x14ac:dyDescent="0.35">
      <c r="L1238" s="2"/>
      <c r="M1238" s="2"/>
      <c r="N1238" s="650"/>
      <c r="O1238" s="650"/>
      <c r="P1238" s="651"/>
      <c r="Q1238" s="651"/>
      <c r="R1238" s="651"/>
      <c r="S1238" s="651"/>
    </row>
    <row r="1239" spans="12:19" ht="15.75" customHeight="1" x14ac:dyDescent="0.35">
      <c r="L1239" s="2"/>
      <c r="M1239" s="2"/>
      <c r="N1239" s="650"/>
      <c r="O1239" s="650"/>
      <c r="P1239" s="651"/>
      <c r="Q1239" s="651"/>
      <c r="R1239" s="651"/>
      <c r="S1239" s="651"/>
    </row>
    <row r="1240" spans="12:19" ht="15.75" customHeight="1" x14ac:dyDescent="0.35">
      <c r="L1240" s="2"/>
      <c r="M1240" s="2"/>
      <c r="N1240" s="650"/>
      <c r="O1240" s="650"/>
      <c r="P1240" s="651"/>
      <c r="Q1240" s="651"/>
      <c r="R1240" s="651"/>
      <c r="S1240" s="651"/>
    </row>
    <row r="1241" spans="12:19" ht="15.75" customHeight="1" x14ac:dyDescent="0.35">
      <c r="L1241" s="2"/>
      <c r="M1241" s="2"/>
      <c r="N1241" s="650"/>
      <c r="O1241" s="650"/>
      <c r="P1241" s="651"/>
      <c r="Q1241" s="651"/>
      <c r="R1241" s="651"/>
      <c r="S1241" s="651"/>
    </row>
    <row r="1242" spans="12:19" ht="15.75" customHeight="1" x14ac:dyDescent="0.35">
      <c r="L1242" s="2"/>
      <c r="M1242" s="2"/>
      <c r="N1242" s="650"/>
      <c r="O1242" s="650"/>
      <c r="P1242" s="651"/>
      <c r="Q1242" s="651"/>
      <c r="R1242" s="651"/>
      <c r="S1242" s="651"/>
    </row>
    <row r="1243" spans="12:19" ht="15.75" customHeight="1" x14ac:dyDescent="0.35">
      <c r="L1243" s="2"/>
      <c r="M1243" s="2"/>
      <c r="N1243" s="650"/>
      <c r="O1243" s="650"/>
      <c r="P1243" s="651"/>
      <c r="Q1243" s="651"/>
      <c r="R1243" s="651"/>
      <c r="S1243" s="651"/>
    </row>
    <row r="1244" spans="12:19" ht="15.75" customHeight="1" x14ac:dyDescent="0.35">
      <c r="L1244" s="2"/>
      <c r="M1244" s="2"/>
      <c r="N1244" s="650"/>
      <c r="O1244" s="650"/>
      <c r="P1244" s="651"/>
      <c r="Q1244" s="651"/>
      <c r="R1244" s="651"/>
      <c r="S1244" s="651"/>
    </row>
    <row r="1245" spans="12:19" ht="15.75" customHeight="1" x14ac:dyDescent="0.35">
      <c r="L1245" s="2"/>
      <c r="M1245" s="2"/>
      <c r="N1245" s="650"/>
      <c r="O1245" s="650"/>
      <c r="P1245" s="651"/>
      <c r="Q1245" s="651"/>
      <c r="R1245" s="651"/>
      <c r="S1245" s="651"/>
    </row>
    <row r="1246" spans="12:19" ht="15.75" customHeight="1" x14ac:dyDescent="0.35">
      <c r="L1246" s="2"/>
      <c r="M1246" s="2"/>
      <c r="N1246" s="650"/>
      <c r="O1246" s="650"/>
      <c r="P1246" s="651"/>
      <c r="Q1246" s="651"/>
      <c r="R1246" s="651"/>
      <c r="S1246" s="651"/>
    </row>
    <row r="1247" spans="12:19" ht="15.75" customHeight="1" x14ac:dyDescent="0.35">
      <c r="L1247" s="2"/>
      <c r="M1247" s="2"/>
      <c r="N1247" s="650"/>
      <c r="O1247" s="650"/>
      <c r="P1247" s="651"/>
      <c r="Q1247" s="651"/>
      <c r="R1247" s="651"/>
      <c r="S1247" s="651"/>
    </row>
    <row r="1248" spans="12:19" ht="15.75" customHeight="1" x14ac:dyDescent="0.35">
      <c r="L1248" s="2"/>
      <c r="M1248" s="2"/>
      <c r="N1248" s="650"/>
      <c r="O1248" s="650"/>
      <c r="P1248" s="651"/>
      <c r="Q1248" s="651"/>
      <c r="R1248" s="651"/>
      <c r="S1248" s="651"/>
    </row>
    <row r="1249" spans="12:19" ht="15.75" customHeight="1" x14ac:dyDescent="0.35">
      <c r="L1249" s="2"/>
      <c r="M1249" s="2"/>
      <c r="N1249" s="650"/>
      <c r="O1249" s="650"/>
      <c r="P1249" s="651"/>
      <c r="Q1249" s="651"/>
      <c r="R1249" s="651"/>
      <c r="S1249" s="651"/>
    </row>
    <row r="1250" spans="12:19" ht="15.75" customHeight="1" x14ac:dyDescent="0.35">
      <c r="L1250" s="2"/>
      <c r="M1250" s="2"/>
      <c r="N1250" s="650"/>
      <c r="O1250" s="650"/>
      <c r="P1250" s="651"/>
      <c r="Q1250" s="651"/>
      <c r="R1250" s="651"/>
      <c r="S1250" s="651"/>
    </row>
    <row r="1251" spans="12:19" ht="15.75" customHeight="1" x14ac:dyDescent="0.35">
      <c r="L1251" s="2"/>
      <c r="M1251" s="2"/>
      <c r="N1251" s="650"/>
      <c r="O1251" s="650"/>
      <c r="P1251" s="651"/>
      <c r="Q1251" s="651"/>
      <c r="R1251" s="651"/>
      <c r="S1251" s="651"/>
    </row>
    <row r="1252" spans="12:19" ht="15.75" customHeight="1" x14ac:dyDescent="0.35">
      <c r="L1252" s="2"/>
      <c r="M1252" s="2"/>
      <c r="N1252" s="650"/>
      <c r="O1252" s="650"/>
      <c r="P1252" s="651"/>
      <c r="Q1252" s="651"/>
      <c r="R1252" s="651"/>
      <c r="S1252" s="651"/>
    </row>
    <row r="1253" spans="12:19" ht="15.75" customHeight="1" x14ac:dyDescent="0.35">
      <c r="L1253" s="2"/>
      <c r="M1253" s="2"/>
      <c r="N1253" s="650"/>
      <c r="O1253" s="650"/>
      <c r="P1253" s="651"/>
      <c r="Q1253" s="651"/>
      <c r="R1253" s="651"/>
      <c r="S1253" s="651"/>
    </row>
    <row r="1254" spans="12:19" ht="15.75" customHeight="1" x14ac:dyDescent="0.35">
      <c r="L1254" s="2"/>
      <c r="M1254" s="2"/>
      <c r="N1254" s="650"/>
      <c r="O1254" s="650"/>
      <c r="P1254" s="651"/>
      <c r="Q1254" s="651"/>
      <c r="R1254" s="651"/>
      <c r="S1254" s="651"/>
    </row>
    <row r="1255" spans="12:19" ht="15.75" customHeight="1" x14ac:dyDescent="0.35">
      <c r="L1255" s="2"/>
      <c r="M1255" s="2"/>
      <c r="N1255" s="650"/>
      <c r="O1255" s="650"/>
      <c r="P1255" s="651"/>
      <c r="Q1255" s="651"/>
      <c r="R1255" s="651"/>
      <c r="S1255" s="651"/>
    </row>
    <row r="1256" spans="12:19" ht="15.75" customHeight="1" x14ac:dyDescent="0.35">
      <c r="L1256" s="2"/>
      <c r="M1256" s="2"/>
      <c r="N1256" s="650"/>
      <c r="O1256" s="650"/>
      <c r="P1256" s="651"/>
      <c r="Q1256" s="651"/>
      <c r="R1256" s="651"/>
      <c r="S1256" s="651"/>
    </row>
    <row r="1257" spans="12:19" ht="15.75" customHeight="1" x14ac:dyDescent="0.35">
      <c r="L1257" s="2"/>
      <c r="M1257" s="2"/>
      <c r="N1257" s="650"/>
      <c r="O1257" s="650"/>
      <c r="P1257" s="651"/>
      <c r="Q1257" s="651"/>
      <c r="R1257" s="651"/>
      <c r="S1257" s="651"/>
    </row>
    <row r="1258" spans="12:19" ht="15.75" customHeight="1" x14ac:dyDescent="0.35">
      <c r="L1258" s="2"/>
      <c r="M1258" s="2"/>
      <c r="N1258" s="650"/>
      <c r="O1258" s="650"/>
      <c r="P1258" s="651"/>
      <c r="Q1258" s="651"/>
      <c r="R1258" s="651"/>
      <c r="S1258" s="651"/>
    </row>
    <row r="1259" spans="12:19" ht="15.75" customHeight="1" x14ac:dyDescent="0.35">
      <c r="L1259" s="2"/>
      <c r="M1259" s="2"/>
      <c r="N1259" s="650"/>
      <c r="O1259" s="650"/>
      <c r="P1259" s="651"/>
      <c r="Q1259" s="651"/>
      <c r="R1259" s="651"/>
      <c r="S1259" s="651"/>
    </row>
    <row r="1260" spans="12:19" ht="15.75" customHeight="1" x14ac:dyDescent="0.35">
      <c r="L1260" s="2"/>
      <c r="M1260" s="2"/>
      <c r="N1260" s="650"/>
      <c r="O1260" s="650"/>
      <c r="P1260" s="651"/>
      <c r="Q1260" s="651"/>
      <c r="R1260" s="651"/>
      <c r="S1260" s="651"/>
    </row>
    <row r="1261" spans="12:19" ht="15.75" customHeight="1" x14ac:dyDescent="0.35">
      <c r="L1261" s="2"/>
      <c r="M1261" s="2"/>
      <c r="N1261" s="650"/>
      <c r="O1261" s="650"/>
      <c r="P1261" s="651"/>
      <c r="Q1261" s="651"/>
      <c r="R1261" s="651"/>
      <c r="S1261" s="651"/>
    </row>
    <row r="1262" spans="12:19" ht="15.75" customHeight="1" x14ac:dyDescent="0.35">
      <c r="L1262" s="2"/>
      <c r="M1262" s="2"/>
      <c r="N1262" s="650"/>
      <c r="O1262" s="650"/>
      <c r="P1262" s="651"/>
      <c r="Q1262" s="651"/>
      <c r="R1262" s="651"/>
      <c r="S1262" s="651"/>
    </row>
    <row r="1263" spans="12:19" ht="15.75" customHeight="1" x14ac:dyDescent="0.35">
      <c r="L1263" s="2"/>
      <c r="M1263" s="2"/>
      <c r="N1263" s="650"/>
      <c r="O1263" s="650"/>
      <c r="P1263" s="651"/>
      <c r="Q1263" s="651"/>
      <c r="R1263" s="651"/>
      <c r="S1263" s="651"/>
    </row>
    <row r="1264" spans="12:19" ht="15.75" customHeight="1" x14ac:dyDescent="0.35">
      <c r="L1264" s="2"/>
      <c r="M1264" s="2"/>
      <c r="N1264" s="650"/>
      <c r="O1264" s="650"/>
      <c r="P1264" s="651"/>
      <c r="Q1264" s="651"/>
      <c r="R1264" s="651"/>
      <c r="S1264" s="651"/>
    </row>
    <row r="1265" spans="12:19" ht="15.75" customHeight="1" x14ac:dyDescent="0.35">
      <c r="L1265" s="2"/>
      <c r="M1265" s="2"/>
      <c r="N1265" s="650"/>
      <c r="O1265" s="650"/>
      <c r="P1265" s="651"/>
      <c r="Q1265" s="651"/>
      <c r="R1265" s="651"/>
      <c r="S1265" s="651"/>
    </row>
    <row r="1266" spans="12:19" ht="15.75" customHeight="1" x14ac:dyDescent="0.35">
      <c r="L1266" s="2"/>
      <c r="M1266" s="2"/>
      <c r="N1266" s="650"/>
      <c r="O1266" s="650"/>
      <c r="P1266" s="651"/>
      <c r="Q1266" s="651"/>
      <c r="R1266" s="651"/>
      <c r="S1266" s="651"/>
    </row>
    <row r="1267" spans="12:19" ht="15.75" customHeight="1" x14ac:dyDescent="0.35">
      <c r="L1267" s="2"/>
      <c r="M1267" s="2"/>
      <c r="N1267" s="650"/>
      <c r="O1267" s="650"/>
      <c r="P1267" s="651"/>
      <c r="Q1267" s="651"/>
      <c r="R1267" s="651"/>
      <c r="S1267" s="651"/>
    </row>
    <row r="1268" spans="12:19" ht="15.75" customHeight="1" x14ac:dyDescent="0.35">
      <c r="L1268" s="2"/>
      <c r="M1268" s="2"/>
      <c r="N1268" s="650"/>
      <c r="O1268" s="650"/>
      <c r="P1268" s="651"/>
      <c r="Q1268" s="651"/>
      <c r="R1268" s="651"/>
      <c r="S1268" s="651"/>
    </row>
    <row r="1269" spans="12:19" ht="15.75" customHeight="1" x14ac:dyDescent="0.35">
      <c r="L1269" s="2"/>
      <c r="M1269" s="2"/>
      <c r="N1269" s="650"/>
      <c r="O1269" s="650"/>
      <c r="P1269" s="651"/>
      <c r="Q1269" s="651"/>
      <c r="R1269" s="651"/>
      <c r="S1269" s="651"/>
    </row>
    <row r="1270" spans="12:19" ht="15.75" customHeight="1" x14ac:dyDescent="0.35">
      <c r="L1270" s="2"/>
      <c r="M1270" s="2"/>
      <c r="N1270" s="650"/>
      <c r="O1270" s="650"/>
      <c r="P1270" s="651"/>
      <c r="Q1270" s="651"/>
      <c r="R1270" s="651"/>
      <c r="S1270" s="651"/>
    </row>
    <row r="1271" spans="12:19" ht="15.75" customHeight="1" x14ac:dyDescent="0.35">
      <c r="L1271" s="2"/>
      <c r="M1271" s="2"/>
      <c r="N1271" s="650"/>
      <c r="O1271" s="650"/>
      <c r="P1271" s="651"/>
      <c r="Q1271" s="651"/>
      <c r="R1271" s="651"/>
      <c r="S1271" s="651"/>
    </row>
    <row r="1272" spans="12:19" ht="15.75" customHeight="1" x14ac:dyDescent="0.35">
      <c r="L1272" s="2"/>
      <c r="M1272" s="2"/>
      <c r="N1272" s="650"/>
      <c r="O1272" s="650"/>
      <c r="P1272" s="651"/>
      <c r="Q1272" s="651"/>
      <c r="R1272" s="651"/>
      <c r="S1272" s="651"/>
    </row>
    <row r="1273" spans="12:19" ht="15.75" customHeight="1" x14ac:dyDescent="0.35">
      <c r="L1273" s="2"/>
      <c r="M1273" s="2"/>
      <c r="N1273" s="650"/>
      <c r="O1273" s="650"/>
      <c r="P1273" s="651"/>
      <c r="Q1273" s="651"/>
      <c r="R1273" s="651"/>
      <c r="S1273" s="651"/>
    </row>
    <row r="1274" spans="12:19" ht="15.75" customHeight="1" x14ac:dyDescent="0.35">
      <c r="L1274" s="2"/>
      <c r="M1274" s="2"/>
      <c r="N1274" s="650"/>
      <c r="O1274" s="650"/>
      <c r="P1274" s="651"/>
      <c r="Q1274" s="651"/>
      <c r="R1274" s="651"/>
      <c r="S1274" s="651"/>
    </row>
    <row r="1275" spans="12:19" ht="15.75" customHeight="1" x14ac:dyDescent="0.35">
      <c r="L1275" s="2"/>
      <c r="M1275" s="2"/>
      <c r="N1275" s="650"/>
      <c r="O1275" s="650"/>
      <c r="P1275" s="651"/>
      <c r="Q1275" s="651"/>
      <c r="R1275" s="651"/>
      <c r="S1275" s="651"/>
    </row>
    <row r="1276" spans="12:19" ht="15.75" customHeight="1" x14ac:dyDescent="0.35">
      <c r="L1276" s="2"/>
      <c r="M1276" s="2"/>
      <c r="N1276" s="650"/>
      <c r="O1276" s="650"/>
      <c r="P1276" s="651"/>
      <c r="Q1276" s="651"/>
      <c r="R1276" s="651"/>
      <c r="S1276" s="651"/>
    </row>
    <row r="1277" spans="12:19" ht="15.75" customHeight="1" x14ac:dyDescent="0.35">
      <c r="L1277" s="2"/>
      <c r="M1277" s="2"/>
      <c r="N1277" s="650"/>
      <c r="O1277" s="650"/>
      <c r="P1277" s="651"/>
      <c r="Q1277" s="651"/>
      <c r="R1277" s="651"/>
      <c r="S1277" s="651"/>
    </row>
    <row r="1278" spans="12:19" ht="15.75" customHeight="1" x14ac:dyDescent="0.35">
      <c r="L1278" s="2"/>
      <c r="M1278" s="2"/>
      <c r="N1278" s="650"/>
      <c r="O1278" s="650"/>
      <c r="P1278" s="651"/>
      <c r="Q1278" s="651"/>
      <c r="R1278" s="651"/>
      <c r="S1278" s="651"/>
    </row>
    <row r="1279" spans="12:19" ht="15.75" customHeight="1" x14ac:dyDescent="0.35">
      <c r="L1279" s="2"/>
      <c r="M1279" s="2"/>
      <c r="N1279" s="650"/>
      <c r="O1279" s="650"/>
      <c r="P1279" s="651"/>
      <c r="Q1279" s="651"/>
      <c r="R1279" s="651"/>
      <c r="S1279" s="651"/>
    </row>
    <row r="1280" spans="12:19" ht="15.75" customHeight="1" x14ac:dyDescent="0.35">
      <c r="L1280" s="2"/>
      <c r="M1280" s="2"/>
      <c r="N1280" s="650"/>
      <c r="O1280" s="650"/>
      <c r="P1280" s="651"/>
      <c r="Q1280" s="651"/>
      <c r="R1280" s="651"/>
      <c r="S1280" s="651"/>
    </row>
    <row r="1281" spans="12:19" ht="15.75" customHeight="1" x14ac:dyDescent="0.35">
      <c r="L1281" s="2"/>
      <c r="M1281" s="2"/>
      <c r="N1281" s="650"/>
      <c r="O1281" s="650"/>
      <c r="P1281" s="651"/>
      <c r="Q1281" s="651"/>
      <c r="R1281" s="651"/>
      <c r="S1281" s="651"/>
    </row>
    <row r="1282" spans="12:19" ht="15.75" customHeight="1" x14ac:dyDescent="0.35">
      <c r="L1282" s="2"/>
      <c r="M1282" s="2"/>
      <c r="N1282" s="650"/>
      <c r="O1282" s="650"/>
      <c r="P1282" s="651"/>
      <c r="Q1282" s="651"/>
      <c r="R1282" s="651"/>
      <c r="S1282" s="651"/>
    </row>
    <row r="1283" spans="12:19" ht="15.75" customHeight="1" x14ac:dyDescent="0.35">
      <c r="L1283" s="2"/>
      <c r="M1283" s="2"/>
      <c r="N1283" s="650"/>
      <c r="O1283" s="650"/>
      <c r="P1283" s="651"/>
      <c r="Q1283" s="651"/>
      <c r="R1283" s="651"/>
      <c r="S1283" s="651"/>
    </row>
    <row r="1284" spans="12:19" ht="15.75" customHeight="1" x14ac:dyDescent="0.35">
      <c r="L1284" s="2"/>
      <c r="M1284" s="2"/>
      <c r="N1284" s="650"/>
      <c r="O1284" s="650"/>
      <c r="P1284" s="651"/>
      <c r="Q1284" s="651"/>
      <c r="R1284" s="651"/>
      <c r="S1284" s="651"/>
    </row>
    <row r="1285" spans="12:19" ht="15.75" customHeight="1" x14ac:dyDescent="0.35">
      <c r="L1285" s="2"/>
      <c r="M1285" s="2"/>
      <c r="N1285" s="650"/>
      <c r="O1285" s="650"/>
      <c r="P1285" s="651"/>
      <c r="Q1285" s="651"/>
      <c r="R1285" s="651"/>
      <c r="S1285" s="651"/>
    </row>
    <row r="1286" spans="12:19" ht="15.75" customHeight="1" x14ac:dyDescent="0.35">
      <c r="L1286" s="2"/>
      <c r="M1286" s="2"/>
      <c r="N1286" s="650"/>
      <c r="O1286" s="650"/>
      <c r="P1286" s="651"/>
      <c r="Q1286" s="651"/>
      <c r="R1286" s="651"/>
      <c r="S1286" s="651"/>
    </row>
    <row r="1287" spans="12:19" ht="15.75" customHeight="1" x14ac:dyDescent="0.35">
      <c r="L1287" s="2"/>
      <c r="M1287" s="2"/>
      <c r="N1287" s="650"/>
      <c r="O1287" s="650"/>
      <c r="P1287" s="651"/>
      <c r="Q1287" s="651"/>
      <c r="R1287" s="651"/>
      <c r="S1287" s="651"/>
    </row>
    <row r="1288" spans="12:19" ht="15.75" customHeight="1" x14ac:dyDescent="0.35">
      <c r="L1288" s="2"/>
      <c r="M1288" s="2"/>
      <c r="N1288" s="650"/>
      <c r="O1288" s="650"/>
      <c r="P1288" s="651"/>
      <c r="Q1288" s="651"/>
      <c r="R1288" s="651"/>
      <c r="S1288" s="651"/>
    </row>
    <row r="1289" spans="12:19" ht="15.75" customHeight="1" x14ac:dyDescent="0.35">
      <c r="L1289" s="2"/>
      <c r="M1289" s="2"/>
      <c r="N1289" s="650"/>
      <c r="O1289" s="650"/>
      <c r="P1289" s="651"/>
      <c r="Q1289" s="651"/>
      <c r="R1289" s="651"/>
      <c r="S1289" s="651"/>
    </row>
    <row r="1290" spans="12:19" ht="15.75" customHeight="1" x14ac:dyDescent="0.35">
      <c r="L1290" s="2"/>
      <c r="M1290" s="2"/>
      <c r="N1290" s="650"/>
      <c r="O1290" s="650"/>
      <c r="P1290" s="651"/>
      <c r="Q1290" s="651"/>
      <c r="R1290" s="651"/>
      <c r="S1290" s="651"/>
    </row>
    <row r="1291" spans="12:19" ht="15.75" customHeight="1" x14ac:dyDescent="0.35">
      <c r="L1291" s="2"/>
      <c r="M1291" s="2"/>
      <c r="N1291" s="650"/>
      <c r="O1291" s="650"/>
      <c r="P1291" s="651"/>
      <c r="Q1291" s="651"/>
      <c r="R1291" s="651"/>
      <c r="S1291" s="651"/>
    </row>
    <row r="1292" spans="12:19" ht="15.75" customHeight="1" x14ac:dyDescent="0.35">
      <c r="L1292" s="2"/>
      <c r="M1292" s="2"/>
      <c r="N1292" s="650"/>
      <c r="O1292" s="650"/>
      <c r="P1292" s="651"/>
      <c r="Q1292" s="651"/>
      <c r="R1292" s="651"/>
      <c r="S1292" s="651"/>
    </row>
    <row r="1293" spans="12:19" ht="15.75" customHeight="1" x14ac:dyDescent="0.35">
      <c r="L1293" s="2"/>
      <c r="M1293" s="2"/>
      <c r="N1293" s="650"/>
      <c r="O1293" s="650"/>
      <c r="P1293" s="651"/>
      <c r="Q1293" s="651"/>
      <c r="R1293" s="651"/>
      <c r="S1293" s="651"/>
    </row>
    <row r="1294" spans="12:19" ht="15.75" customHeight="1" x14ac:dyDescent="0.35">
      <c r="L1294" s="2"/>
      <c r="M1294" s="2"/>
      <c r="N1294" s="650"/>
      <c r="O1294" s="650"/>
      <c r="P1294" s="651"/>
      <c r="Q1294" s="651"/>
      <c r="R1294" s="651"/>
      <c r="S1294" s="651"/>
    </row>
    <row r="1295" spans="12:19" ht="15.75" customHeight="1" x14ac:dyDescent="0.35">
      <c r="L1295" s="2"/>
      <c r="M1295" s="2"/>
      <c r="N1295" s="650"/>
      <c r="O1295" s="650"/>
      <c r="P1295" s="651"/>
      <c r="Q1295" s="651"/>
      <c r="R1295" s="651"/>
      <c r="S1295" s="651"/>
    </row>
    <row r="1296" spans="12:19" ht="15.75" customHeight="1" x14ac:dyDescent="0.35">
      <c r="L1296" s="2"/>
      <c r="M1296" s="2"/>
      <c r="N1296" s="650"/>
      <c r="O1296" s="650"/>
      <c r="P1296" s="651"/>
      <c r="Q1296" s="651"/>
      <c r="R1296" s="651"/>
      <c r="S1296" s="651"/>
    </row>
    <row r="1297" spans="12:19" ht="15.75" customHeight="1" x14ac:dyDescent="0.35">
      <c r="L1297" s="2"/>
      <c r="M1297" s="2"/>
      <c r="N1297" s="650"/>
      <c r="O1297" s="650"/>
      <c r="P1297" s="651"/>
      <c r="Q1297" s="651"/>
      <c r="R1297" s="651"/>
      <c r="S1297" s="651"/>
    </row>
    <row r="1298" spans="12:19" ht="15.75" customHeight="1" x14ac:dyDescent="0.35">
      <c r="L1298" s="2"/>
      <c r="M1298" s="2"/>
      <c r="N1298" s="650"/>
      <c r="O1298" s="650"/>
      <c r="P1298" s="651"/>
      <c r="Q1298" s="651"/>
      <c r="R1298" s="651"/>
      <c r="S1298" s="651"/>
    </row>
    <row r="1299" spans="12:19" ht="15.75" customHeight="1" x14ac:dyDescent="0.35">
      <c r="L1299" s="2"/>
      <c r="M1299" s="2"/>
      <c r="N1299" s="650"/>
      <c r="O1299" s="650"/>
      <c r="P1299" s="651"/>
      <c r="Q1299" s="651"/>
      <c r="R1299" s="651"/>
      <c r="S1299" s="651"/>
    </row>
    <row r="1300" spans="12:19" ht="15.75" customHeight="1" x14ac:dyDescent="0.35">
      <c r="L1300" s="2"/>
      <c r="M1300" s="2"/>
      <c r="N1300" s="650"/>
      <c r="O1300" s="650"/>
      <c r="P1300" s="651"/>
      <c r="Q1300" s="651"/>
      <c r="R1300" s="651"/>
      <c r="S1300" s="651"/>
    </row>
    <row r="1301" spans="12:19" ht="15.75" customHeight="1" x14ac:dyDescent="0.35">
      <c r="L1301" s="2"/>
      <c r="M1301" s="2"/>
      <c r="N1301" s="650"/>
      <c r="O1301" s="650"/>
      <c r="P1301" s="651"/>
      <c r="Q1301" s="651"/>
      <c r="R1301" s="651"/>
      <c r="S1301" s="651"/>
    </row>
    <row r="1302" spans="12:19" ht="15.75" customHeight="1" x14ac:dyDescent="0.35">
      <c r="L1302" s="2"/>
      <c r="M1302" s="2"/>
      <c r="N1302" s="650"/>
      <c r="O1302" s="650"/>
      <c r="P1302" s="651"/>
      <c r="Q1302" s="651"/>
      <c r="R1302" s="651"/>
      <c r="S1302" s="651"/>
    </row>
    <row r="1303" spans="12:19" ht="15.75" customHeight="1" x14ac:dyDescent="0.35">
      <c r="L1303" s="2"/>
      <c r="M1303" s="2"/>
      <c r="N1303" s="650"/>
      <c r="O1303" s="650"/>
      <c r="P1303" s="651"/>
      <c r="Q1303" s="651"/>
      <c r="R1303" s="651"/>
      <c r="S1303" s="651"/>
    </row>
    <row r="1304" spans="12:19" ht="15.75" customHeight="1" x14ac:dyDescent="0.35">
      <c r="L1304" s="2"/>
      <c r="M1304" s="2"/>
      <c r="N1304" s="650"/>
      <c r="O1304" s="650"/>
      <c r="P1304" s="651"/>
      <c r="Q1304" s="651"/>
      <c r="R1304" s="651"/>
      <c r="S1304" s="651"/>
    </row>
    <row r="1305" spans="12:19" ht="15.75" customHeight="1" x14ac:dyDescent="0.35">
      <c r="L1305" s="2"/>
      <c r="M1305" s="2"/>
      <c r="N1305" s="650"/>
      <c r="O1305" s="650"/>
      <c r="P1305" s="651"/>
      <c r="Q1305" s="651"/>
      <c r="R1305" s="651"/>
      <c r="S1305" s="651"/>
    </row>
    <row r="1306" spans="12:19" ht="15.75" customHeight="1" x14ac:dyDescent="0.35">
      <c r="L1306" s="2"/>
      <c r="M1306" s="2"/>
      <c r="N1306" s="650"/>
      <c r="O1306" s="650"/>
      <c r="P1306" s="651"/>
      <c r="Q1306" s="651"/>
      <c r="R1306" s="651"/>
      <c r="S1306" s="651"/>
    </row>
    <row r="1307" spans="12:19" ht="15.75" customHeight="1" x14ac:dyDescent="0.35">
      <c r="L1307" s="2"/>
      <c r="M1307" s="2"/>
      <c r="N1307" s="650"/>
      <c r="O1307" s="650"/>
      <c r="P1307" s="651"/>
      <c r="Q1307" s="651"/>
      <c r="R1307" s="651"/>
      <c r="S1307" s="651"/>
    </row>
    <row r="1308" spans="12:19" ht="15.75" customHeight="1" x14ac:dyDescent="0.35">
      <c r="L1308" s="2"/>
      <c r="M1308" s="2"/>
      <c r="N1308" s="650"/>
      <c r="O1308" s="650"/>
      <c r="P1308" s="651"/>
      <c r="Q1308" s="651"/>
      <c r="R1308" s="651"/>
      <c r="S1308" s="651"/>
    </row>
    <row r="1309" spans="12:19" ht="15.75" customHeight="1" x14ac:dyDescent="0.35">
      <c r="L1309" s="2"/>
      <c r="M1309" s="2"/>
      <c r="N1309" s="650"/>
      <c r="O1309" s="650"/>
      <c r="P1309" s="651"/>
      <c r="Q1309" s="651"/>
      <c r="R1309" s="651"/>
      <c r="S1309" s="651"/>
    </row>
    <row r="1310" spans="12:19" ht="15.75" customHeight="1" x14ac:dyDescent="0.35">
      <c r="L1310" s="2"/>
      <c r="M1310" s="2"/>
      <c r="N1310" s="650"/>
      <c r="O1310" s="650"/>
      <c r="P1310" s="651"/>
      <c r="Q1310" s="651"/>
      <c r="R1310" s="651"/>
      <c r="S1310" s="651"/>
    </row>
    <row r="1311" spans="12:19" ht="15.75" customHeight="1" x14ac:dyDescent="0.35">
      <c r="L1311" s="2"/>
      <c r="M1311" s="2"/>
      <c r="N1311" s="650"/>
      <c r="O1311" s="650"/>
      <c r="P1311" s="651"/>
      <c r="Q1311" s="651"/>
      <c r="R1311" s="651"/>
      <c r="S1311" s="651"/>
    </row>
    <row r="1312" spans="12:19" ht="15.75" customHeight="1" x14ac:dyDescent="0.35">
      <c r="L1312" s="2"/>
      <c r="M1312" s="2"/>
      <c r="N1312" s="650"/>
      <c r="O1312" s="650"/>
      <c r="P1312" s="651"/>
      <c r="Q1312" s="651"/>
      <c r="R1312" s="651"/>
      <c r="S1312" s="651"/>
    </row>
    <row r="1313" spans="12:19" ht="15.75" customHeight="1" x14ac:dyDescent="0.35">
      <c r="L1313" s="2"/>
      <c r="M1313" s="2"/>
      <c r="N1313" s="650"/>
      <c r="O1313" s="650"/>
      <c r="P1313" s="651"/>
      <c r="Q1313" s="651"/>
      <c r="R1313" s="651"/>
      <c r="S1313" s="651"/>
    </row>
    <row r="1314" spans="12:19" ht="15.75" customHeight="1" x14ac:dyDescent="0.35">
      <c r="L1314" s="2"/>
      <c r="M1314" s="2"/>
      <c r="N1314" s="650"/>
      <c r="O1314" s="650"/>
      <c r="P1314" s="651"/>
      <c r="Q1314" s="651"/>
      <c r="R1314" s="651"/>
      <c r="S1314" s="651"/>
    </row>
    <row r="1315" spans="12:19" ht="15.75" customHeight="1" x14ac:dyDescent="0.35">
      <c r="L1315" s="2"/>
      <c r="M1315" s="2"/>
      <c r="N1315" s="650"/>
      <c r="O1315" s="650"/>
      <c r="P1315" s="651"/>
      <c r="Q1315" s="651"/>
      <c r="R1315" s="651"/>
      <c r="S1315" s="651"/>
    </row>
    <row r="1316" spans="12:19" ht="15.75" customHeight="1" x14ac:dyDescent="0.35">
      <c r="L1316" s="2"/>
      <c r="M1316" s="2"/>
      <c r="N1316" s="650"/>
      <c r="O1316" s="650"/>
      <c r="P1316" s="651"/>
      <c r="Q1316" s="651"/>
      <c r="R1316" s="651"/>
      <c r="S1316" s="651"/>
    </row>
    <row r="1317" spans="12:19" ht="15.75" customHeight="1" x14ac:dyDescent="0.35">
      <c r="L1317" s="2"/>
      <c r="M1317" s="2"/>
      <c r="N1317" s="650"/>
      <c r="O1317" s="650"/>
      <c r="P1317" s="651"/>
      <c r="Q1317" s="651"/>
      <c r="R1317" s="651"/>
      <c r="S1317" s="651"/>
    </row>
    <row r="1318" spans="12:19" ht="15.75" customHeight="1" x14ac:dyDescent="0.35">
      <c r="L1318" s="2"/>
      <c r="M1318" s="2"/>
      <c r="N1318" s="650"/>
      <c r="O1318" s="650"/>
      <c r="P1318" s="651"/>
      <c r="Q1318" s="651"/>
      <c r="R1318" s="651"/>
      <c r="S1318" s="651"/>
    </row>
    <row r="1319" spans="12:19" ht="15.75" customHeight="1" x14ac:dyDescent="0.35">
      <c r="L1319" s="2"/>
      <c r="M1319" s="2"/>
      <c r="N1319" s="650"/>
      <c r="O1319" s="650"/>
      <c r="P1319" s="651"/>
      <c r="Q1319" s="651"/>
      <c r="R1319" s="651"/>
      <c r="S1319" s="651"/>
    </row>
    <row r="1320" spans="12:19" ht="15.75" customHeight="1" x14ac:dyDescent="0.35">
      <c r="L1320" s="2"/>
      <c r="M1320" s="2"/>
      <c r="N1320" s="650"/>
      <c r="O1320" s="650"/>
      <c r="P1320" s="651"/>
      <c r="Q1320" s="651"/>
      <c r="R1320" s="651"/>
      <c r="S1320" s="651"/>
    </row>
    <row r="1321" spans="12:19" ht="15.75" customHeight="1" x14ac:dyDescent="0.35">
      <c r="L1321" s="2"/>
      <c r="M1321" s="2"/>
      <c r="N1321" s="650"/>
      <c r="O1321" s="650"/>
      <c r="P1321" s="651"/>
      <c r="Q1321" s="651"/>
      <c r="R1321" s="651"/>
      <c r="S1321" s="651"/>
    </row>
    <row r="1322" spans="12:19" ht="15.75" customHeight="1" x14ac:dyDescent="0.35">
      <c r="L1322" s="2"/>
      <c r="M1322" s="2"/>
      <c r="N1322" s="650"/>
      <c r="O1322" s="650"/>
      <c r="P1322" s="651"/>
      <c r="Q1322" s="651"/>
      <c r="R1322" s="651"/>
      <c r="S1322" s="651"/>
    </row>
    <row r="1323" spans="12:19" ht="15.75" customHeight="1" x14ac:dyDescent="0.35">
      <c r="L1323" s="2"/>
      <c r="M1323" s="2"/>
      <c r="N1323" s="650"/>
      <c r="O1323" s="650"/>
      <c r="P1323" s="651"/>
      <c r="Q1323" s="651"/>
      <c r="R1323" s="651"/>
      <c r="S1323" s="651"/>
    </row>
    <row r="1324" spans="12:19" ht="15.75" customHeight="1" x14ac:dyDescent="0.35">
      <c r="L1324" s="2"/>
      <c r="M1324" s="2"/>
      <c r="N1324" s="650"/>
      <c r="O1324" s="650"/>
      <c r="P1324" s="651"/>
      <c r="Q1324" s="651"/>
      <c r="R1324" s="651"/>
      <c r="S1324" s="651"/>
    </row>
    <row r="1325" spans="12:19" ht="15.75" customHeight="1" x14ac:dyDescent="0.35">
      <c r="L1325" s="2"/>
      <c r="M1325" s="2"/>
      <c r="N1325" s="650"/>
      <c r="O1325" s="650"/>
      <c r="P1325" s="651"/>
      <c r="Q1325" s="651"/>
      <c r="R1325" s="651"/>
      <c r="S1325" s="651"/>
    </row>
    <row r="1326" spans="12:19" ht="15.75" customHeight="1" x14ac:dyDescent="0.35">
      <c r="L1326" s="2"/>
      <c r="M1326" s="2"/>
      <c r="N1326" s="650"/>
      <c r="O1326" s="650"/>
      <c r="P1326" s="651"/>
      <c r="Q1326" s="651"/>
      <c r="R1326" s="651"/>
      <c r="S1326" s="651"/>
    </row>
    <row r="1327" spans="12:19" ht="15.75" customHeight="1" x14ac:dyDescent="0.35">
      <c r="L1327" s="2"/>
      <c r="M1327" s="2"/>
      <c r="N1327" s="650"/>
      <c r="O1327" s="650"/>
      <c r="P1327" s="651"/>
      <c r="Q1327" s="651"/>
      <c r="R1327" s="651"/>
      <c r="S1327" s="651"/>
    </row>
    <row r="1328" spans="12:19" ht="15.75" customHeight="1" x14ac:dyDescent="0.35">
      <c r="L1328" s="2"/>
      <c r="M1328" s="2"/>
      <c r="N1328" s="650"/>
      <c r="O1328" s="650"/>
      <c r="P1328" s="651"/>
      <c r="Q1328" s="651"/>
      <c r="R1328" s="651"/>
      <c r="S1328" s="651"/>
    </row>
    <row r="1329" spans="12:19" ht="15.75" customHeight="1" x14ac:dyDescent="0.35">
      <c r="L1329" s="2"/>
      <c r="M1329" s="2"/>
      <c r="N1329" s="650"/>
      <c r="O1329" s="650"/>
      <c r="P1329" s="651"/>
      <c r="Q1329" s="651"/>
      <c r="R1329" s="651"/>
      <c r="S1329" s="651"/>
    </row>
    <row r="1330" spans="12:19" ht="15.75" customHeight="1" x14ac:dyDescent="0.35">
      <c r="L1330" s="2"/>
      <c r="M1330" s="2"/>
      <c r="N1330" s="650"/>
      <c r="O1330" s="650"/>
      <c r="P1330" s="651"/>
      <c r="Q1330" s="651"/>
      <c r="R1330" s="651"/>
      <c r="S1330" s="651"/>
    </row>
    <row r="1331" spans="12:19" ht="15.75" customHeight="1" x14ac:dyDescent="0.35">
      <c r="L1331" s="2"/>
      <c r="M1331" s="2"/>
      <c r="N1331" s="650"/>
      <c r="O1331" s="650"/>
      <c r="P1331" s="651"/>
      <c r="Q1331" s="651"/>
      <c r="R1331" s="651"/>
      <c r="S1331" s="651"/>
    </row>
    <row r="1332" spans="12:19" ht="15.75" customHeight="1" x14ac:dyDescent="0.35">
      <c r="L1332" s="2"/>
      <c r="M1332" s="2"/>
      <c r="N1332" s="650"/>
      <c r="O1332" s="650"/>
      <c r="P1332" s="651"/>
      <c r="Q1332" s="651"/>
      <c r="R1332" s="651"/>
      <c r="S1332" s="651"/>
    </row>
    <row r="1333" spans="12:19" ht="15.75" customHeight="1" x14ac:dyDescent="0.35">
      <c r="L1333" s="2"/>
      <c r="M1333" s="2"/>
      <c r="N1333" s="650"/>
      <c r="O1333" s="650"/>
      <c r="P1333" s="651"/>
      <c r="Q1333" s="651"/>
      <c r="R1333" s="651"/>
      <c r="S1333" s="651"/>
    </row>
    <row r="1334" spans="12:19" ht="15.75" customHeight="1" x14ac:dyDescent="0.35">
      <c r="L1334" s="2"/>
      <c r="M1334" s="2"/>
      <c r="N1334" s="650"/>
      <c r="O1334" s="650"/>
      <c r="P1334" s="651"/>
      <c r="Q1334" s="651"/>
      <c r="R1334" s="651"/>
      <c r="S1334" s="651"/>
    </row>
    <row r="1335" spans="12:19" ht="15.75" customHeight="1" x14ac:dyDescent="0.35">
      <c r="L1335" s="2"/>
      <c r="M1335" s="2"/>
      <c r="N1335" s="650"/>
      <c r="O1335" s="650"/>
      <c r="P1335" s="651"/>
      <c r="Q1335" s="651"/>
      <c r="R1335" s="651"/>
      <c r="S1335" s="651"/>
    </row>
    <row r="1336" spans="12:19" ht="15.75" customHeight="1" x14ac:dyDescent="0.35">
      <c r="L1336" s="2"/>
      <c r="M1336" s="2"/>
      <c r="N1336" s="650"/>
      <c r="O1336" s="650"/>
      <c r="P1336" s="651"/>
      <c r="Q1336" s="651"/>
      <c r="R1336" s="651"/>
      <c r="S1336" s="651"/>
    </row>
    <row r="1337" spans="12:19" ht="15.75" customHeight="1" x14ac:dyDescent="0.35">
      <c r="L1337" s="2"/>
      <c r="M1337" s="2"/>
      <c r="N1337" s="650"/>
      <c r="O1337" s="650"/>
      <c r="P1337" s="651"/>
      <c r="Q1337" s="651"/>
      <c r="R1337" s="651"/>
      <c r="S1337" s="651"/>
    </row>
    <row r="1338" spans="12:19" ht="15.75" customHeight="1" x14ac:dyDescent="0.35">
      <c r="L1338" s="2"/>
      <c r="M1338" s="2"/>
      <c r="N1338" s="650"/>
      <c r="O1338" s="650"/>
      <c r="P1338" s="651"/>
      <c r="Q1338" s="651"/>
      <c r="R1338" s="651"/>
      <c r="S1338" s="651"/>
    </row>
    <row r="1339" spans="12:19" ht="15.75" customHeight="1" x14ac:dyDescent="0.35">
      <c r="L1339" s="2"/>
      <c r="M1339" s="2"/>
      <c r="N1339" s="650"/>
      <c r="O1339" s="650"/>
      <c r="P1339" s="651"/>
      <c r="Q1339" s="651"/>
      <c r="R1339" s="651"/>
      <c r="S1339" s="651"/>
    </row>
    <row r="1340" spans="12:19" ht="15.75" customHeight="1" x14ac:dyDescent="0.35">
      <c r="L1340" s="2"/>
      <c r="M1340" s="2"/>
      <c r="N1340" s="650"/>
      <c r="O1340" s="650"/>
      <c r="P1340" s="651"/>
      <c r="Q1340" s="651"/>
      <c r="R1340" s="651"/>
      <c r="S1340" s="651"/>
    </row>
    <row r="1341" spans="12:19" ht="15.75" customHeight="1" x14ac:dyDescent="0.35">
      <c r="L1341" s="2"/>
      <c r="M1341" s="2"/>
      <c r="N1341" s="650"/>
      <c r="O1341" s="650"/>
      <c r="P1341" s="651"/>
      <c r="Q1341" s="651"/>
      <c r="R1341" s="651"/>
      <c r="S1341" s="651"/>
    </row>
    <row r="1342" spans="12:19" ht="15.75" customHeight="1" x14ac:dyDescent="0.35">
      <c r="L1342" s="2"/>
      <c r="M1342" s="2"/>
      <c r="N1342" s="650"/>
      <c r="O1342" s="650"/>
      <c r="P1342" s="651"/>
      <c r="Q1342" s="651"/>
      <c r="R1342" s="651"/>
      <c r="S1342" s="651"/>
    </row>
    <row r="1343" spans="12:19" ht="15.75" customHeight="1" x14ac:dyDescent="0.35">
      <c r="L1343" s="2"/>
      <c r="M1343" s="2"/>
      <c r="N1343" s="650"/>
      <c r="O1343" s="650"/>
      <c r="P1343" s="651"/>
      <c r="Q1343" s="651"/>
      <c r="R1343" s="651"/>
      <c r="S1343" s="651"/>
    </row>
    <row r="1344" spans="12:19" ht="15.75" customHeight="1" x14ac:dyDescent="0.35">
      <c r="L1344" s="2"/>
      <c r="M1344" s="2"/>
      <c r="N1344" s="650"/>
      <c r="O1344" s="650"/>
      <c r="P1344" s="651"/>
      <c r="Q1344" s="651"/>
      <c r="R1344" s="651"/>
      <c r="S1344" s="651"/>
    </row>
    <row r="1345" spans="12:19" ht="15.75" customHeight="1" x14ac:dyDescent="0.35">
      <c r="L1345" s="2"/>
      <c r="M1345" s="2"/>
      <c r="N1345" s="650"/>
      <c r="O1345" s="650"/>
      <c r="P1345" s="651"/>
      <c r="Q1345" s="651"/>
      <c r="R1345" s="651"/>
      <c r="S1345" s="651"/>
    </row>
    <row r="1346" spans="12:19" ht="15.75" customHeight="1" x14ac:dyDescent="0.35">
      <c r="L1346" s="2"/>
      <c r="M1346" s="2"/>
      <c r="N1346" s="650"/>
      <c r="O1346" s="650"/>
      <c r="P1346" s="651"/>
      <c r="Q1346" s="651"/>
      <c r="R1346" s="651"/>
      <c r="S1346" s="651"/>
    </row>
    <row r="1347" spans="12:19" ht="15.75" customHeight="1" x14ac:dyDescent="0.35">
      <c r="L1347" s="2"/>
      <c r="M1347" s="2"/>
      <c r="N1347" s="650"/>
      <c r="O1347" s="650"/>
      <c r="P1347" s="651"/>
      <c r="Q1347" s="651"/>
      <c r="R1347" s="651"/>
      <c r="S1347" s="651"/>
    </row>
    <row r="1348" spans="12:19" ht="15.75" customHeight="1" x14ac:dyDescent="0.35">
      <c r="L1348" s="2"/>
      <c r="M1348" s="2"/>
      <c r="N1348" s="650"/>
      <c r="O1348" s="650"/>
      <c r="P1348" s="651"/>
      <c r="Q1348" s="651"/>
      <c r="R1348" s="651"/>
      <c r="S1348" s="651"/>
    </row>
    <row r="1349" spans="12:19" ht="15.75" customHeight="1" x14ac:dyDescent="0.35">
      <c r="L1349" s="2"/>
      <c r="M1349" s="2"/>
      <c r="N1349" s="650"/>
      <c r="O1349" s="650"/>
      <c r="P1349" s="651"/>
      <c r="Q1349" s="651"/>
      <c r="R1349" s="651"/>
      <c r="S1349" s="651"/>
    </row>
    <row r="1350" spans="12:19" ht="15.75" customHeight="1" x14ac:dyDescent="0.35">
      <c r="L1350" s="2"/>
      <c r="M1350" s="2"/>
      <c r="N1350" s="650"/>
      <c r="O1350" s="650"/>
      <c r="P1350" s="651"/>
      <c r="Q1350" s="651"/>
      <c r="R1350" s="651"/>
      <c r="S1350" s="651"/>
    </row>
    <row r="1351" spans="12:19" ht="15.75" customHeight="1" x14ac:dyDescent="0.35">
      <c r="L1351" s="2"/>
      <c r="M1351" s="2"/>
      <c r="N1351" s="650"/>
      <c r="O1351" s="650"/>
      <c r="P1351" s="651"/>
      <c r="Q1351" s="651"/>
      <c r="R1351" s="651"/>
      <c r="S1351" s="651"/>
    </row>
    <row r="1352" spans="12:19" ht="15.75" customHeight="1" x14ac:dyDescent="0.35">
      <c r="L1352" s="2"/>
      <c r="M1352" s="2"/>
      <c r="N1352" s="650"/>
      <c r="O1352" s="650"/>
      <c r="P1352" s="651"/>
      <c r="Q1352" s="651"/>
      <c r="R1352" s="651"/>
      <c r="S1352" s="651"/>
    </row>
    <row r="1353" spans="12:19" ht="15.75" customHeight="1" x14ac:dyDescent="0.35">
      <c r="L1353" s="2"/>
      <c r="M1353" s="2"/>
      <c r="N1353" s="650"/>
      <c r="O1353" s="650"/>
      <c r="P1353" s="651"/>
      <c r="Q1353" s="651"/>
      <c r="R1353" s="651"/>
      <c r="S1353" s="651"/>
    </row>
    <row r="1354" spans="12:19" ht="15.75" customHeight="1" x14ac:dyDescent="0.35">
      <c r="L1354" s="2"/>
      <c r="M1354" s="2"/>
      <c r="N1354" s="650"/>
      <c r="O1354" s="650"/>
      <c r="P1354" s="651"/>
      <c r="Q1354" s="651"/>
      <c r="R1354" s="651"/>
      <c r="S1354" s="651"/>
    </row>
    <row r="1355" spans="12:19" ht="15.75" customHeight="1" x14ac:dyDescent="0.35">
      <c r="L1355" s="2"/>
      <c r="M1355" s="2"/>
      <c r="N1355" s="650"/>
      <c r="O1355" s="650"/>
      <c r="P1355" s="651"/>
      <c r="Q1355" s="651"/>
      <c r="R1355" s="651"/>
      <c r="S1355" s="651"/>
    </row>
    <row r="1356" spans="12:19" ht="15.75" customHeight="1" x14ac:dyDescent="0.35">
      <c r="L1356" s="2"/>
      <c r="M1356" s="2"/>
      <c r="N1356" s="650"/>
      <c r="O1356" s="650"/>
      <c r="P1356" s="651"/>
      <c r="Q1356" s="651"/>
      <c r="R1356" s="651"/>
      <c r="S1356" s="651"/>
    </row>
    <row r="1357" spans="12:19" ht="15.75" customHeight="1" x14ac:dyDescent="0.35">
      <c r="L1357" s="2"/>
      <c r="M1357" s="2"/>
      <c r="N1357" s="650"/>
      <c r="O1357" s="650"/>
      <c r="P1357" s="651"/>
      <c r="Q1357" s="651"/>
      <c r="R1357" s="651"/>
      <c r="S1357" s="651"/>
    </row>
    <row r="1358" spans="12:19" ht="15.75" customHeight="1" x14ac:dyDescent="0.35">
      <c r="L1358" s="2"/>
      <c r="M1358" s="2"/>
      <c r="N1358" s="650"/>
      <c r="O1358" s="650"/>
      <c r="P1358" s="651"/>
      <c r="Q1358" s="651"/>
      <c r="R1358" s="651"/>
      <c r="S1358" s="651"/>
    </row>
    <row r="1359" spans="12:19" ht="15.75" customHeight="1" x14ac:dyDescent="0.35">
      <c r="L1359" s="2"/>
      <c r="M1359" s="2"/>
      <c r="N1359" s="650"/>
      <c r="O1359" s="650"/>
      <c r="P1359" s="651"/>
      <c r="Q1359" s="651"/>
      <c r="R1359" s="651"/>
      <c r="S1359" s="651"/>
    </row>
    <row r="1360" spans="12:19" ht="15.75" customHeight="1" x14ac:dyDescent="0.35">
      <c r="L1360" s="2"/>
      <c r="M1360" s="2"/>
      <c r="N1360" s="650"/>
      <c r="O1360" s="650"/>
      <c r="P1360" s="651"/>
      <c r="Q1360" s="651"/>
      <c r="R1360" s="651"/>
      <c r="S1360" s="651"/>
    </row>
    <row r="1361" spans="12:19" ht="15.75" customHeight="1" x14ac:dyDescent="0.35">
      <c r="L1361" s="2"/>
      <c r="M1361" s="2"/>
      <c r="N1361" s="650"/>
      <c r="O1361" s="650"/>
      <c r="P1361" s="651"/>
      <c r="Q1361" s="651"/>
      <c r="R1361" s="651"/>
      <c r="S1361" s="651"/>
    </row>
    <row r="1362" spans="12:19" ht="15.75" customHeight="1" x14ac:dyDescent="0.35">
      <c r="L1362" s="2"/>
      <c r="M1362" s="2"/>
      <c r="N1362" s="650"/>
      <c r="O1362" s="650"/>
      <c r="P1362" s="651"/>
      <c r="Q1362" s="651"/>
      <c r="R1362" s="651"/>
      <c r="S1362" s="651"/>
    </row>
    <row r="1363" spans="12:19" ht="15.75" customHeight="1" x14ac:dyDescent="0.35">
      <c r="L1363" s="2"/>
      <c r="M1363" s="2"/>
      <c r="N1363" s="650"/>
      <c r="O1363" s="650"/>
      <c r="P1363" s="651"/>
      <c r="Q1363" s="651"/>
      <c r="R1363" s="651"/>
      <c r="S1363" s="651"/>
    </row>
    <row r="1364" spans="12:19" ht="15.75" customHeight="1" x14ac:dyDescent="0.35">
      <c r="L1364" s="2"/>
      <c r="M1364" s="2"/>
      <c r="N1364" s="650"/>
      <c r="O1364" s="650"/>
      <c r="P1364" s="651"/>
      <c r="Q1364" s="651"/>
      <c r="R1364" s="651"/>
      <c r="S1364" s="651"/>
    </row>
    <row r="1365" spans="12:19" ht="15.75" customHeight="1" x14ac:dyDescent="0.35">
      <c r="L1365" s="2"/>
      <c r="M1365" s="2"/>
      <c r="N1365" s="650"/>
      <c r="O1365" s="650"/>
      <c r="P1365" s="651"/>
      <c r="Q1365" s="651"/>
      <c r="R1365" s="651"/>
      <c r="S1365" s="651"/>
    </row>
    <row r="1366" spans="12:19" ht="15.75" customHeight="1" x14ac:dyDescent="0.35">
      <c r="L1366" s="2"/>
      <c r="M1366" s="2"/>
      <c r="N1366" s="650"/>
      <c r="O1366" s="650"/>
      <c r="P1366" s="651"/>
      <c r="Q1366" s="651"/>
      <c r="R1366" s="651"/>
      <c r="S1366" s="651"/>
    </row>
    <row r="1367" spans="12:19" ht="15.75" customHeight="1" x14ac:dyDescent="0.35">
      <c r="L1367" s="2"/>
      <c r="M1367" s="2"/>
      <c r="N1367" s="650"/>
      <c r="O1367" s="650"/>
      <c r="P1367" s="651"/>
      <c r="Q1367" s="651"/>
      <c r="R1367" s="651"/>
      <c r="S1367" s="651"/>
    </row>
    <row r="1368" spans="12:19" ht="15.75" customHeight="1" x14ac:dyDescent="0.35">
      <c r="L1368" s="2"/>
      <c r="M1368" s="2"/>
      <c r="N1368" s="650"/>
      <c r="O1368" s="650"/>
      <c r="P1368" s="651"/>
      <c r="Q1368" s="651"/>
      <c r="R1368" s="651"/>
      <c r="S1368" s="651"/>
    </row>
    <row r="1369" spans="12:19" ht="15.75" customHeight="1" x14ac:dyDescent="0.35">
      <c r="L1369" s="2"/>
      <c r="M1369" s="2"/>
      <c r="N1369" s="650"/>
      <c r="O1369" s="650"/>
      <c r="P1369" s="651"/>
      <c r="Q1369" s="651"/>
      <c r="R1369" s="651"/>
      <c r="S1369" s="651"/>
    </row>
    <row r="1370" spans="12:19" ht="15.75" customHeight="1" x14ac:dyDescent="0.35">
      <c r="L1370" s="2"/>
      <c r="M1370" s="2"/>
      <c r="N1370" s="650"/>
      <c r="O1370" s="650"/>
      <c r="P1370" s="651"/>
      <c r="Q1370" s="651"/>
      <c r="R1370" s="651"/>
      <c r="S1370" s="651"/>
    </row>
    <row r="1371" spans="12:19" ht="15.75" customHeight="1" x14ac:dyDescent="0.35">
      <c r="L1371" s="2"/>
      <c r="M1371" s="2"/>
      <c r="N1371" s="650"/>
      <c r="O1371" s="650"/>
      <c r="P1371" s="651"/>
      <c r="Q1371" s="651"/>
      <c r="R1371" s="651"/>
      <c r="S1371" s="651"/>
    </row>
    <row r="1372" spans="12:19" ht="15.75" customHeight="1" x14ac:dyDescent="0.35">
      <c r="L1372" s="2"/>
      <c r="M1372" s="2"/>
      <c r="N1372" s="650"/>
      <c r="O1372" s="650"/>
      <c r="P1372" s="651"/>
      <c r="Q1372" s="651"/>
      <c r="R1372" s="651"/>
      <c r="S1372" s="651"/>
    </row>
    <row r="1373" spans="12:19" ht="15.75" customHeight="1" x14ac:dyDescent="0.35">
      <c r="L1373" s="2"/>
      <c r="M1373" s="2"/>
      <c r="N1373" s="650"/>
      <c r="O1373" s="650"/>
      <c r="P1373" s="651"/>
      <c r="Q1373" s="651"/>
      <c r="R1373" s="651"/>
      <c r="S1373" s="651"/>
    </row>
    <row r="1374" spans="12:19" ht="15.75" customHeight="1" x14ac:dyDescent="0.35">
      <c r="L1374" s="2"/>
      <c r="M1374" s="2"/>
      <c r="N1374" s="650"/>
      <c r="O1374" s="650"/>
      <c r="P1374" s="651"/>
      <c r="Q1374" s="651"/>
      <c r="R1374" s="651"/>
      <c r="S1374" s="651"/>
    </row>
    <row r="1375" spans="12:19" ht="15.75" customHeight="1" x14ac:dyDescent="0.35">
      <c r="L1375" s="2"/>
      <c r="M1375" s="2"/>
      <c r="N1375" s="650"/>
      <c r="O1375" s="650"/>
      <c r="P1375" s="651"/>
      <c r="Q1375" s="651"/>
      <c r="R1375" s="651"/>
      <c r="S1375" s="651"/>
    </row>
    <row r="1376" spans="12:19" ht="15.75" customHeight="1" x14ac:dyDescent="0.35">
      <c r="L1376" s="2"/>
      <c r="M1376" s="2"/>
      <c r="N1376" s="650"/>
      <c r="O1376" s="650"/>
      <c r="P1376" s="651"/>
      <c r="Q1376" s="651"/>
      <c r="R1376" s="651"/>
      <c r="S1376" s="651"/>
    </row>
    <row r="1377" spans="12:19" ht="15.75" customHeight="1" x14ac:dyDescent="0.35">
      <c r="L1377" s="2"/>
      <c r="M1377" s="2"/>
      <c r="N1377" s="650"/>
      <c r="O1377" s="650"/>
      <c r="P1377" s="651"/>
      <c r="Q1377" s="651"/>
      <c r="R1377" s="651"/>
      <c r="S1377" s="651"/>
    </row>
    <row r="1378" spans="12:19" ht="15.75" customHeight="1" x14ac:dyDescent="0.35">
      <c r="L1378" s="2"/>
      <c r="M1378" s="2"/>
      <c r="N1378" s="650"/>
      <c r="O1378" s="650"/>
      <c r="P1378" s="651"/>
      <c r="Q1378" s="651"/>
      <c r="R1378" s="651"/>
      <c r="S1378" s="651"/>
    </row>
    <row r="1379" spans="12:19" ht="15.75" customHeight="1" x14ac:dyDescent="0.35">
      <c r="L1379" s="2"/>
      <c r="M1379" s="2"/>
      <c r="N1379" s="650"/>
      <c r="O1379" s="650"/>
      <c r="P1379" s="651"/>
      <c r="Q1379" s="651"/>
      <c r="R1379" s="651"/>
      <c r="S1379" s="651"/>
    </row>
    <row r="1380" spans="12:19" ht="15.75" customHeight="1" x14ac:dyDescent="0.35">
      <c r="L1380" s="2"/>
      <c r="M1380" s="2"/>
      <c r="N1380" s="650"/>
      <c r="O1380" s="650"/>
      <c r="P1380" s="651"/>
      <c r="Q1380" s="651"/>
      <c r="R1380" s="651"/>
      <c r="S1380" s="651"/>
    </row>
    <row r="1381" spans="12:19" ht="15.75" customHeight="1" x14ac:dyDescent="0.35">
      <c r="L1381" s="2"/>
      <c r="M1381" s="2"/>
      <c r="N1381" s="650"/>
      <c r="O1381" s="650"/>
      <c r="P1381" s="651"/>
      <c r="Q1381" s="651"/>
      <c r="R1381" s="651"/>
      <c r="S1381" s="651"/>
    </row>
    <row r="1382" spans="12:19" ht="15.75" customHeight="1" x14ac:dyDescent="0.35">
      <c r="L1382" s="2"/>
      <c r="M1382" s="2"/>
      <c r="N1382" s="650"/>
      <c r="O1382" s="650"/>
      <c r="P1382" s="651"/>
      <c r="Q1382" s="651"/>
      <c r="R1382" s="651"/>
      <c r="S1382" s="651"/>
    </row>
    <row r="1383" spans="12:19" ht="15.75" customHeight="1" x14ac:dyDescent="0.35">
      <c r="L1383" s="2"/>
      <c r="M1383" s="2"/>
      <c r="N1383" s="650"/>
      <c r="O1383" s="650"/>
      <c r="P1383" s="651"/>
      <c r="Q1383" s="651"/>
      <c r="R1383" s="651"/>
      <c r="S1383" s="651"/>
    </row>
    <row r="1384" spans="12:19" ht="15.75" customHeight="1" x14ac:dyDescent="0.35">
      <c r="L1384" s="2"/>
      <c r="M1384" s="2"/>
      <c r="N1384" s="650"/>
      <c r="O1384" s="650"/>
      <c r="P1384" s="651"/>
      <c r="Q1384" s="651"/>
      <c r="R1384" s="651"/>
      <c r="S1384" s="651"/>
    </row>
    <row r="1385" spans="12:19" ht="15.75" customHeight="1" x14ac:dyDescent="0.35">
      <c r="L1385" s="2"/>
      <c r="M1385" s="2"/>
      <c r="N1385" s="650"/>
      <c r="O1385" s="650"/>
      <c r="P1385" s="651"/>
      <c r="Q1385" s="651"/>
      <c r="R1385" s="651"/>
      <c r="S1385" s="651"/>
    </row>
    <row r="1386" spans="12:19" ht="15.75" customHeight="1" x14ac:dyDescent="0.35">
      <c r="L1386" s="2"/>
      <c r="M1386" s="2"/>
      <c r="N1386" s="650"/>
      <c r="O1386" s="650"/>
      <c r="P1386" s="651"/>
      <c r="Q1386" s="651"/>
      <c r="R1386" s="651"/>
      <c r="S1386" s="651"/>
    </row>
    <row r="1387" spans="12:19" ht="15.75" customHeight="1" x14ac:dyDescent="0.35">
      <c r="L1387" s="2"/>
      <c r="M1387" s="2"/>
      <c r="N1387" s="650"/>
      <c r="O1387" s="650"/>
      <c r="P1387" s="651"/>
      <c r="Q1387" s="651"/>
      <c r="R1387" s="651"/>
      <c r="S1387" s="651"/>
    </row>
    <row r="1388" spans="12:19" ht="15.75" customHeight="1" x14ac:dyDescent="0.35">
      <c r="L1388" s="2"/>
      <c r="M1388" s="2"/>
      <c r="N1388" s="650"/>
      <c r="O1388" s="650"/>
      <c r="P1388" s="651"/>
      <c r="Q1388" s="651"/>
      <c r="R1388" s="651"/>
      <c r="S1388" s="651"/>
    </row>
    <row r="1389" spans="12:19" ht="15.75" customHeight="1" x14ac:dyDescent="0.35">
      <c r="L1389" s="2"/>
      <c r="M1389" s="2"/>
      <c r="N1389" s="650"/>
      <c r="O1389" s="650"/>
      <c r="P1389" s="651"/>
      <c r="Q1389" s="651"/>
      <c r="R1389" s="651"/>
      <c r="S1389" s="651"/>
    </row>
    <row r="1390" spans="12:19" ht="15.75" customHeight="1" x14ac:dyDescent="0.35">
      <c r="L1390" s="2"/>
      <c r="M1390" s="2"/>
      <c r="N1390" s="650"/>
      <c r="O1390" s="650"/>
      <c r="P1390" s="651"/>
      <c r="Q1390" s="651"/>
      <c r="R1390" s="651"/>
      <c r="S1390" s="651"/>
    </row>
    <row r="1391" spans="12:19" ht="15.75" customHeight="1" x14ac:dyDescent="0.35">
      <c r="L1391" s="2"/>
      <c r="M1391" s="2"/>
      <c r="N1391" s="650"/>
      <c r="O1391" s="650"/>
      <c r="P1391" s="651"/>
      <c r="Q1391" s="651"/>
      <c r="R1391" s="651"/>
      <c r="S1391" s="651"/>
    </row>
    <row r="1392" spans="12:19" ht="15.75" customHeight="1" x14ac:dyDescent="0.35">
      <c r="L1392" s="2"/>
      <c r="M1392" s="2"/>
      <c r="N1392" s="650"/>
      <c r="O1392" s="650"/>
      <c r="P1392" s="651"/>
      <c r="Q1392" s="651"/>
      <c r="R1392" s="651"/>
      <c r="S1392" s="651"/>
    </row>
    <row r="1393" spans="12:19" ht="15.75" customHeight="1" x14ac:dyDescent="0.35">
      <c r="L1393" s="2"/>
      <c r="M1393" s="2"/>
      <c r="N1393" s="650"/>
      <c r="O1393" s="650"/>
      <c r="P1393" s="651"/>
      <c r="Q1393" s="651"/>
      <c r="R1393" s="651"/>
      <c r="S1393" s="651"/>
    </row>
    <row r="1394" spans="12:19" ht="15.75" customHeight="1" x14ac:dyDescent="0.35">
      <c r="L1394" s="2"/>
      <c r="M1394" s="2"/>
      <c r="N1394" s="650"/>
      <c r="O1394" s="650"/>
      <c r="P1394" s="651"/>
      <c r="Q1394" s="651"/>
      <c r="R1394" s="651"/>
      <c r="S1394" s="651"/>
    </row>
    <row r="1395" spans="12:19" ht="15.75" customHeight="1" x14ac:dyDescent="0.35">
      <c r="L1395" s="2"/>
      <c r="M1395" s="2"/>
      <c r="N1395" s="650"/>
      <c r="O1395" s="650"/>
      <c r="P1395" s="651"/>
      <c r="Q1395" s="651"/>
      <c r="R1395" s="651"/>
      <c r="S1395" s="651"/>
    </row>
    <row r="1396" spans="12:19" ht="15.75" customHeight="1" x14ac:dyDescent="0.35">
      <c r="L1396" s="2"/>
      <c r="M1396" s="2"/>
      <c r="N1396" s="650"/>
      <c r="O1396" s="650"/>
      <c r="P1396" s="651"/>
      <c r="Q1396" s="651"/>
      <c r="R1396" s="651"/>
      <c r="S1396" s="651"/>
    </row>
    <row r="1397" spans="12:19" ht="15.75" customHeight="1" x14ac:dyDescent="0.35">
      <c r="L1397" s="2"/>
      <c r="M1397" s="2"/>
      <c r="N1397" s="650"/>
      <c r="O1397" s="650"/>
      <c r="P1397" s="651"/>
      <c r="Q1397" s="651"/>
      <c r="R1397" s="651"/>
      <c r="S1397" s="651"/>
    </row>
    <row r="1398" spans="12:19" ht="15.75" customHeight="1" x14ac:dyDescent="0.35">
      <c r="L1398" s="2"/>
      <c r="M1398" s="2"/>
      <c r="N1398" s="650"/>
      <c r="O1398" s="650"/>
      <c r="P1398" s="651"/>
      <c r="Q1398" s="651"/>
      <c r="R1398" s="651"/>
      <c r="S1398" s="651"/>
    </row>
    <row r="1399" spans="12:19" ht="15.75" customHeight="1" x14ac:dyDescent="0.35">
      <c r="L1399" s="2"/>
      <c r="M1399" s="2"/>
      <c r="N1399" s="650"/>
      <c r="O1399" s="650"/>
      <c r="P1399" s="651"/>
      <c r="Q1399" s="651"/>
      <c r="R1399" s="651"/>
      <c r="S1399" s="651"/>
    </row>
    <row r="1400" spans="12:19" ht="15.75" customHeight="1" x14ac:dyDescent="0.35">
      <c r="L1400" s="2"/>
      <c r="M1400" s="2"/>
      <c r="N1400" s="650"/>
      <c r="O1400" s="650"/>
      <c r="P1400" s="651"/>
      <c r="Q1400" s="651"/>
      <c r="R1400" s="651"/>
      <c r="S1400" s="651"/>
    </row>
    <row r="1401" spans="12:19" ht="15.75" customHeight="1" x14ac:dyDescent="0.35">
      <c r="L1401" s="2"/>
      <c r="M1401" s="2"/>
      <c r="N1401" s="650"/>
      <c r="O1401" s="650"/>
      <c r="P1401" s="651"/>
      <c r="Q1401" s="651"/>
      <c r="R1401" s="651"/>
      <c r="S1401" s="651"/>
    </row>
    <row r="1402" spans="12:19" ht="15.75" customHeight="1" x14ac:dyDescent="0.35">
      <c r="L1402" s="2"/>
      <c r="M1402" s="2"/>
      <c r="N1402" s="650"/>
      <c r="O1402" s="650"/>
      <c r="P1402" s="651"/>
      <c r="Q1402" s="651"/>
      <c r="R1402" s="651"/>
      <c r="S1402" s="651"/>
    </row>
    <row r="1403" spans="12:19" ht="15.75" customHeight="1" x14ac:dyDescent="0.35">
      <c r="L1403" s="2"/>
      <c r="M1403" s="2"/>
      <c r="N1403" s="650"/>
      <c r="O1403" s="650"/>
      <c r="P1403" s="651"/>
      <c r="Q1403" s="651"/>
      <c r="R1403" s="651"/>
      <c r="S1403" s="651"/>
    </row>
    <row r="1404" spans="12:19" ht="15.75" customHeight="1" x14ac:dyDescent="0.35">
      <c r="L1404" s="2"/>
      <c r="M1404" s="2"/>
      <c r="N1404" s="650"/>
      <c r="O1404" s="650"/>
      <c r="P1404" s="651"/>
      <c r="Q1404" s="651"/>
      <c r="R1404" s="651"/>
      <c r="S1404" s="651"/>
    </row>
    <row r="1405" spans="12:19" ht="15.75" customHeight="1" x14ac:dyDescent="0.35">
      <c r="L1405" s="2"/>
      <c r="M1405" s="2"/>
      <c r="N1405" s="650"/>
      <c r="O1405" s="650"/>
      <c r="P1405" s="651"/>
      <c r="Q1405" s="651"/>
      <c r="R1405" s="651"/>
      <c r="S1405" s="651"/>
    </row>
    <row r="1406" spans="12:19" ht="15.75" customHeight="1" x14ac:dyDescent="0.35">
      <c r="L1406" s="2"/>
      <c r="M1406" s="2"/>
      <c r="N1406" s="650"/>
      <c r="O1406" s="650"/>
      <c r="P1406" s="651"/>
      <c r="Q1406" s="651"/>
      <c r="R1406" s="651"/>
      <c r="S1406" s="651"/>
    </row>
    <row r="1407" spans="12:19" ht="15.75" customHeight="1" x14ac:dyDescent="0.35">
      <c r="L1407" s="2"/>
      <c r="M1407" s="2"/>
      <c r="N1407" s="650"/>
      <c r="O1407" s="650"/>
      <c r="P1407" s="651"/>
      <c r="Q1407" s="651"/>
      <c r="R1407" s="651"/>
      <c r="S1407" s="651"/>
    </row>
    <row r="1408" spans="12:19" ht="15.75" customHeight="1" x14ac:dyDescent="0.35">
      <c r="L1408" s="2"/>
      <c r="M1408" s="2"/>
      <c r="N1408" s="650"/>
      <c r="O1408" s="650"/>
      <c r="P1408" s="651"/>
      <c r="Q1408" s="651"/>
      <c r="R1408" s="651"/>
      <c r="S1408" s="651"/>
    </row>
    <row r="1409" spans="12:19" ht="15.75" customHeight="1" x14ac:dyDescent="0.35">
      <c r="L1409" s="2"/>
      <c r="M1409" s="2"/>
      <c r="N1409" s="650"/>
      <c r="O1409" s="650"/>
      <c r="P1409" s="651"/>
      <c r="Q1409" s="651"/>
      <c r="R1409" s="651"/>
      <c r="S1409" s="651"/>
    </row>
    <row r="1410" spans="12:19" ht="15.75" customHeight="1" x14ac:dyDescent="0.35">
      <c r="L1410" s="2"/>
      <c r="M1410" s="2"/>
      <c r="N1410" s="650"/>
      <c r="O1410" s="650"/>
      <c r="P1410" s="651"/>
      <c r="Q1410" s="651"/>
      <c r="R1410" s="651"/>
      <c r="S1410" s="651"/>
    </row>
    <row r="1411" spans="12:19" ht="15.75" customHeight="1" x14ac:dyDescent="0.35">
      <c r="L1411" s="2"/>
      <c r="M1411" s="2"/>
      <c r="N1411" s="650"/>
      <c r="O1411" s="650"/>
      <c r="P1411" s="651"/>
      <c r="Q1411" s="651"/>
      <c r="R1411" s="651"/>
      <c r="S1411" s="651"/>
    </row>
    <row r="1412" spans="12:19" ht="15.75" customHeight="1" x14ac:dyDescent="0.35">
      <c r="L1412" s="2"/>
      <c r="M1412" s="2"/>
      <c r="N1412" s="650"/>
      <c r="O1412" s="650"/>
      <c r="P1412" s="651"/>
      <c r="Q1412" s="651"/>
      <c r="R1412" s="651"/>
      <c r="S1412" s="651"/>
    </row>
    <row r="1413" spans="12:19" ht="15.75" customHeight="1" x14ac:dyDescent="0.35">
      <c r="L1413" s="2"/>
      <c r="M1413" s="2"/>
      <c r="N1413" s="650"/>
      <c r="O1413" s="650"/>
      <c r="P1413" s="651"/>
      <c r="Q1413" s="651"/>
      <c r="R1413" s="651"/>
      <c r="S1413" s="651"/>
    </row>
    <row r="1414" spans="12:19" ht="15.75" customHeight="1" x14ac:dyDescent="0.35">
      <c r="L1414" s="2"/>
      <c r="M1414" s="2"/>
      <c r="N1414" s="650"/>
      <c r="O1414" s="650"/>
      <c r="P1414" s="651"/>
      <c r="Q1414" s="651"/>
      <c r="R1414" s="651"/>
      <c r="S1414" s="651"/>
    </row>
    <row r="1415" spans="12:19" ht="15.75" customHeight="1" x14ac:dyDescent="0.35">
      <c r="L1415" s="2"/>
      <c r="M1415" s="2"/>
      <c r="N1415" s="650"/>
      <c r="O1415" s="650"/>
      <c r="P1415" s="651"/>
      <c r="Q1415" s="651"/>
      <c r="R1415" s="651"/>
      <c r="S1415" s="651"/>
    </row>
    <row r="1416" spans="12:19" ht="15.75" customHeight="1" x14ac:dyDescent="0.35">
      <c r="L1416" s="2"/>
      <c r="M1416" s="2"/>
      <c r="N1416" s="650"/>
      <c r="O1416" s="650"/>
      <c r="P1416" s="651"/>
      <c r="Q1416" s="651"/>
      <c r="R1416" s="651"/>
      <c r="S1416" s="651"/>
    </row>
    <row r="1417" spans="12:19" ht="15.75" customHeight="1" x14ac:dyDescent="0.35">
      <c r="L1417" s="2"/>
      <c r="M1417" s="2"/>
      <c r="N1417" s="650"/>
      <c r="O1417" s="650"/>
      <c r="P1417" s="651"/>
      <c r="Q1417" s="651"/>
      <c r="R1417" s="651"/>
      <c r="S1417" s="651"/>
    </row>
    <row r="1418" spans="12:19" ht="15.75" customHeight="1" x14ac:dyDescent="0.35">
      <c r="L1418" s="2"/>
      <c r="M1418" s="2"/>
      <c r="N1418" s="650"/>
      <c r="O1418" s="650"/>
      <c r="P1418" s="651"/>
      <c r="Q1418" s="651"/>
      <c r="R1418" s="651"/>
      <c r="S1418" s="651"/>
    </row>
    <row r="1419" spans="12:19" ht="15.75" customHeight="1" x14ac:dyDescent="0.35">
      <c r="L1419" s="2"/>
      <c r="M1419" s="2"/>
      <c r="N1419" s="650"/>
      <c r="O1419" s="650"/>
      <c r="P1419" s="651"/>
      <c r="Q1419" s="651"/>
      <c r="R1419" s="651"/>
      <c r="S1419" s="651"/>
    </row>
    <row r="1420" spans="12:19" ht="15.75" customHeight="1" x14ac:dyDescent="0.35">
      <c r="L1420" s="2"/>
      <c r="M1420" s="2"/>
      <c r="N1420" s="650"/>
      <c r="O1420" s="650"/>
      <c r="P1420" s="651"/>
      <c r="Q1420" s="651"/>
      <c r="R1420" s="651"/>
      <c r="S1420" s="651"/>
    </row>
    <row r="1421" spans="12:19" ht="15.75" customHeight="1" x14ac:dyDescent="0.35">
      <c r="L1421" s="2"/>
      <c r="M1421" s="2"/>
      <c r="N1421" s="650"/>
      <c r="O1421" s="650"/>
      <c r="P1421" s="651"/>
      <c r="Q1421" s="651"/>
      <c r="R1421" s="651"/>
      <c r="S1421" s="651"/>
    </row>
    <row r="1422" spans="12:19" ht="15.75" customHeight="1" x14ac:dyDescent="0.35">
      <c r="L1422" s="2"/>
      <c r="M1422" s="2"/>
      <c r="N1422" s="650"/>
      <c r="O1422" s="650"/>
      <c r="P1422" s="651"/>
      <c r="Q1422" s="651"/>
      <c r="R1422" s="651"/>
      <c r="S1422" s="651"/>
    </row>
    <row r="1423" spans="12:19" ht="15.75" customHeight="1" x14ac:dyDescent="0.35">
      <c r="L1423" s="2"/>
      <c r="M1423" s="2"/>
      <c r="N1423" s="650"/>
      <c r="O1423" s="650"/>
      <c r="P1423" s="651"/>
      <c r="Q1423" s="651"/>
      <c r="R1423" s="651"/>
      <c r="S1423" s="651"/>
    </row>
    <row r="1424" spans="12:19" ht="15.75" customHeight="1" x14ac:dyDescent="0.35">
      <c r="L1424" s="2"/>
      <c r="M1424" s="2"/>
      <c r="N1424" s="650"/>
      <c r="O1424" s="650"/>
      <c r="P1424" s="651"/>
      <c r="Q1424" s="651"/>
      <c r="R1424" s="651"/>
      <c r="S1424" s="651"/>
    </row>
    <row r="1425" spans="12:19" ht="15.75" customHeight="1" x14ac:dyDescent="0.35">
      <c r="L1425" s="2"/>
      <c r="M1425" s="2"/>
      <c r="N1425" s="650"/>
      <c r="O1425" s="650"/>
      <c r="P1425" s="651"/>
      <c r="Q1425" s="651"/>
      <c r="R1425" s="651"/>
      <c r="S1425" s="651"/>
    </row>
    <row r="1426" spans="12:19" ht="15.75" customHeight="1" x14ac:dyDescent="0.35">
      <c r="L1426" s="2"/>
      <c r="M1426" s="2"/>
      <c r="N1426" s="650"/>
      <c r="O1426" s="650"/>
      <c r="P1426" s="651"/>
      <c r="Q1426" s="651"/>
      <c r="R1426" s="651"/>
      <c r="S1426" s="651"/>
    </row>
    <row r="1427" spans="12:19" ht="15.75" customHeight="1" x14ac:dyDescent="0.35">
      <c r="L1427" s="2"/>
      <c r="M1427" s="2"/>
      <c r="N1427" s="650"/>
      <c r="O1427" s="650"/>
      <c r="P1427" s="651"/>
      <c r="Q1427" s="651"/>
      <c r="R1427" s="651"/>
      <c r="S1427" s="651"/>
    </row>
    <row r="1428" spans="12:19" ht="15.75" customHeight="1" x14ac:dyDescent="0.35">
      <c r="L1428" s="2"/>
      <c r="M1428" s="2"/>
      <c r="N1428" s="650"/>
      <c r="O1428" s="650"/>
      <c r="P1428" s="651"/>
      <c r="Q1428" s="651"/>
      <c r="R1428" s="651"/>
      <c r="S1428" s="651"/>
    </row>
    <row r="1429" spans="12:19" ht="15.75" customHeight="1" x14ac:dyDescent="0.35">
      <c r="L1429" s="2"/>
      <c r="M1429" s="2"/>
      <c r="N1429" s="650"/>
      <c r="O1429" s="650"/>
      <c r="P1429" s="651"/>
      <c r="Q1429" s="651"/>
      <c r="R1429" s="651"/>
      <c r="S1429" s="651"/>
    </row>
    <row r="1430" spans="12:19" ht="15.75" customHeight="1" x14ac:dyDescent="0.35">
      <c r="L1430" s="2"/>
      <c r="M1430" s="2"/>
      <c r="N1430" s="650"/>
      <c r="O1430" s="650"/>
      <c r="P1430" s="651"/>
      <c r="Q1430" s="651"/>
      <c r="R1430" s="651"/>
      <c r="S1430" s="651"/>
    </row>
    <row r="1431" spans="12:19" ht="15.75" customHeight="1" x14ac:dyDescent="0.35">
      <c r="L1431" s="2"/>
      <c r="M1431" s="2"/>
      <c r="N1431" s="650"/>
      <c r="O1431" s="650"/>
      <c r="P1431" s="651"/>
      <c r="Q1431" s="651"/>
      <c r="R1431" s="651"/>
      <c r="S1431" s="651"/>
    </row>
    <row r="1432" spans="12:19" ht="15.75" customHeight="1" x14ac:dyDescent="0.35">
      <c r="L1432" s="2"/>
      <c r="M1432" s="2"/>
      <c r="N1432" s="650"/>
      <c r="O1432" s="650"/>
      <c r="P1432" s="651"/>
      <c r="Q1432" s="651"/>
      <c r="R1432" s="651"/>
      <c r="S1432" s="651"/>
    </row>
    <row r="1433" spans="12:19" ht="15.75" customHeight="1" x14ac:dyDescent="0.35">
      <c r="L1433" s="2"/>
      <c r="M1433" s="2"/>
      <c r="N1433" s="650"/>
      <c r="O1433" s="650"/>
      <c r="P1433" s="651"/>
      <c r="Q1433" s="651"/>
      <c r="R1433" s="651"/>
      <c r="S1433" s="651"/>
    </row>
    <row r="1434" spans="12:19" ht="15.75" customHeight="1" x14ac:dyDescent="0.35">
      <c r="L1434" s="2"/>
      <c r="M1434" s="2"/>
      <c r="N1434" s="650"/>
      <c r="O1434" s="650"/>
      <c r="P1434" s="651"/>
      <c r="Q1434" s="651"/>
      <c r="R1434" s="651"/>
      <c r="S1434" s="651"/>
    </row>
    <row r="1435" spans="12:19" ht="15.75" customHeight="1" x14ac:dyDescent="0.35">
      <c r="L1435" s="2"/>
      <c r="M1435" s="2"/>
      <c r="N1435" s="650"/>
      <c r="O1435" s="650"/>
      <c r="P1435" s="651"/>
      <c r="Q1435" s="651"/>
      <c r="R1435" s="651"/>
      <c r="S1435" s="651"/>
    </row>
    <row r="1436" spans="12:19" ht="15.75" customHeight="1" x14ac:dyDescent="0.35">
      <c r="L1436" s="2"/>
      <c r="M1436" s="2"/>
      <c r="N1436" s="650"/>
      <c r="O1436" s="650"/>
      <c r="P1436" s="651"/>
      <c r="Q1436" s="651"/>
      <c r="R1436" s="651"/>
      <c r="S1436" s="651"/>
    </row>
    <row r="1437" spans="12:19" ht="15.75" customHeight="1" x14ac:dyDescent="0.35">
      <c r="L1437" s="2"/>
      <c r="M1437" s="2"/>
      <c r="N1437" s="650"/>
      <c r="O1437" s="650"/>
      <c r="P1437" s="651"/>
      <c r="Q1437" s="651"/>
      <c r="R1437" s="651"/>
      <c r="S1437" s="651"/>
    </row>
    <row r="1438" spans="12:19" ht="15.75" customHeight="1" x14ac:dyDescent="0.35">
      <c r="L1438" s="2"/>
      <c r="M1438" s="2"/>
      <c r="N1438" s="650"/>
      <c r="O1438" s="650"/>
      <c r="P1438" s="651"/>
      <c r="Q1438" s="651"/>
      <c r="R1438" s="651"/>
      <c r="S1438" s="651"/>
    </row>
    <row r="1439" spans="12:19" ht="15.75" customHeight="1" x14ac:dyDescent="0.35">
      <c r="L1439" s="2"/>
      <c r="M1439" s="2"/>
      <c r="N1439" s="650"/>
      <c r="O1439" s="650"/>
      <c r="P1439" s="651"/>
      <c r="Q1439" s="651"/>
      <c r="R1439" s="651"/>
      <c r="S1439" s="651"/>
    </row>
    <row r="1440" spans="12:19" ht="15.75" customHeight="1" x14ac:dyDescent="0.35">
      <c r="L1440" s="2"/>
      <c r="M1440" s="2"/>
      <c r="N1440" s="650"/>
      <c r="O1440" s="650"/>
      <c r="P1440" s="651"/>
      <c r="Q1440" s="651"/>
      <c r="R1440" s="651"/>
      <c r="S1440" s="651"/>
    </row>
    <row r="1441" spans="12:19" ht="15.75" customHeight="1" x14ac:dyDescent="0.35">
      <c r="L1441" s="2"/>
      <c r="M1441" s="2"/>
      <c r="N1441" s="650"/>
      <c r="O1441" s="650"/>
      <c r="P1441" s="651"/>
      <c r="Q1441" s="651"/>
      <c r="R1441" s="651"/>
      <c r="S1441" s="651"/>
    </row>
    <row r="1442" spans="12:19" ht="15.75" customHeight="1" x14ac:dyDescent="0.35">
      <c r="L1442" s="2"/>
      <c r="M1442" s="2"/>
      <c r="N1442" s="650"/>
      <c r="O1442" s="650"/>
      <c r="P1442" s="651"/>
      <c r="Q1442" s="651"/>
      <c r="R1442" s="651"/>
      <c r="S1442" s="651"/>
    </row>
    <row r="1443" spans="12:19" ht="15.75" customHeight="1" x14ac:dyDescent="0.35">
      <c r="L1443" s="2"/>
      <c r="M1443" s="2"/>
      <c r="N1443" s="650"/>
      <c r="O1443" s="650"/>
      <c r="P1443" s="651"/>
      <c r="Q1443" s="651"/>
      <c r="R1443" s="651"/>
      <c r="S1443" s="651"/>
    </row>
    <row r="1444" spans="12:19" ht="15.75" customHeight="1" x14ac:dyDescent="0.35">
      <c r="L1444" s="2"/>
      <c r="M1444" s="2"/>
      <c r="N1444" s="650"/>
      <c r="O1444" s="650"/>
      <c r="P1444" s="651"/>
      <c r="Q1444" s="651"/>
      <c r="R1444" s="651"/>
      <c r="S1444" s="651"/>
    </row>
    <row r="1445" spans="12:19" ht="15.75" customHeight="1" x14ac:dyDescent="0.35">
      <c r="L1445" s="2"/>
      <c r="M1445" s="2"/>
      <c r="N1445" s="650"/>
      <c r="O1445" s="650"/>
      <c r="P1445" s="651"/>
      <c r="Q1445" s="651"/>
      <c r="R1445" s="651"/>
      <c r="S1445" s="651"/>
    </row>
    <row r="1446" spans="12:19" ht="15.75" customHeight="1" x14ac:dyDescent="0.35">
      <c r="L1446" s="2"/>
      <c r="M1446" s="2"/>
      <c r="N1446" s="650"/>
      <c r="O1446" s="650"/>
      <c r="P1446" s="651"/>
      <c r="Q1446" s="651"/>
      <c r="R1446" s="651"/>
      <c r="S1446" s="651"/>
    </row>
    <row r="1447" spans="12:19" ht="15.75" customHeight="1" x14ac:dyDescent="0.35">
      <c r="L1447" s="2"/>
      <c r="M1447" s="2"/>
      <c r="N1447" s="650"/>
      <c r="O1447" s="650"/>
      <c r="P1447" s="651"/>
      <c r="Q1447" s="651"/>
      <c r="R1447" s="651"/>
      <c r="S1447" s="651"/>
    </row>
    <row r="1448" spans="12:19" ht="15.75" customHeight="1" x14ac:dyDescent="0.35">
      <c r="L1448" s="2"/>
      <c r="M1448" s="2"/>
      <c r="N1448" s="650"/>
      <c r="O1448" s="650"/>
      <c r="P1448" s="651"/>
      <c r="Q1448" s="651"/>
      <c r="R1448" s="651"/>
      <c r="S1448" s="651"/>
    </row>
    <row r="1449" spans="12:19" ht="15.75" customHeight="1" x14ac:dyDescent="0.35">
      <c r="L1449" s="2"/>
      <c r="M1449" s="2"/>
      <c r="N1449" s="650"/>
      <c r="O1449" s="650"/>
      <c r="P1449" s="651"/>
      <c r="Q1449" s="651"/>
      <c r="R1449" s="651"/>
      <c r="S1449" s="651"/>
    </row>
    <row r="1450" spans="12:19" ht="15.75" customHeight="1" x14ac:dyDescent="0.35">
      <c r="L1450" s="2"/>
      <c r="M1450" s="2"/>
      <c r="N1450" s="650"/>
      <c r="O1450" s="650"/>
      <c r="P1450" s="651"/>
      <c r="Q1450" s="651"/>
      <c r="R1450" s="651"/>
      <c r="S1450" s="651"/>
    </row>
    <row r="1451" spans="12:19" ht="15.75" customHeight="1" x14ac:dyDescent="0.35">
      <c r="L1451" s="2"/>
      <c r="M1451" s="2"/>
      <c r="N1451" s="650"/>
      <c r="O1451" s="650"/>
      <c r="P1451" s="651"/>
      <c r="Q1451" s="651"/>
      <c r="R1451" s="651"/>
      <c r="S1451" s="651"/>
    </row>
    <row r="1452" spans="12:19" ht="15.75" customHeight="1" x14ac:dyDescent="0.35">
      <c r="L1452" s="2"/>
      <c r="M1452" s="2"/>
      <c r="N1452" s="650"/>
      <c r="O1452" s="650"/>
      <c r="P1452" s="651"/>
      <c r="Q1452" s="651"/>
      <c r="R1452" s="651"/>
      <c r="S1452" s="651"/>
    </row>
    <row r="1453" spans="12:19" ht="15.75" customHeight="1" x14ac:dyDescent="0.35">
      <c r="L1453" s="2"/>
      <c r="M1453" s="2"/>
      <c r="N1453" s="650"/>
      <c r="O1453" s="650"/>
      <c r="P1453" s="651"/>
      <c r="Q1453" s="651"/>
      <c r="R1453" s="651"/>
      <c r="S1453" s="651"/>
    </row>
    <row r="1454" spans="12:19" ht="15.75" customHeight="1" x14ac:dyDescent="0.35">
      <c r="L1454" s="2"/>
      <c r="M1454" s="2"/>
      <c r="N1454" s="650"/>
      <c r="O1454" s="650"/>
      <c r="P1454" s="651"/>
      <c r="Q1454" s="651"/>
      <c r="R1454" s="651"/>
      <c r="S1454" s="651"/>
    </row>
    <row r="1455" spans="12:19" ht="15.75" customHeight="1" x14ac:dyDescent="0.35">
      <c r="L1455" s="2"/>
      <c r="M1455" s="2"/>
      <c r="N1455" s="650"/>
      <c r="O1455" s="650"/>
      <c r="P1455" s="651"/>
      <c r="Q1455" s="651"/>
      <c r="R1455" s="651"/>
      <c r="S1455" s="651"/>
    </row>
    <row r="1456" spans="12:19" ht="15.75" customHeight="1" x14ac:dyDescent="0.35">
      <c r="L1456" s="2"/>
      <c r="M1456" s="2"/>
      <c r="N1456" s="650"/>
      <c r="O1456" s="650"/>
      <c r="P1456" s="651"/>
      <c r="Q1456" s="651"/>
      <c r="R1456" s="651"/>
      <c r="S1456" s="651"/>
    </row>
    <row r="1457" spans="12:19" ht="15.75" customHeight="1" x14ac:dyDescent="0.35">
      <c r="L1457" s="2"/>
      <c r="M1457" s="2"/>
      <c r="N1457" s="650"/>
      <c r="O1457" s="650"/>
      <c r="P1457" s="651"/>
      <c r="Q1457" s="651"/>
      <c r="R1457" s="651"/>
      <c r="S1457" s="651"/>
    </row>
    <row r="1458" spans="12:19" ht="15.75" customHeight="1" x14ac:dyDescent="0.35">
      <c r="L1458" s="2"/>
      <c r="M1458" s="2"/>
      <c r="N1458" s="650"/>
      <c r="O1458" s="650"/>
      <c r="P1458" s="651"/>
      <c r="Q1458" s="651"/>
      <c r="R1458" s="651"/>
      <c r="S1458" s="651"/>
    </row>
    <row r="1459" spans="12:19" ht="15.75" customHeight="1" x14ac:dyDescent="0.35">
      <c r="L1459" s="2"/>
      <c r="M1459" s="2"/>
      <c r="N1459" s="650"/>
      <c r="O1459" s="650"/>
      <c r="P1459" s="651"/>
      <c r="Q1459" s="651"/>
      <c r="R1459" s="651"/>
      <c r="S1459" s="651"/>
    </row>
    <row r="1460" spans="12:19" ht="15.75" customHeight="1" x14ac:dyDescent="0.35">
      <c r="L1460" s="2"/>
      <c r="M1460" s="2"/>
      <c r="N1460" s="650"/>
      <c r="O1460" s="650"/>
      <c r="P1460" s="651"/>
      <c r="Q1460" s="651"/>
      <c r="R1460" s="651"/>
      <c r="S1460" s="651"/>
    </row>
    <row r="1461" spans="12:19" ht="15.75" customHeight="1" x14ac:dyDescent="0.35">
      <c r="L1461" s="2"/>
      <c r="M1461" s="2"/>
      <c r="N1461" s="650"/>
      <c r="O1461" s="650"/>
      <c r="P1461" s="651"/>
      <c r="Q1461" s="651"/>
      <c r="R1461" s="651"/>
      <c r="S1461" s="651"/>
    </row>
    <row r="1462" spans="12:19" ht="15.75" customHeight="1" x14ac:dyDescent="0.35">
      <c r="L1462" s="2"/>
      <c r="M1462" s="2"/>
      <c r="N1462" s="650"/>
      <c r="O1462" s="650"/>
      <c r="P1462" s="651"/>
      <c r="Q1462" s="651"/>
      <c r="R1462" s="651"/>
      <c r="S1462" s="651"/>
    </row>
    <row r="1463" spans="12:19" ht="15.75" customHeight="1" x14ac:dyDescent="0.35">
      <c r="L1463" s="2"/>
      <c r="M1463" s="2"/>
      <c r="N1463" s="650"/>
      <c r="O1463" s="650"/>
      <c r="P1463" s="651"/>
      <c r="Q1463" s="651"/>
      <c r="R1463" s="651"/>
      <c r="S1463" s="651"/>
    </row>
    <row r="1464" spans="12:19" ht="15.75" customHeight="1" x14ac:dyDescent="0.35">
      <c r="L1464" s="2"/>
      <c r="M1464" s="2"/>
      <c r="N1464" s="650"/>
      <c r="O1464" s="650"/>
      <c r="P1464" s="651"/>
      <c r="Q1464" s="651"/>
      <c r="R1464" s="651"/>
      <c r="S1464" s="651"/>
    </row>
    <row r="1465" spans="12:19" ht="15.75" customHeight="1" x14ac:dyDescent="0.35">
      <c r="L1465" s="2"/>
      <c r="M1465" s="2"/>
      <c r="N1465" s="650"/>
      <c r="O1465" s="650"/>
      <c r="P1465" s="651"/>
      <c r="Q1465" s="651"/>
      <c r="R1465" s="651"/>
      <c r="S1465" s="651"/>
    </row>
    <row r="1466" spans="12:19" ht="15.75" customHeight="1" x14ac:dyDescent="0.35">
      <c r="L1466" s="2"/>
      <c r="M1466" s="2"/>
      <c r="N1466" s="650"/>
      <c r="O1466" s="650"/>
      <c r="P1466" s="651"/>
      <c r="Q1466" s="651"/>
      <c r="R1466" s="651"/>
      <c r="S1466" s="651"/>
    </row>
    <row r="1467" spans="12:19" ht="15.75" customHeight="1" x14ac:dyDescent="0.35">
      <c r="L1467" s="2"/>
      <c r="M1467" s="2"/>
      <c r="N1467" s="650"/>
      <c r="O1467" s="650"/>
      <c r="P1467" s="651"/>
      <c r="Q1467" s="651"/>
      <c r="R1467" s="651"/>
      <c r="S1467" s="651"/>
    </row>
    <row r="1468" spans="12:19" ht="15.75" customHeight="1" x14ac:dyDescent="0.35">
      <c r="L1468" s="2"/>
      <c r="M1468" s="2"/>
      <c r="N1468" s="650"/>
      <c r="O1468" s="650"/>
      <c r="P1468" s="651"/>
      <c r="Q1468" s="651"/>
      <c r="R1468" s="651"/>
      <c r="S1468" s="651"/>
    </row>
    <row r="1469" spans="12:19" ht="15.75" customHeight="1" x14ac:dyDescent="0.35">
      <c r="L1469" s="2"/>
      <c r="M1469" s="2"/>
      <c r="N1469" s="650"/>
      <c r="O1469" s="650"/>
      <c r="P1469" s="651"/>
      <c r="Q1469" s="651"/>
      <c r="R1469" s="651"/>
      <c r="S1469" s="651"/>
    </row>
    <row r="1470" spans="12:19" ht="15.75" customHeight="1" x14ac:dyDescent="0.35">
      <c r="L1470" s="2"/>
      <c r="M1470" s="2"/>
      <c r="N1470" s="650"/>
      <c r="O1470" s="650"/>
      <c r="P1470" s="651"/>
      <c r="Q1470" s="651"/>
      <c r="R1470" s="651"/>
      <c r="S1470" s="651"/>
    </row>
    <row r="1471" spans="12:19" ht="15.75" customHeight="1" x14ac:dyDescent="0.35">
      <c r="L1471" s="2"/>
      <c r="M1471" s="2"/>
      <c r="N1471" s="650"/>
      <c r="O1471" s="650"/>
      <c r="P1471" s="651"/>
      <c r="Q1471" s="651"/>
      <c r="R1471" s="651"/>
      <c r="S1471" s="651"/>
    </row>
    <row r="1472" spans="12:19" ht="15.75" customHeight="1" x14ac:dyDescent="0.35">
      <c r="L1472" s="2"/>
      <c r="M1472" s="2"/>
      <c r="N1472" s="650"/>
      <c r="O1472" s="650"/>
      <c r="P1472" s="651"/>
      <c r="Q1472" s="651"/>
      <c r="R1472" s="651"/>
      <c r="S1472" s="651"/>
    </row>
    <row r="1473" spans="12:19" ht="15.75" customHeight="1" x14ac:dyDescent="0.35">
      <c r="L1473" s="2"/>
      <c r="M1473" s="2"/>
      <c r="N1473" s="650"/>
      <c r="O1473" s="650"/>
      <c r="P1473" s="651"/>
      <c r="Q1473" s="651"/>
      <c r="R1473" s="651"/>
      <c r="S1473" s="651"/>
    </row>
    <row r="1474" spans="12:19" ht="15.75" customHeight="1" x14ac:dyDescent="0.35">
      <c r="L1474" s="2"/>
      <c r="M1474" s="2"/>
      <c r="N1474" s="650"/>
      <c r="O1474" s="650"/>
      <c r="P1474" s="651"/>
      <c r="Q1474" s="651"/>
      <c r="R1474" s="651"/>
      <c r="S1474" s="651"/>
    </row>
    <row r="1475" spans="12:19" ht="15.75" customHeight="1" x14ac:dyDescent="0.35">
      <c r="L1475" s="2"/>
      <c r="M1475" s="2"/>
      <c r="N1475" s="650"/>
      <c r="O1475" s="650"/>
      <c r="P1475" s="651"/>
      <c r="Q1475" s="651"/>
      <c r="R1475" s="651"/>
      <c r="S1475" s="651"/>
    </row>
    <row r="1476" spans="12:19" ht="15.75" customHeight="1" x14ac:dyDescent="0.35">
      <c r="L1476" s="2"/>
      <c r="M1476" s="2"/>
      <c r="N1476" s="650"/>
      <c r="O1476" s="650"/>
      <c r="P1476" s="651"/>
      <c r="Q1476" s="651"/>
      <c r="R1476" s="651"/>
      <c r="S1476" s="651"/>
    </row>
    <row r="1477" spans="12:19" ht="15.75" customHeight="1" x14ac:dyDescent="0.35">
      <c r="L1477" s="2"/>
      <c r="M1477" s="2"/>
      <c r="N1477" s="650"/>
      <c r="O1477" s="650"/>
      <c r="P1477" s="651"/>
      <c r="Q1477" s="651"/>
      <c r="R1477" s="651"/>
      <c r="S1477" s="651"/>
    </row>
    <row r="1478" spans="12:19" ht="15.75" customHeight="1" x14ac:dyDescent="0.35">
      <c r="L1478" s="2"/>
      <c r="M1478" s="2"/>
      <c r="N1478" s="650"/>
      <c r="O1478" s="650"/>
      <c r="P1478" s="651"/>
      <c r="Q1478" s="651"/>
      <c r="R1478" s="651"/>
      <c r="S1478" s="651"/>
    </row>
    <row r="1479" spans="12:19" ht="15.75" customHeight="1" x14ac:dyDescent="0.35">
      <c r="L1479" s="2"/>
      <c r="M1479" s="2"/>
      <c r="N1479" s="650"/>
      <c r="O1479" s="650"/>
      <c r="P1479" s="651"/>
      <c r="Q1479" s="651"/>
      <c r="R1479" s="651"/>
      <c r="S1479" s="651"/>
    </row>
    <row r="1480" spans="12:19" ht="15.75" customHeight="1" x14ac:dyDescent="0.35">
      <c r="L1480" s="2"/>
      <c r="M1480" s="2"/>
      <c r="N1480" s="650"/>
      <c r="O1480" s="650"/>
      <c r="P1480" s="651"/>
      <c r="Q1480" s="651"/>
      <c r="R1480" s="651"/>
      <c r="S1480" s="651"/>
    </row>
    <row r="1481" spans="12:19" ht="15.75" customHeight="1" x14ac:dyDescent="0.35">
      <c r="L1481" s="2"/>
      <c r="M1481" s="2"/>
      <c r="N1481" s="650"/>
      <c r="O1481" s="650"/>
      <c r="P1481" s="651"/>
      <c r="Q1481" s="651"/>
      <c r="R1481" s="651"/>
      <c r="S1481" s="651"/>
    </row>
    <row r="1482" spans="12:19" ht="15.75" customHeight="1" x14ac:dyDescent="0.35">
      <c r="L1482" s="2"/>
      <c r="M1482" s="2"/>
      <c r="N1482" s="650"/>
      <c r="O1482" s="650"/>
      <c r="P1482" s="651"/>
      <c r="Q1482" s="651"/>
      <c r="R1482" s="651"/>
      <c r="S1482" s="651"/>
    </row>
    <row r="1483" spans="12:19" ht="15.75" customHeight="1" x14ac:dyDescent="0.35">
      <c r="L1483" s="2"/>
      <c r="M1483" s="2"/>
      <c r="N1483" s="650"/>
      <c r="O1483" s="650"/>
      <c r="P1483" s="651"/>
      <c r="Q1483" s="651"/>
      <c r="R1483" s="651"/>
      <c r="S1483" s="651"/>
    </row>
    <row r="1484" spans="12:19" ht="15.75" customHeight="1" x14ac:dyDescent="0.35">
      <c r="L1484" s="2"/>
      <c r="M1484" s="2"/>
      <c r="N1484" s="650"/>
      <c r="O1484" s="650"/>
      <c r="P1484" s="651"/>
      <c r="Q1484" s="651"/>
      <c r="R1484" s="651"/>
      <c r="S1484" s="651"/>
    </row>
    <row r="1485" spans="12:19" ht="15.75" customHeight="1" x14ac:dyDescent="0.35">
      <c r="L1485" s="2"/>
      <c r="M1485" s="2"/>
      <c r="N1485" s="650"/>
      <c r="O1485" s="650"/>
      <c r="P1485" s="651"/>
      <c r="Q1485" s="651"/>
      <c r="R1485" s="651"/>
      <c r="S1485" s="651"/>
    </row>
    <row r="1486" spans="12:19" ht="15.75" customHeight="1" x14ac:dyDescent="0.35">
      <c r="L1486" s="2"/>
      <c r="M1486" s="2"/>
      <c r="N1486" s="650"/>
      <c r="O1486" s="650"/>
      <c r="P1486" s="651"/>
      <c r="Q1486" s="651"/>
      <c r="R1486" s="651"/>
      <c r="S1486" s="651"/>
    </row>
    <row r="1487" spans="12:19" ht="15.75" customHeight="1" x14ac:dyDescent="0.35">
      <c r="L1487" s="2"/>
      <c r="M1487" s="2"/>
      <c r="N1487" s="650"/>
      <c r="O1487" s="650"/>
      <c r="P1487" s="651"/>
      <c r="Q1487" s="651"/>
      <c r="R1487" s="651"/>
      <c r="S1487" s="651"/>
    </row>
    <row r="1488" spans="12:19" ht="15.75" customHeight="1" x14ac:dyDescent="0.35">
      <c r="L1488" s="2"/>
      <c r="M1488" s="2"/>
      <c r="N1488" s="650"/>
      <c r="O1488" s="650"/>
      <c r="P1488" s="651"/>
      <c r="Q1488" s="651"/>
      <c r="R1488" s="651"/>
      <c r="S1488" s="651"/>
    </row>
    <row r="1489" spans="12:19" ht="15.75" customHeight="1" x14ac:dyDescent="0.35">
      <c r="L1489" s="2"/>
      <c r="M1489" s="2"/>
      <c r="N1489" s="650"/>
      <c r="O1489" s="650"/>
      <c r="P1489" s="651"/>
      <c r="Q1489" s="651"/>
      <c r="R1489" s="651"/>
      <c r="S1489" s="651"/>
    </row>
    <row r="1490" spans="12:19" ht="15.75" customHeight="1" x14ac:dyDescent="0.35">
      <c r="L1490" s="2"/>
      <c r="M1490" s="2"/>
      <c r="N1490" s="650"/>
      <c r="O1490" s="650"/>
      <c r="P1490" s="651"/>
      <c r="Q1490" s="651"/>
      <c r="R1490" s="651"/>
      <c r="S1490" s="651"/>
    </row>
    <row r="1491" spans="12:19" ht="15.75" customHeight="1" x14ac:dyDescent="0.35">
      <c r="L1491" s="2"/>
      <c r="M1491" s="2"/>
      <c r="N1491" s="650"/>
      <c r="O1491" s="650"/>
      <c r="P1491" s="651"/>
      <c r="Q1491" s="651"/>
      <c r="R1491" s="651"/>
      <c r="S1491" s="651"/>
    </row>
    <row r="1492" spans="12:19" ht="15.75" customHeight="1" x14ac:dyDescent="0.35">
      <c r="L1492" s="2"/>
      <c r="M1492" s="2"/>
      <c r="N1492" s="650"/>
      <c r="O1492" s="650"/>
      <c r="P1492" s="651"/>
      <c r="Q1492" s="651"/>
      <c r="R1492" s="651"/>
      <c r="S1492" s="651"/>
    </row>
    <row r="1493" spans="12:19" ht="15.75" customHeight="1" x14ac:dyDescent="0.35">
      <c r="L1493" s="2"/>
      <c r="M1493" s="2"/>
      <c r="N1493" s="650"/>
      <c r="O1493" s="650"/>
      <c r="P1493" s="651"/>
      <c r="Q1493" s="651"/>
      <c r="R1493" s="651"/>
      <c r="S1493" s="651"/>
    </row>
    <row r="1494" spans="12:19" ht="15.75" customHeight="1" x14ac:dyDescent="0.35">
      <c r="L1494" s="2"/>
      <c r="M1494" s="2"/>
      <c r="N1494" s="650"/>
      <c r="O1494" s="650"/>
      <c r="P1494" s="651"/>
      <c r="Q1494" s="651"/>
      <c r="R1494" s="651"/>
      <c r="S1494" s="651"/>
    </row>
    <row r="1495" spans="12:19" ht="15.75" customHeight="1" x14ac:dyDescent="0.35">
      <c r="L1495" s="2"/>
      <c r="M1495" s="2"/>
      <c r="N1495" s="650"/>
      <c r="O1495" s="650"/>
      <c r="P1495" s="651"/>
      <c r="Q1495" s="651"/>
      <c r="R1495" s="651"/>
      <c r="S1495" s="651"/>
    </row>
    <row r="1496" spans="12:19" ht="15.75" customHeight="1" x14ac:dyDescent="0.35">
      <c r="L1496" s="2"/>
      <c r="M1496" s="2"/>
      <c r="N1496" s="650"/>
      <c r="O1496" s="650"/>
      <c r="P1496" s="651"/>
      <c r="Q1496" s="651"/>
      <c r="R1496" s="651"/>
      <c r="S1496" s="651"/>
    </row>
    <row r="1497" spans="12:19" ht="15.75" customHeight="1" x14ac:dyDescent="0.35">
      <c r="L1497" s="2"/>
      <c r="M1497" s="2"/>
      <c r="N1497" s="650"/>
      <c r="O1497" s="650"/>
      <c r="P1497" s="651"/>
      <c r="Q1497" s="651"/>
      <c r="R1497" s="651"/>
      <c r="S1497" s="651"/>
    </row>
    <row r="1498" spans="12:19" ht="15.75" customHeight="1" x14ac:dyDescent="0.35">
      <c r="L1498" s="2"/>
      <c r="M1498" s="2"/>
      <c r="N1498" s="650"/>
      <c r="O1498" s="650"/>
      <c r="P1498" s="651"/>
      <c r="Q1498" s="651"/>
      <c r="R1498" s="651"/>
      <c r="S1498" s="651"/>
    </row>
    <row r="1499" spans="12:19" ht="15.75" customHeight="1" x14ac:dyDescent="0.35">
      <c r="L1499" s="2"/>
      <c r="M1499" s="2"/>
      <c r="N1499" s="650"/>
      <c r="O1499" s="650"/>
      <c r="P1499" s="651"/>
      <c r="Q1499" s="651"/>
      <c r="R1499" s="651"/>
      <c r="S1499" s="651"/>
    </row>
    <row r="1500" spans="12:19" ht="15.75" customHeight="1" x14ac:dyDescent="0.35">
      <c r="L1500" s="2"/>
      <c r="M1500" s="2"/>
      <c r="N1500" s="650"/>
      <c r="O1500" s="650"/>
      <c r="P1500" s="651"/>
      <c r="Q1500" s="651"/>
      <c r="R1500" s="651"/>
      <c r="S1500" s="651"/>
    </row>
    <row r="1501" spans="12:19" ht="15.75" customHeight="1" x14ac:dyDescent="0.35">
      <c r="L1501" s="2"/>
      <c r="M1501" s="2"/>
      <c r="N1501" s="650"/>
      <c r="O1501" s="650"/>
      <c r="P1501" s="651"/>
      <c r="Q1501" s="651"/>
      <c r="R1501" s="651"/>
      <c r="S1501" s="651"/>
    </row>
    <row r="1502" spans="12:19" ht="15.75" customHeight="1" x14ac:dyDescent="0.35">
      <c r="L1502" s="2"/>
      <c r="M1502" s="2"/>
      <c r="N1502" s="650"/>
      <c r="O1502" s="650"/>
      <c r="P1502" s="651"/>
      <c r="Q1502" s="651"/>
      <c r="R1502" s="651"/>
      <c r="S1502" s="651"/>
    </row>
    <row r="1503" spans="12:19" ht="15.75" customHeight="1" x14ac:dyDescent="0.35">
      <c r="L1503" s="2"/>
      <c r="M1503" s="2"/>
      <c r="N1503" s="650"/>
      <c r="O1503" s="650"/>
      <c r="P1503" s="651"/>
      <c r="Q1503" s="651"/>
      <c r="R1503" s="651"/>
      <c r="S1503" s="651"/>
    </row>
    <row r="1504" spans="12:19" ht="15.75" customHeight="1" x14ac:dyDescent="0.35">
      <c r="L1504" s="2"/>
      <c r="M1504" s="2"/>
      <c r="N1504" s="650"/>
      <c r="O1504" s="650"/>
      <c r="P1504" s="651"/>
      <c r="Q1504" s="651"/>
      <c r="R1504" s="651"/>
      <c r="S1504" s="651"/>
    </row>
    <row r="1505" spans="12:19" ht="15.75" customHeight="1" x14ac:dyDescent="0.35">
      <c r="L1505" s="2"/>
      <c r="M1505" s="2"/>
      <c r="N1505" s="650"/>
      <c r="O1505" s="650"/>
      <c r="P1505" s="651"/>
      <c r="Q1505" s="651"/>
      <c r="R1505" s="651"/>
      <c r="S1505" s="651"/>
    </row>
    <row r="1506" spans="12:19" ht="15.75" customHeight="1" x14ac:dyDescent="0.35">
      <c r="L1506" s="2"/>
      <c r="M1506" s="2"/>
      <c r="N1506" s="650"/>
      <c r="O1506" s="650"/>
      <c r="P1506" s="651"/>
      <c r="Q1506" s="651"/>
      <c r="R1506" s="651"/>
      <c r="S1506" s="651"/>
    </row>
    <row r="1507" spans="12:19" ht="15.75" customHeight="1" x14ac:dyDescent="0.35">
      <c r="L1507" s="2"/>
      <c r="M1507" s="2"/>
      <c r="N1507" s="650"/>
      <c r="O1507" s="650"/>
      <c r="P1507" s="651"/>
      <c r="Q1507" s="651"/>
      <c r="R1507" s="651"/>
      <c r="S1507" s="651"/>
    </row>
    <row r="1508" spans="12:19" ht="15.75" customHeight="1" x14ac:dyDescent="0.35">
      <c r="L1508" s="2"/>
      <c r="M1508" s="2"/>
      <c r="N1508" s="650"/>
      <c r="O1508" s="650"/>
      <c r="P1508" s="651"/>
      <c r="Q1508" s="651"/>
      <c r="R1508" s="651"/>
      <c r="S1508" s="651"/>
    </row>
    <row r="1509" spans="12:19" ht="15.75" customHeight="1" x14ac:dyDescent="0.35">
      <c r="L1509" s="2"/>
      <c r="M1509" s="2"/>
      <c r="N1509" s="650"/>
      <c r="O1509" s="650"/>
      <c r="P1509" s="651"/>
      <c r="Q1509" s="651"/>
      <c r="R1509" s="651"/>
      <c r="S1509" s="651"/>
    </row>
    <row r="1510" spans="12:19" ht="15.75" customHeight="1" x14ac:dyDescent="0.35">
      <c r="L1510" s="2"/>
      <c r="M1510" s="2"/>
      <c r="N1510" s="650"/>
      <c r="O1510" s="650"/>
      <c r="P1510" s="651"/>
      <c r="Q1510" s="651"/>
      <c r="R1510" s="651"/>
      <c r="S1510" s="651"/>
    </row>
    <row r="1511" spans="12:19" ht="15.75" customHeight="1" x14ac:dyDescent="0.35">
      <c r="L1511" s="2"/>
      <c r="M1511" s="2"/>
      <c r="N1511" s="650"/>
      <c r="O1511" s="650"/>
      <c r="P1511" s="651"/>
      <c r="Q1511" s="651"/>
      <c r="R1511" s="651"/>
      <c r="S1511" s="651"/>
    </row>
    <row r="1512" spans="12:19" ht="15.75" customHeight="1" x14ac:dyDescent="0.35">
      <c r="L1512" s="2"/>
      <c r="M1512" s="2"/>
      <c r="N1512" s="650"/>
      <c r="O1512" s="650"/>
      <c r="P1512" s="651"/>
      <c r="Q1512" s="651"/>
      <c r="R1512" s="651"/>
      <c r="S1512" s="651"/>
    </row>
    <row r="1513" spans="12:19" ht="15.75" customHeight="1" x14ac:dyDescent="0.35">
      <c r="L1513" s="2"/>
      <c r="M1513" s="2"/>
      <c r="N1513" s="650"/>
      <c r="O1513" s="650"/>
      <c r="P1513" s="651"/>
      <c r="Q1513" s="651"/>
      <c r="R1513" s="651"/>
      <c r="S1513" s="651"/>
    </row>
    <row r="1514" spans="12:19" ht="15.75" customHeight="1" x14ac:dyDescent="0.35">
      <c r="L1514" s="2"/>
      <c r="M1514" s="2"/>
      <c r="N1514" s="650"/>
      <c r="O1514" s="650"/>
      <c r="P1514" s="651"/>
      <c r="Q1514" s="651"/>
      <c r="R1514" s="651"/>
      <c r="S1514" s="651"/>
    </row>
    <row r="1515" spans="12:19" ht="15.75" customHeight="1" x14ac:dyDescent="0.35">
      <c r="L1515" s="2"/>
      <c r="M1515" s="2"/>
      <c r="N1515" s="650"/>
      <c r="O1515" s="650"/>
      <c r="P1515" s="651"/>
      <c r="Q1515" s="651"/>
      <c r="R1515" s="651"/>
      <c r="S1515" s="651"/>
    </row>
    <row r="1516" spans="12:19" ht="15.75" customHeight="1" x14ac:dyDescent="0.35">
      <c r="L1516" s="2"/>
      <c r="M1516" s="2"/>
      <c r="N1516" s="650"/>
      <c r="O1516" s="650"/>
      <c r="P1516" s="651"/>
      <c r="Q1516" s="651"/>
      <c r="R1516" s="651"/>
      <c r="S1516" s="651"/>
    </row>
    <row r="1517" spans="12:19" ht="15.75" customHeight="1" x14ac:dyDescent="0.35">
      <c r="L1517" s="2"/>
      <c r="M1517" s="2"/>
      <c r="N1517" s="650"/>
      <c r="O1517" s="650"/>
      <c r="P1517" s="651"/>
      <c r="Q1517" s="651"/>
      <c r="R1517" s="651"/>
      <c r="S1517" s="651"/>
    </row>
    <row r="1518" spans="12:19" ht="15.75" customHeight="1" x14ac:dyDescent="0.35">
      <c r="L1518" s="2"/>
      <c r="M1518" s="2"/>
      <c r="N1518" s="650"/>
      <c r="O1518" s="650"/>
      <c r="P1518" s="651"/>
      <c r="Q1518" s="651"/>
      <c r="R1518" s="651"/>
      <c r="S1518" s="651"/>
    </row>
    <row r="1519" spans="12:19" ht="15.75" customHeight="1" x14ac:dyDescent="0.35">
      <c r="L1519" s="2"/>
      <c r="M1519" s="2"/>
      <c r="N1519" s="650"/>
      <c r="O1519" s="650"/>
      <c r="P1519" s="651"/>
      <c r="Q1519" s="651"/>
      <c r="R1519" s="651"/>
      <c r="S1519" s="651"/>
    </row>
    <row r="1520" spans="12:19" ht="15.75" customHeight="1" x14ac:dyDescent="0.35">
      <c r="L1520" s="2"/>
      <c r="M1520" s="2"/>
      <c r="N1520" s="650"/>
      <c r="O1520" s="650"/>
      <c r="P1520" s="651"/>
      <c r="Q1520" s="651"/>
      <c r="R1520" s="651"/>
      <c r="S1520" s="651"/>
    </row>
    <row r="1521" spans="12:19" ht="15.75" customHeight="1" x14ac:dyDescent="0.35">
      <c r="L1521" s="2"/>
      <c r="M1521" s="2"/>
      <c r="N1521" s="650"/>
      <c r="O1521" s="650"/>
      <c r="P1521" s="651"/>
      <c r="Q1521" s="651"/>
      <c r="R1521" s="651"/>
      <c r="S1521" s="651"/>
    </row>
    <row r="1522" spans="12:19" ht="15.75" customHeight="1" x14ac:dyDescent="0.35">
      <c r="L1522" s="2"/>
      <c r="M1522" s="2"/>
      <c r="N1522" s="650"/>
      <c r="O1522" s="650"/>
      <c r="P1522" s="651"/>
      <c r="Q1522" s="651"/>
      <c r="R1522" s="651"/>
      <c r="S1522" s="651"/>
    </row>
    <row r="1523" spans="12:19" ht="15.75" customHeight="1" x14ac:dyDescent="0.35">
      <c r="L1523" s="2"/>
      <c r="M1523" s="2"/>
      <c r="N1523" s="650"/>
      <c r="O1523" s="650"/>
      <c r="P1523" s="651"/>
      <c r="Q1523" s="651"/>
      <c r="R1523" s="651"/>
      <c r="S1523" s="651"/>
    </row>
    <row r="1524" spans="12:19" ht="15.75" customHeight="1" x14ac:dyDescent="0.35">
      <c r="L1524" s="2"/>
      <c r="M1524" s="2"/>
      <c r="N1524" s="650"/>
      <c r="O1524" s="650"/>
      <c r="P1524" s="651"/>
      <c r="Q1524" s="651"/>
      <c r="R1524" s="651"/>
      <c r="S1524" s="651"/>
    </row>
    <row r="1525" spans="12:19" ht="15.75" customHeight="1" x14ac:dyDescent="0.35">
      <c r="L1525" s="2"/>
      <c r="M1525" s="2"/>
      <c r="N1525" s="650"/>
      <c r="O1525" s="650"/>
      <c r="P1525" s="651"/>
      <c r="Q1525" s="651"/>
      <c r="R1525" s="651"/>
      <c r="S1525" s="651"/>
    </row>
    <row r="1526" spans="12:19" ht="15.75" customHeight="1" x14ac:dyDescent="0.35">
      <c r="L1526" s="2"/>
      <c r="M1526" s="2"/>
      <c r="N1526" s="650"/>
      <c r="O1526" s="650"/>
      <c r="P1526" s="651"/>
      <c r="Q1526" s="651"/>
      <c r="R1526" s="651"/>
      <c r="S1526" s="651"/>
    </row>
    <row r="1527" spans="12:19" ht="15.75" customHeight="1" x14ac:dyDescent="0.35">
      <c r="L1527" s="2"/>
      <c r="M1527" s="2"/>
      <c r="N1527" s="650"/>
      <c r="O1527" s="650"/>
      <c r="P1527" s="651"/>
      <c r="Q1527" s="651"/>
      <c r="R1527" s="651"/>
      <c r="S1527" s="651"/>
    </row>
    <row r="1528" spans="12:19" ht="15.75" customHeight="1" x14ac:dyDescent="0.35">
      <c r="L1528" s="2"/>
      <c r="M1528" s="2"/>
      <c r="N1528" s="650"/>
      <c r="O1528" s="650"/>
      <c r="P1528" s="651"/>
      <c r="Q1528" s="651"/>
      <c r="R1528" s="651"/>
      <c r="S1528" s="651"/>
    </row>
    <row r="1529" spans="12:19" ht="15.75" customHeight="1" x14ac:dyDescent="0.35">
      <c r="L1529" s="2"/>
      <c r="M1529" s="2"/>
      <c r="N1529" s="650"/>
      <c r="O1529" s="650"/>
      <c r="P1529" s="651"/>
      <c r="Q1529" s="651"/>
      <c r="R1529" s="651"/>
      <c r="S1529" s="651"/>
    </row>
    <row r="1530" spans="12:19" ht="15.75" customHeight="1" x14ac:dyDescent="0.35">
      <c r="L1530" s="2"/>
      <c r="M1530" s="2"/>
      <c r="N1530" s="650"/>
      <c r="O1530" s="650"/>
      <c r="P1530" s="651"/>
      <c r="Q1530" s="651"/>
      <c r="R1530" s="651"/>
      <c r="S1530" s="651"/>
    </row>
    <row r="1531" spans="12:19" ht="15.75" customHeight="1" x14ac:dyDescent="0.35">
      <c r="L1531" s="2"/>
      <c r="M1531" s="2"/>
      <c r="N1531" s="650"/>
      <c r="O1531" s="650"/>
      <c r="P1531" s="651"/>
      <c r="Q1531" s="651"/>
      <c r="R1531" s="651"/>
      <c r="S1531" s="651"/>
    </row>
    <row r="1532" spans="12:19" ht="15.75" customHeight="1" x14ac:dyDescent="0.35">
      <c r="L1532" s="2"/>
      <c r="M1532" s="2"/>
      <c r="N1532" s="650"/>
      <c r="O1532" s="650"/>
      <c r="P1532" s="651"/>
      <c r="Q1532" s="651"/>
      <c r="R1532" s="651"/>
      <c r="S1532" s="651"/>
    </row>
    <row r="1533" spans="12:19" ht="15.75" customHeight="1" x14ac:dyDescent="0.35">
      <c r="L1533" s="2"/>
      <c r="M1533" s="2"/>
      <c r="N1533" s="650"/>
      <c r="O1533" s="650"/>
      <c r="P1533" s="651"/>
      <c r="Q1533" s="651"/>
      <c r="R1533" s="651"/>
      <c r="S1533" s="651"/>
    </row>
    <row r="1534" spans="12:19" ht="15.75" customHeight="1" x14ac:dyDescent="0.35">
      <c r="L1534" s="2"/>
      <c r="M1534" s="2"/>
      <c r="N1534" s="650"/>
      <c r="O1534" s="650"/>
      <c r="P1534" s="651"/>
      <c r="Q1534" s="651"/>
      <c r="R1534" s="651"/>
      <c r="S1534" s="651"/>
    </row>
    <row r="1535" spans="12:19" ht="15.75" customHeight="1" x14ac:dyDescent="0.35">
      <c r="L1535" s="2"/>
      <c r="M1535" s="2"/>
      <c r="N1535" s="650"/>
      <c r="O1535" s="650"/>
      <c r="P1535" s="651"/>
      <c r="Q1535" s="651"/>
      <c r="R1535" s="651"/>
      <c r="S1535" s="651"/>
    </row>
    <row r="1536" spans="12:19" ht="15.75" customHeight="1" x14ac:dyDescent="0.35">
      <c r="L1536" s="2"/>
      <c r="M1536" s="2"/>
      <c r="N1536" s="650"/>
      <c r="O1536" s="650"/>
      <c r="P1536" s="651"/>
      <c r="Q1536" s="651"/>
      <c r="R1536" s="651"/>
      <c r="S1536" s="651"/>
    </row>
    <row r="1537" spans="12:19" ht="15.75" customHeight="1" x14ac:dyDescent="0.35">
      <c r="L1537" s="2"/>
      <c r="M1537" s="2"/>
      <c r="N1537" s="650"/>
      <c r="O1537" s="650"/>
      <c r="P1537" s="651"/>
      <c r="Q1537" s="651"/>
      <c r="R1537" s="651"/>
      <c r="S1537" s="651"/>
    </row>
    <row r="1538" spans="12:19" ht="15.75" customHeight="1" x14ac:dyDescent="0.35">
      <c r="L1538" s="2"/>
      <c r="M1538" s="2"/>
      <c r="N1538" s="650"/>
      <c r="O1538" s="650"/>
      <c r="P1538" s="651"/>
      <c r="Q1538" s="651"/>
      <c r="R1538" s="651"/>
      <c r="S1538" s="651"/>
    </row>
    <row r="1539" spans="12:19" ht="15.75" customHeight="1" x14ac:dyDescent="0.35">
      <c r="L1539" s="2"/>
      <c r="M1539" s="2"/>
      <c r="N1539" s="650"/>
      <c r="O1539" s="650"/>
      <c r="P1539" s="651"/>
      <c r="Q1539" s="651"/>
      <c r="R1539" s="651"/>
      <c r="S1539" s="651"/>
    </row>
    <row r="1540" spans="12:19" ht="15.75" customHeight="1" x14ac:dyDescent="0.35">
      <c r="L1540" s="2"/>
      <c r="M1540" s="2"/>
      <c r="N1540" s="650"/>
      <c r="O1540" s="650"/>
      <c r="P1540" s="651"/>
      <c r="Q1540" s="651"/>
      <c r="R1540" s="651"/>
      <c r="S1540" s="651"/>
    </row>
    <row r="1541" spans="12:19" ht="15.75" customHeight="1" x14ac:dyDescent="0.35">
      <c r="L1541" s="2"/>
      <c r="M1541" s="2"/>
      <c r="N1541" s="650"/>
      <c r="O1541" s="650"/>
      <c r="P1541" s="651"/>
      <c r="Q1541" s="651"/>
      <c r="R1541" s="651"/>
      <c r="S1541" s="651"/>
    </row>
    <row r="1542" spans="12:19" ht="15.75" customHeight="1" x14ac:dyDescent="0.35">
      <c r="L1542" s="2"/>
      <c r="M1542" s="2"/>
      <c r="N1542" s="650"/>
      <c r="O1542" s="650"/>
      <c r="P1542" s="651"/>
      <c r="Q1542" s="651"/>
      <c r="R1542" s="651"/>
      <c r="S1542" s="651"/>
    </row>
    <row r="1543" spans="12:19" ht="15.75" customHeight="1" x14ac:dyDescent="0.35">
      <c r="L1543" s="2"/>
      <c r="M1543" s="2"/>
      <c r="N1543" s="650"/>
      <c r="O1543" s="650"/>
      <c r="P1543" s="651"/>
      <c r="Q1543" s="651"/>
      <c r="R1543" s="651"/>
      <c r="S1543" s="651"/>
    </row>
    <row r="1544" spans="12:19" ht="15.75" customHeight="1" x14ac:dyDescent="0.35">
      <c r="L1544" s="2"/>
      <c r="M1544" s="2"/>
      <c r="N1544" s="650"/>
      <c r="O1544" s="650"/>
      <c r="P1544" s="651"/>
      <c r="Q1544" s="651"/>
      <c r="R1544" s="651"/>
      <c r="S1544" s="651"/>
    </row>
    <row r="1545" spans="12:19" ht="15.75" customHeight="1" x14ac:dyDescent="0.35">
      <c r="L1545" s="2"/>
      <c r="M1545" s="2"/>
      <c r="N1545" s="650"/>
      <c r="O1545" s="650"/>
      <c r="P1545" s="651"/>
      <c r="Q1545" s="651"/>
      <c r="R1545" s="651"/>
      <c r="S1545" s="651"/>
    </row>
    <row r="1546" spans="12:19" ht="15.75" customHeight="1" x14ac:dyDescent="0.35">
      <c r="L1546" s="2"/>
      <c r="M1546" s="2"/>
      <c r="N1546" s="650"/>
      <c r="O1546" s="650"/>
      <c r="P1546" s="651"/>
      <c r="Q1546" s="651"/>
      <c r="R1546" s="651"/>
      <c r="S1546" s="651"/>
    </row>
    <row r="1547" spans="12:19" ht="15.75" customHeight="1" x14ac:dyDescent="0.35">
      <c r="L1547" s="2"/>
      <c r="M1547" s="2"/>
      <c r="N1547" s="650"/>
      <c r="O1547" s="650"/>
      <c r="P1547" s="651"/>
      <c r="Q1547" s="651"/>
      <c r="R1547" s="651"/>
      <c r="S1547" s="651"/>
    </row>
    <row r="1548" spans="12:19" ht="15.75" customHeight="1" x14ac:dyDescent="0.35">
      <c r="L1548" s="2"/>
      <c r="M1548" s="2"/>
      <c r="N1548" s="650"/>
      <c r="O1548" s="650"/>
      <c r="P1548" s="651"/>
      <c r="Q1548" s="651"/>
      <c r="R1548" s="651"/>
      <c r="S1548" s="651"/>
    </row>
    <row r="1549" spans="12:19" ht="15.75" customHeight="1" x14ac:dyDescent="0.35">
      <c r="L1549" s="2"/>
      <c r="M1549" s="2"/>
      <c r="N1549" s="650"/>
      <c r="O1549" s="650"/>
      <c r="P1549" s="651"/>
      <c r="Q1549" s="651"/>
      <c r="R1549" s="651"/>
      <c r="S1549" s="651"/>
    </row>
    <row r="1550" spans="12:19" ht="15.75" customHeight="1" x14ac:dyDescent="0.35">
      <c r="L1550" s="2"/>
      <c r="M1550" s="2"/>
      <c r="N1550" s="650"/>
      <c r="O1550" s="650"/>
      <c r="P1550" s="651"/>
      <c r="Q1550" s="651"/>
      <c r="R1550" s="651"/>
      <c r="S1550" s="651"/>
    </row>
    <row r="1551" spans="12:19" ht="15.75" customHeight="1" x14ac:dyDescent="0.35">
      <c r="L1551" s="2"/>
      <c r="M1551" s="2"/>
      <c r="N1551" s="650"/>
      <c r="O1551" s="650"/>
      <c r="P1551" s="651"/>
      <c r="Q1551" s="651"/>
      <c r="R1551" s="651"/>
      <c r="S1551" s="651"/>
    </row>
    <row r="1552" spans="12:19" ht="15.75" customHeight="1" x14ac:dyDescent="0.35">
      <c r="L1552" s="2"/>
      <c r="M1552" s="2"/>
      <c r="N1552" s="650"/>
      <c r="O1552" s="650"/>
      <c r="P1552" s="651"/>
      <c r="Q1552" s="651"/>
      <c r="R1552" s="651"/>
      <c r="S1552" s="651"/>
    </row>
    <row r="1553" spans="12:19" ht="15.75" customHeight="1" x14ac:dyDescent="0.35">
      <c r="L1553" s="2"/>
      <c r="M1553" s="2"/>
      <c r="N1553" s="650"/>
      <c r="O1553" s="650"/>
      <c r="P1553" s="651"/>
      <c r="Q1553" s="651"/>
      <c r="R1553" s="651"/>
      <c r="S1553" s="651"/>
    </row>
    <row r="1554" spans="12:19" ht="15.75" customHeight="1" x14ac:dyDescent="0.35">
      <c r="L1554" s="2"/>
      <c r="M1554" s="2"/>
      <c r="N1554" s="650"/>
      <c r="O1554" s="650"/>
      <c r="P1554" s="651"/>
      <c r="Q1554" s="651"/>
      <c r="R1554" s="651"/>
      <c r="S1554" s="651"/>
    </row>
    <row r="1555" spans="12:19" ht="15.75" customHeight="1" x14ac:dyDescent="0.35">
      <c r="L1555" s="2"/>
      <c r="M1555" s="2"/>
      <c r="N1555" s="650"/>
      <c r="O1555" s="650"/>
      <c r="P1555" s="651"/>
      <c r="Q1555" s="651"/>
      <c r="R1555" s="651"/>
      <c r="S1555" s="651"/>
    </row>
    <row r="1556" spans="12:19" ht="15.75" customHeight="1" x14ac:dyDescent="0.35">
      <c r="L1556" s="2"/>
      <c r="M1556" s="2"/>
      <c r="N1556" s="650"/>
      <c r="O1556" s="650"/>
      <c r="P1556" s="651"/>
      <c r="Q1556" s="651"/>
      <c r="R1556" s="651"/>
      <c r="S1556" s="651"/>
    </row>
    <row r="1557" spans="12:19" ht="15.75" customHeight="1" x14ac:dyDescent="0.35">
      <c r="L1557" s="2"/>
      <c r="M1557" s="2"/>
      <c r="N1557" s="650"/>
      <c r="O1557" s="650"/>
      <c r="P1557" s="651"/>
      <c r="Q1557" s="651"/>
      <c r="R1557" s="651"/>
      <c r="S1557" s="651"/>
    </row>
    <row r="1558" spans="12:19" ht="15.75" customHeight="1" x14ac:dyDescent="0.35">
      <c r="L1558" s="2"/>
      <c r="M1558" s="2"/>
      <c r="N1558" s="650"/>
      <c r="O1558" s="650"/>
      <c r="P1558" s="651"/>
      <c r="Q1558" s="651"/>
      <c r="R1558" s="651"/>
      <c r="S1558" s="651"/>
    </row>
    <row r="1559" spans="12:19" ht="15.75" customHeight="1" x14ac:dyDescent="0.35">
      <c r="L1559" s="2"/>
      <c r="M1559" s="2"/>
      <c r="N1559" s="650"/>
      <c r="O1559" s="650"/>
      <c r="P1559" s="651"/>
      <c r="Q1559" s="651"/>
      <c r="R1559" s="651"/>
      <c r="S1559" s="651"/>
    </row>
    <row r="1560" spans="12:19" ht="15.75" customHeight="1" x14ac:dyDescent="0.35">
      <c r="L1560" s="2"/>
      <c r="M1560" s="2"/>
      <c r="N1560" s="650"/>
      <c r="O1560" s="650"/>
      <c r="P1560" s="651"/>
      <c r="Q1560" s="651"/>
      <c r="R1560" s="651"/>
      <c r="S1560" s="651"/>
    </row>
    <row r="1561" spans="12:19" ht="15.75" customHeight="1" x14ac:dyDescent="0.35">
      <c r="L1561" s="2"/>
      <c r="M1561" s="2"/>
      <c r="N1561" s="650"/>
      <c r="O1561" s="650"/>
      <c r="P1561" s="651"/>
      <c r="Q1561" s="651"/>
      <c r="R1561" s="651"/>
      <c r="S1561" s="651"/>
    </row>
    <row r="1562" spans="12:19" ht="15.75" customHeight="1" x14ac:dyDescent="0.35">
      <c r="L1562" s="2"/>
      <c r="M1562" s="2"/>
      <c r="N1562" s="650"/>
      <c r="O1562" s="650"/>
      <c r="P1562" s="651"/>
      <c r="Q1562" s="651"/>
      <c r="R1562" s="651"/>
      <c r="S1562" s="651"/>
    </row>
    <row r="1563" spans="12:19" ht="15.75" customHeight="1" x14ac:dyDescent="0.35">
      <c r="L1563" s="2"/>
      <c r="M1563" s="2"/>
      <c r="N1563" s="650"/>
      <c r="O1563" s="650"/>
      <c r="P1563" s="651"/>
      <c r="Q1563" s="651"/>
      <c r="R1563" s="651"/>
      <c r="S1563" s="651"/>
    </row>
    <row r="1564" spans="12:19" ht="15.75" customHeight="1" x14ac:dyDescent="0.35">
      <c r="L1564" s="2"/>
      <c r="M1564" s="2"/>
      <c r="N1564" s="650"/>
      <c r="O1564" s="650"/>
      <c r="P1564" s="651"/>
      <c r="Q1564" s="651"/>
      <c r="R1564" s="651"/>
      <c r="S1564" s="651"/>
    </row>
    <row r="1565" spans="12:19" ht="15.75" customHeight="1" x14ac:dyDescent="0.35">
      <c r="L1565" s="2"/>
      <c r="M1565" s="2"/>
      <c r="N1565" s="650"/>
      <c r="O1565" s="650"/>
      <c r="P1565" s="651"/>
      <c r="Q1565" s="651"/>
      <c r="R1565" s="651"/>
      <c r="S1565" s="651"/>
    </row>
    <row r="1566" spans="12:19" ht="15.75" customHeight="1" x14ac:dyDescent="0.35">
      <c r="L1566" s="2"/>
      <c r="M1566" s="2"/>
      <c r="N1566" s="650"/>
      <c r="O1566" s="650"/>
      <c r="P1566" s="651"/>
      <c r="Q1566" s="651"/>
      <c r="R1566" s="651"/>
      <c r="S1566" s="651"/>
    </row>
    <row r="1567" spans="12:19" ht="15.75" customHeight="1" x14ac:dyDescent="0.35">
      <c r="L1567" s="2"/>
      <c r="M1567" s="2"/>
      <c r="N1567" s="650"/>
      <c r="O1567" s="650"/>
      <c r="P1567" s="651"/>
      <c r="Q1567" s="651"/>
      <c r="R1567" s="651"/>
      <c r="S1567" s="651"/>
    </row>
    <row r="1568" spans="12:19" ht="15.75" customHeight="1" x14ac:dyDescent="0.35">
      <c r="L1568" s="2"/>
      <c r="M1568" s="2"/>
      <c r="N1568" s="650"/>
      <c r="O1568" s="650"/>
      <c r="P1568" s="651"/>
      <c r="Q1568" s="651"/>
      <c r="R1568" s="651"/>
      <c r="S1568" s="651"/>
    </row>
    <row r="1569" spans="12:19" ht="15.75" customHeight="1" x14ac:dyDescent="0.35">
      <c r="L1569" s="2"/>
      <c r="M1569" s="2"/>
      <c r="N1569" s="650"/>
      <c r="O1569" s="650"/>
      <c r="P1569" s="651"/>
      <c r="Q1569" s="651"/>
      <c r="R1569" s="651"/>
      <c r="S1569" s="651"/>
    </row>
    <row r="1570" spans="12:19" ht="15.75" customHeight="1" x14ac:dyDescent="0.35">
      <c r="L1570" s="2"/>
      <c r="M1570" s="2"/>
      <c r="N1570" s="650"/>
      <c r="O1570" s="650"/>
      <c r="P1570" s="651"/>
      <c r="Q1570" s="651"/>
      <c r="R1570" s="651"/>
      <c r="S1570" s="651"/>
    </row>
    <row r="1571" spans="12:19" ht="15.75" customHeight="1" x14ac:dyDescent="0.35">
      <c r="L1571" s="2"/>
      <c r="M1571" s="2"/>
      <c r="N1571" s="650"/>
      <c r="O1571" s="650"/>
      <c r="P1571" s="651"/>
      <c r="Q1571" s="651"/>
      <c r="R1571" s="651"/>
      <c r="S1571" s="651"/>
    </row>
    <row r="1572" spans="12:19" ht="15.75" customHeight="1" x14ac:dyDescent="0.35">
      <c r="L1572" s="2"/>
      <c r="M1572" s="2"/>
      <c r="N1572" s="650"/>
      <c r="O1572" s="650"/>
      <c r="P1572" s="651"/>
      <c r="Q1572" s="651"/>
      <c r="R1572" s="651"/>
      <c r="S1572" s="651"/>
    </row>
    <row r="1573" spans="12:19" ht="15.75" customHeight="1" x14ac:dyDescent="0.35">
      <c r="L1573" s="2"/>
      <c r="M1573" s="2"/>
      <c r="N1573" s="650"/>
      <c r="O1573" s="650"/>
      <c r="P1573" s="651"/>
      <c r="Q1573" s="651"/>
      <c r="R1573" s="651"/>
      <c r="S1573" s="651"/>
    </row>
    <row r="1574" spans="12:19" ht="15.75" customHeight="1" x14ac:dyDescent="0.35">
      <c r="L1574" s="2"/>
      <c r="M1574" s="2"/>
      <c r="N1574" s="650"/>
      <c r="O1574" s="650"/>
      <c r="P1574" s="651"/>
      <c r="Q1574" s="651"/>
      <c r="R1574" s="651"/>
      <c r="S1574" s="651"/>
    </row>
    <row r="1575" spans="12:19" ht="15.75" customHeight="1" x14ac:dyDescent="0.35">
      <c r="L1575" s="2"/>
      <c r="M1575" s="2"/>
      <c r="N1575" s="650"/>
      <c r="O1575" s="650"/>
      <c r="P1575" s="651"/>
      <c r="Q1575" s="651"/>
      <c r="R1575" s="651"/>
      <c r="S1575" s="651"/>
    </row>
    <row r="1576" spans="12:19" ht="15.75" customHeight="1" x14ac:dyDescent="0.35">
      <c r="L1576" s="2"/>
      <c r="M1576" s="2"/>
      <c r="N1576" s="650"/>
      <c r="O1576" s="650"/>
      <c r="P1576" s="651"/>
      <c r="Q1576" s="651"/>
      <c r="R1576" s="651"/>
      <c r="S1576" s="651"/>
    </row>
    <row r="1577" spans="12:19" ht="15.75" customHeight="1" x14ac:dyDescent="0.35">
      <c r="L1577" s="2"/>
      <c r="M1577" s="2"/>
      <c r="N1577" s="650"/>
      <c r="O1577" s="650"/>
      <c r="P1577" s="651"/>
      <c r="Q1577" s="651"/>
      <c r="R1577" s="651"/>
      <c r="S1577" s="651"/>
    </row>
    <row r="1578" spans="12:19" ht="15.75" customHeight="1" x14ac:dyDescent="0.35">
      <c r="L1578" s="2"/>
      <c r="M1578" s="2"/>
      <c r="N1578" s="650"/>
      <c r="O1578" s="650"/>
      <c r="P1578" s="651"/>
      <c r="Q1578" s="651"/>
      <c r="R1578" s="651"/>
      <c r="S1578" s="651"/>
    </row>
    <row r="1579" spans="12:19" ht="15.75" customHeight="1" x14ac:dyDescent="0.35">
      <c r="L1579" s="2"/>
      <c r="M1579" s="2"/>
      <c r="N1579" s="650"/>
      <c r="O1579" s="650"/>
      <c r="P1579" s="651"/>
      <c r="Q1579" s="651"/>
      <c r="R1579" s="651"/>
      <c r="S1579" s="651"/>
    </row>
    <row r="1580" spans="12:19" ht="15.75" customHeight="1" x14ac:dyDescent="0.35">
      <c r="L1580" s="2"/>
      <c r="M1580" s="2"/>
      <c r="N1580" s="650"/>
      <c r="O1580" s="650"/>
      <c r="P1580" s="651"/>
      <c r="Q1580" s="651"/>
      <c r="R1580" s="651"/>
      <c r="S1580" s="651"/>
    </row>
    <row r="1581" spans="12:19" ht="15.75" customHeight="1" x14ac:dyDescent="0.35">
      <c r="L1581" s="2"/>
      <c r="M1581" s="2"/>
      <c r="N1581" s="650"/>
      <c r="O1581" s="650"/>
      <c r="P1581" s="651"/>
      <c r="Q1581" s="651"/>
      <c r="R1581" s="651"/>
      <c r="S1581" s="651"/>
    </row>
    <row r="1582" spans="12:19" ht="15.75" customHeight="1" x14ac:dyDescent="0.35">
      <c r="L1582" s="2"/>
      <c r="M1582" s="2"/>
      <c r="N1582" s="650"/>
      <c r="O1582" s="650"/>
      <c r="P1582" s="651"/>
      <c r="Q1582" s="651"/>
      <c r="R1582" s="651"/>
      <c r="S1582" s="651"/>
    </row>
    <row r="1583" spans="12:19" ht="15.75" customHeight="1" x14ac:dyDescent="0.35">
      <c r="L1583" s="2"/>
      <c r="M1583" s="2"/>
      <c r="N1583" s="650"/>
      <c r="O1583" s="650"/>
      <c r="P1583" s="651"/>
      <c r="Q1583" s="651"/>
      <c r="R1583" s="651"/>
      <c r="S1583" s="651"/>
    </row>
    <row r="1584" spans="12:19" ht="15.75" customHeight="1" x14ac:dyDescent="0.35">
      <c r="L1584" s="2"/>
      <c r="M1584" s="2"/>
      <c r="N1584" s="650"/>
      <c r="O1584" s="650"/>
      <c r="P1584" s="651"/>
      <c r="Q1584" s="651"/>
      <c r="R1584" s="651"/>
      <c r="S1584" s="651"/>
    </row>
    <row r="1585" spans="12:19" ht="15.75" customHeight="1" x14ac:dyDescent="0.35">
      <c r="L1585" s="2"/>
      <c r="M1585" s="2"/>
      <c r="N1585" s="650"/>
      <c r="O1585" s="650"/>
      <c r="P1585" s="651"/>
      <c r="Q1585" s="651"/>
      <c r="R1585" s="651"/>
      <c r="S1585" s="651"/>
    </row>
    <row r="1586" spans="12:19" ht="15.75" customHeight="1" x14ac:dyDescent="0.35">
      <c r="L1586" s="2"/>
      <c r="M1586" s="2"/>
      <c r="N1586" s="650"/>
      <c r="O1586" s="650"/>
      <c r="P1586" s="651"/>
      <c r="Q1586" s="651"/>
      <c r="R1586" s="651"/>
      <c r="S1586" s="651"/>
    </row>
    <row r="1587" spans="12:19" ht="15.75" customHeight="1" x14ac:dyDescent="0.35">
      <c r="L1587" s="2"/>
      <c r="M1587" s="2"/>
      <c r="N1587" s="650"/>
      <c r="O1587" s="650"/>
      <c r="P1587" s="651"/>
      <c r="Q1587" s="651"/>
      <c r="R1587" s="651"/>
      <c r="S1587" s="651"/>
    </row>
    <row r="1588" spans="12:19" ht="15.75" customHeight="1" x14ac:dyDescent="0.35">
      <c r="L1588" s="2"/>
      <c r="M1588" s="2"/>
      <c r="N1588" s="650"/>
      <c r="O1588" s="650"/>
      <c r="P1588" s="651"/>
      <c r="Q1588" s="651"/>
      <c r="R1588" s="651"/>
      <c r="S1588" s="651"/>
    </row>
    <row r="1589" spans="12:19" ht="15.75" customHeight="1" x14ac:dyDescent="0.35">
      <c r="L1589" s="2"/>
      <c r="M1589" s="2"/>
      <c r="N1589" s="650"/>
      <c r="O1589" s="650"/>
      <c r="P1589" s="651"/>
      <c r="Q1589" s="651"/>
      <c r="R1589" s="651"/>
      <c r="S1589" s="651"/>
    </row>
    <row r="1590" spans="12:19" ht="15.75" customHeight="1" x14ac:dyDescent="0.35">
      <c r="L1590" s="2"/>
      <c r="M1590" s="2"/>
      <c r="N1590" s="650"/>
      <c r="O1590" s="650"/>
      <c r="P1590" s="651"/>
      <c r="Q1590" s="651"/>
      <c r="R1590" s="651"/>
      <c r="S1590" s="651"/>
    </row>
    <row r="1591" spans="12:19" ht="15.75" customHeight="1" x14ac:dyDescent="0.35">
      <c r="L1591" s="2"/>
      <c r="M1591" s="2"/>
      <c r="N1591" s="650"/>
      <c r="O1591" s="650"/>
      <c r="P1591" s="651"/>
      <c r="Q1591" s="651"/>
      <c r="R1591" s="651"/>
      <c r="S1591" s="651"/>
    </row>
    <row r="1592" spans="12:19" ht="15.75" customHeight="1" x14ac:dyDescent="0.35">
      <c r="L1592" s="2"/>
      <c r="M1592" s="2"/>
      <c r="N1592" s="650"/>
      <c r="O1592" s="650"/>
      <c r="P1592" s="651"/>
      <c r="Q1592" s="651"/>
      <c r="R1592" s="651"/>
      <c r="S1592" s="651"/>
    </row>
    <row r="1593" spans="12:19" ht="15.75" customHeight="1" x14ac:dyDescent="0.35">
      <c r="L1593" s="2"/>
      <c r="M1593" s="2"/>
      <c r="N1593" s="650"/>
      <c r="O1593" s="650"/>
      <c r="P1593" s="651"/>
      <c r="Q1593" s="651"/>
      <c r="R1593" s="651"/>
      <c r="S1593" s="651"/>
    </row>
    <row r="1594" spans="12:19" ht="15.75" customHeight="1" x14ac:dyDescent="0.35">
      <c r="L1594" s="2"/>
      <c r="M1594" s="2"/>
      <c r="N1594" s="650"/>
      <c r="O1594" s="650"/>
      <c r="P1594" s="651"/>
      <c r="Q1594" s="651"/>
      <c r="R1594" s="651"/>
      <c r="S1594" s="651"/>
    </row>
    <row r="1595" spans="12:19" ht="15.75" customHeight="1" x14ac:dyDescent="0.35">
      <c r="L1595" s="2"/>
      <c r="M1595" s="2"/>
      <c r="N1595" s="650"/>
      <c r="O1595" s="650"/>
      <c r="P1595" s="651"/>
      <c r="Q1595" s="651"/>
      <c r="R1595" s="651"/>
      <c r="S1595" s="651"/>
    </row>
    <row r="1596" spans="12:19" ht="15.75" customHeight="1" x14ac:dyDescent="0.35">
      <c r="L1596" s="2"/>
      <c r="M1596" s="2"/>
      <c r="N1596" s="650"/>
      <c r="O1596" s="650"/>
      <c r="P1596" s="651"/>
      <c r="Q1596" s="651"/>
      <c r="R1596" s="651"/>
      <c r="S1596" s="651"/>
    </row>
    <row r="1597" spans="12:19" ht="15.75" customHeight="1" x14ac:dyDescent="0.35">
      <c r="L1597" s="2"/>
      <c r="M1597" s="2"/>
      <c r="N1597" s="650"/>
      <c r="O1597" s="650"/>
      <c r="P1597" s="651"/>
      <c r="Q1597" s="651"/>
      <c r="R1597" s="651"/>
      <c r="S1597" s="651"/>
    </row>
    <row r="1598" spans="12:19" ht="15.75" customHeight="1" x14ac:dyDescent="0.35">
      <c r="L1598" s="2"/>
      <c r="M1598" s="2"/>
      <c r="N1598" s="650"/>
      <c r="O1598" s="650"/>
      <c r="P1598" s="651"/>
      <c r="Q1598" s="651"/>
      <c r="R1598" s="651"/>
      <c r="S1598" s="651"/>
    </row>
    <row r="1599" spans="12:19" ht="15.75" customHeight="1" x14ac:dyDescent="0.35">
      <c r="L1599" s="2"/>
      <c r="M1599" s="2"/>
      <c r="N1599" s="650"/>
      <c r="O1599" s="650"/>
      <c r="P1599" s="651"/>
      <c r="Q1599" s="651"/>
      <c r="R1599" s="651"/>
      <c r="S1599" s="651"/>
    </row>
    <row r="1600" spans="12:19" ht="15.75" customHeight="1" x14ac:dyDescent="0.35">
      <c r="L1600" s="2"/>
      <c r="M1600" s="2"/>
      <c r="N1600" s="650"/>
      <c r="O1600" s="650"/>
      <c r="P1600" s="651"/>
      <c r="Q1600" s="651"/>
      <c r="R1600" s="651"/>
      <c r="S1600" s="651"/>
    </row>
    <row r="1601" spans="12:19" ht="15.75" customHeight="1" x14ac:dyDescent="0.35">
      <c r="L1601" s="2"/>
      <c r="M1601" s="2"/>
      <c r="N1601" s="650"/>
      <c r="O1601" s="650"/>
      <c r="P1601" s="651"/>
      <c r="Q1601" s="651"/>
      <c r="R1601" s="651"/>
      <c r="S1601" s="651"/>
    </row>
    <row r="1602" spans="12:19" ht="15.75" customHeight="1" x14ac:dyDescent="0.35">
      <c r="L1602" s="2"/>
      <c r="M1602" s="2"/>
      <c r="N1602" s="650"/>
      <c r="O1602" s="650"/>
      <c r="P1602" s="651"/>
      <c r="Q1602" s="651"/>
      <c r="R1602" s="651"/>
      <c r="S1602" s="651"/>
    </row>
    <row r="1603" spans="12:19" ht="15.75" customHeight="1" x14ac:dyDescent="0.35">
      <c r="L1603" s="2"/>
      <c r="M1603" s="2"/>
      <c r="N1603" s="650"/>
      <c r="O1603" s="650"/>
      <c r="P1603" s="651"/>
      <c r="Q1603" s="651"/>
      <c r="R1603" s="651"/>
      <c r="S1603" s="651"/>
    </row>
    <row r="1604" spans="12:19" ht="15.75" customHeight="1" x14ac:dyDescent="0.35">
      <c r="L1604" s="2"/>
      <c r="M1604" s="2"/>
      <c r="N1604" s="650"/>
      <c r="O1604" s="650"/>
      <c r="P1604" s="651"/>
      <c r="Q1604" s="651"/>
      <c r="R1604" s="651"/>
      <c r="S1604" s="651"/>
    </row>
    <row r="1605" spans="12:19" ht="15.75" customHeight="1" x14ac:dyDescent="0.35">
      <c r="L1605" s="2"/>
      <c r="M1605" s="2"/>
      <c r="N1605" s="650"/>
      <c r="O1605" s="650"/>
      <c r="P1605" s="651"/>
      <c r="Q1605" s="651"/>
      <c r="R1605" s="651"/>
      <c r="S1605" s="651"/>
    </row>
    <row r="1606" spans="12:19" ht="15.75" customHeight="1" x14ac:dyDescent="0.35">
      <c r="L1606" s="2"/>
      <c r="M1606" s="2"/>
      <c r="N1606" s="650"/>
      <c r="O1606" s="650"/>
      <c r="P1606" s="651"/>
      <c r="Q1606" s="651"/>
      <c r="R1606" s="651"/>
      <c r="S1606" s="651"/>
    </row>
    <row r="1607" spans="12:19" ht="15.75" customHeight="1" x14ac:dyDescent="0.35">
      <c r="L1607" s="2"/>
      <c r="M1607" s="2"/>
      <c r="N1607" s="650"/>
      <c r="O1607" s="650"/>
      <c r="P1607" s="651"/>
      <c r="Q1607" s="651"/>
      <c r="R1607" s="651"/>
      <c r="S1607" s="651"/>
    </row>
    <row r="1608" spans="12:19" ht="15.75" customHeight="1" x14ac:dyDescent="0.35">
      <c r="L1608" s="2"/>
      <c r="M1608" s="2"/>
      <c r="N1608" s="650"/>
      <c r="O1608" s="650"/>
      <c r="P1608" s="651"/>
      <c r="Q1608" s="651"/>
      <c r="R1608" s="651"/>
      <c r="S1608" s="651"/>
    </row>
    <row r="1609" spans="12:19" ht="15.75" customHeight="1" x14ac:dyDescent="0.35">
      <c r="L1609" s="2"/>
      <c r="M1609" s="2"/>
      <c r="N1609" s="650"/>
      <c r="O1609" s="650"/>
      <c r="P1609" s="651"/>
      <c r="Q1609" s="651"/>
      <c r="R1609" s="651"/>
      <c r="S1609" s="651"/>
    </row>
    <row r="1610" spans="12:19" ht="15.75" customHeight="1" x14ac:dyDescent="0.35">
      <c r="L1610" s="2"/>
      <c r="M1610" s="2"/>
      <c r="N1610" s="650"/>
      <c r="O1610" s="650"/>
      <c r="P1610" s="651"/>
      <c r="Q1610" s="651"/>
      <c r="R1610" s="651"/>
      <c r="S1610" s="651"/>
    </row>
    <row r="1611" spans="12:19" ht="15.75" customHeight="1" x14ac:dyDescent="0.35">
      <c r="L1611" s="2"/>
      <c r="M1611" s="2"/>
      <c r="N1611" s="650"/>
      <c r="O1611" s="650"/>
      <c r="P1611" s="651"/>
      <c r="Q1611" s="651"/>
      <c r="R1611" s="651"/>
      <c r="S1611" s="651"/>
    </row>
    <row r="1612" spans="12:19" ht="15.75" customHeight="1" x14ac:dyDescent="0.35">
      <c r="L1612" s="2"/>
      <c r="M1612" s="2"/>
      <c r="N1612" s="650"/>
      <c r="O1612" s="650"/>
      <c r="P1612" s="651"/>
      <c r="Q1612" s="651"/>
      <c r="R1612" s="651"/>
      <c r="S1612" s="651"/>
    </row>
    <row r="1613" spans="12:19" ht="15.75" customHeight="1" x14ac:dyDescent="0.35">
      <c r="L1613" s="2"/>
      <c r="M1613" s="2"/>
      <c r="N1613" s="650"/>
      <c r="O1613" s="650"/>
      <c r="P1613" s="651"/>
      <c r="Q1613" s="651"/>
      <c r="R1613" s="651"/>
      <c r="S1613" s="651"/>
    </row>
    <row r="1614" spans="12:19" ht="15.75" customHeight="1" x14ac:dyDescent="0.35">
      <c r="L1614" s="2"/>
      <c r="M1614" s="2"/>
      <c r="N1614" s="650"/>
      <c r="O1614" s="650"/>
      <c r="P1614" s="651"/>
      <c r="Q1614" s="651"/>
      <c r="R1614" s="651"/>
      <c r="S1614" s="651"/>
    </row>
    <row r="1615" spans="12:19" ht="15.75" customHeight="1" x14ac:dyDescent="0.35">
      <c r="L1615" s="2"/>
      <c r="M1615" s="2"/>
      <c r="N1615" s="650"/>
      <c r="O1615" s="650"/>
      <c r="P1615" s="651"/>
      <c r="Q1615" s="651"/>
      <c r="R1615" s="651"/>
      <c r="S1615" s="651"/>
    </row>
    <row r="1616" spans="12:19" ht="15.75" customHeight="1" x14ac:dyDescent="0.35">
      <c r="L1616" s="2"/>
      <c r="M1616" s="2"/>
      <c r="N1616" s="650"/>
      <c r="O1616" s="650"/>
      <c r="P1616" s="651"/>
      <c r="Q1616" s="651"/>
      <c r="R1616" s="651"/>
      <c r="S1616" s="651"/>
    </row>
    <row r="1617" spans="12:19" ht="15.75" customHeight="1" x14ac:dyDescent="0.35">
      <c r="L1617" s="2"/>
      <c r="M1617" s="2"/>
      <c r="N1617" s="650"/>
      <c r="O1617" s="650"/>
      <c r="P1617" s="651"/>
      <c r="Q1617" s="651"/>
      <c r="R1617" s="651"/>
      <c r="S1617" s="651"/>
    </row>
    <row r="1618" spans="12:19" ht="15.75" customHeight="1" x14ac:dyDescent="0.35">
      <c r="L1618" s="2"/>
      <c r="M1618" s="2"/>
      <c r="N1618" s="650"/>
      <c r="O1618" s="650"/>
      <c r="P1618" s="651"/>
      <c r="Q1618" s="651"/>
      <c r="R1618" s="651"/>
      <c r="S1618" s="651"/>
    </row>
    <row r="1619" spans="12:19" ht="15.75" customHeight="1" x14ac:dyDescent="0.35">
      <c r="L1619" s="2"/>
      <c r="M1619" s="2"/>
      <c r="N1619" s="650"/>
      <c r="O1619" s="650"/>
      <c r="P1619" s="651"/>
      <c r="Q1619" s="651"/>
      <c r="R1619" s="651"/>
      <c r="S1619" s="651"/>
    </row>
    <row r="1620" spans="12:19" ht="15.75" customHeight="1" x14ac:dyDescent="0.35">
      <c r="L1620" s="2"/>
      <c r="M1620" s="2"/>
      <c r="N1620" s="650"/>
      <c r="O1620" s="650"/>
      <c r="P1620" s="651"/>
      <c r="Q1620" s="651"/>
      <c r="R1620" s="651"/>
      <c r="S1620" s="651"/>
    </row>
    <row r="1621" spans="12:19" ht="15.75" customHeight="1" x14ac:dyDescent="0.35">
      <c r="L1621" s="2"/>
      <c r="M1621" s="2"/>
      <c r="N1621" s="650"/>
      <c r="O1621" s="650"/>
      <c r="P1621" s="651"/>
      <c r="Q1621" s="651"/>
      <c r="R1621" s="651"/>
      <c r="S1621" s="651"/>
    </row>
    <row r="1622" spans="12:19" ht="15.75" customHeight="1" x14ac:dyDescent="0.35">
      <c r="L1622" s="2"/>
      <c r="M1622" s="2"/>
      <c r="N1622" s="650"/>
      <c r="O1622" s="650"/>
      <c r="P1622" s="651"/>
      <c r="Q1622" s="651"/>
      <c r="R1622" s="651"/>
      <c r="S1622" s="651"/>
    </row>
    <row r="1623" spans="12:19" ht="15.75" customHeight="1" x14ac:dyDescent="0.35">
      <c r="L1623" s="2"/>
      <c r="M1623" s="2"/>
      <c r="N1623" s="650"/>
      <c r="O1623" s="650"/>
      <c r="P1623" s="651"/>
      <c r="Q1623" s="651"/>
      <c r="R1623" s="651"/>
      <c r="S1623" s="651"/>
    </row>
    <row r="1624" spans="12:19" ht="15.75" customHeight="1" x14ac:dyDescent="0.35">
      <c r="L1624" s="2"/>
      <c r="M1624" s="2"/>
      <c r="N1624" s="650"/>
      <c r="O1624" s="650"/>
      <c r="P1624" s="651"/>
      <c r="Q1624" s="651"/>
      <c r="R1624" s="651"/>
      <c r="S1624" s="651"/>
    </row>
    <row r="1625" spans="12:19" ht="15.75" customHeight="1" x14ac:dyDescent="0.35">
      <c r="L1625" s="2"/>
      <c r="M1625" s="2"/>
      <c r="N1625" s="650"/>
      <c r="O1625" s="650"/>
      <c r="P1625" s="651"/>
      <c r="Q1625" s="651"/>
      <c r="R1625" s="651"/>
      <c r="S1625" s="651"/>
    </row>
    <row r="1626" spans="12:19" ht="15.75" customHeight="1" x14ac:dyDescent="0.35">
      <c r="L1626" s="2"/>
      <c r="M1626" s="2"/>
      <c r="N1626" s="650"/>
      <c r="O1626" s="650"/>
      <c r="P1626" s="651"/>
      <c r="Q1626" s="651"/>
      <c r="R1626" s="651"/>
      <c r="S1626" s="651"/>
    </row>
    <row r="1627" spans="12:19" ht="15.75" customHeight="1" x14ac:dyDescent="0.35">
      <c r="L1627" s="2"/>
      <c r="M1627" s="2"/>
      <c r="N1627" s="650"/>
      <c r="O1627" s="650"/>
      <c r="P1627" s="651"/>
      <c r="Q1627" s="651"/>
      <c r="R1627" s="651"/>
      <c r="S1627" s="651"/>
    </row>
    <row r="1628" spans="12:19" ht="15.75" customHeight="1" x14ac:dyDescent="0.35">
      <c r="L1628" s="2"/>
      <c r="M1628" s="2"/>
      <c r="N1628" s="650"/>
      <c r="O1628" s="650"/>
      <c r="P1628" s="651"/>
      <c r="Q1628" s="651"/>
      <c r="R1628" s="651"/>
      <c r="S1628" s="651"/>
    </row>
    <row r="1629" spans="12:19" ht="15.75" customHeight="1" x14ac:dyDescent="0.35">
      <c r="L1629" s="2"/>
      <c r="M1629" s="2"/>
      <c r="N1629" s="650"/>
      <c r="O1629" s="650"/>
      <c r="P1629" s="651"/>
      <c r="Q1629" s="651"/>
      <c r="R1629" s="651"/>
      <c r="S1629" s="651"/>
    </row>
    <row r="1630" spans="12:19" ht="15.75" customHeight="1" x14ac:dyDescent="0.35">
      <c r="L1630" s="2"/>
      <c r="M1630" s="2"/>
      <c r="N1630" s="650"/>
      <c r="O1630" s="650"/>
      <c r="P1630" s="651"/>
      <c r="Q1630" s="651"/>
      <c r="R1630" s="651"/>
      <c r="S1630" s="651"/>
    </row>
    <row r="1631" spans="12:19" ht="15.75" customHeight="1" x14ac:dyDescent="0.35">
      <c r="L1631" s="2"/>
      <c r="M1631" s="2"/>
      <c r="N1631" s="650"/>
      <c r="O1631" s="650"/>
      <c r="P1631" s="651"/>
      <c r="Q1631" s="651"/>
      <c r="R1631" s="651"/>
      <c r="S1631" s="651"/>
    </row>
    <row r="1632" spans="12:19" ht="15.75" customHeight="1" x14ac:dyDescent="0.35">
      <c r="L1632" s="2"/>
      <c r="M1632" s="2"/>
      <c r="N1632" s="650"/>
      <c r="O1632" s="650"/>
      <c r="P1632" s="651"/>
      <c r="Q1632" s="651"/>
      <c r="R1632" s="651"/>
      <c r="S1632" s="651"/>
    </row>
    <row r="1633" spans="12:19" ht="15.75" customHeight="1" x14ac:dyDescent="0.35">
      <c r="L1633" s="2"/>
      <c r="M1633" s="2"/>
      <c r="N1633" s="650"/>
      <c r="O1633" s="650"/>
      <c r="P1633" s="651"/>
      <c r="Q1633" s="651"/>
      <c r="R1633" s="651"/>
      <c r="S1633" s="651"/>
    </row>
    <row r="1634" spans="12:19" ht="15.75" customHeight="1" x14ac:dyDescent="0.35">
      <c r="L1634" s="2"/>
      <c r="M1634" s="2"/>
      <c r="N1634" s="650"/>
      <c r="O1634" s="650"/>
      <c r="P1634" s="651"/>
      <c r="Q1634" s="651"/>
      <c r="R1634" s="651"/>
      <c r="S1634" s="651"/>
    </row>
    <row r="1635" spans="12:19" ht="15.75" customHeight="1" x14ac:dyDescent="0.35">
      <c r="L1635" s="2"/>
      <c r="M1635" s="2"/>
      <c r="N1635" s="650"/>
      <c r="O1635" s="650"/>
      <c r="P1635" s="651"/>
      <c r="Q1635" s="651"/>
      <c r="R1635" s="651"/>
      <c r="S1635" s="651"/>
    </row>
    <row r="1636" spans="12:19" ht="15.75" customHeight="1" x14ac:dyDescent="0.35">
      <c r="L1636" s="2"/>
      <c r="M1636" s="2"/>
      <c r="N1636" s="650"/>
      <c r="O1636" s="650"/>
      <c r="P1636" s="651"/>
      <c r="Q1636" s="651"/>
      <c r="R1636" s="651"/>
      <c r="S1636" s="651"/>
    </row>
    <row r="1637" spans="12:19" ht="15.75" customHeight="1" x14ac:dyDescent="0.35">
      <c r="L1637" s="2"/>
      <c r="M1637" s="2"/>
      <c r="N1637" s="650"/>
      <c r="O1637" s="650"/>
      <c r="P1637" s="651"/>
      <c r="Q1637" s="651"/>
      <c r="R1637" s="651"/>
      <c r="S1637" s="651"/>
    </row>
    <row r="1638" spans="12:19" ht="15.75" customHeight="1" x14ac:dyDescent="0.35">
      <c r="L1638" s="2"/>
      <c r="M1638" s="2"/>
      <c r="N1638" s="650"/>
      <c r="O1638" s="650"/>
      <c r="P1638" s="651"/>
      <c r="Q1638" s="651"/>
      <c r="R1638" s="651"/>
      <c r="S1638" s="651"/>
    </row>
    <row r="1639" spans="12:19" ht="15.75" customHeight="1" x14ac:dyDescent="0.35">
      <c r="L1639" s="2"/>
      <c r="M1639" s="2"/>
      <c r="N1639" s="650"/>
      <c r="O1639" s="650"/>
      <c r="P1639" s="651"/>
      <c r="Q1639" s="651"/>
      <c r="R1639" s="651"/>
      <c r="S1639" s="651"/>
    </row>
    <row r="1640" spans="12:19" ht="15.75" customHeight="1" x14ac:dyDescent="0.35">
      <c r="L1640" s="2"/>
      <c r="M1640" s="2"/>
      <c r="N1640" s="650"/>
      <c r="O1640" s="650"/>
      <c r="P1640" s="651"/>
      <c r="Q1640" s="651"/>
      <c r="R1640" s="651"/>
      <c r="S1640" s="651"/>
    </row>
    <row r="1641" spans="12:19" ht="15.75" customHeight="1" x14ac:dyDescent="0.35">
      <c r="L1641" s="2"/>
      <c r="M1641" s="2"/>
      <c r="N1641" s="650"/>
      <c r="O1641" s="650"/>
      <c r="P1641" s="651"/>
      <c r="Q1641" s="651"/>
      <c r="R1641" s="651"/>
      <c r="S1641" s="651"/>
    </row>
    <row r="1642" spans="12:19" ht="15.75" customHeight="1" x14ac:dyDescent="0.35">
      <c r="L1642" s="2"/>
      <c r="M1642" s="2"/>
      <c r="N1642" s="650"/>
      <c r="O1642" s="650"/>
      <c r="P1642" s="651"/>
      <c r="Q1642" s="651"/>
      <c r="R1642" s="651"/>
      <c r="S1642" s="651"/>
    </row>
    <row r="1643" spans="12:19" ht="15.75" customHeight="1" x14ac:dyDescent="0.35">
      <c r="L1643" s="2"/>
      <c r="M1643" s="2"/>
      <c r="N1643" s="650"/>
      <c r="O1643" s="650"/>
      <c r="P1643" s="651"/>
      <c r="Q1643" s="651"/>
      <c r="R1643" s="651"/>
      <c r="S1643" s="651"/>
    </row>
    <row r="1644" spans="12:19" ht="15.75" customHeight="1" x14ac:dyDescent="0.35">
      <c r="L1644" s="2"/>
      <c r="M1644" s="2"/>
      <c r="N1644" s="650"/>
      <c r="O1644" s="650"/>
      <c r="P1644" s="651"/>
      <c r="Q1644" s="651"/>
      <c r="R1644" s="651"/>
      <c r="S1644" s="651"/>
    </row>
    <row r="1645" spans="12:19" ht="15.75" customHeight="1" x14ac:dyDescent="0.35">
      <c r="L1645" s="2"/>
      <c r="M1645" s="2"/>
      <c r="N1645" s="650"/>
      <c r="O1645" s="650"/>
      <c r="P1645" s="651"/>
      <c r="Q1645" s="651"/>
      <c r="R1645" s="651"/>
      <c r="S1645" s="651"/>
    </row>
    <row r="1646" spans="12:19" ht="15.75" customHeight="1" x14ac:dyDescent="0.35">
      <c r="L1646" s="2"/>
      <c r="M1646" s="2"/>
      <c r="N1646" s="650"/>
      <c r="O1646" s="650"/>
      <c r="P1646" s="651"/>
      <c r="Q1646" s="651"/>
      <c r="R1646" s="651"/>
      <c r="S1646" s="651"/>
    </row>
    <row r="1647" spans="12:19" ht="15.75" customHeight="1" x14ac:dyDescent="0.35">
      <c r="L1647" s="2"/>
      <c r="M1647" s="2"/>
      <c r="N1647" s="650"/>
      <c r="O1647" s="650"/>
      <c r="P1647" s="651"/>
      <c r="Q1647" s="651"/>
      <c r="R1647" s="651"/>
      <c r="S1647" s="651"/>
    </row>
    <row r="1648" spans="12:19" ht="15.75" customHeight="1" x14ac:dyDescent="0.35">
      <c r="L1648" s="2"/>
      <c r="M1648" s="2"/>
      <c r="N1648" s="650"/>
      <c r="O1648" s="650"/>
      <c r="P1648" s="651"/>
      <c r="Q1648" s="651"/>
      <c r="R1648" s="651"/>
      <c r="S1648" s="651"/>
    </row>
    <row r="1649" spans="12:19" ht="15.75" customHeight="1" x14ac:dyDescent="0.35">
      <c r="L1649" s="2"/>
      <c r="M1649" s="2"/>
      <c r="N1649" s="650"/>
      <c r="O1649" s="650"/>
      <c r="P1649" s="651"/>
      <c r="Q1649" s="651"/>
      <c r="R1649" s="651"/>
      <c r="S1649" s="651"/>
    </row>
    <row r="1650" spans="12:19" ht="15.75" customHeight="1" x14ac:dyDescent="0.35">
      <c r="L1650" s="2"/>
      <c r="M1650" s="2"/>
      <c r="N1650" s="650"/>
      <c r="O1650" s="650"/>
      <c r="P1650" s="651"/>
      <c r="Q1650" s="651"/>
      <c r="R1650" s="651"/>
      <c r="S1650" s="651"/>
    </row>
    <row r="1651" spans="12:19" ht="15.75" customHeight="1" x14ac:dyDescent="0.35">
      <c r="L1651" s="2"/>
      <c r="M1651" s="2"/>
      <c r="N1651" s="650"/>
      <c r="O1651" s="650"/>
      <c r="P1651" s="651"/>
      <c r="Q1651" s="651"/>
      <c r="R1651" s="651"/>
      <c r="S1651" s="651"/>
    </row>
    <row r="1652" spans="12:19" ht="15.75" customHeight="1" x14ac:dyDescent="0.35">
      <c r="L1652" s="2"/>
      <c r="M1652" s="2"/>
      <c r="N1652" s="650"/>
      <c r="O1652" s="650"/>
      <c r="P1652" s="651"/>
      <c r="Q1652" s="651"/>
      <c r="R1652" s="651"/>
      <c r="S1652" s="651"/>
    </row>
    <row r="1653" spans="12:19" ht="15.75" customHeight="1" x14ac:dyDescent="0.35">
      <c r="L1653" s="2"/>
      <c r="M1653" s="2"/>
      <c r="N1653" s="650"/>
      <c r="O1653" s="650"/>
      <c r="P1653" s="651"/>
      <c r="Q1653" s="651"/>
      <c r="R1653" s="651"/>
      <c r="S1653" s="651"/>
    </row>
    <row r="1654" spans="12:19" ht="15.75" customHeight="1" x14ac:dyDescent="0.35">
      <c r="L1654" s="2"/>
      <c r="M1654" s="2"/>
      <c r="N1654" s="650"/>
      <c r="O1654" s="650"/>
      <c r="P1654" s="651"/>
      <c r="Q1654" s="651"/>
      <c r="R1654" s="651"/>
      <c r="S1654" s="651"/>
    </row>
    <row r="1655" spans="12:19" ht="15.75" customHeight="1" x14ac:dyDescent="0.35">
      <c r="L1655" s="2"/>
      <c r="M1655" s="2"/>
      <c r="N1655" s="650"/>
      <c r="O1655" s="650"/>
      <c r="P1655" s="651"/>
      <c r="Q1655" s="651"/>
      <c r="R1655" s="651"/>
      <c r="S1655" s="651"/>
    </row>
    <row r="1656" spans="12:19" ht="15.75" customHeight="1" x14ac:dyDescent="0.35">
      <c r="L1656" s="2"/>
      <c r="M1656" s="2"/>
      <c r="N1656" s="650"/>
      <c r="O1656" s="650"/>
      <c r="P1656" s="651"/>
      <c r="Q1656" s="651"/>
      <c r="R1656" s="651"/>
      <c r="S1656" s="651"/>
    </row>
    <row r="1657" spans="12:19" ht="15.75" customHeight="1" x14ac:dyDescent="0.35">
      <c r="L1657" s="2"/>
      <c r="M1657" s="2"/>
      <c r="N1657" s="650"/>
      <c r="O1657" s="650"/>
      <c r="P1657" s="651"/>
      <c r="Q1657" s="651"/>
      <c r="R1657" s="651"/>
      <c r="S1657" s="651"/>
    </row>
    <row r="1658" spans="12:19" ht="15.75" customHeight="1" x14ac:dyDescent="0.35">
      <c r="L1658" s="2"/>
      <c r="M1658" s="2"/>
      <c r="N1658" s="650"/>
      <c r="O1658" s="650"/>
      <c r="P1658" s="651"/>
      <c r="Q1658" s="651"/>
      <c r="R1658" s="651"/>
      <c r="S1658" s="651"/>
    </row>
    <row r="1659" spans="12:19" ht="15.75" customHeight="1" x14ac:dyDescent="0.35">
      <c r="L1659" s="2"/>
      <c r="M1659" s="2"/>
      <c r="N1659" s="650"/>
      <c r="O1659" s="650"/>
      <c r="P1659" s="651"/>
      <c r="Q1659" s="651"/>
      <c r="R1659" s="651"/>
      <c r="S1659" s="651"/>
    </row>
    <row r="1660" spans="12:19" ht="15.75" customHeight="1" x14ac:dyDescent="0.35">
      <c r="L1660" s="2"/>
      <c r="M1660" s="2"/>
      <c r="N1660" s="650"/>
      <c r="O1660" s="650"/>
      <c r="P1660" s="651"/>
      <c r="Q1660" s="651"/>
      <c r="R1660" s="651"/>
      <c r="S1660" s="651"/>
    </row>
    <row r="1661" spans="12:19" ht="15.75" customHeight="1" x14ac:dyDescent="0.35">
      <c r="L1661" s="2"/>
      <c r="M1661" s="2"/>
      <c r="N1661" s="650"/>
      <c r="O1661" s="650"/>
      <c r="P1661" s="651"/>
      <c r="Q1661" s="651"/>
      <c r="R1661" s="651"/>
      <c r="S1661" s="651"/>
    </row>
    <row r="1662" spans="12:19" ht="15.75" customHeight="1" x14ac:dyDescent="0.35">
      <c r="L1662" s="2"/>
      <c r="M1662" s="2"/>
      <c r="N1662" s="650"/>
      <c r="O1662" s="650"/>
      <c r="P1662" s="651"/>
      <c r="Q1662" s="651"/>
      <c r="R1662" s="651"/>
      <c r="S1662" s="651"/>
    </row>
    <row r="1663" spans="12:19" ht="15.75" customHeight="1" x14ac:dyDescent="0.35">
      <c r="L1663" s="2"/>
      <c r="M1663" s="2"/>
      <c r="N1663" s="650"/>
      <c r="O1663" s="650"/>
      <c r="P1663" s="651"/>
      <c r="Q1663" s="651"/>
      <c r="R1663" s="651"/>
      <c r="S1663" s="651"/>
    </row>
    <row r="1664" spans="12:19" ht="15.75" customHeight="1" x14ac:dyDescent="0.35">
      <c r="L1664" s="2"/>
      <c r="M1664" s="2"/>
      <c r="N1664" s="650"/>
      <c r="O1664" s="650"/>
      <c r="P1664" s="651"/>
      <c r="Q1664" s="651"/>
      <c r="R1664" s="651"/>
      <c r="S1664" s="651"/>
    </row>
    <row r="1665" spans="12:19" ht="15.75" customHeight="1" x14ac:dyDescent="0.35">
      <c r="L1665" s="2"/>
      <c r="M1665" s="2"/>
      <c r="N1665" s="650"/>
      <c r="O1665" s="650"/>
      <c r="P1665" s="651"/>
      <c r="Q1665" s="651"/>
      <c r="R1665" s="651"/>
      <c r="S1665" s="651"/>
    </row>
    <row r="1666" spans="12:19" ht="15.75" customHeight="1" x14ac:dyDescent="0.35">
      <c r="L1666" s="2"/>
      <c r="M1666" s="2"/>
      <c r="N1666" s="650"/>
      <c r="O1666" s="650"/>
      <c r="P1666" s="651"/>
      <c r="Q1666" s="651"/>
      <c r="R1666" s="651"/>
      <c r="S1666" s="651"/>
    </row>
    <row r="1667" spans="12:19" ht="15.75" customHeight="1" x14ac:dyDescent="0.35">
      <c r="L1667" s="2"/>
      <c r="M1667" s="2"/>
      <c r="N1667" s="650"/>
      <c r="O1667" s="650"/>
      <c r="P1667" s="651"/>
      <c r="Q1667" s="651"/>
      <c r="R1667" s="651"/>
      <c r="S1667" s="651"/>
    </row>
    <row r="1668" spans="12:19" ht="15.75" customHeight="1" x14ac:dyDescent="0.35">
      <c r="L1668" s="2"/>
      <c r="M1668" s="2"/>
      <c r="N1668" s="650"/>
      <c r="O1668" s="650"/>
      <c r="P1668" s="651"/>
      <c r="Q1668" s="651"/>
      <c r="R1668" s="651"/>
      <c r="S1668" s="651"/>
    </row>
    <row r="1669" spans="12:19" ht="15.75" customHeight="1" x14ac:dyDescent="0.35">
      <c r="L1669" s="2"/>
      <c r="M1669" s="2"/>
      <c r="N1669" s="650"/>
      <c r="O1669" s="650"/>
      <c r="P1669" s="651"/>
      <c r="Q1669" s="651"/>
      <c r="R1669" s="651"/>
      <c r="S1669" s="651"/>
    </row>
    <row r="1670" spans="12:19" ht="15.75" customHeight="1" x14ac:dyDescent="0.35">
      <c r="L1670" s="2"/>
      <c r="M1670" s="2"/>
      <c r="N1670" s="650"/>
      <c r="O1670" s="650"/>
      <c r="P1670" s="651"/>
      <c r="Q1670" s="651"/>
      <c r="R1670" s="651"/>
      <c r="S1670" s="651"/>
    </row>
    <row r="1671" spans="12:19" ht="15.75" customHeight="1" x14ac:dyDescent="0.35">
      <c r="L1671" s="2"/>
      <c r="M1671" s="2"/>
      <c r="N1671" s="650"/>
      <c r="O1671" s="650"/>
      <c r="P1671" s="651"/>
      <c r="Q1671" s="651"/>
      <c r="R1671" s="651"/>
      <c r="S1671" s="651"/>
    </row>
    <row r="1672" spans="12:19" ht="15.75" customHeight="1" x14ac:dyDescent="0.35">
      <c r="L1672" s="2"/>
      <c r="M1672" s="2"/>
      <c r="N1672" s="650"/>
      <c r="O1672" s="650"/>
      <c r="P1672" s="651"/>
      <c r="Q1672" s="651"/>
      <c r="R1672" s="651"/>
      <c r="S1672" s="651"/>
    </row>
    <row r="1673" spans="12:19" ht="15.75" customHeight="1" x14ac:dyDescent="0.35">
      <c r="L1673" s="2"/>
      <c r="M1673" s="2"/>
      <c r="N1673" s="650"/>
      <c r="O1673" s="650"/>
      <c r="P1673" s="651"/>
      <c r="Q1673" s="651"/>
      <c r="R1673" s="651"/>
      <c r="S1673" s="651"/>
    </row>
    <row r="1674" spans="12:19" ht="15.75" customHeight="1" x14ac:dyDescent="0.35">
      <c r="L1674" s="2"/>
      <c r="M1674" s="2"/>
      <c r="N1674" s="650"/>
      <c r="O1674" s="650"/>
      <c r="P1674" s="651"/>
      <c r="Q1674" s="651"/>
      <c r="R1674" s="651"/>
      <c r="S1674" s="651"/>
    </row>
    <row r="1675" spans="12:19" ht="15.75" customHeight="1" x14ac:dyDescent="0.35">
      <c r="L1675" s="2"/>
      <c r="M1675" s="2"/>
      <c r="N1675" s="650"/>
      <c r="O1675" s="650"/>
      <c r="P1675" s="651"/>
      <c r="Q1675" s="651"/>
      <c r="R1675" s="651"/>
      <c r="S1675" s="651"/>
    </row>
    <row r="1676" spans="12:19" ht="15.75" customHeight="1" x14ac:dyDescent="0.35">
      <c r="L1676" s="2"/>
      <c r="M1676" s="2"/>
      <c r="N1676" s="650"/>
      <c r="O1676" s="650"/>
      <c r="P1676" s="651"/>
      <c r="Q1676" s="651"/>
      <c r="R1676" s="651"/>
      <c r="S1676" s="651"/>
    </row>
    <row r="1677" spans="12:19" ht="15.75" customHeight="1" x14ac:dyDescent="0.35">
      <c r="L1677" s="2"/>
      <c r="M1677" s="2"/>
      <c r="N1677" s="650"/>
      <c r="O1677" s="650"/>
      <c r="P1677" s="651"/>
      <c r="Q1677" s="651"/>
      <c r="R1677" s="651"/>
      <c r="S1677" s="651"/>
    </row>
    <row r="1678" spans="12:19" ht="15.75" customHeight="1" x14ac:dyDescent="0.35">
      <c r="L1678" s="2"/>
      <c r="M1678" s="2"/>
      <c r="N1678" s="650"/>
      <c r="O1678" s="650"/>
      <c r="P1678" s="651"/>
      <c r="Q1678" s="651"/>
      <c r="R1678" s="651"/>
      <c r="S1678" s="651"/>
    </row>
    <row r="1679" spans="12:19" ht="15.75" customHeight="1" x14ac:dyDescent="0.35">
      <c r="L1679" s="2"/>
      <c r="M1679" s="2"/>
      <c r="N1679" s="650"/>
      <c r="O1679" s="650"/>
      <c r="P1679" s="651"/>
      <c r="Q1679" s="651"/>
      <c r="R1679" s="651"/>
      <c r="S1679" s="651"/>
    </row>
    <row r="1680" spans="12:19" ht="15.75" customHeight="1" x14ac:dyDescent="0.35">
      <c r="L1680" s="2"/>
      <c r="M1680" s="2"/>
      <c r="N1680" s="650"/>
      <c r="O1680" s="650"/>
      <c r="P1680" s="651"/>
      <c r="Q1680" s="651"/>
      <c r="R1680" s="651"/>
      <c r="S1680" s="651"/>
    </row>
    <row r="1681" spans="12:19" ht="15.75" customHeight="1" x14ac:dyDescent="0.35">
      <c r="L1681" s="2"/>
      <c r="M1681" s="2"/>
      <c r="N1681" s="650"/>
      <c r="O1681" s="650"/>
      <c r="P1681" s="651"/>
      <c r="Q1681" s="651"/>
      <c r="R1681" s="651"/>
      <c r="S1681" s="651"/>
    </row>
    <row r="1682" spans="12:19" ht="15.75" customHeight="1" x14ac:dyDescent="0.35">
      <c r="L1682" s="2"/>
      <c r="M1682" s="2"/>
      <c r="N1682" s="650"/>
      <c r="O1682" s="650"/>
      <c r="P1682" s="651"/>
      <c r="Q1682" s="651"/>
      <c r="R1682" s="651"/>
      <c r="S1682" s="651"/>
    </row>
    <row r="1683" spans="12:19" ht="15.75" customHeight="1" x14ac:dyDescent="0.35">
      <c r="L1683" s="2"/>
      <c r="M1683" s="2"/>
      <c r="N1683" s="650"/>
      <c r="O1683" s="650"/>
      <c r="P1683" s="651"/>
      <c r="Q1683" s="651"/>
      <c r="R1683" s="651"/>
      <c r="S1683" s="651"/>
    </row>
    <row r="1684" spans="12:19" ht="15.75" customHeight="1" x14ac:dyDescent="0.35">
      <c r="L1684" s="2"/>
      <c r="M1684" s="2"/>
      <c r="N1684" s="650"/>
      <c r="O1684" s="650"/>
      <c r="P1684" s="651"/>
      <c r="Q1684" s="651"/>
      <c r="R1684" s="651"/>
      <c r="S1684" s="651"/>
    </row>
    <row r="1685" spans="12:19" ht="15.75" customHeight="1" x14ac:dyDescent="0.35">
      <c r="L1685" s="2"/>
      <c r="M1685" s="2"/>
      <c r="N1685" s="650"/>
      <c r="O1685" s="650"/>
      <c r="P1685" s="651"/>
      <c r="Q1685" s="651"/>
      <c r="R1685" s="651"/>
      <c r="S1685" s="651"/>
    </row>
    <row r="1686" spans="12:19" ht="15.75" customHeight="1" x14ac:dyDescent="0.35">
      <c r="L1686" s="2"/>
      <c r="M1686" s="2"/>
      <c r="N1686" s="650"/>
      <c r="O1686" s="650"/>
      <c r="P1686" s="651"/>
      <c r="Q1686" s="651"/>
      <c r="R1686" s="651"/>
      <c r="S1686" s="651"/>
    </row>
    <row r="1687" spans="12:19" ht="15.75" customHeight="1" x14ac:dyDescent="0.35">
      <c r="L1687" s="2"/>
      <c r="M1687" s="2"/>
      <c r="N1687" s="650"/>
      <c r="O1687" s="650"/>
      <c r="P1687" s="651"/>
      <c r="Q1687" s="651"/>
      <c r="R1687" s="651"/>
      <c r="S1687" s="651"/>
    </row>
    <row r="1688" spans="12:19" ht="15.75" customHeight="1" x14ac:dyDescent="0.35">
      <c r="L1688" s="2"/>
      <c r="M1688" s="2"/>
      <c r="N1688" s="650"/>
      <c r="O1688" s="650"/>
      <c r="P1688" s="651"/>
      <c r="Q1688" s="651"/>
      <c r="R1688" s="651"/>
      <c r="S1688" s="651"/>
    </row>
    <row r="1689" spans="12:19" ht="15.75" customHeight="1" x14ac:dyDescent="0.35">
      <c r="L1689" s="2"/>
      <c r="M1689" s="2"/>
      <c r="N1689" s="650"/>
      <c r="O1689" s="650"/>
      <c r="P1689" s="651"/>
      <c r="Q1689" s="651"/>
      <c r="R1689" s="651"/>
      <c r="S1689" s="651"/>
    </row>
    <row r="1690" spans="12:19" ht="15.75" customHeight="1" x14ac:dyDescent="0.35">
      <c r="L1690" s="2"/>
      <c r="M1690" s="2"/>
      <c r="N1690" s="650"/>
      <c r="O1690" s="650"/>
      <c r="P1690" s="651"/>
      <c r="Q1690" s="651"/>
      <c r="R1690" s="651"/>
      <c r="S1690" s="651"/>
    </row>
    <row r="1691" spans="12:19" ht="15.75" customHeight="1" x14ac:dyDescent="0.35">
      <c r="L1691" s="2"/>
      <c r="M1691" s="2"/>
      <c r="N1691" s="650"/>
      <c r="O1691" s="650"/>
      <c r="P1691" s="651"/>
      <c r="Q1691" s="651"/>
      <c r="R1691" s="651"/>
      <c r="S1691" s="651"/>
    </row>
    <row r="1692" spans="12:19" ht="15.75" customHeight="1" x14ac:dyDescent="0.35">
      <c r="L1692" s="2"/>
      <c r="M1692" s="2"/>
      <c r="N1692" s="650"/>
      <c r="O1692" s="650"/>
      <c r="P1692" s="651"/>
      <c r="Q1692" s="651"/>
      <c r="R1692" s="651"/>
      <c r="S1692" s="651"/>
    </row>
    <row r="1693" spans="12:19" ht="15.75" customHeight="1" x14ac:dyDescent="0.35">
      <c r="L1693" s="2"/>
      <c r="M1693" s="2"/>
      <c r="N1693" s="650"/>
      <c r="O1693" s="650"/>
      <c r="P1693" s="651"/>
      <c r="Q1693" s="651"/>
      <c r="R1693" s="651"/>
      <c r="S1693" s="651"/>
    </row>
    <row r="1694" spans="12:19" ht="15.75" customHeight="1" x14ac:dyDescent="0.35">
      <c r="L1694" s="2"/>
      <c r="M1694" s="2"/>
      <c r="N1694" s="650"/>
      <c r="O1694" s="650"/>
      <c r="P1694" s="651"/>
      <c r="Q1694" s="651"/>
      <c r="R1694" s="651"/>
      <c r="S1694" s="651"/>
    </row>
    <row r="1695" spans="12:19" ht="15.75" customHeight="1" x14ac:dyDescent="0.35">
      <c r="L1695" s="2"/>
      <c r="M1695" s="2"/>
      <c r="N1695" s="650"/>
      <c r="O1695" s="650"/>
      <c r="P1695" s="651"/>
      <c r="Q1695" s="651"/>
      <c r="R1695" s="651"/>
      <c r="S1695" s="651"/>
    </row>
    <row r="1696" spans="12:19" ht="15.75" customHeight="1" x14ac:dyDescent="0.35">
      <c r="L1696" s="2"/>
      <c r="M1696" s="2"/>
      <c r="N1696" s="650"/>
      <c r="O1696" s="650"/>
      <c r="P1696" s="651"/>
      <c r="Q1696" s="651"/>
      <c r="R1696" s="651"/>
      <c r="S1696" s="651"/>
    </row>
    <row r="1697" spans="12:19" ht="15.75" customHeight="1" x14ac:dyDescent="0.35">
      <c r="L1697" s="2"/>
      <c r="M1697" s="2"/>
      <c r="N1697" s="650"/>
      <c r="O1697" s="650"/>
      <c r="P1697" s="651"/>
      <c r="Q1697" s="651"/>
      <c r="R1697" s="651"/>
      <c r="S1697" s="651"/>
    </row>
    <row r="1698" spans="12:19" ht="15.75" customHeight="1" x14ac:dyDescent="0.35">
      <c r="L1698" s="2"/>
      <c r="M1698" s="2"/>
      <c r="N1698" s="650"/>
      <c r="O1698" s="650"/>
      <c r="P1698" s="651"/>
      <c r="Q1698" s="651"/>
      <c r="R1698" s="651"/>
      <c r="S1698" s="651"/>
    </row>
    <row r="1699" spans="12:19" ht="15.75" customHeight="1" x14ac:dyDescent="0.35">
      <c r="L1699" s="2"/>
      <c r="M1699" s="2"/>
      <c r="N1699" s="650"/>
      <c r="O1699" s="650"/>
      <c r="P1699" s="651"/>
      <c r="Q1699" s="651"/>
      <c r="R1699" s="651"/>
      <c r="S1699" s="651"/>
    </row>
    <row r="1700" spans="12:19" ht="15.75" customHeight="1" x14ac:dyDescent="0.35">
      <c r="L1700" s="2"/>
      <c r="M1700" s="2"/>
      <c r="N1700" s="650"/>
      <c r="O1700" s="650"/>
      <c r="P1700" s="651"/>
      <c r="Q1700" s="651"/>
      <c r="R1700" s="651"/>
      <c r="S1700" s="651"/>
    </row>
    <row r="1701" spans="12:19" ht="15.75" customHeight="1" x14ac:dyDescent="0.35">
      <c r="L1701" s="2"/>
      <c r="M1701" s="2"/>
      <c r="N1701" s="650"/>
      <c r="O1701" s="650"/>
      <c r="P1701" s="651"/>
      <c r="Q1701" s="651"/>
      <c r="R1701" s="651"/>
      <c r="S1701" s="651"/>
    </row>
    <row r="1702" spans="12:19" ht="15.75" customHeight="1" x14ac:dyDescent="0.35">
      <c r="L1702" s="2"/>
      <c r="M1702" s="2"/>
      <c r="N1702" s="650"/>
      <c r="O1702" s="650"/>
      <c r="P1702" s="651"/>
      <c r="Q1702" s="651"/>
      <c r="R1702" s="651"/>
      <c r="S1702" s="651"/>
    </row>
    <row r="1703" spans="12:19" ht="15.75" customHeight="1" x14ac:dyDescent="0.35">
      <c r="L1703" s="2"/>
      <c r="M1703" s="2"/>
      <c r="N1703" s="650"/>
      <c r="O1703" s="650"/>
      <c r="P1703" s="651"/>
      <c r="Q1703" s="651"/>
      <c r="R1703" s="651"/>
      <c r="S1703" s="651"/>
    </row>
    <row r="1704" spans="12:19" ht="15.75" customHeight="1" x14ac:dyDescent="0.35">
      <c r="L1704" s="2"/>
      <c r="M1704" s="2"/>
      <c r="N1704" s="650"/>
      <c r="O1704" s="650"/>
      <c r="P1704" s="651"/>
      <c r="Q1704" s="651"/>
      <c r="R1704" s="651"/>
      <c r="S1704" s="651"/>
    </row>
    <row r="1705" spans="12:19" ht="15.75" customHeight="1" x14ac:dyDescent="0.35">
      <c r="L1705" s="2"/>
      <c r="M1705" s="2"/>
      <c r="N1705" s="650"/>
      <c r="O1705" s="650"/>
      <c r="P1705" s="651"/>
      <c r="Q1705" s="651"/>
      <c r="R1705" s="651"/>
      <c r="S1705" s="651"/>
    </row>
    <row r="1706" spans="12:19" ht="15.75" customHeight="1" x14ac:dyDescent="0.35">
      <c r="L1706" s="2"/>
      <c r="M1706" s="2"/>
      <c r="N1706" s="650"/>
      <c r="O1706" s="650"/>
      <c r="P1706" s="651"/>
      <c r="Q1706" s="651"/>
      <c r="R1706" s="651"/>
      <c r="S1706" s="651"/>
    </row>
    <row r="1707" spans="12:19" ht="15.75" customHeight="1" x14ac:dyDescent="0.35">
      <c r="L1707" s="2"/>
      <c r="M1707" s="2"/>
      <c r="N1707" s="650"/>
      <c r="O1707" s="650"/>
      <c r="P1707" s="651"/>
      <c r="Q1707" s="651"/>
      <c r="R1707" s="651"/>
      <c r="S1707" s="651"/>
    </row>
    <row r="1708" spans="12:19" ht="15.75" customHeight="1" x14ac:dyDescent="0.35">
      <c r="L1708" s="2"/>
      <c r="M1708" s="2"/>
      <c r="N1708" s="650"/>
      <c r="O1708" s="650"/>
      <c r="P1708" s="651"/>
      <c r="Q1708" s="651"/>
      <c r="R1708" s="651"/>
      <c r="S1708" s="651"/>
    </row>
    <row r="1709" spans="12:19" ht="15.75" customHeight="1" x14ac:dyDescent="0.35">
      <c r="L1709" s="2"/>
      <c r="M1709" s="2"/>
      <c r="N1709" s="650"/>
      <c r="O1709" s="650"/>
      <c r="P1709" s="651"/>
      <c r="Q1709" s="651"/>
      <c r="R1709" s="651"/>
      <c r="S1709" s="651"/>
    </row>
    <row r="1710" spans="12:19" ht="15.75" customHeight="1" x14ac:dyDescent="0.35">
      <c r="L1710" s="2"/>
      <c r="M1710" s="2"/>
      <c r="N1710" s="650"/>
      <c r="O1710" s="650"/>
      <c r="P1710" s="651"/>
      <c r="Q1710" s="651"/>
      <c r="R1710" s="651"/>
      <c r="S1710" s="651"/>
    </row>
    <row r="1711" spans="12:19" ht="15.75" customHeight="1" x14ac:dyDescent="0.35">
      <c r="L1711" s="2"/>
      <c r="M1711" s="2"/>
      <c r="N1711" s="650"/>
      <c r="O1711" s="650"/>
      <c r="P1711" s="651"/>
      <c r="Q1711" s="651"/>
      <c r="R1711" s="651"/>
      <c r="S1711" s="651"/>
    </row>
    <row r="1712" spans="12:19" ht="15.75" customHeight="1" x14ac:dyDescent="0.35">
      <c r="L1712" s="2"/>
      <c r="M1712" s="2"/>
      <c r="N1712" s="650"/>
      <c r="O1712" s="650"/>
      <c r="P1712" s="651"/>
      <c r="Q1712" s="651"/>
      <c r="R1712" s="651"/>
      <c r="S1712" s="651"/>
    </row>
    <row r="1713" spans="12:19" ht="15.75" customHeight="1" x14ac:dyDescent="0.35">
      <c r="L1713" s="2"/>
      <c r="M1713" s="2"/>
      <c r="N1713" s="650"/>
      <c r="O1713" s="650"/>
      <c r="P1713" s="651"/>
      <c r="Q1713" s="651"/>
      <c r="R1713" s="651"/>
      <c r="S1713" s="651"/>
    </row>
    <row r="1714" spans="12:19" ht="15.75" customHeight="1" x14ac:dyDescent="0.35">
      <c r="L1714" s="2"/>
      <c r="M1714" s="2"/>
      <c r="N1714" s="650"/>
      <c r="O1714" s="650"/>
      <c r="P1714" s="651"/>
      <c r="Q1714" s="651"/>
      <c r="R1714" s="651"/>
      <c r="S1714" s="651"/>
    </row>
    <row r="1715" spans="12:19" ht="15.75" customHeight="1" x14ac:dyDescent="0.35">
      <c r="L1715" s="2"/>
      <c r="M1715" s="2"/>
      <c r="N1715" s="650"/>
      <c r="O1715" s="650"/>
      <c r="P1715" s="651"/>
      <c r="Q1715" s="651"/>
      <c r="R1715" s="651"/>
      <c r="S1715" s="651"/>
    </row>
    <row r="1716" spans="12:19" ht="15.75" customHeight="1" x14ac:dyDescent="0.35">
      <c r="L1716" s="2"/>
      <c r="M1716" s="2"/>
      <c r="N1716" s="650"/>
      <c r="O1716" s="650"/>
      <c r="P1716" s="651"/>
      <c r="Q1716" s="651"/>
      <c r="R1716" s="651"/>
      <c r="S1716" s="651"/>
    </row>
    <row r="1717" spans="12:19" ht="15.75" customHeight="1" x14ac:dyDescent="0.35">
      <c r="L1717" s="2"/>
      <c r="M1717" s="2"/>
      <c r="N1717" s="650"/>
      <c r="O1717" s="650"/>
      <c r="P1717" s="651"/>
      <c r="Q1717" s="651"/>
      <c r="R1717" s="651"/>
      <c r="S1717" s="651"/>
    </row>
    <row r="1718" spans="12:19" ht="15.75" customHeight="1" x14ac:dyDescent="0.35">
      <c r="L1718" s="2"/>
      <c r="M1718" s="2"/>
      <c r="N1718" s="650"/>
      <c r="O1718" s="650"/>
      <c r="P1718" s="651"/>
      <c r="Q1718" s="651"/>
      <c r="R1718" s="651"/>
      <c r="S1718" s="651"/>
    </row>
    <row r="1719" spans="12:19" ht="15.75" customHeight="1" x14ac:dyDescent="0.35">
      <c r="L1719" s="2"/>
      <c r="M1719" s="2"/>
      <c r="N1719" s="650"/>
      <c r="O1719" s="650"/>
      <c r="P1719" s="651"/>
      <c r="Q1719" s="651"/>
      <c r="R1719" s="651"/>
      <c r="S1719" s="651"/>
    </row>
    <row r="1720" spans="12:19" ht="15.75" customHeight="1" x14ac:dyDescent="0.35">
      <c r="L1720" s="2"/>
      <c r="M1720" s="2"/>
      <c r="N1720" s="650"/>
      <c r="O1720" s="650"/>
      <c r="P1720" s="651"/>
      <c r="Q1720" s="651"/>
      <c r="R1720" s="651"/>
      <c r="S1720" s="651"/>
    </row>
    <row r="1721" spans="12:19" ht="15.75" customHeight="1" x14ac:dyDescent="0.35">
      <c r="L1721" s="2"/>
      <c r="M1721" s="2"/>
      <c r="N1721" s="650"/>
      <c r="O1721" s="650"/>
      <c r="P1721" s="651"/>
      <c r="Q1721" s="651"/>
      <c r="R1721" s="651"/>
      <c r="S1721" s="651"/>
    </row>
    <row r="1722" spans="12:19" ht="15.75" customHeight="1" x14ac:dyDescent="0.35">
      <c r="L1722" s="2"/>
      <c r="M1722" s="2"/>
      <c r="N1722" s="650"/>
      <c r="O1722" s="650"/>
      <c r="P1722" s="651"/>
      <c r="Q1722" s="651"/>
      <c r="R1722" s="651"/>
      <c r="S1722" s="651"/>
    </row>
    <row r="1723" spans="12:19" ht="15.75" customHeight="1" x14ac:dyDescent="0.35">
      <c r="L1723" s="2"/>
      <c r="M1723" s="2"/>
      <c r="N1723" s="650"/>
      <c r="O1723" s="650"/>
      <c r="P1723" s="651"/>
      <c r="Q1723" s="651"/>
      <c r="R1723" s="651"/>
      <c r="S1723" s="651"/>
    </row>
    <row r="1724" spans="12:19" ht="15.75" customHeight="1" x14ac:dyDescent="0.35">
      <c r="L1724" s="2"/>
      <c r="M1724" s="2"/>
      <c r="N1724" s="650"/>
      <c r="O1724" s="650"/>
      <c r="P1724" s="651"/>
      <c r="Q1724" s="651"/>
      <c r="R1724" s="651"/>
      <c r="S1724" s="651"/>
    </row>
    <row r="1725" spans="12:19" ht="15.75" customHeight="1" x14ac:dyDescent="0.35">
      <c r="L1725" s="2"/>
      <c r="M1725" s="2"/>
      <c r="N1725" s="650"/>
      <c r="O1725" s="650"/>
      <c r="P1725" s="651"/>
      <c r="Q1725" s="651"/>
      <c r="R1725" s="651"/>
      <c r="S1725" s="651"/>
    </row>
    <row r="1726" spans="12:19" ht="15.75" customHeight="1" x14ac:dyDescent="0.35">
      <c r="L1726" s="2"/>
      <c r="M1726" s="2"/>
      <c r="N1726" s="650"/>
      <c r="O1726" s="650"/>
      <c r="P1726" s="651"/>
      <c r="Q1726" s="651"/>
      <c r="R1726" s="651"/>
      <c r="S1726" s="651"/>
    </row>
    <row r="1727" spans="12:19" ht="15.75" customHeight="1" x14ac:dyDescent="0.35">
      <c r="L1727" s="2"/>
      <c r="M1727" s="2"/>
      <c r="N1727" s="650"/>
      <c r="O1727" s="650"/>
      <c r="P1727" s="651"/>
      <c r="Q1727" s="651"/>
      <c r="R1727" s="651"/>
      <c r="S1727" s="651"/>
    </row>
    <row r="1728" spans="12:19" ht="15.75" customHeight="1" x14ac:dyDescent="0.35">
      <c r="L1728" s="2"/>
      <c r="M1728" s="2"/>
      <c r="N1728" s="650"/>
      <c r="O1728" s="650"/>
      <c r="P1728" s="651"/>
      <c r="Q1728" s="651"/>
      <c r="R1728" s="651"/>
      <c r="S1728" s="651"/>
    </row>
    <row r="1729" spans="12:19" ht="15.75" customHeight="1" x14ac:dyDescent="0.35">
      <c r="L1729" s="2"/>
      <c r="M1729" s="2"/>
      <c r="N1729" s="650"/>
      <c r="O1729" s="650"/>
      <c r="P1729" s="651"/>
      <c r="Q1729" s="651"/>
      <c r="R1729" s="651"/>
      <c r="S1729" s="651"/>
    </row>
    <row r="1730" spans="12:19" ht="15.75" customHeight="1" x14ac:dyDescent="0.35">
      <c r="L1730" s="2"/>
      <c r="M1730" s="2"/>
      <c r="N1730" s="650"/>
      <c r="O1730" s="650"/>
      <c r="P1730" s="651"/>
      <c r="Q1730" s="651"/>
      <c r="R1730" s="651"/>
      <c r="S1730" s="651"/>
    </row>
    <row r="1731" spans="12:19" ht="15.75" customHeight="1" x14ac:dyDescent="0.35">
      <c r="L1731" s="2"/>
      <c r="M1731" s="2"/>
      <c r="N1731" s="650"/>
      <c r="O1731" s="650"/>
      <c r="P1731" s="651"/>
      <c r="Q1731" s="651"/>
      <c r="R1731" s="651"/>
      <c r="S1731" s="651"/>
    </row>
    <row r="1732" spans="12:19" ht="15.75" customHeight="1" x14ac:dyDescent="0.35">
      <c r="L1732" s="2"/>
      <c r="M1732" s="2"/>
      <c r="N1732" s="650"/>
      <c r="O1732" s="650"/>
      <c r="P1732" s="651"/>
      <c r="Q1732" s="651"/>
      <c r="R1732" s="651"/>
      <c r="S1732" s="651"/>
    </row>
    <row r="1733" spans="12:19" ht="15.75" customHeight="1" x14ac:dyDescent="0.35">
      <c r="L1733" s="2"/>
      <c r="M1733" s="2"/>
      <c r="N1733" s="650"/>
      <c r="O1733" s="650"/>
      <c r="P1733" s="651"/>
      <c r="Q1733" s="651"/>
      <c r="R1733" s="651"/>
      <c r="S1733" s="651"/>
    </row>
    <row r="1734" spans="12:19" ht="15.75" customHeight="1" x14ac:dyDescent="0.35">
      <c r="L1734" s="2"/>
      <c r="M1734" s="2"/>
      <c r="N1734" s="650"/>
      <c r="O1734" s="650"/>
      <c r="P1734" s="651"/>
      <c r="Q1734" s="651"/>
      <c r="R1734" s="651"/>
      <c r="S1734" s="651"/>
    </row>
    <row r="1735" spans="12:19" ht="15.75" customHeight="1" x14ac:dyDescent="0.35">
      <c r="L1735" s="2"/>
      <c r="M1735" s="2"/>
      <c r="N1735" s="650"/>
      <c r="O1735" s="650"/>
      <c r="P1735" s="651"/>
      <c r="Q1735" s="651"/>
      <c r="R1735" s="651"/>
      <c r="S1735" s="651"/>
    </row>
    <row r="1736" spans="12:19" ht="15.75" customHeight="1" x14ac:dyDescent="0.35">
      <c r="L1736" s="2"/>
      <c r="M1736" s="2"/>
      <c r="N1736" s="650"/>
      <c r="O1736" s="650"/>
      <c r="P1736" s="651"/>
      <c r="Q1736" s="651"/>
      <c r="R1736" s="651"/>
      <c r="S1736" s="651"/>
    </row>
    <row r="1737" spans="12:19" ht="15.75" customHeight="1" x14ac:dyDescent="0.35">
      <c r="L1737" s="2"/>
      <c r="M1737" s="2"/>
      <c r="N1737" s="650"/>
      <c r="O1737" s="650"/>
      <c r="P1737" s="651"/>
      <c r="Q1737" s="651"/>
      <c r="R1737" s="651"/>
      <c r="S1737" s="651"/>
    </row>
    <row r="1738" spans="12:19" ht="15.75" customHeight="1" x14ac:dyDescent="0.35">
      <c r="L1738" s="2"/>
      <c r="M1738" s="2"/>
      <c r="N1738" s="650"/>
      <c r="O1738" s="650"/>
      <c r="P1738" s="651"/>
      <c r="Q1738" s="651"/>
      <c r="R1738" s="651"/>
      <c r="S1738" s="651"/>
    </row>
    <row r="1739" spans="12:19" ht="15.75" customHeight="1" x14ac:dyDescent="0.35">
      <c r="L1739" s="2"/>
      <c r="M1739" s="2"/>
      <c r="N1739" s="650"/>
      <c r="O1739" s="650"/>
      <c r="P1739" s="651"/>
      <c r="Q1739" s="651"/>
      <c r="R1739" s="651"/>
      <c r="S1739" s="651"/>
    </row>
    <row r="1740" spans="12:19" ht="15.75" customHeight="1" x14ac:dyDescent="0.35">
      <c r="L1740" s="2"/>
      <c r="M1740" s="2"/>
      <c r="N1740" s="650"/>
      <c r="O1740" s="650"/>
      <c r="P1740" s="651"/>
      <c r="Q1740" s="651"/>
      <c r="R1740" s="651"/>
      <c r="S1740" s="651"/>
    </row>
    <row r="1741" spans="12:19" ht="15.75" customHeight="1" x14ac:dyDescent="0.35">
      <c r="L1741" s="2"/>
      <c r="M1741" s="2"/>
      <c r="N1741" s="650"/>
      <c r="O1741" s="650"/>
      <c r="P1741" s="651"/>
      <c r="Q1741" s="651"/>
      <c r="R1741" s="651"/>
      <c r="S1741" s="651"/>
    </row>
    <row r="1742" spans="12:19" ht="15.75" customHeight="1" x14ac:dyDescent="0.35">
      <c r="L1742" s="2"/>
      <c r="M1742" s="2"/>
      <c r="N1742" s="650"/>
      <c r="O1742" s="650"/>
      <c r="P1742" s="651"/>
      <c r="Q1742" s="651"/>
      <c r="R1742" s="651"/>
      <c r="S1742" s="651"/>
    </row>
    <row r="1743" spans="12:19" ht="15.75" customHeight="1" x14ac:dyDescent="0.35">
      <c r="L1743" s="2"/>
      <c r="M1743" s="2"/>
      <c r="N1743" s="650"/>
      <c r="O1743" s="650"/>
      <c r="P1743" s="651"/>
      <c r="Q1743" s="651"/>
      <c r="R1743" s="651"/>
      <c r="S1743" s="651"/>
    </row>
    <row r="1744" spans="12:19" ht="15.75" customHeight="1" x14ac:dyDescent="0.35">
      <c r="L1744" s="2"/>
      <c r="M1744" s="2"/>
      <c r="N1744" s="650"/>
      <c r="O1744" s="650"/>
      <c r="P1744" s="651"/>
      <c r="Q1744" s="651"/>
      <c r="R1744" s="651"/>
      <c r="S1744" s="651"/>
    </row>
    <row r="1745" spans="12:19" ht="15.75" customHeight="1" x14ac:dyDescent="0.35">
      <c r="L1745" s="2"/>
      <c r="M1745" s="2"/>
      <c r="N1745" s="650"/>
      <c r="O1745" s="650"/>
      <c r="P1745" s="651"/>
      <c r="Q1745" s="651"/>
      <c r="R1745" s="651"/>
      <c r="S1745" s="651"/>
    </row>
    <row r="1746" spans="12:19" ht="15.75" customHeight="1" x14ac:dyDescent="0.35">
      <c r="L1746" s="2"/>
      <c r="M1746" s="2"/>
      <c r="N1746" s="650"/>
      <c r="O1746" s="650"/>
      <c r="P1746" s="651"/>
      <c r="Q1746" s="651"/>
      <c r="R1746" s="651"/>
      <c r="S1746" s="651"/>
    </row>
    <row r="1747" spans="12:19" ht="15.75" customHeight="1" x14ac:dyDescent="0.35">
      <c r="L1747" s="2"/>
      <c r="M1747" s="2"/>
      <c r="N1747" s="650"/>
      <c r="O1747" s="650"/>
      <c r="P1747" s="651"/>
      <c r="Q1747" s="651"/>
      <c r="R1747" s="651"/>
      <c r="S1747" s="651"/>
    </row>
    <row r="1748" spans="12:19" ht="15.75" customHeight="1" x14ac:dyDescent="0.35">
      <c r="L1748" s="2"/>
      <c r="M1748" s="2"/>
      <c r="N1748" s="650"/>
      <c r="O1748" s="650"/>
      <c r="P1748" s="651"/>
      <c r="Q1748" s="651"/>
      <c r="R1748" s="651"/>
      <c r="S1748" s="651"/>
    </row>
    <row r="1749" spans="12:19" ht="15.75" customHeight="1" x14ac:dyDescent="0.35">
      <c r="L1749" s="2"/>
      <c r="M1749" s="2"/>
      <c r="N1749" s="650"/>
      <c r="O1749" s="650"/>
      <c r="P1749" s="651"/>
      <c r="Q1749" s="651"/>
      <c r="R1749" s="651"/>
      <c r="S1749" s="651"/>
    </row>
    <row r="1750" spans="12:19" ht="15.75" customHeight="1" x14ac:dyDescent="0.35">
      <c r="L1750" s="2"/>
      <c r="M1750" s="2"/>
      <c r="N1750" s="650"/>
      <c r="O1750" s="650"/>
      <c r="P1750" s="651"/>
      <c r="Q1750" s="651"/>
      <c r="R1750" s="651"/>
      <c r="S1750" s="651"/>
    </row>
    <row r="1751" spans="12:19" ht="15.75" customHeight="1" x14ac:dyDescent="0.35">
      <c r="L1751" s="2"/>
      <c r="M1751" s="2"/>
      <c r="N1751" s="650"/>
      <c r="O1751" s="650"/>
      <c r="P1751" s="651"/>
      <c r="Q1751" s="651"/>
      <c r="R1751" s="651"/>
      <c r="S1751" s="651"/>
    </row>
    <row r="1752" spans="12:19" ht="15.75" customHeight="1" x14ac:dyDescent="0.35">
      <c r="L1752" s="2"/>
      <c r="M1752" s="2"/>
      <c r="N1752" s="650"/>
      <c r="O1752" s="650"/>
      <c r="P1752" s="651"/>
      <c r="Q1752" s="651"/>
      <c r="R1752" s="651"/>
      <c r="S1752" s="651"/>
    </row>
    <row r="1753" spans="12:19" ht="15.75" customHeight="1" x14ac:dyDescent="0.35">
      <c r="L1753" s="2"/>
      <c r="M1753" s="2"/>
      <c r="N1753" s="650"/>
      <c r="O1753" s="650"/>
      <c r="P1753" s="651"/>
      <c r="Q1753" s="651"/>
      <c r="R1753" s="651"/>
      <c r="S1753" s="651"/>
    </row>
    <row r="1754" spans="12:19" ht="15.75" customHeight="1" x14ac:dyDescent="0.35">
      <c r="L1754" s="2"/>
      <c r="M1754" s="2"/>
      <c r="N1754" s="650"/>
      <c r="O1754" s="650"/>
      <c r="P1754" s="651"/>
      <c r="Q1754" s="651"/>
      <c r="R1754" s="651"/>
      <c r="S1754" s="651"/>
    </row>
    <row r="1755" spans="12:19" ht="15.75" customHeight="1" x14ac:dyDescent="0.35">
      <c r="L1755" s="2"/>
      <c r="M1755" s="2"/>
      <c r="N1755" s="650"/>
      <c r="O1755" s="650"/>
      <c r="P1755" s="651"/>
      <c r="Q1755" s="651"/>
      <c r="R1755" s="651"/>
      <c r="S1755" s="651"/>
    </row>
    <row r="1756" spans="12:19" ht="15.75" customHeight="1" x14ac:dyDescent="0.35">
      <c r="L1756" s="2"/>
      <c r="M1756" s="2"/>
      <c r="N1756" s="650"/>
      <c r="O1756" s="650"/>
      <c r="P1756" s="651"/>
      <c r="Q1756" s="651"/>
      <c r="R1756" s="651"/>
      <c r="S1756" s="651"/>
    </row>
    <row r="1757" spans="12:19" ht="15.75" customHeight="1" x14ac:dyDescent="0.35">
      <c r="L1757" s="2"/>
      <c r="M1757" s="2"/>
      <c r="N1757" s="650"/>
      <c r="O1757" s="650"/>
      <c r="P1757" s="651"/>
      <c r="Q1757" s="651"/>
      <c r="R1757" s="651"/>
      <c r="S1757" s="651"/>
    </row>
    <row r="1758" spans="12:19" ht="15.75" customHeight="1" x14ac:dyDescent="0.35">
      <c r="L1758" s="2"/>
      <c r="M1758" s="2"/>
      <c r="N1758" s="650"/>
      <c r="O1758" s="650"/>
      <c r="P1758" s="651"/>
      <c r="Q1758" s="651"/>
      <c r="R1758" s="651"/>
      <c r="S1758" s="651"/>
    </row>
    <row r="1759" spans="12:19" ht="15.75" customHeight="1" x14ac:dyDescent="0.35">
      <c r="L1759" s="2"/>
      <c r="M1759" s="2"/>
      <c r="N1759" s="650"/>
      <c r="O1759" s="650"/>
      <c r="P1759" s="651"/>
      <c r="Q1759" s="651"/>
      <c r="R1759" s="651"/>
      <c r="S1759" s="651"/>
    </row>
    <row r="1760" spans="12:19" ht="15.75" customHeight="1" x14ac:dyDescent="0.35">
      <c r="L1760" s="2"/>
      <c r="M1760" s="2"/>
      <c r="N1760" s="650"/>
      <c r="O1760" s="650"/>
      <c r="P1760" s="651"/>
      <c r="Q1760" s="651"/>
      <c r="R1760" s="651"/>
      <c r="S1760" s="651"/>
    </row>
    <row r="1761" spans="12:19" ht="15.75" customHeight="1" x14ac:dyDescent="0.35">
      <c r="L1761" s="2"/>
      <c r="M1761" s="2"/>
      <c r="N1761" s="650"/>
      <c r="O1761" s="650"/>
      <c r="P1761" s="651"/>
      <c r="Q1761" s="651"/>
      <c r="R1761" s="651"/>
      <c r="S1761" s="651"/>
    </row>
    <row r="1762" spans="12:19" ht="15.75" customHeight="1" x14ac:dyDescent="0.35">
      <c r="L1762" s="2"/>
      <c r="M1762" s="2"/>
      <c r="N1762" s="650"/>
      <c r="O1762" s="650"/>
      <c r="P1762" s="651"/>
      <c r="Q1762" s="651"/>
      <c r="R1762" s="651"/>
      <c r="S1762" s="651"/>
    </row>
    <row r="1763" spans="12:19" ht="15.75" customHeight="1" x14ac:dyDescent="0.35">
      <c r="L1763" s="2"/>
      <c r="M1763" s="2"/>
      <c r="N1763" s="650"/>
      <c r="O1763" s="650"/>
      <c r="P1763" s="651"/>
      <c r="Q1763" s="651"/>
      <c r="R1763" s="651"/>
      <c r="S1763" s="651"/>
    </row>
    <row r="1764" spans="12:19" ht="15.75" customHeight="1" x14ac:dyDescent="0.35">
      <c r="L1764" s="2"/>
      <c r="M1764" s="2"/>
      <c r="N1764" s="650"/>
      <c r="O1764" s="650"/>
      <c r="P1764" s="651"/>
      <c r="Q1764" s="651"/>
      <c r="R1764" s="651"/>
      <c r="S1764" s="651"/>
    </row>
    <row r="1765" spans="12:19" ht="15.75" customHeight="1" x14ac:dyDescent="0.35">
      <c r="L1765" s="2"/>
      <c r="M1765" s="2"/>
      <c r="N1765" s="650"/>
      <c r="O1765" s="650"/>
      <c r="P1765" s="651"/>
      <c r="Q1765" s="651"/>
      <c r="R1765" s="651"/>
      <c r="S1765" s="651"/>
    </row>
    <row r="1766" spans="12:19" ht="15.75" customHeight="1" x14ac:dyDescent="0.35">
      <c r="L1766" s="2"/>
      <c r="M1766" s="2"/>
      <c r="N1766" s="650"/>
      <c r="O1766" s="650"/>
      <c r="P1766" s="651"/>
      <c r="Q1766" s="651"/>
      <c r="R1766" s="651"/>
      <c r="S1766" s="651"/>
    </row>
    <row r="1767" spans="12:19" ht="15.75" customHeight="1" x14ac:dyDescent="0.35">
      <c r="L1767" s="2"/>
      <c r="M1767" s="2"/>
      <c r="N1767" s="650"/>
      <c r="O1767" s="650"/>
      <c r="P1767" s="651"/>
      <c r="Q1767" s="651"/>
      <c r="R1767" s="651"/>
      <c r="S1767" s="651"/>
    </row>
    <row r="1768" spans="12:19" ht="15.75" customHeight="1" x14ac:dyDescent="0.35">
      <c r="L1768" s="2"/>
      <c r="M1768" s="2"/>
      <c r="N1768" s="650"/>
      <c r="O1768" s="650"/>
      <c r="P1768" s="651"/>
      <c r="Q1768" s="651"/>
      <c r="R1768" s="651"/>
      <c r="S1768" s="651"/>
    </row>
    <row r="1769" spans="12:19" ht="15.75" customHeight="1" x14ac:dyDescent="0.35">
      <c r="L1769" s="2"/>
      <c r="M1769" s="2"/>
      <c r="N1769" s="650"/>
      <c r="O1769" s="650"/>
      <c r="P1769" s="651"/>
      <c r="Q1769" s="651"/>
      <c r="R1769" s="651"/>
      <c r="S1769" s="651"/>
    </row>
    <row r="1770" spans="12:19" ht="15.75" customHeight="1" x14ac:dyDescent="0.35">
      <c r="L1770" s="2"/>
      <c r="M1770" s="2"/>
      <c r="N1770" s="650"/>
      <c r="O1770" s="650"/>
      <c r="P1770" s="651"/>
      <c r="Q1770" s="651"/>
      <c r="R1770" s="651"/>
      <c r="S1770" s="651"/>
    </row>
    <row r="1771" spans="12:19" ht="15.75" customHeight="1" x14ac:dyDescent="0.35">
      <c r="L1771" s="2"/>
      <c r="M1771" s="2"/>
      <c r="N1771" s="650"/>
      <c r="O1771" s="650"/>
      <c r="P1771" s="651"/>
      <c r="Q1771" s="651"/>
      <c r="R1771" s="651"/>
      <c r="S1771" s="651"/>
    </row>
    <row r="1772" spans="12:19" ht="15.75" customHeight="1" x14ac:dyDescent="0.35">
      <c r="L1772" s="2"/>
      <c r="M1772" s="2"/>
      <c r="N1772" s="650"/>
      <c r="O1772" s="650"/>
      <c r="P1772" s="651"/>
      <c r="Q1772" s="651"/>
      <c r="R1772" s="651"/>
      <c r="S1772" s="651"/>
    </row>
    <row r="1773" spans="12:19" ht="15.75" customHeight="1" x14ac:dyDescent="0.35">
      <c r="L1773" s="2"/>
      <c r="M1773" s="2"/>
      <c r="N1773" s="650"/>
      <c r="O1773" s="650"/>
      <c r="P1773" s="651"/>
      <c r="Q1773" s="651"/>
      <c r="R1773" s="651"/>
      <c r="S1773" s="651"/>
    </row>
    <row r="1774" spans="12:19" ht="15.75" customHeight="1" x14ac:dyDescent="0.35">
      <c r="L1774" s="2"/>
      <c r="M1774" s="2"/>
      <c r="N1774" s="650"/>
      <c r="O1774" s="650"/>
      <c r="P1774" s="651"/>
      <c r="Q1774" s="651"/>
      <c r="R1774" s="651"/>
      <c r="S1774" s="651"/>
    </row>
    <row r="1775" spans="12:19" ht="15.75" customHeight="1" x14ac:dyDescent="0.35">
      <c r="L1775" s="2"/>
      <c r="M1775" s="2"/>
      <c r="N1775" s="650"/>
      <c r="O1775" s="650"/>
      <c r="P1775" s="651"/>
      <c r="Q1775" s="651"/>
      <c r="R1775" s="651"/>
      <c r="S1775" s="651"/>
    </row>
    <row r="1776" spans="12:19" ht="15.75" customHeight="1" x14ac:dyDescent="0.35">
      <c r="L1776" s="2"/>
      <c r="M1776" s="2"/>
      <c r="N1776" s="650"/>
      <c r="O1776" s="650"/>
      <c r="P1776" s="651"/>
      <c r="Q1776" s="651"/>
      <c r="R1776" s="651"/>
      <c r="S1776" s="651"/>
    </row>
    <row r="1777" spans="12:19" ht="15.75" customHeight="1" x14ac:dyDescent="0.35">
      <c r="L1777" s="2"/>
      <c r="M1777" s="2"/>
      <c r="N1777" s="650"/>
      <c r="O1777" s="650"/>
      <c r="P1777" s="651"/>
      <c r="Q1777" s="651"/>
      <c r="R1777" s="651"/>
      <c r="S1777" s="651"/>
    </row>
    <row r="1778" spans="12:19" ht="15.75" customHeight="1" x14ac:dyDescent="0.35">
      <c r="L1778" s="2"/>
      <c r="M1778" s="2"/>
      <c r="N1778" s="650"/>
      <c r="O1778" s="650"/>
      <c r="P1778" s="651"/>
      <c r="Q1778" s="651"/>
      <c r="R1778" s="651"/>
      <c r="S1778" s="651"/>
    </row>
    <row r="1779" spans="12:19" ht="15.75" customHeight="1" x14ac:dyDescent="0.35">
      <c r="L1779" s="2"/>
      <c r="M1779" s="2"/>
      <c r="N1779" s="650"/>
      <c r="O1779" s="650"/>
      <c r="P1779" s="651"/>
      <c r="Q1779" s="651"/>
      <c r="R1779" s="651"/>
      <c r="S1779" s="651"/>
    </row>
    <row r="1780" spans="12:19" ht="15.75" customHeight="1" x14ac:dyDescent="0.35">
      <c r="L1780" s="2"/>
      <c r="M1780" s="2"/>
      <c r="N1780" s="650"/>
      <c r="O1780" s="650"/>
      <c r="P1780" s="651"/>
      <c r="Q1780" s="651"/>
      <c r="R1780" s="651"/>
      <c r="S1780" s="651"/>
    </row>
    <row r="1781" spans="12:19" ht="15.75" customHeight="1" x14ac:dyDescent="0.35">
      <c r="L1781" s="2"/>
      <c r="M1781" s="2"/>
      <c r="N1781" s="650"/>
      <c r="O1781" s="650"/>
      <c r="P1781" s="651"/>
      <c r="Q1781" s="651"/>
      <c r="R1781" s="651"/>
      <c r="S1781" s="651"/>
    </row>
    <row r="1782" spans="12:19" ht="15.75" customHeight="1" x14ac:dyDescent="0.35">
      <c r="L1782" s="2"/>
      <c r="M1782" s="2"/>
      <c r="N1782" s="650"/>
      <c r="O1782" s="650"/>
      <c r="P1782" s="651"/>
      <c r="Q1782" s="651"/>
      <c r="R1782" s="651"/>
      <c r="S1782" s="651"/>
    </row>
    <row r="1783" spans="12:19" ht="15.75" customHeight="1" x14ac:dyDescent="0.35">
      <c r="L1783" s="2"/>
      <c r="M1783" s="2"/>
      <c r="N1783" s="650"/>
      <c r="O1783" s="650"/>
      <c r="P1783" s="651"/>
      <c r="Q1783" s="651"/>
      <c r="R1783" s="651"/>
      <c r="S1783" s="651"/>
    </row>
    <row r="1784" spans="12:19" ht="15.75" customHeight="1" x14ac:dyDescent="0.35">
      <c r="L1784" s="2"/>
      <c r="M1784" s="2"/>
      <c r="N1784" s="650"/>
      <c r="O1784" s="650"/>
      <c r="P1784" s="651"/>
      <c r="Q1784" s="651"/>
      <c r="R1784" s="651"/>
      <c r="S1784" s="651"/>
    </row>
    <row r="1785" spans="12:19" ht="15.75" customHeight="1" x14ac:dyDescent="0.35">
      <c r="L1785" s="2"/>
      <c r="M1785" s="2"/>
      <c r="N1785" s="650"/>
      <c r="O1785" s="650"/>
      <c r="P1785" s="651"/>
      <c r="Q1785" s="651"/>
      <c r="R1785" s="651"/>
      <c r="S1785" s="651"/>
    </row>
    <row r="1786" spans="12:19" ht="15.75" customHeight="1" x14ac:dyDescent="0.35">
      <c r="L1786" s="2"/>
      <c r="M1786" s="2"/>
      <c r="N1786" s="650"/>
      <c r="O1786" s="650"/>
      <c r="P1786" s="651"/>
      <c r="Q1786" s="651"/>
      <c r="R1786" s="651"/>
      <c r="S1786" s="651"/>
    </row>
    <row r="1787" spans="12:19" ht="15.75" customHeight="1" x14ac:dyDescent="0.35">
      <c r="L1787" s="2"/>
      <c r="M1787" s="2"/>
      <c r="N1787" s="650"/>
      <c r="O1787" s="650"/>
      <c r="P1787" s="651"/>
      <c r="Q1787" s="651"/>
      <c r="R1787" s="651"/>
      <c r="S1787" s="651"/>
    </row>
    <row r="1788" spans="12:19" ht="15.75" customHeight="1" x14ac:dyDescent="0.35">
      <c r="L1788" s="2"/>
      <c r="M1788" s="2"/>
      <c r="N1788" s="650"/>
      <c r="O1788" s="650"/>
      <c r="P1788" s="651"/>
      <c r="Q1788" s="651"/>
      <c r="R1788" s="651"/>
      <c r="S1788" s="651"/>
    </row>
    <row r="1789" spans="12:19" ht="15.75" customHeight="1" x14ac:dyDescent="0.35">
      <c r="L1789" s="2"/>
      <c r="M1789" s="2"/>
      <c r="N1789" s="650"/>
      <c r="O1789" s="650"/>
      <c r="P1789" s="651"/>
      <c r="Q1789" s="651"/>
      <c r="R1789" s="651"/>
      <c r="S1789" s="651"/>
    </row>
    <row r="1790" spans="12:19" ht="15.75" customHeight="1" x14ac:dyDescent="0.35">
      <c r="L1790" s="2"/>
      <c r="M1790" s="2"/>
      <c r="N1790" s="650"/>
      <c r="O1790" s="650"/>
      <c r="P1790" s="651"/>
      <c r="Q1790" s="651"/>
      <c r="R1790" s="651"/>
      <c r="S1790" s="651"/>
    </row>
    <row r="1791" spans="12:19" ht="15.75" customHeight="1" x14ac:dyDescent="0.35">
      <c r="L1791" s="2"/>
      <c r="M1791" s="2"/>
      <c r="N1791" s="650"/>
      <c r="O1791" s="650"/>
      <c r="P1791" s="651"/>
      <c r="Q1791" s="651"/>
      <c r="R1791" s="651"/>
      <c r="S1791" s="651"/>
    </row>
    <row r="1792" spans="12:19" ht="15.75" customHeight="1" x14ac:dyDescent="0.35">
      <c r="L1792" s="2"/>
      <c r="M1792" s="2"/>
      <c r="N1792" s="650"/>
      <c r="O1792" s="650"/>
      <c r="P1792" s="651"/>
      <c r="Q1792" s="651"/>
      <c r="R1792" s="651"/>
      <c r="S1792" s="651"/>
    </row>
    <row r="1793" spans="12:19" ht="15.75" customHeight="1" x14ac:dyDescent="0.35">
      <c r="L1793" s="2"/>
      <c r="M1793" s="2"/>
      <c r="N1793" s="650"/>
      <c r="O1793" s="650"/>
      <c r="P1793" s="651"/>
      <c r="Q1793" s="651"/>
      <c r="R1793" s="651"/>
      <c r="S1793" s="651"/>
    </row>
    <row r="1794" spans="12:19" ht="15.75" customHeight="1" x14ac:dyDescent="0.35">
      <c r="L1794" s="2"/>
      <c r="M1794" s="2"/>
      <c r="N1794" s="650"/>
      <c r="O1794" s="650"/>
      <c r="P1794" s="651"/>
      <c r="Q1794" s="651"/>
      <c r="R1794" s="651"/>
      <c r="S1794" s="651"/>
    </row>
    <row r="1795" spans="12:19" ht="15.75" customHeight="1" x14ac:dyDescent="0.35">
      <c r="L1795" s="2"/>
      <c r="M1795" s="2"/>
      <c r="N1795" s="650"/>
      <c r="O1795" s="650"/>
      <c r="P1795" s="651"/>
      <c r="Q1795" s="651"/>
      <c r="R1795" s="651"/>
      <c r="S1795" s="651"/>
    </row>
    <row r="1796" spans="12:19" ht="15.75" customHeight="1" x14ac:dyDescent="0.35">
      <c r="L1796" s="2"/>
      <c r="M1796" s="2"/>
      <c r="N1796" s="650"/>
      <c r="O1796" s="650"/>
      <c r="P1796" s="651"/>
      <c r="Q1796" s="651"/>
      <c r="R1796" s="651"/>
      <c r="S1796" s="651"/>
    </row>
    <row r="1797" spans="12:19" ht="15.75" customHeight="1" x14ac:dyDescent="0.35">
      <c r="L1797" s="2"/>
      <c r="M1797" s="2"/>
      <c r="N1797" s="650"/>
      <c r="O1797" s="650"/>
      <c r="P1797" s="651"/>
      <c r="Q1797" s="651"/>
      <c r="R1797" s="651"/>
      <c r="S1797" s="651"/>
    </row>
    <row r="1798" spans="12:19" ht="15.75" customHeight="1" x14ac:dyDescent="0.35">
      <c r="L1798" s="2"/>
      <c r="M1798" s="2"/>
      <c r="N1798" s="650"/>
      <c r="O1798" s="650"/>
      <c r="P1798" s="651"/>
      <c r="Q1798" s="651"/>
      <c r="R1798" s="651"/>
      <c r="S1798" s="651"/>
    </row>
    <row r="1799" spans="12:19" ht="15.75" customHeight="1" x14ac:dyDescent="0.35">
      <c r="L1799" s="2"/>
      <c r="M1799" s="2"/>
      <c r="N1799" s="650"/>
      <c r="O1799" s="650"/>
      <c r="P1799" s="651"/>
      <c r="Q1799" s="651"/>
      <c r="R1799" s="651"/>
      <c r="S1799" s="651"/>
    </row>
    <row r="1800" spans="12:19" ht="15.75" customHeight="1" x14ac:dyDescent="0.35">
      <c r="L1800" s="2"/>
      <c r="M1800" s="2"/>
      <c r="N1800" s="650"/>
      <c r="O1800" s="650"/>
      <c r="P1800" s="651"/>
      <c r="Q1800" s="651"/>
      <c r="R1800" s="651"/>
      <c r="S1800" s="651"/>
    </row>
    <row r="1801" spans="12:19" ht="15.75" customHeight="1" x14ac:dyDescent="0.35">
      <c r="L1801" s="2"/>
      <c r="M1801" s="2"/>
      <c r="N1801" s="650"/>
      <c r="O1801" s="650"/>
      <c r="P1801" s="651"/>
      <c r="Q1801" s="651"/>
      <c r="R1801" s="651"/>
      <c r="S1801" s="651"/>
    </row>
    <row r="1802" spans="12:19" ht="15.75" customHeight="1" x14ac:dyDescent="0.35">
      <c r="L1802" s="2"/>
      <c r="M1802" s="2"/>
      <c r="N1802" s="650"/>
      <c r="O1802" s="650"/>
      <c r="P1802" s="651"/>
      <c r="Q1802" s="651"/>
      <c r="R1802" s="651"/>
      <c r="S1802" s="651"/>
    </row>
    <row r="1803" spans="12:19" ht="15.75" customHeight="1" x14ac:dyDescent="0.35">
      <c r="L1803" s="2"/>
      <c r="M1803" s="2"/>
      <c r="N1803" s="650"/>
      <c r="O1803" s="650"/>
      <c r="P1803" s="651"/>
      <c r="Q1803" s="651"/>
      <c r="R1803" s="651"/>
      <c r="S1803" s="651"/>
    </row>
    <row r="1804" spans="12:19" ht="15.75" customHeight="1" x14ac:dyDescent="0.35">
      <c r="L1804" s="2"/>
      <c r="M1804" s="2"/>
      <c r="N1804" s="650"/>
      <c r="O1804" s="650"/>
      <c r="P1804" s="651"/>
      <c r="Q1804" s="651"/>
      <c r="R1804" s="651"/>
      <c r="S1804" s="651"/>
    </row>
    <row r="1805" spans="12:19" ht="15.75" customHeight="1" x14ac:dyDescent="0.35">
      <c r="L1805" s="2"/>
      <c r="M1805" s="2"/>
      <c r="N1805" s="650"/>
      <c r="O1805" s="650"/>
      <c r="P1805" s="651"/>
      <c r="Q1805" s="651"/>
      <c r="R1805" s="651"/>
      <c r="S1805" s="651"/>
    </row>
    <row r="1806" spans="12:19" ht="15.75" customHeight="1" x14ac:dyDescent="0.35">
      <c r="L1806" s="2"/>
      <c r="M1806" s="2"/>
      <c r="N1806" s="650"/>
      <c r="O1806" s="650"/>
      <c r="P1806" s="651"/>
      <c r="Q1806" s="651"/>
      <c r="R1806" s="651"/>
      <c r="S1806" s="651"/>
    </row>
    <row r="1807" spans="12:19" ht="15.75" customHeight="1" x14ac:dyDescent="0.35">
      <c r="L1807" s="2"/>
      <c r="M1807" s="2"/>
      <c r="N1807" s="650"/>
      <c r="O1807" s="650"/>
      <c r="P1807" s="651"/>
      <c r="Q1807" s="651"/>
      <c r="R1807" s="651"/>
      <c r="S1807" s="651"/>
    </row>
    <row r="1808" spans="12:19" ht="15.75" customHeight="1" x14ac:dyDescent="0.35">
      <c r="L1808" s="2"/>
      <c r="M1808" s="2"/>
      <c r="N1808" s="650"/>
      <c r="O1808" s="650"/>
      <c r="P1808" s="651"/>
      <c r="Q1808" s="651"/>
      <c r="R1808" s="651"/>
      <c r="S1808" s="651"/>
    </row>
    <row r="1809" spans="12:19" ht="15.75" customHeight="1" x14ac:dyDescent="0.35">
      <c r="L1809" s="2"/>
      <c r="M1809" s="2"/>
      <c r="N1809" s="650"/>
      <c r="O1809" s="650"/>
      <c r="P1809" s="651"/>
      <c r="Q1809" s="651"/>
      <c r="R1809" s="651"/>
      <c r="S1809" s="651"/>
    </row>
    <row r="1810" spans="12:19" ht="15.75" customHeight="1" x14ac:dyDescent="0.35">
      <c r="L1810" s="2"/>
      <c r="M1810" s="2"/>
      <c r="N1810" s="650"/>
      <c r="O1810" s="650"/>
      <c r="P1810" s="651"/>
      <c r="Q1810" s="651"/>
      <c r="R1810" s="651"/>
      <c r="S1810" s="651"/>
    </row>
    <row r="1811" spans="12:19" ht="15.75" customHeight="1" x14ac:dyDescent="0.35">
      <c r="L1811" s="2"/>
      <c r="M1811" s="2"/>
      <c r="N1811" s="650"/>
      <c r="O1811" s="650"/>
      <c r="P1811" s="651"/>
      <c r="Q1811" s="651"/>
      <c r="R1811" s="651"/>
      <c r="S1811" s="651"/>
    </row>
    <row r="1812" spans="12:19" ht="15.75" customHeight="1" x14ac:dyDescent="0.35">
      <c r="L1812" s="2"/>
      <c r="M1812" s="2"/>
      <c r="N1812" s="650"/>
      <c r="O1812" s="650"/>
      <c r="P1812" s="651"/>
      <c r="Q1812" s="651"/>
      <c r="R1812" s="651"/>
      <c r="S1812" s="651"/>
    </row>
    <row r="1813" spans="12:19" ht="15.75" customHeight="1" x14ac:dyDescent="0.35">
      <c r="L1813" s="2"/>
      <c r="M1813" s="2"/>
      <c r="N1813" s="650"/>
      <c r="O1813" s="650"/>
      <c r="P1813" s="651"/>
      <c r="Q1813" s="651"/>
      <c r="R1813" s="651"/>
      <c r="S1813" s="651"/>
    </row>
    <row r="1814" spans="12:19" ht="15.75" customHeight="1" x14ac:dyDescent="0.35">
      <c r="L1814" s="2"/>
      <c r="M1814" s="2"/>
      <c r="N1814" s="650"/>
      <c r="O1814" s="650"/>
      <c r="P1814" s="651"/>
      <c r="Q1814" s="651"/>
      <c r="R1814" s="651"/>
      <c r="S1814" s="651"/>
    </row>
    <row r="1815" spans="12:19" ht="15.75" customHeight="1" x14ac:dyDescent="0.35">
      <c r="L1815" s="2"/>
      <c r="M1815" s="2"/>
      <c r="N1815" s="650"/>
      <c r="O1815" s="650"/>
      <c r="P1815" s="651"/>
      <c r="Q1815" s="651"/>
      <c r="R1815" s="651"/>
      <c r="S1815" s="651"/>
    </row>
    <row r="1816" spans="12:19" ht="15.75" customHeight="1" x14ac:dyDescent="0.35">
      <c r="L1816" s="2"/>
      <c r="M1816" s="2"/>
      <c r="N1816" s="650"/>
      <c r="O1816" s="650"/>
      <c r="P1816" s="651"/>
      <c r="Q1816" s="651"/>
      <c r="R1816" s="651"/>
      <c r="S1816" s="651"/>
    </row>
    <row r="1817" spans="12:19" ht="15.75" customHeight="1" x14ac:dyDescent="0.35">
      <c r="L1817" s="2"/>
      <c r="M1817" s="2"/>
      <c r="N1817" s="650"/>
      <c r="O1817" s="650"/>
      <c r="P1817" s="651"/>
      <c r="Q1817" s="651"/>
      <c r="R1817" s="651"/>
      <c r="S1817" s="651"/>
    </row>
    <row r="1818" spans="12:19" ht="15.75" customHeight="1" x14ac:dyDescent="0.35">
      <c r="L1818" s="2"/>
      <c r="M1818" s="2"/>
      <c r="N1818" s="650"/>
      <c r="O1818" s="650"/>
      <c r="P1818" s="651"/>
      <c r="Q1818" s="651"/>
      <c r="R1818" s="651"/>
      <c r="S1818" s="651"/>
    </row>
    <row r="1819" spans="12:19" ht="15.75" customHeight="1" x14ac:dyDescent="0.35">
      <c r="L1819" s="2"/>
      <c r="M1819" s="2"/>
      <c r="N1819" s="650"/>
      <c r="O1819" s="650"/>
      <c r="P1819" s="651"/>
      <c r="Q1819" s="651"/>
      <c r="R1819" s="651"/>
      <c r="S1819" s="651"/>
    </row>
    <row r="1820" spans="12:19" ht="15.75" customHeight="1" x14ac:dyDescent="0.35">
      <c r="L1820" s="2"/>
      <c r="M1820" s="2"/>
      <c r="N1820" s="650"/>
      <c r="O1820" s="650"/>
      <c r="P1820" s="651"/>
      <c r="Q1820" s="651"/>
      <c r="R1820" s="651"/>
      <c r="S1820" s="651"/>
    </row>
    <row r="1821" spans="12:19" ht="15.75" customHeight="1" x14ac:dyDescent="0.35">
      <c r="L1821" s="2"/>
      <c r="M1821" s="2"/>
      <c r="N1821" s="650"/>
      <c r="O1821" s="650"/>
      <c r="P1821" s="651"/>
      <c r="Q1821" s="651"/>
      <c r="R1821" s="651"/>
      <c r="S1821" s="651"/>
    </row>
    <row r="1822" spans="12:19" ht="15.75" customHeight="1" x14ac:dyDescent="0.35">
      <c r="L1822" s="2"/>
      <c r="M1822" s="2"/>
      <c r="N1822" s="650"/>
      <c r="O1822" s="650"/>
      <c r="P1822" s="651"/>
      <c r="Q1822" s="651"/>
      <c r="R1822" s="651"/>
      <c r="S1822" s="651"/>
    </row>
    <row r="1823" spans="12:19" ht="15.75" customHeight="1" x14ac:dyDescent="0.35">
      <c r="L1823" s="2"/>
      <c r="M1823" s="2"/>
      <c r="N1823" s="650"/>
      <c r="O1823" s="650"/>
      <c r="P1823" s="651"/>
      <c r="Q1823" s="651"/>
      <c r="R1823" s="651"/>
      <c r="S1823" s="651"/>
    </row>
    <row r="1824" spans="12:19" ht="15.75" customHeight="1" x14ac:dyDescent="0.35">
      <c r="L1824" s="2"/>
      <c r="M1824" s="2"/>
      <c r="N1824" s="650"/>
      <c r="O1824" s="650"/>
      <c r="P1824" s="651"/>
      <c r="Q1824" s="651"/>
      <c r="R1824" s="651"/>
      <c r="S1824" s="651"/>
    </row>
    <row r="1825" spans="12:19" ht="15.75" customHeight="1" x14ac:dyDescent="0.35">
      <c r="L1825" s="2"/>
      <c r="M1825" s="2"/>
      <c r="N1825" s="650"/>
      <c r="O1825" s="650"/>
      <c r="P1825" s="651"/>
      <c r="Q1825" s="651"/>
      <c r="R1825" s="651"/>
      <c r="S1825" s="651"/>
    </row>
    <row r="1826" spans="12:19" ht="15.75" customHeight="1" x14ac:dyDescent="0.35">
      <c r="L1826" s="2"/>
      <c r="M1826" s="2"/>
      <c r="N1826" s="650"/>
      <c r="O1826" s="650"/>
      <c r="P1826" s="651"/>
      <c r="Q1826" s="651"/>
      <c r="R1826" s="651"/>
      <c r="S1826" s="651"/>
    </row>
    <row r="1827" spans="12:19" ht="15.75" customHeight="1" x14ac:dyDescent="0.35">
      <c r="L1827" s="2"/>
      <c r="M1827" s="2"/>
      <c r="N1827" s="650"/>
      <c r="O1827" s="650"/>
      <c r="P1827" s="651"/>
      <c r="Q1827" s="651"/>
      <c r="R1827" s="651"/>
      <c r="S1827" s="651"/>
    </row>
    <row r="1828" spans="12:19" ht="15.75" customHeight="1" x14ac:dyDescent="0.35">
      <c r="L1828" s="2"/>
      <c r="M1828" s="2"/>
      <c r="N1828" s="650"/>
      <c r="O1828" s="650"/>
      <c r="P1828" s="651"/>
      <c r="Q1828" s="651"/>
      <c r="R1828" s="651"/>
      <c r="S1828" s="651"/>
    </row>
    <row r="1829" spans="12:19" ht="15.75" customHeight="1" x14ac:dyDescent="0.35">
      <c r="L1829" s="2"/>
      <c r="M1829" s="2"/>
      <c r="N1829" s="650"/>
      <c r="O1829" s="650"/>
      <c r="P1829" s="651"/>
      <c r="Q1829" s="651"/>
      <c r="R1829" s="651"/>
      <c r="S1829" s="651"/>
    </row>
    <row r="1830" spans="12:19" ht="15.75" customHeight="1" x14ac:dyDescent="0.35">
      <c r="L1830" s="2"/>
      <c r="M1830" s="2"/>
      <c r="N1830" s="650"/>
      <c r="O1830" s="650"/>
      <c r="P1830" s="651"/>
      <c r="Q1830" s="651"/>
      <c r="R1830" s="651"/>
      <c r="S1830" s="651"/>
    </row>
    <row r="1831" spans="12:19" ht="15.75" customHeight="1" x14ac:dyDescent="0.35">
      <c r="L1831" s="2"/>
      <c r="M1831" s="2"/>
      <c r="N1831" s="650"/>
      <c r="O1831" s="650"/>
      <c r="P1831" s="651"/>
      <c r="Q1831" s="651"/>
      <c r="R1831" s="651"/>
      <c r="S1831" s="651"/>
    </row>
    <row r="1832" spans="12:19" ht="15.75" customHeight="1" x14ac:dyDescent="0.35">
      <c r="L1832" s="2"/>
      <c r="M1832" s="2"/>
      <c r="N1832" s="650"/>
      <c r="O1832" s="650"/>
      <c r="P1832" s="651"/>
      <c r="Q1832" s="651"/>
      <c r="R1832" s="651"/>
      <c r="S1832" s="651"/>
    </row>
    <row r="1833" spans="12:19" ht="15.75" customHeight="1" x14ac:dyDescent="0.35">
      <c r="L1833" s="2"/>
      <c r="M1833" s="2"/>
      <c r="N1833" s="650"/>
      <c r="O1833" s="650"/>
      <c r="P1833" s="651"/>
      <c r="Q1833" s="651"/>
      <c r="R1833" s="651"/>
      <c r="S1833" s="651"/>
    </row>
    <row r="1834" spans="12:19" ht="15.75" customHeight="1" x14ac:dyDescent="0.35">
      <c r="L1834" s="2"/>
      <c r="M1834" s="2"/>
      <c r="N1834" s="650"/>
      <c r="O1834" s="650"/>
      <c r="P1834" s="651"/>
      <c r="Q1834" s="651"/>
      <c r="R1834" s="651"/>
      <c r="S1834" s="651"/>
    </row>
    <row r="1835" spans="12:19" ht="15.75" customHeight="1" x14ac:dyDescent="0.35">
      <c r="L1835" s="2"/>
      <c r="M1835" s="2"/>
      <c r="N1835" s="650"/>
      <c r="O1835" s="650"/>
      <c r="P1835" s="651"/>
      <c r="Q1835" s="651"/>
      <c r="R1835" s="651"/>
      <c r="S1835" s="651"/>
    </row>
    <row r="1836" spans="12:19" ht="15.75" customHeight="1" x14ac:dyDescent="0.35">
      <c r="L1836" s="2"/>
      <c r="M1836" s="2"/>
      <c r="N1836" s="650"/>
      <c r="O1836" s="650"/>
      <c r="P1836" s="651"/>
      <c r="Q1836" s="651"/>
      <c r="R1836" s="651"/>
      <c r="S1836" s="651"/>
    </row>
    <row r="1837" spans="12:19" ht="15.75" customHeight="1" x14ac:dyDescent="0.35">
      <c r="L1837" s="2"/>
      <c r="M1837" s="2"/>
      <c r="N1837" s="650"/>
      <c r="O1837" s="650"/>
      <c r="P1837" s="651"/>
      <c r="Q1837" s="651"/>
      <c r="R1837" s="651"/>
      <c r="S1837" s="651"/>
    </row>
    <row r="1838" spans="12:19" ht="15.75" customHeight="1" x14ac:dyDescent="0.35">
      <c r="L1838" s="2"/>
      <c r="M1838" s="2"/>
      <c r="N1838" s="650"/>
      <c r="O1838" s="650"/>
      <c r="P1838" s="651"/>
      <c r="Q1838" s="651"/>
      <c r="R1838" s="651"/>
      <c r="S1838" s="651"/>
    </row>
    <row r="1839" spans="12:19" ht="15.75" customHeight="1" x14ac:dyDescent="0.35">
      <c r="L1839" s="2"/>
      <c r="M1839" s="2"/>
      <c r="N1839" s="650"/>
      <c r="O1839" s="650"/>
      <c r="P1839" s="651"/>
      <c r="Q1839" s="651"/>
      <c r="R1839" s="651"/>
      <c r="S1839" s="651"/>
    </row>
    <row r="1840" spans="12:19" ht="15.75" customHeight="1" x14ac:dyDescent="0.35">
      <c r="L1840" s="2"/>
      <c r="M1840" s="2"/>
      <c r="N1840" s="650"/>
      <c r="O1840" s="650"/>
      <c r="P1840" s="651"/>
      <c r="Q1840" s="651"/>
      <c r="R1840" s="651"/>
      <c r="S1840" s="651"/>
    </row>
    <row r="1841" spans="12:19" ht="15.75" customHeight="1" x14ac:dyDescent="0.35">
      <c r="L1841" s="2"/>
      <c r="M1841" s="2"/>
      <c r="N1841" s="650"/>
      <c r="O1841" s="650"/>
      <c r="P1841" s="651"/>
      <c r="Q1841" s="651"/>
      <c r="R1841" s="651"/>
      <c r="S1841" s="651"/>
    </row>
    <row r="1842" spans="12:19" ht="15.75" customHeight="1" x14ac:dyDescent="0.35">
      <c r="L1842" s="2"/>
      <c r="M1842" s="2"/>
      <c r="N1842" s="650"/>
      <c r="O1842" s="650"/>
      <c r="P1842" s="651"/>
      <c r="Q1842" s="651"/>
      <c r="R1842" s="651"/>
      <c r="S1842" s="651"/>
    </row>
    <row r="1843" spans="12:19" ht="15.75" customHeight="1" x14ac:dyDescent="0.35">
      <c r="L1843" s="2"/>
      <c r="M1843" s="2"/>
      <c r="N1843" s="650"/>
      <c r="O1843" s="650"/>
      <c r="P1843" s="651"/>
      <c r="Q1843" s="651"/>
      <c r="R1843" s="651"/>
      <c r="S1843" s="651"/>
    </row>
    <row r="1844" spans="12:19" ht="15.75" customHeight="1" x14ac:dyDescent="0.35">
      <c r="L1844" s="2"/>
      <c r="M1844" s="2"/>
      <c r="N1844" s="650"/>
      <c r="O1844" s="650"/>
      <c r="P1844" s="651"/>
      <c r="Q1844" s="651"/>
      <c r="R1844" s="651"/>
      <c r="S1844" s="651"/>
    </row>
    <row r="1845" spans="12:19" ht="15.75" customHeight="1" x14ac:dyDescent="0.35">
      <c r="L1845" s="2"/>
      <c r="M1845" s="2"/>
      <c r="N1845" s="650"/>
      <c r="O1845" s="650"/>
      <c r="P1845" s="651"/>
      <c r="Q1845" s="651"/>
      <c r="R1845" s="651"/>
      <c r="S1845" s="651"/>
    </row>
    <row r="1846" spans="12:19" ht="15.75" customHeight="1" x14ac:dyDescent="0.35">
      <c r="L1846" s="2"/>
      <c r="M1846" s="2"/>
      <c r="N1846" s="650"/>
      <c r="O1846" s="650"/>
      <c r="P1846" s="651"/>
      <c r="Q1846" s="651"/>
      <c r="R1846" s="651"/>
      <c r="S1846" s="651"/>
    </row>
    <row r="1847" spans="12:19" ht="15.75" customHeight="1" x14ac:dyDescent="0.35">
      <c r="L1847" s="2"/>
      <c r="M1847" s="2"/>
      <c r="N1847" s="650"/>
      <c r="O1847" s="650"/>
      <c r="P1847" s="651"/>
      <c r="Q1847" s="651"/>
      <c r="R1847" s="651"/>
      <c r="S1847" s="651"/>
    </row>
    <row r="1848" spans="12:19" ht="15.75" customHeight="1" x14ac:dyDescent="0.35">
      <c r="L1848" s="2"/>
      <c r="M1848" s="2"/>
      <c r="N1848" s="650"/>
      <c r="O1848" s="650"/>
      <c r="P1848" s="651"/>
      <c r="Q1848" s="651"/>
      <c r="R1848" s="651"/>
      <c r="S1848" s="651"/>
    </row>
    <row r="1849" spans="12:19" ht="15.75" customHeight="1" x14ac:dyDescent="0.35">
      <c r="L1849" s="2"/>
      <c r="M1849" s="2"/>
      <c r="N1849" s="650"/>
      <c r="O1849" s="650"/>
      <c r="P1849" s="651"/>
      <c r="Q1849" s="651"/>
      <c r="R1849" s="651"/>
      <c r="S1849" s="651"/>
    </row>
    <row r="1850" spans="12:19" ht="15.75" customHeight="1" x14ac:dyDescent="0.35">
      <c r="L1850" s="2"/>
      <c r="M1850" s="2"/>
      <c r="N1850" s="650"/>
      <c r="O1850" s="650"/>
      <c r="P1850" s="651"/>
      <c r="Q1850" s="651"/>
      <c r="R1850" s="651"/>
      <c r="S1850" s="651"/>
    </row>
    <row r="1851" spans="12:19" ht="15.75" customHeight="1" x14ac:dyDescent="0.35">
      <c r="L1851" s="2"/>
      <c r="M1851" s="2"/>
      <c r="N1851" s="650"/>
      <c r="O1851" s="650"/>
      <c r="P1851" s="651"/>
      <c r="Q1851" s="651"/>
      <c r="R1851" s="651"/>
      <c r="S1851" s="651"/>
    </row>
    <row r="1852" spans="12:19" ht="15.75" customHeight="1" x14ac:dyDescent="0.35">
      <c r="L1852" s="2"/>
      <c r="M1852" s="2"/>
      <c r="N1852" s="650"/>
      <c r="O1852" s="650"/>
      <c r="P1852" s="651"/>
      <c r="Q1852" s="651"/>
      <c r="R1852" s="651"/>
      <c r="S1852" s="651"/>
    </row>
    <row r="1853" spans="12:19" ht="15.75" customHeight="1" x14ac:dyDescent="0.35">
      <c r="L1853" s="2"/>
      <c r="M1853" s="2"/>
      <c r="N1853" s="650"/>
      <c r="O1853" s="650"/>
      <c r="P1853" s="651"/>
      <c r="Q1853" s="651"/>
      <c r="R1853" s="651"/>
      <c r="S1853" s="651"/>
    </row>
    <row r="1854" spans="12:19" ht="15.75" customHeight="1" x14ac:dyDescent="0.35">
      <c r="L1854" s="2"/>
      <c r="M1854" s="2"/>
      <c r="N1854" s="650"/>
      <c r="O1854" s="650"/>
      <c r="P1854" s="651"/>
      <c r="Q1854" s="651"/>
      <c r="R1854" s="651"/>
      <c r="S1854" s="651"/>
    </row>
    <row r="1855" spans="12:19" ht="15.75" customHeight="1" x14ac:dyDescent="0.35">
      <c r="L1855" s="2"/>
      <c r="M1855" s="2"/>
      <c r="N1855" s="650"/>
      <c r="O1855" s="650"/>
      <c r="P1855" s="651"/>
      <c r="Q1855" s="651"/>
      <c r="R1855" s="651"/>
      <c r="S1855" s="651"/>
    </row>
    <row r="1856" spans="12:19" ht="15.75" customHeight="1" x14ac:dyDescent="0.35">
      <c r="L1856" s="2"/>
      <c r="M1856" s="2"/>
      <c r="N1856" s="650"/>
      <c r="O1856" s="650"/>
      <c r="P1856" s="651"/>
      <c r="Q1856" s="651"/>
      <c r="R1856" s="651"/>
      <c r="S1856" s="651"/>
    </row>
    <row r="1857" spans="12:19" ht="15.75" customHeight="1" x14ac:dyDescent="0.35">
      <c r="L1857" s="2"/>
      <c r="M1857" s="2"/>
      <c r="N1857" s="650"/>
      <c r="O1857" s="650"/>
      <c r="P1857" s="651"/>
      <c r="Q1857" s="651"/>
      <c r="R1857" s="651"/>
      <c r="S1857" s="651"/>
    </row>
    <row r="1858" spans="12:19" ht="15.75" customHeight="1" x14ac:dyDescent="0.35">
      <c r="L1858" s="2"/>
      <c r="M1858" s="2"/>
      <c r="N1858" s="650"/>
      <c r="O1858" s="650"/>
      <c r="P1858" s="651"/>
      <c r="Q1858" s="651"/>
      <c r="R1858" s="651"/>
      <c r="S1858" s="651"/>
    </row>
    <row r="1859" spans="12:19" ht="15.75" customHeight="1" x14ac:dyDescent="0.35">
      <c r="L1859" s="2"/>
      <c r="M1859" s="2"/>
      <c r="N1859" s="650"/>
      <c r="O1859" s="650"/>
      <c r="P1859" s="651"/>
      <c r="Q1859" s="651"/>
      <c r="R1859" s="651"/>
      <c r="S1859" s="651"/>
    </row>
    <row r="1860" spans="12:19" ht="15.75" customHeight="1" x14ac:dyDescent="0.35">
      <c r="L1860" s="2"/>
      <c r="M1860" s="2"/>
      <c r="N1860" s="650"/>
      <c r="O1860" s="650"/>
      <c r="P1860" s="651"/>
      <c r="Q1860" s="651"/>
      <c r="R1860" s="651"/>
      <c r="S1860" s="651"/>
    </row>
    <row r="1861" spans="12:19" ht="15.75" customHeight="1" x14ac:dyDescent="0.35">
      <c r="L1861" s="2"/>
      <c r="M1861" s="2"/>
      <c r="N1861" s="650"/>
      <c r="O1861" s="650"/>
      <c r="P1861" s="651"/>
      <c r="Q1861" s="651"/>
      <c r="R1861" s="651"/>
      <c r="S1861" s="651"/>
    </row>
    <row r="1862" spans="12:19" ht="15.75" customHeight="1" x14ac:dyDescent="0.35">
      <c r="L1862" s="2"/>
      <c r="M1862" s="2"/>
      <c r="N1862" s="650"/>
      <c r="O1862" s="650"/>
      <c r="P1862" s="651"/>
      <c r="Q1862" s="651"/>
      <c r="R1862" s="651"/>
      <c r="S1862" s="651"/>
    </row>
    <row r="1863" spans="12:19" ht="15.75" customHeight="1" x14ac:dyDescent="0.35">
      <c r="L1863" s="2"/>
      <c r="M1863" s="2"/>
      <c r="N1863" s="650"/>
      <c r="O1863" s="650"/>
      <c r="P1863" s="651"/>
      <c r="Q1863" s="651"/>
      <c r="R1863" s="651"/>
      <c r="S1863" s="651"/>
    </row>
    <row r="1864" spans="12:19" ht="15.75" customHeight="1" x14ac:dyDescent="0.35">
      <c r="L1864" s="2"/>
      <c r="M1864" s="2"/>
      <c r="N1864" s="650"/>
      <c r="O1864" s="650"/>
      <c r="P1864" s="651"/>
      <c r="Q1864" s="651"/>
      <c r="R1864" s="651"/>
      <c r="S1864" s="651"/>
    </row>
    <row r="1865" spans="12:19" ht="15.75" customHeight="1" x14ac:dyDescent="0.35">
      <c r="L1865" s="2"/>
      <c r="M1865" s="2"/>
      <c r="N1865" s="650"/>
      <c r="O1865" s="650"/>
      <c r="P1865" s="651"/>
      <c r="Q1865" s="651"/>
      <c r="R1865" s="651"/>
      <c r="S1865" s="651"/>
    </row>
    <row r="1866" spans="12:19" ht="15.75" customHeight="1" x14ac:dyDescent="0.35">
      <c r="L1866" s="2"/>
      <c r="M1866" s="2"/>
      <c r="N1866" s="650"/>
      <c r="O1866" s="650"/>
      <c r="P1866" s="651"/>
      <c r="Q1866" s="651"/>
      <c r="R1866" s="651"/>
      <c r="S1866" s="651"/>
    </row>
    <row r="1867" spans="12:19" ht="15.75" customHeight="1" x14ac:dyDescent="0.35">
      <c r="L1867" s="2"/>
      <c r="M1867" s="2"/>
      <c r="N1867" s="650"/>
      <c r="O1867" s="650"/>
      <c r="P1867" s="651"/>
      <c r="Q1867" s="651"/>
      <c r="R1867" s="651"/>
      <c r="S1867" s="651"/>
    </row>
    <row r="1868" spans="12:19" ht="15.75" customHeight="1" x14ac:dyDescent="0.35">
      <c r="L1868" s="2"/>
      <c r="M1868" s="2"/>
      <c r="N1868" s="650"/>
      <c r="O1868" s="650"/>
      <c r="P1868" s="651"/>
      <c r="Q1868" s="651"/>
      <c r="R1868" s="651"/>
      <c r="S1868" s="651"/>
    </row>
    <row r="1869" spans="12:19" ht="15.75" customHeight="1" x14ac:dyDescent="0.35">
      <c r="L1869" s="2"/>
      <c r="M1869" s="2"/>
      <c r="N1869" s="650"/>
      <c r="O1869" s="650"/>
      <c r="P1869" s="651"/>
      <c r="Q1869" s="651"/>
      <c r="R1869" s="651"/>
      <c r="S1869" s="651"/>
    </row>
    <row r="1870" spans="12:19" ht="15.75" customHeight="1" x14ac:dyDescent="0.35">
      <c r="L1870" s="2"/>
      <c r="M1870" s="2"/>
      <c r="N1870" s="650"/>
      <c r="O1870" s="650"/>
      <c r="P1870" s="651"/>
      <c r="Q1870" s="651"/>
      <c r="R1870" s="651"/>
      <c r="S1870" s="651"/>
    </row>
    <row r="1871" spans="12:19" ht="15.75" customHeight="1" x14ac:dyDescent="0.35">
      <c r="L1871" s="2"/>
      <c r="M1871" s="2"/>
      <c r="N1871" s="650"/>
      <c r="O1871" s="650"/>
      <c r="P1871" s="651"/>
      <c r="Q1871" s="651"/>
      <c r="R1871" s="651"/>
      <c r="S1871" s="651"/>
    </row>
    <row r="1872" spans="12:19" ht="15.75" customHeight="1" x14ac:dyDescent="0.35">
      <c r="L1872" s="2"/>
      <c r="M1872" s="2"/>
      <c r="N1872" s="650"/>
      <c r="O1872" s="650"/>
      <c r="P1872" s="651"/>
      <c r="Q1872" s="651"/>
      <c r="R1872" s="651"/>
      <c r="S1872" s="651"/>
    </row>
    <row r="1873" spans="12:19" ht="15.75" customHeight="1" x14ac:dyDescent="0.35">
      <c r="L1873" s="2"/>
      <c r="M1873" s="2"/>
      <c r="N1873" s="650"/>
      <c r="O1873" s="650"/>
      <c r="P1873" s="651"/>
      <c r="Q1873" s="651"/>
      <c r="R1873" s="651"/>
      <c r="S1873" s="651"/>
    </row>
    <row r="1874" spans="12:19" ht="15.75" customHeight="1" x14ac:dyDescent="0.35">
      <c r="L1874" s="2"/>
      <c r="M1874" s="2"/>
      <c r="N1874" s="650"/>
      <c r="O1874" s="650"/>
      <c r="P1874" s="651"/>
      <c r="Q1874" s="651"/>
      <c r="R1874" s="651"/>
      <c r="S1874" s="651"/>
    </row>
    <row r="1875" spans="12:19" ht="15.75" customHeight="1" x14ac:dyDescent="0.35">
      <c r="L1875" s="2"/>
      <c r="M1875" s="2"/>
      <c r="N1875" s="650"/>
      <c r="O1875" s="650"/>
      <c r="P1875" s="651"/>
      <c r="Q1875" s="651"/>
      <c r="R1875" s="651"/>
      <c r="S1875" s="651"/>
    </row>
    <row r="1876" spans="12:19" ht="15.75" customHeight="1" x14ac:dyDescent="0.35">
      <c r="L1876" s="2"/>
      <c r="M1876" s="2"/>
      <c r="N1876" s="650"/>
      <c r="O1876" s="650"/>
      <c r="P1876" s="651"/>
      <c r="Q1876" s="651"/>
      <c r="R1876" s="651"/>
      <c r="S1876" s="651"/>
    </row>
    <row r="1877" spans="12:19" ht="15.75" customHeight="1" x14ac:dyDescent="0.35">
      <c r="L1877" s="2"/>
      <c r="M1877" s="2"/>
      <c r="N1877" s="650"/>
      <c r="O1877" s="650"/>
      <c r="P1877" s="651"/>
      <c r="Q1877" s="651"/>
      <c r="R1877" s="651"/>
      <c r="S1877" s="651"/>
    </row>
    <row r="1878" spans="12:19" ht="15.75" customHeight="1" x14ac:dyDescent="0.35">
      <c r="L1878" s="2"/>
      <c r="M1878" s="2"/>
      <c r="N1878" s="650"/>
      <c r="O1878" s="650"/>
      <c r="P1878" s="651"/>
      <c r="Q1878" s="651"/>
      <c r="R1878" s="651"/>
      <c r="S1878" s="651"/>
    </row>
    <row r="1879" spans="12:19" ht="15.75" customHeight="1" x14ac:dyDescent="0.35">
      <c r="L1879" s="2"/>
      <c r="M1879" s="2"/>
      <c r="N1879" s="650"/>
      <c r="O1879" s="650"/>
      <c r="P1879" s="651"/>
      <c r="Q1879" s="651"/>
      <c r="R1879" s="651"/>
      <c r="S1879" s="651"/>
    </row>
    <row r="1880" spans="12:19" ht="15.75" customHeight="1" x14ac:dyDescent="0.35">
      <c r="L1880" s="2"/>
      <c r="M1880" s="2"/>
      <c r="N1880" s="650"/>
      <c r="O1880" s="650"/>
      <c r="P1880" s="651"/>
      <c r="Q1880" s="651"/>
      <c r="R1880" s="651"/>
      <c r="S1880" s="651"/>
    </row>
    <row r="1881" spans="12:19" ht="15.75" customHeight="1" x14ac:dyDescent="0.35">
      <c r="L1881" s="2"/>
      <c r="M1881" s="2"/>
      <c r="N1881" s="650"/>
      <c r="O1881" s="650"/>
      <c r="P1881" s="651"/>
      <c r="Q1881" s="651"/>
      <c r="R1881" s="651"/>
      <c r="S1881" s="651"/>
    </row>
    <row r="1882" spans="12:19" ht="15.75" customHeight="1" x14ac:dyDescent="0.35">
      <c r="L1882" s="2"/>
      <c r="M1882" s="2"/>
      <c r="N1882" s="650"/>
      <c r="O1882" s="650"/>
      <c r="P1882" s="651"/>
      <c r="Q1882" s="651"/>
      <c r="R1882" s="651"/>
      <c r="S1882" s="651"/>
    </row>
    <row r="1883" spans="12:19" ht="15.75" customHeight="1" x14ac:dyDescent="0.35">
      <c r="L1883" s="2"/>
      <c r="M1883" s="2"/>
      <c r="N1883" s="650"/>
      <c r="O1883" s="650"/>
      <c r="P1883" s="651"/>
      <c r="Q1883" s="651"/>
      <c r="R1883" s="651"/>
      <c r="S1883" s="651"/>
    </row>
    <row r="1884" spans="12:19" ht="15.75" customHeight="1" x14ac:dyDescent="0.35">
      <c r="L1884" s="2"/>
      <c r="M1884" s="2"/>
      <c r="N1884" s="650"/>
      <c r="O1884" s="650"/>
      <c r="P1884" s="651"/>
      <c r="Q1884" s="651"/>
      <c r="R1884" s="651"/>
      <c r="S1884" s="651"/>
    </row>
    <row r="1885" spans="12:19" ht="15.75" customHeight="1" x14ac:dyDescent="0.35">
      <c r="L1885" s="2"/>
      <c r="M1885" s="2"/>
      <c r="N1885" s="650"/>
      <c r="O1885" s="650"/>
      <c r="P1885" s="651"/>
      <c r="Q1885" s="651"/>
      <c r="R1885" s="651"/>
      <c r="S1885" s="651"/>
    </row>
    <row r="1886" spans="12:19" ht="15.75" customHeight="1" x14ac:dyDescent="0.35">
      <c r="L1886" s="2"/>
      <c r="M1886" s="2"/>
      <c r="N1886" s="650"/>
      <c r="O1886" s="650"/>
      <c r="P1886" s="651"/>
      <c r="Q1886" s="651"/>
      <c r="R1886" s="651"/>
      <c r="S1886" s="651"/>
    </row>
    <row r="1887" spans="12:19" ht="15.75" customHeight="1" x14ac:dyDescent="0.35">
      <c r="L1887" s="2"/>
      <c r="M1887" s="2"/>
      <c r="N1887" s="650"/>
      <c r="O1887" s="650"/>
      <c r="P1887" s="651"/>
      <c r="Q1887" s="651"/>
      <c r="R1887" s="651"/>
      <c r="S1887" s="651"/>
    </row>
    <row r="1888" spans="12:19" ht="15.75" customHeight="1" x14ac:dyDescent="0.35">
      <c r="L1888" s="2"/>
      <c r="M1888" s="2"/>
      <c r="N1888" s="650"/>
      <c r="O1888" s="650"/>
      <c r="P1888" s="651"/>
      <c r="Q1888" s="651"/>
      <c r="R1888" s="651"/>
      <c r="S1888" s="651"/>
    </row>
    <row r="1889" spans="12:19" ht="15.75" customHeight="1" x14ac:dyDescent="0.35">
      <c r="L1889" s="2"/>
      <c r="M1889" s="2"/>
      <c r="N1889" s="650"/>
      <c r="O1889" s="650"/>
      <c r="P1889" s="651"/>
      <c r="Q1889" s="651"/>
      <c r="R1889" s="651"/>
      <c r="S1889" s="651"/>
    </row>
    <row r="1890" spans="12:19" ht="15.75" customHeight="1" x14ac:dyDescent="0.35">
      <c r="L1890" s="2"/>
      <c r="M1890" s="2"/>
      <c r="N1890" s="650"/>
      <c r="O1890" s="650"/>
      <c r="P1890" s="651"/>
      <c r="Q1890" s="651"/>
      <c r="R1890" s="651"/>
      <c r="S1890" s="651"/>
    </row>
    <row r="1891" spans="12:19" ht="15.75" customHeight="1" x14ac:dyDescent="0.35">
      <c r="L1891" s="2"/>
      <c r="M1891" s="2"/>
      <c r="N1891" s="650"/>
      <c r="O1891" s="650"/>
      <c r="P1891" s="651"/>
      <c r="Q1891" s="651"/>
      <c r="R1891" s="651"/>
      <c r="S1891" s="651"/>
    </row>
    <row r="1892" spans="12:19" ht="15.75" customHeight="1" x14ac:dyDescent="0.35">
      <c r="L1892" s="2"/>
      <c r="M1892" s="2"/>
      <c r="N1892" s="650"/>
      <c r="O1892" s="650"/>
      <c r="P1892" s="651"/>
      <c r="Q1892" s="651"/>
      <c r="R1892" s="651"/>
      <c r="S1892" s="651"/>
    </row>
    <row r="1893" spans="12:19" ht="15.75" customHeight="1" x14ac:dyDescent="0.35">
      <c r="L1893" s="2"/>
      <c r="M1893" s="2"/>
      <c r="N1893" s="650"/>
      <c r="O1893" s="650"/>
      <c r="P1893" s="651"/>
      <c r="Q1893" s="651"/>
      <c r="R1893" s="651"/>
      <c r="S1893" s="651"/>
    </row>
    <row r="1894" spans="12:19" ht="15.75" customHeight="1" x14ac:dyDescent="0.35">
      <c r="L1894" s="2"/>
      <c r="M1894" s="2"/>
      <c r="N1894" s="650"/>
      <c r="O1894" s="650"/>
      <c r="P1894" s="651"/>
      <c r="Q1894" s="651"/>
      <c r="R1894" s="651"/>
      <c r="S1894" s="651"/>
    </row>
    <row r="1895" spans="12:19" ht="15.75" customHeight="1" x14ac:dyDescent="0.35">
      <c r="L1895" s="2"/>
      <c r="M1895" s="2"/>
      <c r="N1895" s="650"/>
      <c r="O1895" s="650"/>
      <c r="P1895" s="651"/>
      <c r="Q1895" s="651"/>
      <c r="R1895" s="651"/>
      <c r="S1895" s="651"/>
    </row>
    <row r="1896" spans="12:19" ht="15.75" customHeight="1" x14ac:dyDescent="0.35">
      <c r="L1896" s="2"/>
      <c r="M1896" s="2"/>
      <c r="N1896" s="650"/>
      <c r="O1896" s="650"/>
      <c r="P1896" s="651"/>
      <c r="Q1896" s="651"/>
      <c r="R1896" s="651"/>
      <c r="S1896" s="651"/>
    </row>
    <row r="1897" spans="12:19" ht="15.75" customHeight="1" x14ac:dyDescent="0.35">
      <c r="L1897" s="2"/>
      <c r="M1897" s="2"/>
      <c r="N1897" s="650"/>
      <c r="O1897" s="650"/>
      <c r="P1897" s="651"/>
      <c r="Q1897" s="651"/>
      <c r="R1897" s="651"/>
      <c r="S1897" s="651"/>
    </row>
    <row r="1898" spans="12:19" ht="15.75" customHeight="1" x14ac:dyDescent="0.35">
      <c r="L1898" s="2"/>
      <c r="M1898" s="2"/>
      <c r="N1898" s="650"/>
      <c r="O1898" s="650"/>
      <c r="P1898" s="651"/>
      <c r="Q1898" s="651"/>
      <c r="R1898" s="651"/>
      <c r="S1898" s="651"/>
    </row>
    <row r="1899" spans="12:19" ht="15.75" customHeight="1" x14ac:dyDescent="0.35">
      <c r="L1899" s="2"/>
      <c r="M1899" s="2"/>
      <c r="N1899" s="650"/>
      <c r="O1899" s="650"/>
      <c r="P1899" s="651"/>
      <c r="Q1899" s="651"/>
      <c r="R1899" s="651"/>
      <c r="S1899" s="651"/>
    </row>
    <row r="1900" spans="12:19" ht="15.75" customHeight="1" x14ac:dyDescent="0.35">
      <c r="L1900" s="2"/>
      <c r="M1900" s="2"/>
      <c r="N1900" s="650"/>
      <c r="O1900" s="650"/>
      <c r="P1900" s="651"/>
      <c r="Q1900" s="651"/>
      <c r="R1900" s="651"/>
      <c r="S1900" s="651"/>
    </row>
    <row r="1901" spans="12:19" ht="15.75" customHeight="1" x14ac:dyDescent="0.35">
      <c r="L1901" s="2"/>
      <c r="M1901" s="2"/>
      <c r="N1901" s="650"/>
      <c r="O1901" s="650"/>
      <c r="P1901" s="651"/>
      <c r="Q1901" s="651"/>
      <c r="R1901" s="651"/>
      <c r="S1901" s="651"/>
    </row>
    <row r="1902" spans="12:19" ht="15.75" customHeight="1" x14ac:dyDescent="0.35">
      <c r="L1902" s="2"/>
      <c r="M1902" s="2"/>
      <c r="N1902" s="650"/>
      <c r="O1902" s="650"/>
      <c r="P1902" s="651"/>
      <c r="Q1902" s="651"/>
      <c r="R1902" s="651"/>
      <c r="S1902" s="651"/>
    </row>
    <row r="1903" spans="12:19" ht="15.75" customHeight="1" x14ac:dyDescent="0.35">
      <c r="L1903" s="2"/>
      <c r="M1903" s="2"/>
      <c r="N1903" s="650"/>
      <c r="O1903" s="650"/>
      <c r="P1903" s="651"/>
      <c r="Q1903" s="651"/>
      <c r="R1903" s="651"/>
      <c r="S1903" s="651"/>
    </row>
    <row r="1904" spans="12:19" ht="15.75" customHeight="1" x14ac:dyDescent="0.35">
      <c r="L1904" s="2"/>
      <c r="M1904" s="2"/>
      <c r="N1904" s="650"/>
      <c r="O1904" s="650"/>
      <c r="P1904" s="651"/>
      <c r="Q1904" s="651"/>
      <c r="R1904" s="651"/>
      <c r="S1904" s="651"/>
    </row>
    <row r="1905" spans="12:19" ht="15.75" customHeight="1" x14ac:dyDescent="0.35">
      <c r="L1905" s="2"/>
      <c r="M1905" s="2"/>
      <c r="N1905" s="650"/>
      <c r="O1905" s="650"/>
      <c r="P1905" s="651"/>
      <c r="Q1905" s="651"/>
      <c r="R1905" s="651"/>
      <c r="S1905" s="651"/>
    </row>
    <row r="1906" spans="12:19" ht="15.75" customHeight="1" x14ac:dyDescent="0.35">
      <c r="L1906" s="2"/>
      <c r="M1906" s="2"/>
      <c r="N1906" s="650"/>
      <c r="O1906" s="650"/>
      <c r="P1906" s="651"/>
      <c r="Q1906" s="651"/>
      <c r="R1906" s="651"/>
      <c r="S1906" s="651"/>
    </row>
    <row r="1907" spans="12:19" ht="15.75" customHeight="1" x14ac:dyDescent="0.35">
      <c r="L1907" s="2"/>
      <c r="M1907" s="2"/>
      <c r="N1907" s="650"/>
      <c r="O1907" s="650"/>
      <c r="P1907" s="651"/>
      <c r="Q1907" s="651"/>
      <c r="R1907" s="651"/>
      <c r="S1907" s="651"/>
    </row>
    <row r="1908" spans="12:19" ht="15.75" customHeight="1" x14ac:dyDescent="0.35">
      <c r="L1908" s="2"/>
      <c r="M1908" s="2"/>
      <c r="N1908" s="650"/>
      <c r="O1908" s="650"/>
      <c r="P1908" s="651"/>
      <c r="Q1908" s="651"/>
      <c r="R1908" s="651"/>
      <c r="S1908" s="651"/>
    </row>
    <row r="1909" spans="12:19" ht="15.75" customHeight="1" x14ac:dyDescent="0.35">
      <c r="L1909" s="2"/>
      <c r="M1909" s="2"/>
      <c r="N1909" s="650"/>
      <c r="O1909" s="650"/>
      <c r="P1909" s="651"/>
      <c r="Q1909" s="651"/>
      <c r="R1909" s="651"/>
      <c r="S1909" s="651"/>
    </row>
    <row r="1910" spans="12:19" ht="15.75" customHeight="1" x14ac:dyDescent="0.35">
      <c r="L1910" s="2"/>
      <c r="M1910" s="2"/>
      <c r="N1910" s="650"/>
      <c r="O1910" s="650"/>
      <c r="P1910" s="651"/>
      <c r="Q1910" s="651"/>
      <c r="R1910" s="651"/>
      <c r="S1910" s="651"/>
    </row>
    <row r="1911" spans="12:19" ht="15.75" customHeight="1" x14ac:dyDescent="0.35">
      <c r="L1911" s="2"/>
      <c r="M1911" s="2"/>
      <c r="N1911" s="650"/>
      <c r="O1911" s="650"/>
      <c r="P1911" s="651"/>
      <c r="Q1911" s="651"/>
      <c r="R1911" s="651"/>
      <c r="S1911" s="651"/>
    </row>
    <row r="1912" spans="12:19" ht="15.75" customHeight="1" x14ac:dyDescent="0.35">
      <c r="L1912" s="2"/>
      <c r="M1912" s="2"/>
      <c r="N1912" s="650"/>
      <c r="O1912" s="650"/>
      <c r="P1912" s="651"/>
      <c r="Q1912" s="651"/>
      <c r="R1912" s="651"/>
      <c r="S1912" s="651"/>
    </row>
    <row r="1913" spans="12:19" ht="15.75" customHeight="1" x14ac:dyDescent="0.35">
      <c r="L1913" s="2"/>
      <c r="M1913" s="2"/>
      <c r="N1913" s="650"/>
      <c r="O1913" s="650"/>
      <c r="P1913" s="651"/>
      <c r="Q1913" s="651"/>
      <c r="R1913" s="651"/>
      <c r="S1913" s="651"/>
    </row>
    <row r="1914" spans="12:19" ht="15.75" customHeight="1" x14ac:dyDescent="0.35">
      <c r="L1914" s="2"/>
      <c r="M1914" s="2"/>
      <c r="N1914" s="650"/>
      <c r="O1914" s="650"/>
      <c r="P1914" s="651"/>
      <c r="Q1914" s="651"/>
      <c r="R1914" s="651"/>
      <c r="S1914" s="651"/>
    </row>
    <row r="1915" spans="12:19" ht="15.75" customHeight="1" x14ac:dyDescent="0.35">
      <c r="L1915" s="2"/>
      <c r="M1915" s="2"/>
      <c r="N1915" s="650"/>
      <c r="O1915" s="650"/>
      <c r="P1915" s="651"/>
      <c r="Q1915" s="651"/>
      <c r="R1915" s="651"/>
      <c r="S1915" s="651"/>
    </row>
    <row r="1916" spans="12:19" ht="15.75" customHeight="1" x14ac:dyDescent="0.35">
      <c r="L1916" s="2"/>
      <c r="M1916" s="2"/>
      <c r="N1916" s="650"/>
      <c r="O1916" s="650"/>
      <c r="P1916" s="651"/>
      <c r="Q1916" s="651"/>
      <c r="R1916" s="651"/>
      <c r="S1916" s="651"/>
    </row>
    <row r="1917" spans="12:19" ht="15.75" customHeight="1" x14ac:dyDescent="0.35">
      <c r="L1917" s="2"/>
      <c r="M1917" s="2"/>
      <c r="N1917" s="650"/>
      <c r="O1917" s="650"/>
      <c r="P1917" s="651"/>
      <c r="Q1917" s="651"/>
      <c r="R1917" s="651"/>
      <c r="S1917" s="651"/>
    </row>
    <row r="1918" spans="12:19" ht="15.75" customHeight="1" x14ac:dyDescent="0.35">
      <c r="L1918" s="2"/>
      <c r="M1918" s="2"/>
      <c r="N1918" s="650"/>
      <c r="O1918" s="650"/>
      <c r="P1918" s="651"/>
      <c r="Q1918" s="651"/>
      <c r="R1918" s="651"/>
      <c r="S1918" s="651"/>
    </row>
    <row r="1919" spans="12:19" ht="15.75" customHeight="1" x14ac:dyDescent="0.35">
      <c r="L1919" s="2"/>
      <c r="M1919" s="2"/>
      <c r="N1919" s="650"/>
      <c r="O1919" s="650"/>
      <c r="P1919" s="651"/>
      <c r="Q1919" s="651"/>
      <c r="R1919" s="651"/>
      <c r="S1919" s="651"/>
    </row>
    <row r="1920" spans="12:19" ht="15.75" customHeight="1" x14ac:dyDescent="0.35">
      <c r="L1920" s="2"/>
      <c r="M1920" s="2"/>
      <c r="N1920" s="650"/>
      <c r="O1920" s="650"/>
      <c r="P1920" s="651"/>
      <c r="Q1920" s="651"/>
      <c r="R1920" s="651"/>
      <c r="S1920" s="651"/>
    </row>
    <row r="1921" spans="12:19" ht="15.75" customHeight="1" x14ac:dyDescent="0.35">
      <c r="L1921" s="2"/>
      <c r="M1921" s="2"/>
      <c r="N1921" s="650"/>
      <c r="O1921" s="650"/>
      <c r="P1921" s="651"/>
      <c r="Q1921" s="651"/>
      <c r="R1921" s="651"/>
      <c r="S1921" s="651"/>
    </row>
    <row r="1922" spans="12:19" ht="15.75" customHeight="1" x14ac:dyDescent="0.35">
      <c r="L1922" s="2"/>
      <c r="M1922" s="2"/>
      <c r="N1922" s="650"/>
      <c r="O1922" s="650"/>
      <c r="P1922" s="651"/>
      <c r="Q1922" s="651"/>
      <c r="R1922" s="651"/>
      <c r="S1922" s="651"/>
    </row>
    <row r="1923" spans="12:19" ht="15.75" customHeight="1" x14ac:dyDescent="0.35">
      <c r="L1923" s="2"/>
      <c r="M1923" s="2"/>
      <c r="N1923" s="650"/>
      <c r="O1923" s="650"/>
      <c r="P1923" s="651"/>
      <c r="Q1923" s="651"/>
      <c r="R1923" s="651"/>
      <c r="S1923" s="651"/>
    </row>
    <row r="1924" spans="12:19" ht="15.75" customHeight="1" x14ac:dyDescent="0.35">
      <c r="L1924" s="2"/>
      <c r="M1924" s="2"/>
      <c r="N1924" s="650"/>
      <c r="O1924" s="650"/>
      <c r="P1924" s="651"/>
      <c r="Q1924" s="651"/>
      <c r="R1924" s="651"/>
      <c r="S1924" s="651"/>
    </row>
    <row r="1925" spans="12:19" ht="15.75" customHeight="1" x14ac:dyDescent="0.35">
      <c r="L1925" s="2"/>
      <c r="M1925" s="2"/>
      <c r="N1925" s="650"/>
      <c r="O1925" s="650"/>
      <c r="P1925" s="651"/>
      <c r="Q1925" s="651"/>
      <c r="R1925" s="651"/>
      <c r="S1925" s="651"/>
    </row>
    <row r="1926" spans="12:19" ht="15.75" customHeight="1" x14ac:dyDescent="0.35">
      <c r="L1926" s="2"/>
      <c r="M1926" s="2"/>
      <c r="N1926" s="650"/>
      <c r="O1926" s="650"/>
      <c r="P1926" s="651"/>
      <c r="Q1926" s="651"/>
      <c r="R1926" s="651"/>
      <c r="S1926" s="651"/>
    </row>
    <row r="1927" spans="12:19" ht="15.75" customHeight="1" x14ac:dyDescent="0.35">
      <c r="L1927" s="2"/>
      <c r="M1927" s="2"/>
      <c r="N1927" s="650"/>
      <c r="O1927" s="650"/>
      <c r="P1927" s="651"/>
      <c r="Q1927" s="651"/>
      <c r="R1927" s="651"/>
      <c r="S1927" s="651"/>
    </row>
    <row r="1928" spans="12:19" ht="15.75" customHeight="1" x14ac:dyDescent="0.35">
      <c r="L1928" s="2"/>
      <c r="M1928" s="2"/>
      <c r="N1928" s="650"/>
      <c r="O1928" s="650"/>
      <c r="P1928" s="651"/>
      <c r="Q1928" s="651"/>
      <c r="R1928" s="651"/>
      <c r="S1928" s="651"/>
    </row>
    <row r="1929" spans="12:19" ht="15.75" customHeight="1" x14ac:dyDescent="0.35">
      <c r="L1929" s="2"/>
      <c r="M1929" s="2"/>
      <c r="N1929" s="650"/>
      <c r="O1929" s="650"/>
      <c r="P1929" s="651"/>
      <c r="Q1929" s="651"/>
      <c r="R1929" s="651"/>
      <c r="S1929" s="651"/>
    </row>
    <row r="1930" spans="12:19" ht="15.75" customHeight="1" x14ac:dyDescent="0.35">
      <c r="L1930" s="2"/>
      <c r="M1930" s="2"/>
      <c r="N1930" s="650"/>
      <c r="O1930" s="650"/>
      <c r="P1930" s="651"/>
      <c r="Q1930" s="651"/>
      <c r="R1930" s="651"/>
      <c r="S1930" s="651"/>
    </row>
    <row r="1931" spans="12:19" ht="15.75" customHeight="1" x14ac:dyDescent="0.35">
      <c r="L1931" s="2"/>
      <c r="M1931" s="2"/>
      <c r="N1931" s="650"/>
      <c r="O1931" s="650"/>
      <c r="P1931" s="651"/>
      <c r="Q1931" s="651"/>
      <c r="R1931" s="651"/>
      <c r="S1931" s="651"/>
    </row>
    <row r="1932" spans="12:19" ht="15.75" customHeight="1" x14ac:dyDescent="0.35">
      <c r="L1932" s="2"/>
      <c r="M1932" s="2"/>
      <c r="N1932" s="650"/>
      <c r="O1932" s="650"/>
      <c r="P1932" s="651"/>
      <c r="Q1932" s="651"/>
      <c r="R1932" s="651"/>
      <c r="S1932" s="651"/>
    </row>
    <row r="1933" spans="12:19" ht="15.75" customHeight="1" x14ac:dyDescent="0.35">
      <c r="L1933" s="2"/>
      <c r="M1933" s="2"/>
      <c r="N1933" s="650"/>
      <c r="O1933" s="650"/>
      <c r="P1933" s="651"/>
      <c r="Q1933" s="651"/>
      <c r="R1933" s="651"/>
      <c r="S1933" s="651"/>
    </row>
    <row r="1934" spans="12:19" ht="15.75" customHeight="1" x14ac:dyDescent="0.35">
      <c r="L1934" s="2"/>
      <c r="M1934" s="2"/>
      <c r="N1934" s="650"/>
      <c r="O1934" s="650"/>
      <c r="P1934" s="651"/>
      <c r="Q1934" s="651"/>
      <c r="R1934" s="651"/>
      <c r="S1934" s="651"/>
    </row>
    <row r="1935" spans="12:19" ht="15.75" customHeight="1" x14ac:dyDescent="0.35">
      <c r="L1935" s="2"/>
      <c r="M1935" s="2"/>
      <c r="N1935" s="650"/>
      <c r="O1935" s="650"/>
      <c r="P1935" s="651"/>
      <c r="Q1935" s="651"/>
      <c r="R1935" s="651"/>
      <c r="S1935" s="651"/>
    </row>
    <row r="1936" spans="12:19" ht="15.75" customHeight="1" x14ac:dyDescent="0.35">
      <c r="L1936" s="2"/>
      <c r="M1936" s="2"/>
      <c r="N1936" s="650"/>
      <c r="O1936" s="650"/>
      <c r="P1936" s="651"/>
      <c r="Q1936" s="651"/>
      <c r="R1936" s="651"/>
      <c r="S1936" s="651"/>
    </row>
    <row r="1937" spans="12:19" ht="15.75" customHeight="1" x14ac:dyDescent="0.35">
      <c r="L1937" s="2"/>
      <c r="M1937" s="2"/>
      <c r="N1937" s="650"/>
      <c r="O1937" s="650"/>
      <c r="P1937" s="651"/>
      <c r="Q1937" s="651"/>
      <c r="R1937" s="651"/>
      <c r="S1937" s="651"/>
    </row>
    <row r="1938" spans="12:19" ht="15.75" customHeight="1" x14ac:dyDescent="0.35">
      <c r="L1938" s="2"/>
      <c r="M1938" s="2"/>
      <c r="N1938" s="650"/>
      <c r="O1938" s="650"/>
      <c r="P1938" s="651"/>
      <c r="Q1938" s="651"/>
      <c r="R1938" s="651"/>
      <c r="S1938" s="651"/>
    </row>
    <row r="1939" spans="12:19" ht="15.75" customHeight="1" x14ac:dyDescent="0.35">
      <c r="L1939" s="2"/>
      <c r="M1939" s="2"/>
      <c r="N1939" s="650"/>
      <c r="O1939" s="650"/>
      <c r="P1939" s="651"/>
      <c r="Q1939" s="651"/>
      <c r="R1939" s="651"/>
      <c r="S1939" s="651"/>
    </row>
    <row r="1940" spans="12:19" ht="15.75" customHeight="1" x14ac:dyDescent="0.35">
      <c r="L1940" s="2"/>
      <c r="M1940" s="2"/>
      <c r="N1940" s="650"/>
      <c r="O1940" s="650"/>
      <c r="P1940" s="651"/>
      <c r="Q1940" s="651"/>
      <c r="R1940" s="651"/>
      <c r="S1940" s="651"/>
    </row>
    <row r="1941" spans="12:19" ht="15.75" customHeight="1" x14ac:dyDescent="0.35">
      <c r="L1941" s="2"/>
      <c r="M1941" s="2"/>
      <c r="N1941" s="650"/>
      <c r="O1941" s="650"/>
      <c r="P1941" s="651"/>
      <c r="Q1941" s="651"/>
      <c r="R1941" s="651"/>
      <c r="S1941" s="651"/>
    </row>
    <row r="1942" spans="12:19" ht="15.75" customHeight="1" x14ac:dyDescent="0.35">
      <c r="L1942" s="2"/>
      <c r="M1942" s="2"/>
      <c r="N1942" s="650"/>
      <c r="O1942" s="650"/>
      <c r="P1942" s="651"/>
      <c r="Q1942" s="651"/>
      <c r="R1942" s="651"/>
      <c r="S1942" s="651"/>
    </row>
    <row r="1943" spans="12:19" ht="15.75" customHeight="1" x14ac:dyDescent="0.35">
      <c r="L1943" s="2"/>
      <c r="M1943" s="2"/>
      <c r="N1943" s="650"/>
      <c r="O1943" s="650"/>
      <c r="P1943" s="651"/>
      <c r="Q1943" s="651"/>
      <c r="R1943" s="651"/>
      <c r="S1943" s="651"/>
    </row>
    <row r="1944" spans="12:19" ht="15.75" customHeight="1" x14ac:dyDescent="0.35">
      <c r="L1944" s="2"/>
      <c r="M1944" s="2"/>
      <c r="N1944" s="650"/>
      <c r="O1944" s="650"/>
      <c r="P1944" s="651"/>
      <c r="Q1944" s="651"/>
      <c r="R1944" s="651"/>
      <c r="S1944" s="651"/>
    </row>
    <row r="1945" spans="12:19" ht="15.75" customHeight="1" x14ac:dyDescent="0.35">
      <c r="L1945" s="2"/>
      <c r="M1945" s="2"/>
      <c r="N1945" s="650"/>
      <c r="O1945" s="650"/>
      <c r="P1945" s="651"/>
      <c r="Q1945" s="651"/>
      <c r="R1945" s="651"/>
      <c r="S1945" s="651"/>
    </row>
    <row r="1946" spans="12:19" ht="15.75" customHeight="1" x14ac:dyDescent="0.35">
      <c r="L1946" s="2"/>
      <c r="M1946" s="2"/>
      <c r="N1946" s="650"/>
      <c r="O1946" s="650"/>
      <c r="P1946" s="651"/>
      <c r="Q1946" s="651"/>
      <c r="R1946" s="651"/>
      <c r="S1946" s="651"/>
    </row>
    <row r="1947" spans="12:19" ht="15.75" customHeight="1" x14ac:dyDescent="0.35">
      <c r="L1947" s="2"/>
      <c r="M1947" s="2"/>
      <c r="N1947" s="650"/>
      <c r="O1947" s="650"/>
      <c r="P1947" s="651"/>
      <c r="Q1947" s="651"/>
      <c r="R1947" s="651"/>
      <c r="S1947" s="651"/>
    </row>
    <row r="1948" spans="12:19" ht="15.75" customHeight="1" x14ac:dyDescent="0.35">
      <c r="L1948" s="2"/>
      <c r="M1948" s="2"/>
      <c r="N1948" s="650"/>
      <c r="O1948" s="650"/>
      <c r="P1948" s="651"/>
      <c r="Q1948" s="651"/>
      <c r="R1948" s="651"/>
      <c r="S1948" s="651"/>
    </row>
    <row r="1949" spans="12:19" ht="15.75" customHeight="1" x14ac:dyDescent="0.35">
      <c r="L1949" s="2"/>
      <c r="M1949" s="2"/>
      <c r="N1949" s="650"/>
      <c r="O1949" s="650"/>
      <c r="P1949" s="651"/>
      <c r="Q1949" s="651"/>
      <c r="R1949" s="651"/>
      <c r="S1949" s="651"/>
    </row>
    <row r="1950" spans="12:19" ht="15.75" customHeight="1" x14ac:dyDescent="0.35">
      <c r="L1950" s="2"/>
      <c r="M1950" s="2"/>
      <c r="N1950" s="650"/>
      <c r="O1950" s="650"/>
      <c r="P1950" s="651"/>
      <c r="Q1950" s="651"/>
      <c r="R1950" s="651"/>
      <c r="S1950" s="651"/>
    </row>
    <row r="1951" spans="12:19" ht="15.75" customHeight="1" x14ac:dyDescent="0.35">
      <c r="L1951" s="2"/>
      <c r="M1951" s="2"/>
      <c r="N1951" s="650"/>
      <c r="O1951" s="650"/>
      <c r="P1951" s="651"/>
      <c r="Q1951" s="651"/>
      <c r="R1951" s="651"/>
      <c r="S1951" s="651"/>
    </row>
    <row r="1952" spans="12:19" ht="15.75" customHeight="1" x14ac:dyDescent="0.35">
      <c r="L1952" s="2"/>
      <c r="M1952" s="2"/>
      <c r="N1952" s="650"/>
      <c r="O1952" s="650"/>
      <c r="P1952" s="651"/>
      <c r="Q1952" s="651"/>
      <c r="R1952" s="651"/>
      <c r="S1952" s="651"/>
    </row>
    <row r="1953" spans="12:19" ht="15.75" customHeight="1" x14ac:dyDescent="0.35">
      <c r="L1953" s="2"/>
      <c r="M1953" s="2"/>
      <c r="N1953" s="650"/>
      <c r="O1953" s="650"/>
      <c r="P1953" s="651"/>
      <c r="Q1953" s="651"/>
      <c r="R1953" s="651"/>
      <c r="S1953" s="651"/>
    </row>
    <row r="1954" spans="12:19" ht="15.75" customHeight="1" x14ac:dyDescent="0.35">
      <c r="L1954" s="2"/>
      <c r="M1954" s="2"/>
      <c r="N1954" s="650"/>
      <c r="O1954" s="650"/>
      <c r="P1954" s="651"/>
      <c r="Q1954" s="651"/>
      <c r="R1954" s="651"/>
      <c r="S1954" s="651"/>
    </row>
    <row r="1955" spans="12:19" ht="15.75" customHeight="1" x14ac:dyDescent="0.35">
      <c r="L1955" s="2"/>
      <c r="M1955" s="2"/>
      <c r="N1955" s="650"/>
      <c r="O1955" s="650"/>
      <c r="P1955" s="651"/>
      <c r="Q1955" s="651"/>
      <c r="R1955" s="651"/>
      <c r="S1955" s="651"/>
    </row>
    <row r="1956" spans="12:19" ht="15.75" customHeight="1" x14ac:dyDescent="0.35">
      <c r="L1956" s="2"/>
      <c r="M1956" s="2"/>
      <c r="N1956" s="650"/>
      <c r="O1956" s="650"/>
      <c r="P1956" s="651"/>
      <c r="Q1956" s="651"/>
      <c r="R1956" s="651"/>
      <c r="S1956" s="651"/>
    </row>
    <row r="1957" spans="12:19" ht="15.75" customHeight="1" x14ac:dyDescent="0.35">
      <c r="L1957" s="2"/>
      <c r="M1957" s="2"/>
      <c r="N1957" s="650"/>
      <c r="O1957" s="650"/>
      <c r="P1957" s="651"/>
      <c r="Q1957" s="651"/>
      <c r="R1957" s="651"/>
      <c r="S1957" s="651"/>
    </row>
    <row r="1958" spans="12:19" ht="15.75" customHeight="1" x14ac:dyDescent="0.35">
      <c r="L1958" s="2"/>
      <c r="M1958" s="2"/>
      <c r="N1958" s="650"/>
      <c r="O1958" s="650"/>
      <c r="P1958" s="651"/>
      <c r="Q1958" s="651"/>
      <c r="R1958" s="651"/>
      <c r="S1958" s="651"/>
    </row>
    <row r="1959" spans="12:19" ht="15.75" customHeight="1" x14ac:dyDescent="0.35">
      <c r="L1959" s="2"/>
      <c r="M1959" s="2"/>
      <c r="N1959" s="650"/>
      <c r="O1959" s="650"/>
      <c r="P1959" s="651"/>
      <c r="Q1959" s="651"/>
      <c r="R1959" s="651"/>
      <c r="S1959" s="651"/>
    </row>
    <row r="1960" spans="12:19" ht="15.75" customHeight="1" x14ac:dyDescent="0.35">
      <c r="L1960" s="2"/>
      <c r="M1960" s="2"/>
      <c r="N1960" s="650"/>
      <c r="O1960" s="650"/>
      <c r="P1960" s="651"/>
      <c r="Q1960" s="651"/>
      <c r="R1960" s="651"/>
      <c r="S1960" s="651"/>
    </row>
    <row r="1961" spans="12:19" ht="15.75" customHeight="1" x14ac:dyDescent="0.35">
      <c r="L1961" s="2"/>
      <c r="M1961" s="2"/>
      <c r="N1961" s="650"/>
      <c r="O1961" s="650"/>
      <c r="P1961" s="651"/>
      <c r="Q1961" s="651"/>
      <c r="R1961" s="651"/>
      <c r="S1961" s="651"/>
    </row>
    <row r="1962" spans="12:19" ht="15.75" customHeight="1" x14ac:dyDescent="0.35">
      <c r="L1962" s="2"/>
      <c r="M1962" s="2"/>
      <c r="N1962" s="650"/>
      <c r="O1962" s="650"/>
      <c r="P1962" s="651"/>
      <c r="Q1962" s="651"/>
      <c r="R1962" s="651"/>
      <c r="S1962" s="651"/>
    </row>
    <row r="1963" spans="12:19" ht="15.75" customHeight="1" x14ac:dyDescent="0.35">
      <c r="L1963" s="2"/>
      <c r="M1963" s="2"/>
      <c r="N1963" s="650"/>
      <c r="O1963" s="650"/>
      <c r="P1963" s="651"/>
      <c r="Q1963" s="651"/>
      <c r="R1963" s="651"/>
      <c r="S1963" s="651"/>
    </row>
    <row r="1964" spans="12:19" ht="15.75" customHeight="1" x14ac:dyDescent="0.35">
      <c r="L1964" s="2"/>
      <c r="M1964" s="2"/>
      <c r="N1964" s="650"/>
      <c r="O1964" s="650"/>
      <c r="P1964" s="651"/>
      <c r="Q1964" s="651"/>
      <c r="R1964" s="651"/>
      <c r="S1964" s="651"/>
    </row>
    <row r="1965" spans="12:19" ht="15.75" customHeight="1" x14ac:dyDescent="0.35">
      <c r="L1965" s="2"/>
      <c r="M1965" s="2"/>
      <c r="N1965" s="650"/>
      <c r="O1965" s="650"/>
      <c r="P1965" s="651"/>
      <c r="Q1965" s="651"/>
      <c r="R1965" s="651"/>
      <c r="S1965" s="651"/>
    </row>
    <row r="1966" spans="12:19" ht="15.75" customHeight="1" x14ac:dyDescent="0.35">
      <c r="L1966" s="2"/>
      <c r="M1966" s="2"/>
      <c r="N1966" s="650"/>
      <c r="O1966" s="650"/>
      <c r="P1966" s="651"/>
      <c r="Q1966" s="651"/>
      <c r="R1966" s="651"/>
      <c r="S1966" s="651"/>
    </row>
    <row r="1967" spans="12:19" ht="15.75" customHeight="1" x14ac:dyDescent="0.35">
      <c r="L1967" s="2"/>
      <c r="M1967" s="2"/>
      <c r="N1967" s="650"/>
      <c r="O1967" s="650"/>
      <c r="P1967" s="651"/>
      <c r="Q1967" s="651"/>
      <c r="R1967" s="651"/>
      <c r="S1967" s="651"/>
    </row>
    <row r="1968" spans="12:19" ht="15.75" customHeight="1" x14ac:dyDescent="0.35">
      <c r="L1968" s="2"/>
      <c r="M1968" s="2"/>
      <c r="N1968" s="650"/>
      <c r="O1968" s="650"/>
      <c r="P1968" s="651"/>
      <c r="Q1968" s="651"/>
      <c r="R1968" s="651"/>
      <c r="S1968" s="651"/>
    </row>
    <row r="1969" spans="12:19" ht="15.75" customHeight="1" x14ac:dyDescent="0.35">
      <c r="L1969" s="2"/>
      <c r="M1969" s="2"/>
      <c r="N1969" s="650"/>
      <c r="O1969" s="650"/>
      <c r="P1969" s="651"/>
      <c r="Q1969" s="651"/>
      <c r="R1969" s="651"/>
      <c r="S1969" s="651"/>
    </row>
    <row r="1970" spans="12:19" ht="15.75" customHeight="1" x14ac:dyDescent="0.35">
      <c r="L1970" s="2"/>
      <c r="M1970" s="2"/>
      <c r="N1970" s="650"/>
      <c r="O1970" s="650"/>
      <c r="P1970" s="651"/>
      <c r="Q1970" s="651"/>
      <c r="R1970" s="651"/>
      <c r="S1970" s="651"/>
    </row>
    <row r="1971" spans="12:19" ht="15.75" customHeight="1" x14ac:dyDescent="0.35">
      <c r="L1971" s="2"/>
      <c r="M1971" s="2"/>
      <c r="N1971" s="650"/>
      <c r="O1971" s="650"/>
      <c r="P1971" s="651"/>
      <c r="Q1971" s="651"/>
      <c r="R1971" s="651"/>
      <c r="S1971" s="651"/>
    </row>
    <row r="1972" spans="12:19" ht="15.75" customHeight="1" x14ac:dyDescent="0.35">
      <c r="L1972" s="2"/>
      <c r="M1972" s="2"/>
      <c r="N1972" s="650"/>
      <c r="O1972" s="650"/>
      <c r="P1972" s="651"/>
      <c r="Q1972" s="651"/>
      <c r="R1972" s="651"/>
      <c r="S1972" s="651"/>
    </row>
    <row r="1973" spans="12:19" ht="15.75" customHeight="1" x14ac:dyDescent="0.35">
      <c r="L1973" s="2"/>
      <c r="M1973" s="2"/>
      <c r="N1973" s="650"/>
      <c r="O1973" s="650"/>
      <c r="P1973" s="651"/>
      <c r="Q1973" s="651"/>
      <c r="R1973" s="651"/>
      <c r="S1973" s="651"/>
    </row>
    <row r="1974" spans="12:19" ht="15.75" customHeight="1" x14ac:dyDescent="0.35">
      <c r="L1974" s="2"/>
      <c r="M1974" s="2"/>
      <c r="N1974" s="650"/>
      <c r="O1974" s="650"/>
      <c r="P1974" s="651"/>
      <c r="Q1974" s="651"/>
      <c r="R1974" s="651"/>
      <c r="S1974" s="651"/>
    </row>
    <row r="1975" spans="12:19" ht="15.75" customHeight="1" x14ac:dyDescent="0.35">
      <c r="L1975" s="2"/>
      <c r="M1975" s="2"/>
      <c r="N1975" s="650"/>
      <c r="O1975" s="650"/>
      <c r="P1975" s="651"/>
      <c r="Q1975" s="651"/>
      <c r="R1975" s="651"/>
      <c r="S1975" s="651"/>
    </row>
    <row r="1976" spans="12:19" ht="15.75" customHeight="1" x14ac:dyDescent="0.35">
      <c r="L1976" s="2"/>
      <c r="M1976" s="2"/>
      <c r="N1976" s="650"/>
      <c r="O1976" s="650"/>
      <c r="P1976" s="651"/>
      <c r="Q1976" s="651"/>
      <c r="R1976" s="651"/>
      <c r="S1976" s="651"/>
    </row>
    <row r="1977" spans="12:19" ht="15.75" customHeight="1" x14ac:dyDescent="0.35">
      <c r="L1977" s="2"/>
      <c r="M1977" s="2"/>
      <c r="N1977" s="650"/>
      <c r="O1977" s="650"/>
      <c r="P1977" s="651"/>
      <c r="Q1977" s="651"/>
      <c r="R1977" s="651"/>
      <c r="S1977" s="651"/>
    </row>
    <row r="1978" spans="12:19" ht="15.75" customHeight="1" x14ac:dyDescent="0.35">
      <c r="L1978" s="2"/>
      <c r="M1978" s="2"/>
      <c r="N1978" s="650"/>
      <c r="O1978" s="650"/>
      <c r="P1978" s="651"/>
      <c r="Q1978" s="651"/>
      <c r="R1978" s="651"/>
      <c r="S1978" s="651"/>
    </row>
    <row r="1979" spans="12:19" ht="15.75" customHeight="1" x14ac:dyDescent="0.35">
      <c r="L1979" s="2"/>
      <c r="M1979" s="2"/>
      <c r="N1979" s="650"/>
      <c r="O1979" s="650"/>
      <c r="P1979" s="651"/>
      <c r="Q1979" s="651"/>
      <c r="R1979" s="651"/>
      <c r="S1979" s="651"/>
    </row>
    <row r="1980" spans="12:19" ht="15.75" customHeight="1" x14ac:dyDescent="0.35">
      <c r="L1980" s="2"/>
      <c r="M1980" s="2"/>
      <c r="N1980" s="650"/>
      <c r="O1980" s="650"/>
      <c r="P1980" s="651"/>
      <c r="Q1980" s="651"/>
      <c r="R1980" s="651"/>
      <c r="S1980" s="651"/>
    </row>
    <row r="1981" spans="12:19" ht="15.75" customHeight="1" x14ac:dyDescent="0.35">
      <c r="L1981" s="2"/>
      <c r="M1981" s="2"/>
      <c r="N1981" s="650"/>
      <c r="O1981" s="650"/>
      <c r="P1981" s="651"/>
      <c r="Q1981" s="651"/>
      <c r="R1981" s="651"/>
      <c r="S1981" s="651"/>
    </row>
    <row r="1982" spans="12:19" ht="15.75" customHeight="1" x14ac:dyDescent="0.35">
      <c r="L1982" s="2"/>
      <c r="M1982" s="2"/>
      <c r="N1982" s="650"/>
      <c r="O1982" s="650"/>
      <c r="P1982" s="651"/>
      <c r="Q1982" s="651"/>
      <c r="R1982" s="651"/>
      <c r="S1982" s="651"/>
    </row>
    <row r="1983" spans="12:19" ht="15.75" customHeight="1" x14ac:dyDescent="0.35">
      <c r="L1983" s="2"/>
      <c r="M1983" s="2"/>
      <c r="N1983" s="650"/>
      <c r="O1983" s="650"/>
      <c r="P1983" s="651"/>
      <c r="Q1983" s="651"/>
      <c r="R1983" s="651"/>
      <c r="S1983" s="651"/>
    </row>
    <row r="1984" spans="12:19" ht="15.75" customHeight="1" x14ac:dyDescent="0.35">
      <c r="L1984" s="2"/>
      <c r="M1984" s="2"/>
      <c r="N1984" s="650"/>
      <c r="O1984" s="650"/>
      <c r="P1984" s="651"/>
      <c r="Q1984" s="651"/>
      <c r="R1984" s="651"/>
      <c r="S1984" s="651"/>
    </row>
    <row r="1985" spans="12:19" ht="15.75" customHeight="1" x14ac:dyDescent="0.35">
      <c r="L1985" s="2"/>
      <c r="M1985" s="2"/>
      <c r="N1985" s="650"/>
      <c r="O1985" s="650"/>
      <c r="P1985" s="651"/>
      <c r="Q1985" s="651"/>
      <c r="R1985" s="651"/>
      <c r="S1985" s="651"/>
    </row>
    <row r="1986" spans="12:19" ht="15.75" customHeight="1" x14ac:dyDescent="0.35">
      <c r="L1986" s="2"/>
      <c r="M1986" s="2"/>
      <c r="N1986" s="650"/>
      <c r="O1986" s="650"/>
      <c r="P1986" s="651"/>
      <c r="Q1986" s="651"/>
      <c r="R1986" s="651"/>
      <c r="S1986" s="651"/>
    </row>
    <row r="1987" spans="12:19" ht="15.75" customHeight="1" x14ac:dyDescent="0.35">
      <c r="L1987" s="2"/>
      <c r="M1987" s="2"/>
      <c r="N1987" s="650"/>
      <c r="O1987" s="650"/>
      <c r="P1987" s="651"/>
      <c r="Q1987" s="651"/>
      <c r="R1987" s="651"/>
      <c r="S1987" s="651"/>
    </row>
    <row r="1988" spans="12:19" ht="15.75" customHeight="1" x14ac:dyDescent="0.35">
      <c r="L1988" s="2"/>
      <c r="M1988" s="2"/>
      <c r="N1988" s="650"/>
      <c r="O1988" s="650"/>
      <c r="P1988" s="651"/>
      <c r="Q1988" s="651"/>
      <c r="R1988" s="651"/>
      <c r="S1988" s="651"/>
    </row>
    <row r="1989" spans="12:19" ht="15.75" customHeight="1" x14ac:dyDescent="0.35">
      <c r="L1989" s="2"/>
      <c r="M1989" s="2"/>
      <c r="N1989" s="650"/>
      <c r="O1989" s="650"/>
      <c r="P1989" s="651"/>
      <c r="Q1989" s="651"/>
      <c r="R1989" s="651"/>
      <c r="S1989" s="651"/>
    </row>
    <row r="1990" spans="12:19" ht="15.75" customHeight="1" x14ac:dyDescent="0.35">
      <c r="L1990" s="2"/>
      <c r="M1990" s="2"/>
      <c r="N1990" s="650"/>
      <c r="O1990" s="650"/>
      <c r="P1990" s="651"/>
      <c r="Q1990" s="651"/>
      <c r="R1990" s="651"/>
      <c r="S1990" s="651"/>
    </row>
    <row r="1991" spans="12:19" ht="15.75" customHeight="1" x14ac:dyDescent="0.35">
      <c r="L1991" s="2"/>
      <c r="M1991" s="2"/>
      <c r="N1991" s="650"/>
      <c r="O1991" s="650"/>
      <c r="P1991" s="651"/>
      <c r="Q1991" s="651"/>
      <c r="R1991" s="651"/>
      <c r="S1991" s="651"/>
    </row>
    <row r="1992" spans="12:19" ht="15.75" customHeight="1" x14ac:dyDescent="0.35">
      <c r="L1992" s="2"/>
      <c r="M1992" s="2"/>
      <c r="N1992" s="650"/>
      <c r="O1992" s="650"/>
      <c r="P1992" s="651"/>
      <c r="Q1992" s="651"/>
      <c r="R1992" s="651"/>
      <c r="S1992" s="651"/>
    </row>
    <row r="1993" spans="12:19" ht="15.75" customHeight="1" x14ac:dyDescent="0.35">
      <c r="L1993" s="2"/>
      <c r="M1993" s="2"/>
      <c r="N1993" s="650"/>
      <c r="O1993" s="650"/>
      <c r="P1993" s="651"/>
      <c r="Q1993" s="651"/>
      <c r="R1993" s="651"/>
      <c r="S1993" s="651"/>
    </row>
    <row r="1994" spans="12:19" ht="15.75" customHeight="1" x14ac:dyDescent="0.35">
      <c r="L1994" s="2"/>
      <c r="M1994" s="2"/>
      <c r="N1994" s="650"/>
      <c r="O1994" s="650"/>
      <c r="P1994" s="651"/>
      <c r="Q1994" s="651"/>
      <c r="R1994" s="651"/>
      <c r="S1994" s="651"/>
    </row>
    <row r="1995" spans="12:19" ht="15.75" customHeight="1" x14ac:dyDescent="0.35">
      <c r="L1995" s="2"/>
      <c r="M1995" s="2"/>
      <c r="N1995" s="650"/>
      <c r="O1995" s="650"/>
      <c r="P1995" s="651"/>
      <c r="Q1995" s="651"/>
      <c r="R1995" s="651"/>
      <c r="S1995" s="651"/>
    </row>
    <row r="1996" spans="12:19" ht="15.75" customHeight="1" x14ac:dyDescent="0.35">
      <c r="L1996" s="2"/>
      <c r="M1996" s="2"/>
      <c r="N1996" s="650"/>
      <c r="O1996" s="650"/>
      <c r="P1996" s="651"/>
      <c r="Q1996" s="651"/>
      <c r="R1996" s="651"/>
      <c r="S1996" s="651"/>
    </row>
    <row r="1997" spans="12:19" ht="15.75" customHeight="1" x14ac:dyDescent="0.35">
      <c r="L1997" s="2"/>
      <c r="M1997" s="2"/>
      <c r="N1997" s="650"/>
      <c r="O1997" s="650"/>
      <c r="P1997" s="651"/>
      <c r="Q1997" s="651"/>
      <c r="R1997" s="651"/>
      <c r="S1997" s="651"/>
    </row>
    <row r="1998" spans="12:19" ht="15.75" customHeight="1" x14ac:dyDescent="0.35">
      <c r="L1998" s="2"/>
      <c r="M1998" s="2"/>
      <c r="N1998" s="650"/>
      <c r="O1998" s="650"/>
      <c r="P1998" s="651"/>
      <c r="Q1998" s="651"/>
      <c r="R1998" s="651"/>
      <c r="S1998" s="651"/>
    </row>
    <row r="1999" spans="12:19" ht="15.75" customHeight="1" x14ac:dyDescent="0.35">
      <c r="L1999" s="2"/>
      <c r="M1999" s="2"/>
      <c r="N1999" s="650"/>
      <c r="O1999" s="650"/>
      <c r="P1999" s="651"/>
      <c r="Q1999" s="651"/>
      <c r="R1999" s="651"/>
      <c r="S1999" s="651"/>
    </row>
    <row r="2000" spans="12:19" ht="15.75" customHeight="1" x14ac:dyDescent="0.35">
      <c r="L2000" s="2"/>
      <c r="M2000" s="2"/>
      <c r="N2000" s="650"/>
      <c r="O2000" s="650"/>
      <c r="P2000" s="651"/>
      <c r="Q2000" s="651"/>
      <c r="R2000" s="651"/>
      <c r="S2000" s="651"/>
    </row>
    <row r="2001" spans="12:19" ht="15.75" customHeight="1" x14ac:dyDescent="0.35">
      <c r="L2001" s="2"/>
      <c r="M2001" s="2"/>
      <c r="N2001" s="650"/>
      <c r="O2001" s="650"/>
      <c r="P2001" s="651"/>
      <c r="Q2001" s="651"/>
      <c r="R2001" s="651"/>
      <c r="S2001" s="651"/>
    </row>
    <row r="2002" spans="12:19" ht="15.75" customHeight="1" x14ac:dyDescent="0.35">
      <c r="L2002" s="2"/>
      <c r="M2002" s="2"/>
      <c r="N2002" s="650"/>
      <c r="O2002" s="650"/>
      <c r="P2002" s="651"/>
      <c r="Q2002" s="651"/>
      <c r="R2002" s="651"/>
      <c r="S2002" s="651"/>
    </row>
    <row r="2003" spans="12:19" ht="15.75" customHeight="1" x14ac:dyDescent="0.35">
      <c r="L2003" s="2"/>
      <c r="M2003" s="2"/>
      <c r="N2003" s="650"/>
      <c r="O2003" s="650"/>
      <c r="P2003" s="651"/>
      <c r="Q2003" s="651"/>
      <c r="R2003" s="651"/>
      <c r="S2003" s="651"/>
    </row>
    <row r="2004" spans="12:19" ht="15.75" customHeight="1" x14ac:dyDescent="0.35">
      <c r="L2004" s="2"/>
      <c r="M2004" s="2"/>
      <c r="N2004" s="650"/>
      <c r="O2004" s="650"/>
      <c r="P2004" s="651"/>
      <c r="Q2004" s="651"/>
      <c r="R2004" s="651"/>
      <c r="S2004" s="651"/>
    </row>
    <row r="2005" spans="12:19" ht="15.75" customHeight="1" x14ac:dyDescent="0.35">
      <c r="L2005" s="2"/>
      <c r="M2005" s="2"/>
      <c r="N2005" s="650"/>
      <c r="O2005" s="650"/>
      <c r="P2005" s="651"/>
      <c r="Q2005" s="651"/>
      <c r="R2005" s="651"/>
      <c r="S2005" s="651"/>
    </row>
    <row r="2006" spans="12:19" ht="15.75" customHeight="1" x14ac:dyDescent="0.35">
      <c r="L2006" s="2"/>
      <c r="M2006" s="2"/>
      <c r="N2006" s="650"/>
      <c r="O2006" s="650"/>
      <c r="P2006" s="651"/>
      <c r="Q2006" s="651"/>
      <c r="R2006" s="651"/>
      <c r="S2006" s="651"/>
    </row>
    <row r="2007" spans="12:19" ht="15.75" customHeight="1" x14ac:dyDescent="0.35">
      <c r="L2007" s="2"/>
      <c r="M2007" s="2"/>
      <c r="N2007" s="650"/>
      <c r="O2007" s="650"/>
      <c r="P2007" s="651"/>
      <c r="Q2007" s="651"/>
      <c r="R2007" s="651"/>
      <c r="S2007" s="651"/>
    </row>
    <row r="2008" spans="12:19" ht="15.75" customHeight="1" x14ac:dyDescent="0.35">
      <c r="L2008" s="2"/>
      <c r="M2008" s="2"/>
      <c r="N2008" s="650"/>
      <c r="O2008" s="650"/>
      <c r="P2008" s="651"/>
      <c r="Q2008" s="651"/>
      <c r="R2008" s="651"/>
      <c r="S2008" s="651"/>
    </row>
    <row r="2009" spans="12:19" ht="15.75" customHeight="1" x14ac:dyDescent="0.35">
      <c r="L2009" s="2"/>
      <c r="M2009" s="2"/>
      <c r="N2009" s="650"/>
      <c r="O2009" s="650"/>
      <c r="P2009" s="651"/>
      <c r="Q2009" s="651"/>
      <c r="R2009" s="651"/>
      <c r="S2009" s="651"/>
    </row>
    <row r="2010" spans="12:19" ht="15.75" customHeight="1" x14ac:dyDescent="0.35">
      <c r="L2010" s="2"/>
      <c r="M2010" s="2"/>
      <c r="N2010" s="650"/>
      <c r="O2010" s="650"/>
      <c r="P2010" s="651"/>
      <c r="Q2010" s="651"/>
      <c r="R2010" s="651"/>
      <c r="S2010" s="651"/>
    </row>
    <row r="2011" spans="12:19" ht="15.75" customHeight="1" x14ac:dyDescent="0.35">
      <c r="L2011" s="2"/>
      <c r="M2011" s="2"/>
      <c r="N2011" s="650"/>
      <c r="O2011" s="650"/>
      <c r="P2011" s="651"/>
      <c r="Q2011" s="651"/>
      <c r="R2011" s="651"/>
      <c r="S2011" s="651"/>
    </row>
    <row r="2012" spans="12:19" ht="15.75" customHeight="1" x14ac:dyDescent="0.35">
      <c r="L2012" s="2"/>
      <c r="M2012" s="2"/>
      <c r="N2012" s="650"/>
      <c r="O2012" s="650"/>
      <c r="P2012" s="651"/>
      <c r="Q2012" s="651"/>
      <c r="R2012" s="651"/>
      <c r="S2012" s="651"/>
    </row>
    <row r="2013" spans="12:19" ht="15.75" customHeight="1" x14ac:dyDescent="0.35">
      <c r="L2013" s="2"/>
      <c r="M2013" s="2"/>
      <c r="N2013" s="650"/>
      <c r="O2013" s="650"/>
      <c r="P2013" s="651"/>
      <c r="Q2013" s="651"/>
      <c r="R2013" s="651"/>
      <c r="S2013" s="651"/>
    </row>
    <row r="2014" spans="12:19" ht="15.75" customHeight="1" x14ac:dyDescent="0.35">
      <c r="L2014" s="2"/>
      <c r="M2014" s="2"/>
      <c r="N2014" s="650"/>
      <c r="O2014" s="650"/>
      <c r="P2014" s="651"/>
      <c r="Q2014" s="651"/>
      <c r="R2014" s="651"/>
      <c r="S2014" s="651"/>
    </row>
    <row r="2015" spans="12:19" ht="15.75" customHeight="1" x14ac:dyDescent="0.35">
      <c r="L2015" s="2"/>
      <c r="M2015" s="2"/>
      <c r="N2015" s="650"/>
      <c r="O2015" s="650"/>
      <c r="P2015" s="651"/>
      <c r="Q2015" s="651"/>
      <c r="R2015" s="651"/>
      <c r="S2015" s="651"/>
    </row>
    <row r="2016" spans="12:19" ht="15.75" customHeight="1" x14ac:dyDescent="0.35">
      <c r="L2016" s="2"/>
      <c r="M2016" s="2"/>
      <c r="N2016" s="650"/>
      <c r="O2016" s="650"/>
      <c r="P2016" s="651"/>
      <c r="Q2016" s="651"/>
      <c r="R2016" s="651"/>
      <c r="S2016" s="651"/>
    </row>
    <row r="2017" spans="12:19" ht="15.75" customHeight="1" x14ac:dyDescent="0.35">
      <c r="L2017" s="2"/>
      <c r="M2017" s="2"/>
      <c r="N2017" s="650"/>
      <c r="O2017" s="650"/>
      <c r="P2017" s="651"/>
      <c r="Q2017" s="651"/>
      <c r="R2017" s="651"/>
      <c r="S2017" s="651"/>
    </row>
    <row r="2018" spans="12:19" ht="15.75" customHeight="1" x14ac:dyDescent="0.35">
      <c r="L2018" s="2"/>
      <c r="M2018" s="2"/>
      <c r="N2018" s="650"/>
      <c r="O2018" s="650"/>
      <c r="P2018" s="651"/>
      <c r="Q2018" s="651"/>
      <c r="R2018" s="651"/>
      <c r="S2018" s="651"/>
    </row>
    <row r="2019" spans="12:19" ht="15.75" customHeight="1" x14ac:dyDescent="0.35">
      <c r="L2019" s="2"/>
      <c r="M2019" s="2"/>
      <c r="N2019" s="650"/>
      <c r="O2019" s="650"/>
      <c r="P2019" s="651"/>
      <c r="Q2019" s="651"/>
      <c r="R2019" s="651"/>
      <c r="S2019" s="651"/>
    </row>
    <row r="2020" spans="12:19" ht="15.75" customHeight="1" x14ac:dyDescent="0.35">
      <c r="L2020" s="2"/>
      <c r="M2020" s="2"/>
      <c r="N2020" s="650"/>
      <c r="O2020" s="650"/>
      <c r="P2020" s="651"/>
      <c r="Q2020" s="651"/>
      <c r="R2020" s="651"/>
      <c r="S2020" s="651"/>
    </row>
    <row r="2021" spans="12:19" ht="15.75" customHeight="1" x14ac:dyDescent="0.35">
      <c r="L2021" s="2"/>
      <c r="M2021" s="2"/>
      <c r="N2021" s="650"/>
      <c r="O2021" s="650"/>
      <c r="P2021" s="651"/>
      <c r="Q2021" s="651"/>
      <c r="R2021" s="651"/>
      <c r="S2021" s="651"/>
    </row>
    <row r="2022" spans="12:19" ht="15.75" customHeight="1" x14ac:dyDescent="0.35">
      <c r="L2022" s="2"/>
      <c r="M2022" s="2"/>
      <c r="N2022" s="650"/>
      <c r="O2022" s="650"/>
      <c r="P2022" s="651"/>
      <c r="Q2022" s="651"/>
      <c r="R2022" s="651"/>
      <c r="S2022" s="651"/>
    </row>
    <row r="2023" spans="12:19" ht="15.75" customHeight="1" x14ac:dyDescent="0.35">
      <c r="L2023" s="2"/>
      <c r="M2023" s="2"/>
      <c r="N2023" s="650"/>
      <c r="O2023" s="650"/>
      <c r="P2023" s="651"/>
      <c r="Q2023" s="651"/>
      <c r="R2023" s="651"/>
      <c r="S2023" s="651"/>
    </row>
    <row r="2024" spans="12:19" ht="15.75" customHeight="1" x14ac:dyDescent="0.35">
      <c r="L2024" s="2"/>
      <c r="M2024" s="2"/>
      <c r="N2024" s="650"/>
      <c r="O2024" s="650"/>
      <c r="P2024" s="651"/>
      <c r="Q2024" s="651"/>
      <c r="R2024" s="651"/>
      <c r="S2024" s="651"/>
    </row>
    <row r="2025" spans="12:19" ht="15.75" customHeight="1" x14ac:dyDescent="0.35">
      <c r="L2025" s="2"/>
      <c r="M2025" s="2"/>
      <c r="N2025" s="650"/>
      <c r="O2025" s="650"/>
      <c r="P2025" s="651"/>
      <c r="Q2025" s="651"/>
      <c r="R2025" s="651"/>
      <c r="S2025" s="651"/>
    </row>
    <row r="2026" spans="12:19" ht="15.75" customHeight="1" x14ac:dyDescent="0.35">
      <c r="L2026" s="2"/>
      <c r="M2026" s="2"/>
      <c r="N2026" s="650"/>
      <c r="O2026" s="650"/>
      <c r="P2026" s="651"/>
      <c r="Q2026" s="651"/>
      <c r="R2026" s="651"/>
      <c r="S2026" s="651"/>
    </row>
    <row r="2027" spans="12:19" ht="15.75" customHeight="1" x14ac:dyDescent="0.35">
      <c r="L2027" s="2"/>
      <c r="M2027" s="2"/>
      <c r="N2027" s="650"/>
      <c r="O2027" s="650"/>
      <c r="P2027" s="651"/>
      <c r="Q2027" s="651"/>
      <c r="R2027" s="651"/>
      <c r="S2027" s="651"/>
    </row>
    <row r="2028" spans="12:19" ht="15.75" customHeight="1" x14ac:dyDescent="0.35">
      <c r="L2028" s="2"/>
      <c r="M2028" s="2"/>
      <c r="N2028" s="650"/>
      <c r="O2028" s="650"/>
      <c r="P2028" s="651"/>
      <c r="Q2028" s="651"/>
      <c r="R2028" s="651"/>
      <c r="S2028" s="651"/>
    </row>
    <row r="2029" spans="12:19" ht="15.75" customHeight="1" x14ac:dyDescent="0.35">
      <c r="L2029" s="2"/>
      <c r="M2029" s="2"/>
      <c r="N2029" s="650"/>
      <c r="O2029" s="650"/>
      <c r="P2029" s="651"/>
      <c r="Q2029" s="651"/>
      <c r="R2029" s="651"/>
      <c r="S2029" s="651"/>
    </row>
    <row r="2030" spans="12:19" ht="15.75" customHeight="1" x14ac:dyDescent="0.35">
      <c r="L2030" s="2"/>
      <c r="M2030" s="2"/>
      <c r="N2030" s="650"/>
      <c r="O2030" s="650"/>
      <c r="P2030" s="651"/>
      <c r="Q2030" s="651"/>
      <c r="R2030" s="651"/>
      <c r="S2030" s="651"/>
    </row>
    <row r="2031" spans="12:19" ht="15.75" customHeight="1" x14ac:dyDescent="0.35">
      <c r="L2031" s="2"/>
      <c r="M2031" s="2"/>
      <c r="N2031" s="650"/>
      <c r="O2031" s="650"/>
      <c r="P2031" s="651"/>
      <c r="Q2031" s="651"/>
      <c r="R2031" s="651"/>
      <c r="S2031" s="651"/>
    </row>
    <row r="2032" spans="12:19" ht="15.75" customHeight="1" x14ac:dyDescent="0.35">
      <c r="L2032" s="2"/>
      <c r="M2032" s="2"/>
      <c r="N2032" s="650"/>
      <c r="O2032" s="650"/>
      <c r="P2032" s="651"/>
      <c r="Q2032" s="651"/>
      <c r="R2032" s="651"/>
      <c r="S2032" s="651"/>
    </row>
    <row r="2033" spans="12:19" ht="15.75" customHeight="1" x14ac:dyDescent="0.35">
      <c r="L2033" s="2"/>
      <c r="M2033" s="2"/>
      <c r="N2033" s="650"/>
      <c r="O2033" s="650"/>
      <c r="P2033" s="651"/>
      <c r="Q2033" s="651"/>
      <c r="R2033" s="651"/>
      <c r="S2033" s="651"/>
    </row>
    <row r="2034" spans="12:19" ht="15.75" customHeight="1" x14ac:dyDescent="0.35">
      <c r="L2034" s="2"/>
      <c r="M2034" s="2"/>
      <c r="N2034" s="650"/>
      <c r="O2034" s="650"/>
      <c r="P2034" s="651"/>
      <c r="Q2034" s="651"/>
      <c r="R2034" s="651"/>
      <c r="S2034" s="651"/>
    </row>
    <row r="2035" spans="12:19" ht="15.75" customHeight="1" x14ac:dyDescent="0.35">
      <c r="L2035" s="2"/>
      <c r="M2035" s="2"/>
      <c r="N2035" s="650"/>
      <c r="O2035" s="650"/>
      <c r="P2035" s="651"/>
      <c r="Q2035" s="651"/>
      <c r="R2035" s="651"/>
      <c r="S2035" s="651"/>
    </row>
    <row r="2036" spans="12:19" ht="15.75" customHeight="1" x14ac:dyDescent="0.35">
      <c r="L2036" s="2"/>
      <c r="M2036" s="2"/>
      <c r="N2036" s="650"/>
      <c r="O2036" s="650"/>
      <c r="P2036" s="651"/>
      <c r="Q2036" s="651"/>
      <c r="R2036" s="651"/>
      <c r="S2036" s="651"/>
    </row>
    <row r="2037" spans="12:19" ht="15.75" customHeight="1" x14ac:dyDescent="0.35">
      <c r="L2037" s="2"/>
      <c r="M2037" s="2"/>
      <c r="N2037" s="650"/>
      <c r="O2037" s="650"/>
      <c r="P2037" s="651"/>
      <c r="Q2037" s="651"/>
      <c r="R2037" s="651"/>
      <c r="S2037" s="651"/>
    </row>
    <row r="2038" spans="12:19" ht="15.75" customHeight="1" x14ac:dyDescent="0.35">
      <c r="L2038" s="2"/>
      <c r="M2038" s="2"/>
      <c r="N2038" s="650"/>
      <c r="O2038" s="650"/>
      <c r="P2038" s="651"/>
      <c r="Q2038" s="651"/>
      <c r="R2038" s="651"/>
      <c r="S2038" s="651"/>
    </row>
    <row r="2039" spans="12:19" ht="15.75" customHeight="1" x14ac:dyDescent="0.35">
      <c r="L2039" s="2"/>
      <c r="M2039" s="2"/>
      <c r="N2039" s="650"/>
      <c r="O2039" s="650"/>
      <c r="P2039" s="651"/>
      <c r="Q2039" s="651"/>
      <c r="R2039" s="651"/>
      <c r="S2039" s="651"/>
    </row>
    <row r="2040" spans="12:19" ht="15.75" customHeight="1" x14ac:dyDescent="0.35">
      <c r="L2040" s="2"/>
      <c r="M2040" s="2"/>
      <c r="N2040" s="650"/>
      <c r="O2040" s="650"/>
      <c r="P2040" s="651"/>
      <c r="Q2040" s="651"/>
      <c r="R2040" s="651"/>
      <c r="S2040" s="651"/>
    </row>
    <row r="2041" spans="12:19" ht="15.75" customHeight="1" x14ac:dyDescent="0.35">
      <c r="L2041" s="2"/>
      <c r="M2041" s="2"/>
      <c r="N2041" s="650"/>
      <c r="O2041" s="650"/>
      <c r="P2041" s="651"/>
      <c r="Q2041" s="651"/>
      <c r="R2041" s="651"/>
      <c r="S2041" s="651"/>
    </row>
    <row r="2042" spans="12:19" ht="15.75" customHeight="1" x14ac:dyDescent="0.35">
      <c r="L2042" s="2"/>
      <c r="M2042" s="2"/>
      <c r="N2042" s="650"/>
      <c r="O2042" s="650"/>
      <c r="P2042" s="651"/>
      <c r="Q2042" s="651"/>
      <c r="R2042" s="651"/>
      <c r="S2042" s="651"/>
    </row>
    <row r="2043" spans="12:19" ht="15.75" customHeight="1" x14ac:dyDescent="0.35">
      <c r="L2043" s="2"/>
      <c r="M2043" s="2"/>
      <c r="N2043" s="650"/>
      <c r="O2043" s="650"/>
      <c r="P2043" s="651"/>
      <c r="Q2043" s="651"/>
      <c r="R2043" s="651"/>
      <c r="S2043" s="651"/>
    </row>
    <row r="2044" spans="12:19" ht="15.75" customHeight="1" x14ac:dyDescent="0.35">
      <c r="L2044" s="2"/>
      <c r="M2044" s="2"/>
      <c r="N2044" s="650"/>
      <c r="O2044" s="650"/>
      <c r="P2044" s="651"/>
      <c r="Q2044" s="651"/>
      <c r="R2044" s="651"/>
      <c r="S2044" s="651"/>
    </row>
    <row r="2045" spans="12:19" ht="15.75" customHeight="1" x14ac:dyDescent="0.35">
      <c r="L2045" s="2"/>
      <c r="M2045" s="2"/>
      <c r="N2045" s="650"/>
      <c r="O2045" s="650"/>
      <c r="P2045" s="651"/>
      <c r="Q2045" s="651"/>
      <c r="R2045" s="651"/>
      <c r="S2045" s="651"/>
    </row>
    <row r="2046" spans="12:19" ht="15.75" customHeight="1" x14ac:dyDescent="0.35">
      <c r="L2046" s="2"/>
      <c r="M2046" s="2"/>
      <c r="N2046" s="650"/>
      <c r="O2046" s="650"/>
      <c r="P2046" s="651"/>
      <c r="Q2046" s="651"/>
      <c r="R2046" s="651"/>
      <c r="S2046" s="651"/>
    </row>
    <row r="2047" spans="12:19" ht="15.75" customHeight="1" x14ac:dyDescent="0.35">
      <c r="L2047" s="2"/>
      <c r="M2047" s="2"/>
      <c r="N2047" s="650"/>
      <c r="O2047" s="650"/>
      <c r="P2047" s="651"/>
      <c r="Q2047" s="651"/>
      <c r="R2047" s="651"/>
      <c r="S2047" s="651"/>
    </row>
    <row r="2048" spans="12:19" ht="15.75" customHeight="1" x14ac:dyDescent="0.35">
      <c r="L2048" s="2"/>
      <c r="M2048" s="2"/>
      <c r="N2048" s="650"/>
      <c r="O2048" s="650"/>
      <c r="P2048" s="651"/>
      <c r="Q2048" s="651"/>
      <c r="R2048" s="651"/>
      <c r="S2048" s="651"/>
    </row>
    <row r="2049" spans="12:19" ht="15.75" customHeight="1" x14ac:dyDescent="0.35">
      <c r="L2049" s="2"/>
      <c r="M2049" s="2"/>
      <c r="N2049" s="650"/>
      <c r="O2049" s="650"/>
      <c r="P2049" s="651"/>
      <c r="Q2049" s="651"/>
      <c r="R2049" s="651"/>
      <c r="S2049" s="651"/>
    </row>
    <row r="2050" spans="12:19" ht="15.75" customHeight="1" x14ac:dyDescent="0.35">
      <c r="L2050" s="2"/>
      <c r="M2050" s="2"/>
      <c r="N2050" s="650"/>
      <c r="O2050" s="650"/>
      <c r="P2050" s="651"/>
      <c r="Q2050" s="651"/>
      <c r="R2050" s="651"/>
      <c r="S2050" s="651"/>
    </row>
    <row r="2051" spans="12:19" ht="15.75" customHeight="1" x14ac:dyDescent="0.35">
      <c r="L2051" s="2"/>
      <c r="M2051" s="2"/>
      <c r="N2051" s="650"/>
      <c r="O2051" s="650"/>
      <c r="P2051" s="651"/>
      <c r="Q2051" s="651"/>
      <c r="R2051" s="651"/>
      <c r="S2051" s="651"/>
    </row>
    <row r="2052" spans="12:19" ht="15.75" customHeight="1" x14ac:dyDescent="0.35">
      <c r="L2052" s="2"/>
      <c r="M2052" s="2"/>
      <c r="N2052" s="650"/>
      <c r="O2052" s="650"/>
      <c r="P2052" s="651"/>
      <c r="Q2052" s="651"/>
      <c r="R2052" s="651"/>
      <c r="S2052" s="651"/>
    </row>
    <row r="2053" spans="12:19" ht="15.75" customHeight="1" x14ac:dyDescent="0.35">
      <c r="L2053" s="2"/>
      <c r="M2053" s="2"/>
      <c r="N2053" s="650"/>
      <c r="O2053" s="650"/>
      <c r="P2053" s="651"/>
      <c r="Q2053" s="651"/>
      <c r="R2053" s="651"/>
      <c r="S2053" s="651"/>
    </row>
    <row r="2054" spans="12:19" ht="15.75" customHeight="1" x14ac:dyDescent="0.35">
      <c r="L2054" s="2"/>
      <c r="M2054" s="2"/>
      <c r="N2054" s="650"/>
      <c r="O2054" s="650"/>
      <c r="P2054" s="651"/>
      <c r="Q2054" s="651"/>
      <c r="R2054" s="651"/>
      <c r="S2054" s="651"/>
    </row>
    <row r="2055" spans="12:19" ht="15.75" customHeight="1" x14ac:dyDescent="0.35">
      <c r="L2055" s="2"/>
      <c r="M2055" s="2"/>
      <c r="N2055" s="650"/>
      <c r="O2055" s="650"/>
      <c r="P2055" s="651"/>
      <c r="Q2055" s="651"/>
      <c r="R2055" s="651"/>
      <c r="S2055" s="651"/>
    </row>
    <row r="2056" spans="12:19" ht="15.75" customHeight="1" x14ac:dyDescent="0.35">
      <c r="L2056" s="2"/>
      <c r="M2056" s="2"/>
      <c r="N2056" s="650"/>
      <c r="O2056" s="650"/>
      <c r="P2056" s="651"/>
      <c r="Q2056" s="651"/>
      <c r="R2056" s="651"/>
      <c r="S2056" s="651"/>
    </row>
    <row r="2057" spans="12:19" ht="15.75" customHeight="1" x14ac:dyDescent="0.35">
      <c r="L2057" s="2"/>
      <c r="M2057" s="2"/>
      <c r="N2057" s="650"/>
      <c r="O2057" s="650"/>
      <c r="P2057" s="651"/>
      <c r="Q2057" s="651"/>
      <c r="R2057" s="651"/>
      <c r="S2057" s="651"/>
    </row>
    <row r="2058" spans="12:19" ht="15.75" customHeight="1" x14ac:dyDescent="0.35">
      <c r="L2058" s="2"/>
      <c r="M2058" s="2"/>
      <c r="N2058" s="650"/>
      <c r="O2058" s="650"/>
      <c r="P2058" s="651"/>
      <c r="Q2058" s="651"/>
      <c r="R2058" s="651"/>
      <c r="S2058" s="651"/>
    </row>
    <row r="2059" spans="12:19" ht="15.75" customHeight="1" x14ac:dyDescent="0.35">
      <c r="L2059" s="2"/>
      <c r="M2059" s="2"/>
      <c r="N2059" s="650"/>
      <c r="O2059" s="650"/>
      <c r="P2059" s="651"/>
      <c r="Q2059" s="651"/>
      <c r="R2059" s="651"/>
      <c r="S2059" s="651"/>
    </row>
    <row r="2060" spans="12:19" ht="15.75" customHeight="1" x14ac:dyDescent="0.35">
      <c r="L2060" s="2"/>
      <c r="M2060" s="2"/>
      <c r="N2060" s="650"/>
      <c r="O2060" s="650"/>
      <c r="P2060" s="651"/>
      <c r="Q2060" s="651"/>
      <c r="R2060" s="651"/>
      <c r="S2060" s="651"/>
    </row>
    <row r="2061" spans="12:19" ht="15.75" customHeight="1" x14ac:dyDescent="0.35">
      <c r="L2061" s="2"/>
      <c r="M2061" s="2"/>
      <c r="N2061" s="650"/>
      <c r="O2061" s="650"/>
      <c r="P2061" s="651"/>
      <c r="Q2061" s="651"/>
      <c r="R2061" s="651"/>
      <c r="S2061" s="651"/>
    </row>
    <row r="2062" spans="12:19" ht="15.75" customHeight="1" x14ac:dyDescent="0.35">
      <c r="L2062" s="2"/>
      <c r="M2062" s="2"/>
      <c r="N2062" s="650"/>
      <c r="O2062" s="650"/>
      <c r="P2062" s="651"/>
      <c r="Q2062" s="651"/>
      <c r="R2062" s="651"/>
      <c r="S2062" s="651"/>
    </row>
    <row r="2063" spans="12:19" ht="15.75" customHeight="1" x14ac:dyDescent="0.35">
      <c r="L2063" s="2"/>
      <c r="M2063" s="2"/>
      <c r="N2063" s="650"/>
      <c r="O2063" s="650"/>
      <c r="P2063" s="651"/>
      <c r="Q2063" s="651"/>
      <c r="R2063" s="651"/>
      <c r="S2063" s="651"/>
    </row>
    <row r="2064" spans="12:19" ht="15.75" customHeight="1" x14ac:dyDescent="0.35">
      <c r="L2064" s="2"/>
      <c r="M2064" s="2"/>
      <c r="N2064" s="650"/>
      <c r="O2064" s="650"/>
      <c r="P2064" s="651"/>
      <c r="Q2064" s="651"/>
      <c r="R2064" s="651"/>
      <c r="S2064" s="651"/>
    </row>
    <row r="2065" spans="12:19" ht="15.75" customHeight="1" x14ac:dyDescent="0.35">
      <c r="L2065" s="2"/>
      <c r="M2065" s="2"/>
      <c r="N2065" s="650"/>
      <c r="O2065" s="650"/>
      <c r="P2065" s="651"/>
      <c r="Q2065" s="651"/>
      <c r="R2065" s="651"/>
      <c r="S2065" s="651"/>
    </row>
    <row r="2066" spans="12:19" ht="15.75" customHeight="1" x14ac:dyDescent="0.35">
      <c r="L2066" s="2"/>
      <c r="M2066" s="2"/>
      <c r="N2066" s="650"/>
      <c r="O2066" s="650"/>
      <c r="P2066" s="651"/>
      <c r="Q2066" s="651"/>
      <c r="R2066" s="651"/>
      <c r="S2066" s="651"/>
    </row>
    <row r="2067" spans="12:19" ht="15.75" customHeight="1" x14ac:dyDescent="0.35">
      <c r="L2067" s="2"/>
      <c r="M2067" s="2"/>
      <c r="N2067" s="650"/>
      <c r="O2067" s="650"/>
      <c r="P2067" s="651"/>
      <c r="Q2067" s="651"/>
      <c r="R2067" s="651"/>
      <c r="S2067" s="651"/>
    </row>
    <row r="2068" spans="12:19" ht="15.75" customHeight="1" x14ac:dyDescent="0.35">
      <c r="L2068" s="2"/>
      <c r="M2068" s="2"/>
      <c r="N2068" s="650"/>
      <c r="O2068" s="650"/>
      <c r="P2068" s="651"/>
      <c r="Q2068" s="651"/>
      <c r="R2068" s="651"/>
      <c r="S2068" s="651"/>
    </row>
    <row r="2069" spans="12:19" ht="15.75" customHeight="1" x14ac:dyDescent="0.35">
      <c r="L2069" s="2"/>
      <c r="M2069" s="2"/>
      <c r="N2069" s="650"/>
      <c r="O2069" s="650"/>
      <c r="P2069" s="651"/>
      <c r="Q2069" s="651"/>
      <c r="R2069" s="651"/>
      <c r="S2069" s="651"/>
    </row>
    <row r="2070" spans="12:19" ht="15.75" customHeight="1" x14ac:dyDescent="0.35">
      <c r="L2070" s="2"/>
      <c r="M2070" s="2"/>
      <c r="N2070" s="650"/>
      <c r="O2070" s="650"/>
      <c r="P2070" s="651"/>
      <c r="Q2070" s="651"/>
      <c r="R2070" s="651"/>
      <c r="S2070" s="651"/>
    </row>
    <row r="2071" spans="12:19" ht="15.75" customHeight="1" x14ac:dyDescent="0.35">
      <c r="L2071" s="2"/>
      <c r="M2071" s="2"/>
      <c r="N2071" s="650"/>
      <c r="O2071" s="650"/>
      <c r="P2071" s="651"/>
      <c r="Q2071" s="651"/>
      <c r="R2071" s="651"/>
      <c r="S2071" s="651"/>
    </row>
    <row r="2072" spans="12:19" ht="15.75" customHeight="1" x14ac:dyDescent="0.35">
      <c r="L2072" s="2"/>
      <c r="M2072" s="2"/>
      <c r="N2072" s="650"/>
      <c r="O2072" s="650"/>
      <c r="P2072" s="651"/>
      <c r="Q2072" s="651"/>
      <c r="R2072" s="651"/>
      <c r="S2072" s="651"/>
    </row>
    <row r="2073" spans="12:19" ht="15.75" customHeight="1" x14ac:dyDescent="0.35">
      <c r="L2073" s="2"/>
      <c r="M2073" s="2"/>
      <c r="N2073" s="650"/>
      <c r="O2073" s="650"/>
      <c r="P2073" s="651"/>
      <c r="Q2073" s="651"/>
      <c r="R2073" s="651"/>
      <c r="S2073" s="651"/>
    </row>
    <row r="2074" spans="12:19" ht="15.75" customHeight="1" x14ac:dyDescent="0.35">
      <c r="L2074" s="2"/>
      <c r="M2074" s="2"/>
      <c r="N2074" s="650"/>
      <c r="O2074" s="650"/>
      <c r="P2074" s="651"/>
      <c r="Q2074" s="651"/>
      <c r="R2074" s="651"/>
      <c r="S2074" s="651"/>
    </row>
    <row r="2075" spans="12:19" ht="15.75" customHeight="1" x14ac:dyDescent="0.35">
      <c r="L2075" s="2"/>
      <c r="M2075" s="2"/>
      <c r="N2075" s="650"/>
      <c r="O2075" s="650"/>
      <c r="P2075" s="651"/>
      <c r="Q2075" s="651"/>
      <c r="R2075" s="651"/>
      <c r="S2075" s="651"/>
    </row>
    <row r="2076" spans="12:19" ht="15.75" customHeight="1" x14ac:dyDescent="0.35">
      <c r="L2076" s="2"/>
      <c r="M2076" s="2"/>
      <c r="N2076" s="650"/>
      <c r="O2076" s="650"/>
      <c r="P2076" s="651"/>
      <c r="Q2076" s="651"/>
      <c r="R2076" s="651"/>
      <c r="S2076" s="651"/>
    </row>
    <row r="2077" spans="12:19" ht="15.75" customHeight="1" x14ac:dyDescent="0.35">
      <c r="L2077" s="2"/>
      <c r="M2077" s="2"/>
      <c r="N2077" s="650"/>
      <c r="O2077" s="650"/>
      <c r="P2077" s="651"/>
      <c r="Q2077" s="651"/>
      <c r="R2077" s="651"/>
      <c r="S2077" s="651"/>
    </row>
    <row r="2078" spans="12:19" ht="15.75" customHeight="1" x14ac:dyDescent="0.35">
      <c r="L2078" s="2"/>
      <c r="M2078" s="2"/>
      <c r="N2078" s="650"/>
      <c r="O2078" s="650"/>
      <c r="P2078" s="651"/>
      <c r="Q2078" s="651"/>
      <c r="R2078" s="651"/>
      <c r="S2078" s="651"/>
    </row>
    <row r="2079" spans="12:19" ht="15.75" customHeight="1" x14ac:dyDescent="0.35">
      <c r="L2079" s="2"/>
      <c r="M2079" s="2"/>
      <c r="N2079" s="650"/>
      <c r="O2079" s="650"/>
      <c r="P2079" s="651"/>
      <c r="Q2079" s="651"/>
      <c r="R2079" s="651"/>
      <c r="S2079" s="651"/>
    </row>
    <row r="2080" spans="12:19" ht="15.75" customHeight="1" x14ac:dyDescent="0.35">
      <c r="L2080" s="2"/>
      <c r="M2080" s="2"/>
      <c r="N2080" s="650"/>
      <c r="O2080" s="650"/>
      <c r="P2080" s="651"/>
      <c r="Q2080" s="651"/>
      <c r="R2080" s="651"/>
      <c r="S2080" s="651"/>
    </row>
    <row r="2081" spans="12:19" ht="15.75" customHeight="1" x14ac:dyDescent="0.35">
      <c r="L2081" s="2"/>
      <c r="M2081" s="2"/>
      <c r="N2081" s="650"/>
      <c r="O2081" s="650"/>
      <c r="P2081" s="651"/>
      <c r="Q2081" s="651"/>
      <c r="R2081" s="651"/>
      <c r="S2081" s="651"/>
    </row>
    <row r="2082" spans="12:19" ht="15.75" customHeight="1" x14ac:dyDescent="0.35">
      <c r="L2082" s="2"/>
      <c r="M2082" s="2"/>
      <c r="N2082" s="650"/>
      <c r="O2082" s="650"/>
      <c r="P2082" s="651"/>
      <c r="Q2082" s="651"/>
      <c r="R2082" s="651"/>
      <c r="S2082" s="651"/>
    </row>
    <row r="2083" spans="12:19" ht="15.75" customHeight="1" x14ac:dyDescent="0.35">
      <c r="L2083" s="2"/>
      <c r="M2083" s="2"/>
      <c r="N2083" s="650"/>
      <c r="O2083" s="650"/>
      <c r="P2083" s="651"/>
      <c r="Q2083" s="651"/>
      <c r="R2083" s="651"/>
      <c r="S2083" s="651"/>
    </row>
    <row r="2084" spans="12:19" ht="15.75" customHeight="1" x14ac:dyDescent="0.35">
      <c r="L2084" s="2"/>
      <c r="M2084" s="2"/>
      <c r="N2084" s="650"/>
      <c r="O2084" s="650"/>
      <c r="P2084" s="651"/>
      <c r="Q2084" s="651"/>
      <c r="R2084" s="651"/>
      <c r="S2084" s="651"/>
    </row>
    <row r="2085" spans="12:19" ht="15.75" customHeight="1" x14ac:dyDescent="0.35">
      <c r="L2085" s="2"/>
      <c r="M2085" s="2"/>
      <c r="N2085" s="650"/>
      <c r="O2085" s="650"/>
      <c r="P2085" s="651"/>
      <c r="Q2085" s="651"/>
      <c r="R2085" s="651"/>
      <c r="S2085" s="651"/>
    </row>
    <row r="2086" spans="12:19" ht="15.75" customHeight="1" x14ac:dyDescent="0.35">
      <c r="L2086" s="2"/>
      <c r="M2086" s="2"/>
      <c r="N2086" s="650"/>
      <c r="O2086" s="650"/>
      <c r="P2086" s="651"/>
      <c r="Q2086" s="651"/>
      <c r="R2086" s="651"/>
      <c r="S2086" s="651"/>
    </row>
    <row r="2087" spans="12:19" ht="15.75" customHeight="1" x14ac:dyDescent="0.35">
      <c r="L2087" s="2"/>
      <c r="M2087" s="2"/>
      <c r="N2087" s="650"/>
      <c r="O2087" s="650"/>
      <c r="P2087" s="651"/>
      <c r="Q2087" s="651"/>
      <c r="R2087" s="651"/>
      <c r="S2087" s="651"/>
    </row>
    <row r="2088" spans="12:19" ht="15.75" customHeight="1" x14ac:dyDescent="0.35">
      <c r="L2088" s="2"/>
      <c r="M2088" s="2"/>
      <c r="N2088" s="650"/>
      <c r="O2088" s="650"/>
      <c r="P2088" s="651"/>
      <c r="Q2088" s="651"/>
      <c r="R2088" s="651"/>
      <c r="S2088" s="651"/>
    </row>
    <row r="2089" spans="12:19" ht="15.75" customHeight="1" x14ac:dyDescent="0.35">
      <c r="L2089" s="2"/>
      <c r="M2089" s="2"/>
      <c r="N2089" s="650"/>
      <c r="O2089" s="650"/>
      <c r="P2089" s="651"/>
      <c r="Q2089" s="651"/>
      <c r="R2089" s="651"/>
      <c r="S2089" s="651"/>
    </row>
    <row r="2090" spans="12:19" ht="15.75" customHeight="1" x14ac:dyDescent="0.35">
      <c r="L2090" s="2"/>
      <c r="M2090" s="2"/>
      <c r="N2090" s="650"/>
      <c r="O2090" s="650"/>
      <c r="P2090" s="651"/>
      <c r="Q2090" s="651"/>
      <c r="R2090" s="651"/>
      <c r="S2090" s="651"/>
    </row>
    <row r="2091" spans="12:19" ht="15.75" customHeight="1" x14ac:dyDescent="0.35">
      <c r="L2091" s="2"/>
      <c r="M2091" s="2"/>
      <c r="N2091" s="650"/>
      <c r="O2091" s="650"/>
      <c r="P2091" s="651"/>
      <c r="Q2091" s="651"/>
      <c r="R2091" s="651"/>
      <c r="S2091" s="651"/>
    </row>
    <row r="2092" spans="12:19" ht="15.75" customHeight="1" x14ac:dyDescent="0.35">
      <c r="L2092" s="2"/>
      <c r="M2092" s="2"/>
      <c r="N2092" s="650"/>
      <c r="O2092" s="650"/>
      <c r="P2092" s="651"/>
      <c r="Q2092" s="651"/>
      <c r="R2092" s="651"/>
      <c r="S2092" s="651"/>
    </row>
    <row r="2093" spans="12:19" ht="15.75" customHeight="1" x14ac:dyDescent="0.35">
      <c r="L2093" s="2"/>
      <c r="M2093" s="2"/>
      <c r="N2093" s="650"/>
      <c r="O2093" s="650"/>
      <c r="P2093" s="651"/>
      <c r="Q2093" s="651"/>
      <c r="R2093" s="651"/>
      <c r="S2093" s="651"/>
    </row>
    <row r="2094" spans="12:19" ht="15.75" customHeight="1" x14ac:dyDescent="0.35">
      <c r="L2094" s="2"/>
      <c r="M2094" s="2"/>
      <c r="N2094" s="650"/>
      <c r="O2094" s="650"/>
      <c r="P2094" s="651"/>
      <c r="Q2094" s="651"/>
      <c r="R2094" s="651"/>
      <c r="S2094" s="651"/>
    </row>
    <row r="2095" spans="12:19" ht="15.75" customHeight="1" x14ac:dyDescent="0.35">
      <c r="L2095" s="2"/>
      <c r="M2095" s="2"/>
      <c r="N2095" s="650"/>
      <c r="O2095" s="650"/>
      <c r="P2095" s="651"/>
      <c r="Q2095" s="651"/>
      <c r="R2095" s="651"/>
      <c r="S2095" s="651"/>
    </row>
    <row r="2096" spans="12:19" ht="15.75" customHeight="1" x14ac:dyDescent="0.35">
      <c r="L2096" s="2"/>
      <c r="M2096" s="2"/>
      <c r="N2096" s="650"/>
      <c r="O2096" s="650"/>
      <c r="P2096" s="651"/>
      <c r="Q2096" s="651"/>
      <c r="R2096" s="651"/>
      <c r="S2096" s="651"/>
    </row>
    <row r="2097" spans="12:19" ht="15.75" customHeight="1" x14ac:dyDescent="0.35">
      <c r="L2097" s="2"/>
      <c r="M2097" s="2"/>
      <c r="N2097" s="650"/>
      <c r="O2097" s="650"/>
      <c r="P2097" s="651"/>
      <c r="Q2097" s="651"/>
      <c r="R2097" s="651"/>
      <c r="S2097" s="651"/>
    </row>
    <row r="2098" spans="12:19" ht="15.75" customHeight="1" x14ac:dyDescent="0.35">
      <c r="L2098" s="2"/>
      <c r="M2098" s="2"/>
      <c r="N2098" s="650"/>
      <c r="O2098" s="650"/>
      <c r="P2098" s="651"/>
      <c r="Q2098" s="651"/>
      <c r="R2098" s="651"/>
      <c r="S2098" s="651"/>
    </row>
    <row r="2099" spans="12:19" ht="15.75" customHeight="1" x14ac:dyDescent="0.35">
      <c r="L2099" s="2"/>
      <c r="M2099" s="2"/>
      <c r="N2099" s="650"/>
      <c r="O2099" s="650"/>
      <c r="P2099" s="651"/>
      <c r="Q2099" s="651"/>
      <c r="R2099" s="651"/>
      <c r="S2099" s="651"/>
    </row>
    <row r="2100" spans="12:19" ht="15.75" customHeight="1" x14ac:dyDescent="0.35">
      <c r="L2100" s="2"/>
      <c r="M2100" s="2"/>
      <c r="N2100" s="650"/>
      <c r="O2100" s="650"/>
      <c r="P2100" s="651"/>
      <c r="Q2100" s="651"/>
      <c r="R2100" s="651"/>
      <c r="S2100" s="651"/>
    </row>
    <row r="2101" spans="12:19" ht="15.75" customHeight="1" x14ac:dyDescent="0.35">
      <c r="L2101" s="2"/>
      <c r="M2101" s="2"/>
      <c r="N2101" s="650"/>
      <c r="O2101" s="650"/>
      <c r="P2101" s="651"/>
      <c r="Q2101" s="651"/>
      <c r="R2101" s="651"/>
      <c r="S2101" s="651"/>
    </row>
    <row r="2102" spans="12:19" ht="15.75" customHeight="1" x14ac:dyDescent="0.35">
      <c r="L2102" s="2"/>
      <c r="M2102" s="2"/>
      <c r="N2102" s="650"/>
      <c r="O2102" s="650"/>
      <c r="P2102" s="651"/>
      <c r="Q2102" s="651"/>
      <c r="R2102" s="651"/>
      <c r="S2102" s="651"/>
    </row>
    <row r="2103" spans="12:19" ht="15.75" customHeight="1" x14ac:dyDescent="0.35">
      <c r="L2103" s="2"/>
      <c r="M2103" s="2"/>
      <c r="N2103" s="650"/>
      <c r="O2103" s="650"/>
      <c r="P2103" s="651"/>
      <c r="Q2103" s="651"/>
      <c r="R2103" s="651"/>
      <c r="S2103" s="651"/>
    </row>
    <row r="2104" spans="12:19" ht="15.75" customHeight="1" x14ac:dyDescent="0.35">
      <c r="L2104" s="2"/>
      <c r="M2104" s="2"/>
      <c r="N2104" s="650"/>
      <c r="O2104" s="650"/>
      <c r="P2104" s="651"/>
      <c r="Q2104" s="651"/>
      <c r="R2104" s="651"/>
      <c r="S2104" s="651"/>
    </row>
    <row r="2105" spans="12:19" ht="15.75" customHeight="1" x14ac:dyDescent="0.35">
      <c r="L2105" s="2"/>
      <c r="M2105" s="2"/>
      <c r="N2105" s="650"/>
      <c r="O2105" s="650"/>
      <c r="P2105" s="651"/>
      <c r="Q2105" s="651"/>
      <c r="R2105" s="651"/>
      <c r="S2105" s="651"/>
    </row>
    <row r="2106" spans="12:19" ht="15.75" customHeight="1" x14ac:dyDescent="0.35">
      <c r="L2106" s="2"/>
      <c r="M2106" s="2"/>
      <c r="N2106" s="650"/>
      <c r="O2106" s="650"/>
      <c r="P2106" s="651"/>
      <c r="Q2106" s="651"/>
      <c r="R2106" s="651"/>
      <c r="S2106" s="651"/>
    </row>
    <row r="2107" spans="12:19" ht="15.75" customHeight="1" x14ac:dyDescent="0.35">
      <c r="L2107" s="2"/>
      <c r="M2107" s="2"/>
      <c r="N2107" s="650"/>
      <c r="O2107" s="650"/>
      <c r="P2107" s="651"/>
      <c r="Q2107" s="651"/>
      <c r="R2107" s="651"/>
      <c r="S2107" s="651"/>
    </row>
    <row r="2108" spans="12:19" ht="15.75" customHeight="1" x14ac:dyDescent="0.35">
      <c r="L2108" s="2"/>
      <c r="M2108" s="2"/>
      <c r="N2108" s="650"/>
      <c r="O2108" s="650"/>
      <c r="P2108" s="651"/>
      <c r="Q2108" s="651"/>
      <c r="R2108" s="651"/>
      <c r="S2108" s="651"/>
    </row>
    <row r="2109" spans="12:19" ht="15.75" customHeight="1" x14ac:dyDescent="0.35">
      <c r="L2109" s="2"/>
      <c r="M2109" s="2"/>
      <c r="N2109" s="650"/>
      <c r="O2109" s="650"/>
      <c r="P2109" s="651"/>
      <c r="Q2109" s="651"/>
      <c r="R2109" s="651"/>
      <c r="S2109" s="651"/>
    </row>
    <row r="2110" spans="12:19" ht="15.75" customHeight="1" x14ac:dyDescent="0.35">
      <c r="L2110" s="2"/>
      <c r="M2110" s="2"/>
      <c r="N2110" s="650"/>
      <c r="O2110" s="650"/>
      <c r="P2110" s="651"/>
      <c r="Q2110" s="651"/>
      <c r="R2110" s="651"/>
      <c r="S2110" s="651"/>
    </row>
    <row r="2111" spans="12:19" ht="15.75" customHeight="1" x14ac:dyDescent="0.35">
      <c r="L2111" s="2"/>
      <c r="M2111" s="2"/>
      <c r="N2111" s="650"/>
      <c r="O2111" s="650"/>
      <c r="P2111" s="651"/>
      <c r="Q2111" s="651"/>
      <c r="R2111" s="651"/>
      <c r="S2111" s="651"/>
    </row>
    <row r="2112" spans="12:19" ht="15.75" customHeight="1" x14ac:dyDescent="0.35">
      <c r="L2112" s="2"/>
      <c r="M2112" s="2"/>
      <c r="N2112" s="650"/>
      <c r="O2112" s="650"/>
      <c r="P2112" s="651"/>
      <c r="Q2112" s="651"/>
      <c r="R2112" s="651"/>
      <c r="S2112" s="651"/>
    </row>
    <row r="2113" spans="12:19" ht="15.75" customHeight="1" x14ac:dyDescent="0.35">
      <c r="L2113" s="2"/>
      <c r="M2113" s="2"/>
      <c r="N2113" s="650"/>
      <c r="O2113" s="650"/>
      <c r="P2113" s="651"/>
      <c r="Q2113" s="651"/>
      <c r="R2113" s="651"/>
      <c r="S2113" s="651"/>
    </row>
    <row r="2114" spans="12:19" ht="15.75" customHeight="1" x14ac:dyDescent="0.35">
      <c r="L2114" s="2"/>
      <c r="M2114" s="2"/>
      <c r="N2114" s="650"/>
      <c r="O2114" s="650"/>
      <c r="P2114" s="651"/>
      <c r="Q2114" s="651"/>
      <c r="R2114" s="651"/>
      <c r="S2114" s="651"/>
    </row>
    <row r="2115" spans="12:19" ht="15.75" customHeight="1" x14ac:dyDescent="0.35">
      <c r="L2115" s="2"/>
      <c r="M2115" s="2"/>
      <c r="N2115" s="650"/>
      <c r="O2115" s="650"/>
      <c r="P2115" s="651"/>
      <c r="Q2115" s="651"/>
      <c r="R2115" s="651"/>
      <c r="S2115" s="651"/>
    </row>
    <row r="2116" spans="12:19" ht="15.75" customHeight="1" x14ac:dyDescent="0.35">
      <c r="L2116" s="2"/>
      <c r="M2116" s="2"/>
      <c r="N2116" s="650"/>
      <c r="O2116" s="650"/>
      <c r="P2116" s="651"/>
      <c r="Q2116" s="651"/>
      <c r="R2116" s="651"/>
      <c r="S2116" s="651"/>
    </row>
    <row r="2117" spans="12:19" ht="15.75" customHeight="1" x14ac:dyDescent="0.35">
      <c r="L2117" s="2"/>
      <c r="M2117" s="2"/>
      <c r="N2117" s="650"/>
      <c r="O2117" s="650"/>
      <c r="P2117" s="651"/>
      <c r="Q2117" s="651"/>
      <c r="R2117" s="651"/>
      <c r="S2117" s="651"/>
    </row>
    <row r="2118" spans="12:19" ht="15.75" customHeight="1" x14ac:dyDescent="0.35">
      <c r="L2118" s="2"/>
      <c r="M2118" s="2"/>
      <c r="N2118" s="650"/>
      <c r="O2118" s="650"/>
      <c r="P2118" s="651"/>
      <c r="Q2118" s="651"/>
      <c r="R2118" s="651"/>
      <c r="S2118" s="651"/>
    </row>
    <row r="2119" spans="12:19" ht="15.75" customHeight="1" x14ac:dyDescent="0.35">
      <c r="L2119" s="2"/>
      <c r="M2119" s="2"/>
      <c r="N2119" s="650"/>
      <c r="O2119" s="650"/>
      <c r="P2119" s="651"/>
      <c r="Q2119" s="651"/>
      <c r="R2119" s="651"/>
      <c r="S2119" s="651"/>
    </row>
    <row r="2120" spans="12:19" ht="15.75" customHeight="1" x14ac:dyDescent="0.35">
      <c r="L2120" s="2"/>
      <c r="M2120" s="2"/>
      <c r="N2120" s="650"/>
      <c r="O2120" s="650"/>
      <c r="P2120" s="651"/>
      <c r="Q2120" s="651"/>
      <c r="R2120" s="651"/>
      <c r="S2120" s="651"/>
    </row>
    <row r="2121" spans="12:19" ht="15.75" customHeight="1" x14ac:dyDescent="0.35">
      <c r="L2121" s="2"/>
      <c r="M2121" s="2"/>
      <c r="N2121" s="650"/>
      <c r="O2121" s="650"/>
      <c r="P2121" s="651"/>
      <c r="Q2121" s="651"/>
      <c r="R2121" s="651"/>
      <c r="S2121" s="651"/>
    </row>
    <row r="2122" spans="12:19" ht="15.75" customHeight="1" x14ac:dyDescent="0.35">
      <c r="L2122" s="2"/>
      <c r="M2122" s="2"/>
      <c r="N2122" s="650"/>
      <c r="O2122" s="650"/>
      <c r="P2122" s="651"/>
      <c r="Q2122" s="651"/>
      <c r="R2122" s="651"/>
      <c r="S2122" s="651"/>
    </row>
    <row r="2123" spans="12:19" ht="15.75" customHeight="1" x14ac:dyDescent="0.35">
      <c r="L2123" s="2"/>
      <c r="M2123" s="2"/>
      <c r="N2123" s="650"/>
      <c r="O2123" s="650"/>
      <c r="P2123" s="651"/>
      <c r="Q2123" s="651"/>
      <c r="R2123" s="651"/>
      <c r="S2123" s="651"/>
    </row>
    <row r="2124" spans="12:19" ht="15.75" customHeight="1" x14ac:dyDescent="0.35">
      <c r="L2124" s="2"/>
      <c r="M2124" s="2"/>
      <c r="N2124" s="650"/>
      <c r="O2124" s="650"/>
      <c r="P2124" s="651"/>
      <c r="Q2124" s="651"/>
      <c r="R2124" s="651"/>
      <c r="S2124" s="651"/>
    </row>
    <row r="2125" spans="12:19" ht="15.75" customHeight="1" x14ac:dyDescent="0.35">
      <c r="L2125" s="2"/>
      <c r="M2125" s="2"/>
      <c r="N2125" s="650"/>
      <c r="O2125" s="650"/>
      <c r="P2125" s="651"/>
      <c r="Q2125" s="651"/>
      <c r="R2125" s="651"/>
      <c r="S2125" s="651"/>
    </row>
    <row r="2126" spans="12:19" ht="15.75" customHeight="1" x14ac:dyDescent="0.35">
      <c r="L2126" s="2"/>
      <c r="M2126" s="2"/>
      <c r="N2126" s="650"/>
      <c r="O2126" s="650"/>
      <c r="P2126" s="651"/>
      <c r="Q2126" s="651"/>
      <c r="R2126" s="651"/>
      <c r="S2126" s="651"/>
    </row>
    <row r="2127" spans="12:19" ht="15.75" customHeight="1" x14ac:dyDescent="0.35">
      <c r="L2127" s="2"/>
      <c r="M2127" s="2"/>
      <c r="N2127" s="650"/>
      <c r="O2127" s="650"/>
      <c r="P2127" s="651"/>
      <c r="Q2127" s="651"/>
      <c r="R2127" s="651"/>
      <c r="S2127" s="651"/>
    </row>
    <row r="2128" spans="12:19" ht="15.75" customHeight="1" x14ac:dyDescent="0.35">
      <c r="L2128" s="2"/>
      <c r="M2128" s="2"/>
      <c r="N2128" s="650"/>
      <c r="O2128" s="650"/>
      <c r="P2128" s="651"/>
      <c r="Q2128" s="651"/>
      <c r="R2128" s="651"/>
      <c r="S2128" s="651"/>
    </row>
    <row r="2129" spans="12:19" ht="15.75" customHeight="1" x14ac:dyDescent="0.35">
      <c r="L2129" s="2"/>
      <c r="M2129" s="2"/>
      <c r="N2129" s="650"/>
      <c r="O2129" s="650"/>
      <c r="P2129" s="651"/>
      <c r="Q2129" s="651"/>
      <c r="R2129" s="651"/>
      <c r="S2129" s="651"/>
    </row>
    <row r="2130" spans="12:19" ht="15.75" customHeight="1" x14ac:dyDescent="0.35">
      <c r="L2130" s="2"/>
      <c r="M2130" s="2"/>
      <c r="N2130" s="650"/>
      <c r="O2130" s="650"/>
      <c r="P2130" s="651"/>
      <c r="Q2130" s="651"/>
      <c r="R2130" s="651"/>
      <c r="S2130" s="651"/>
    </row>
    <row r="2131" spans="12:19" ht="15.75" customHeight="1" x14ac:dyDescent="0.35">
      <c r="L2131" s="2"/>
      <c r="M2131" s="2"/>
      <c r="N2131" s="650"/>
      <c r="O2131" s="650"/>
      <c r="P2131" s="651"/>
      <c r="Q2131" s="651"/>
      <c r="R2131" s="651"/>
      <c r="S2131" s="651"/>
    </row>
    <row r="2132" spans="12:19" ht="15.75" customHeight="1" x14ac:dyDescent="0.35">
      <c r="L2132" s="2"/>
      <c r="M2132" s="2"/>
      <c r="N2132" s="650"/>
      <c r="O2132" s="650"/>
      <c r="P2132" s="651"/>
      <c r="Q2132" s="651"/>
      <c r="R2132" s="651"/>
      <c r="S2132" s="651"/>
    </row>
    <row r="2133" spans="12:19" ht="15.75" customHeight="1" x14ac:dyDescent="0.35">
      <c r="L2133" s="2"/>
      <c r="M2133" s="2"/>
      <c r="N2133" s="650"/>
      <c r="O2133" s="650"/>
      <c r="P2133" s="651"/>
      <c r="Q2133" s="651"/>
      <c r="R2133" s="651"/>
      <c r="S2133" s="651"/>
    </row>
    <row r="2134" spans="12:19" ht="15.75" customHeight="1" x14ac:dyDescent="0.35">
      <c r="L2134" s="2"/>
      <c r="M2134" s="2"/>
      <c r="N2134" s="650"/>
      <c r="O2134" s="650"/>
      <c r="P2134" s="651"/>
      <c r="Q2134" s="651"/>
      <c r="R2134" s="651"/>
      <c r="S2134" s="651"/>
    </row>
    <row r="2135" spans="12:19" ht="15.75" customHeight="1" x14ac:dyDescent="0.35">
      <c r="L2135" s="2"/>
      <c r="M2135" s="2"/>
      <c r="N2135" s="650"/>
      <c r="O2135" s="650"/>
      <c r="P2135" s="651"/>
      <c r="Q2135" s="651"/>
      <c r="R2135" s="651"/>
      <c r="S2135" s="651"/>
    </row>
    <row r="2136" spans="12:19" ht="15.75" customHeight="1" x14ac:dyDescent="0.35">
      <c r="L2136" s="2"/>
      <c r="M2136" s="2"/>
      <c r="N2136" s="650"/>
      <c r="O2136" s="650"/>
      <c r="P2136" s="651"/>
      <c r="Q2136" s="651"/>
      <c r="R2136" s="651"/>
      <c r="S2136" s="651"/>
    </row>
    <row r="2137" spans="12:19" ht="15.75" customHeight="1" x14ac:dyDescent="0.35">
      <c r="L2137" s="2"/>
      <c r="M2137" s="2"/>
      <c r="N2137" s="650"/>
      <c r="O2137" s="650"/>
      <c r="P2137" s="651"/>
      <c r="Q2137" s="651"/>
      <c r="R2137" s="651"/>
      <c r="S2137" s="651"/>
    </row>
    <row r="2138" spans="12:19" ht="15.75" customHeight="1" x14ac:dyDescent="0.35">
      <c r="L2138" s="2"/>
      <c r="M2138" s="2"/>
      <c r="N2138" s="650"/>
      <c r="O2138" s="650"/>
      <c r="P2138" s="651"/>
      <c r="Q2138" s="651"/>
      <c r="R2138" s="651"/>
      <c r="S2138" s="651"/>
    </row>
    <row r="2139" spans="12:19" ht="15.75" customHeight="1" x14ac:dyDescent="0.35">
      <c r="L2139" s="2"/>
      <c r="M2139" s="2"/>
      <c r="N2139" s="650"/>
      <c r="O2139" s="650"/>
      <c r="P2139" s="651"/>
      <c r="Q2139" s="651"/>
      <c r="R2139" s="651"/>
      <c r="S2139" s="651"/>
    </row>
    <row r="2140" spans="12:19" ht="15.75" customHeight="1" x14ac:dyDescent="0.35">
      <c r="L2140" s="2"/>
      <c r="M2140" s="2"/>
      <c r="N2140" s="650"/>
      <c r="O2140" s="650"/>
      <c r="P2140" s="651"/>
      <c r="Q2140" s="651"/>
      <c r="R2140" s="651"/>
      <c r="S2140" s="651"/>
    </row>
    <row r="2141" spans="12:19" ht="15.75" customHeight="1" x14ac:dyDescent="0.35">
      <c r="L2141" s="2"/>
      <c r="M2141" s="2"/>
      <c r="N2141" s="650"/>
      <c r="O2141" s="650"/>
      <c r="P2141" s="651"/>
      <c r="Q2141" s="651"/>
      <c r="R2141" s="651"/>
      <c r="S2141" s="651"/>
    </row>
    <row r="2142" spans="12:19" ht="15.75" customHeight="1" x14ac:dyDescent="0.35">
      <c r="L2142" s="2"/>
      <c r="M2142" s="2"/>
      <c r="N2142" s="650"/>
      <c r="O2142" s="650"/>
      <c r="P2142" s="651"/>
      <c r="Q2142" s="651"/>
      <c r="R2142" s="651"/>
      <c r="S2142" s="651"/>
    </row>
    <row r="2143" spans="12:19" ht="15.75" customHeight="1" x14ac:dyDescent="0.35">
      <c r="L2143" s="2"/>
      <c r="M2143" s="2"/>
      <c r="N2143" s="650"/>
      <c r="O2143" s="650"/>
      <c r="P2143" s="651"/>
      <c r="Q2143" s="651"/>
      <c r="R2143" s="651"/>
      <c r="S2143" s="651"/>
    </row>
    <row r="2144" spans="12:19" ht="15.75" customHeight="1" x14ac:dyDescent="0.35">
      <c r="L2144" s="2"/>
      <c r="M2144" s="2"/>
      <c r="N2144" s="650"/>
      <c r="O2144" s="650"/>
      <c r="P2144" s="651"/>
      <c r="Q2144" s="651"/>
      <c r="R2144" s="651"/>
      <c r="S2144" s="651"/>
    </row>
    <row r="2145" spans="12:19" ht="15.75" customHeight="1" x14ac:dyDescent="0.35">
      <c r="L2145" s="2"/>
      <c r="M2145" s="2"/>
      <c r="N2145" s="650"/>
      <c r="O2145" s="650"/>
      <c r="P2145" s="651"/>
      <c r="Q2145" s="651"/>
      <c r="R2145" s="651"/>
      <c r="S2145" s="651"/>
    </row>
    <row r="2146" spans="12:19" ht="15.75" customHeight="1" x14ac:dyDescent="0.35">
      <c r="L2146" s="2"/>
      <c r="M2146" s="2"/>
      <c r="N2146" s="650"/>
      <c r="O2146" s="650"/>
      <c r="P2146" s="651"/>
      <c r="Q2146" s="651"/>
      <c r="R2146" s="651"/>
      <c r="S2146" s="651"/>
    </row>
    <row r="2147" spans="12:19" ht="15.75" customHeight="1" x14ac:dyDescent="0.35">
      <c r="L2147" s="2"/>
      <c r="M2147" s="2"/>
      <c r="N2147" s="650"/>
      <c r="O2147" s="650"/>
      <c r="P2147" s="651"/>
      <c r="Q2147" s="651"/>
      <c r="R2147" s="651"/>
      <c r="S2147" s="651"/>
    </row>
    <row r="2148" spans="12:19" ht="15.75" customHeight="1" x14ac:dyDescent="0.35">
      <c r="L2148" s="2"/>
      <c r="M2148" s="2"/>
      <c r="N2148" s="650"/>
      <c r="O2148" s="650"/>
      <c r="P2148" s="651"/>
      <c r="Q2148" s="651"/>
      <c r="R2148" s="651"/>
      <c r="S2148" s="651"/>
    </row>
    <row r="2149" spans="12:19" ht="15.75" customHeight="1" x14ac:dyDescent="0.35">
      <c r="L2149" s="2"/>
      <c r="M2149" s="2"/>
      <c r="N2149" s="650"/>
      <c r="O2149" s="650"/>
      <c r="P2149" s="651"/>
      <c r="Q2149" s="651"/>
      <c r="R2149" s="651"/>
      <c r="S2149" s="651"/>
    </row>
    <row r="2150" spans="12:19" ht="15.75" customHeight="1" x14ac:dyDescent="0.35">
      <c r="L2150" s="2"/>
      <c r="M2150" s="2"/>
      <c r="N2150" s="650"/>
      <c r="O2150" s="650"/>
      <c r="P2150" s="651"/>
      <c r="Q2150" s="651"/>
      <c r="R2150" s="651"/>
      <c r="S2150" s="651"/>
    </row>
    <row r="2151" spans="12:19" ht="15.75" customHeight="1" x14ac:dyDescent="0.35">
      <c r="L2151" s="2"/>
      <c r="M2151" s="2"/>
      <c r="N2151" s="650"/>
      <c r="O2151" s="650"/>
      <c r="P2151" s="651"/>
      <c r="Q2151" s="651"/>
      <c r="R2151" s="651"/>
      <c r="S2151" s="651"/>
    </row>
    <row r="2152" spans="12:19" ht="15.75" customHeight="1" x14ac:dyDescent="0.35">
      <c r="L2152" s="2"/>
      <c r="M2152" s="2"/>
      <c r="N2152" s="650"/>
      <c r="O2152" s="650"/>
      <c r="P2152" s="651"/>
      <c r="Q2152" s="651"/>
      <c r="R2152" s="651"/>
      <c r="S2152" s="651"/>
    </row>
    <row r="2153" spans="12:19" ht="15.75" customHeight="1" x14ac:dyDescent="0.35">
      <c r="L2153" s="2"/>
      <c r="M2153" s="2"/>
      <c r="N2153" s="650"/>
      <c r="O2153" s="650"/>
      <c r="P2153" s="651"/>
      <c r="Q2153" s="651"/>
      <c r="R2153" s="651"/>
      <c r="S2153" s="651"/>
    </row>
    <row r="2154" spans="12:19" ht="15.75" customHeight="1" x14ac:dyDescent="0.35">
      <c r="L2154" s="2"/>
      <c r="M2154" s="2"/>
      <c r="N2154" s="650"/>
      <c r="O2154" s="650"/>
      <c r="P2154" s="651"/>
      <c r="Q2154" s="651"/>
      <c r="R2154" s="651"/>
      <c r="S2154" s="651"/>
    </row>
    <row r="2155" spans="12:19" ht="15.75" customHeight="1" x14ac:dyDescent="0.35">
      <c r="L2155" s="2"/>
      <c r="M2155" s="2"/>
      <c r="N2155" s="650"/>
      <c r="O2155" s="650"/>
      <c r="P2155" s="651"/>
      <c r="Q2155" s="651"/>
      <c r="R2155" s="651"/>
      <c r="S2155" s="651"/>
    </row>
    <row r="2156" spans="12:19" ht="15.75" customHeight="1" x14ac:dyDescent="0.35">
      <c r="L2156" s="2"/>
      <c r="M2156" s="2"/>
      <c r="N2156" s="650"/>
      <c r="O2156" s="650"/>
      <c r="P2156" s="651"/>
      <c r="Q2156" s="651"/>
      <c r="R2156" s="651"/>
      <c r="S2156" s="651"/>
    </row>
    <row r="2157" spans="12:19" ht="15.75" customHeight="1" x14ac:dyDescent="0.35">
      <c r="L2157" s="2"/>
      <c r="M2157" s="2"/>
      <c r="N2157" s="650"/>
      <c r="O2157" s="650"/>
      <c r="P2157" s="651"/>
      <c r="Q2157" s="651"/>
      <c r="R2157" s="651"/>
      <c r="S2157" s="651"/>
    </row>
    <row r="2158" spans="12:19" ht="15.75" customHeight="1" x14ac:dyDescent="0.35">
      <c r="L2158" s="2"/>
      <c r="M2158" s="2"/>
      <c r="N2158" s="650"/>
      <c r="O2158" s="650"/>
      <c r="P2158" s="651"/>
      <c r="Q2158" s="651"/>
      <c r="R2158" s="651"/>
      <c r="S2158" s="651"/>
    </row>
    <row r="2159" spans="12:19" ht="15.75" customHeight="1" x14ac:dyDescent="0.35">
      <c r="L2159" s="2"/>
      <c r="M2159" s="2"/>
      <c r="N2159" s="650"/>
      <c r="O2159" s="650"/>
      <c r="P2159" s="651"/>
      <c r="Q2159" s="651"/>
      <c r="R2159" s="651"/>
      <c r="S2159" s="651"/>
    </row>
    <row r="2160" spans="12:19" ht="15.75" customHeight="1" x14ac:dyDescent="0.35">
      <c r="L2160" s="2"/>
      <c r="M2160" s="2"/>
      <c r="N2160" s="650"/>
      <c r="O2160" s="650"/>
      <c r="P2160" s="651"/>
      <c r="Q2160" s="651"/>
      <c r="R2160" s="651"/>
      <c r="S2160" s="651"/>
    </row>
    <row r="2161" spans="12:19" ht="15.75" customHeight="1" x14ac:dyDescent="0.35">
      <c r="L2161" s="2"/>
      <c r="M2161" s="2"/>
      <c r="N2161" s="650"/>
      <c r="O2161" s="650"/>
      <c r="P2161" s="651"/>
      <c r="Q2161" s="651"/>
      <c r="R2161" s="651"/>
      <c r="S2161" s="651"/>
    </row>
    <row r="2162" spans="12:19" ht="15.75" customHeight="1" x14ac:dyDescent="0.35">
      <c r="L2162" s="2"/>
      <c r="M2162" s="2"/>
      <c r="N2162" s="650"/>
      <c r="O2162" s="650"/>
      <c r="P2162" s="651"/>
      <c r="Q2162" s="651"/>
      <c r="R2162" s="651"/>
      <c r="S2162" s="651"/>
    </row>
    <row r="2163" spans="12:19" ht="15.75" customHeight="1" x14ac:dyDescent="0.35">
      <c r="L2163" s="2"/>
      <c r="M2163" s="2"/>
      <c r="N2163" s="650"/>
      <c r="O2163" s="650"/>
      <c r="P2163" s="651"/>
      <c r="Q2163" s="651"/>
      <c r="R2163" s="651"/>
      <c r="S2163" s="651"/>
    </row>
    <row r="2164" spans="12:19" ht="15.75" customHeight="1" x14ac:dyDescent="0.35">
      <c r="L2164" s="2"/>
      <c r="M2164" s="2"/>
      <c r="N2164" s="650"/>
      <c r="O2164" s="650"/>
      <c r="P2164" s="651"/>
      <c r="Q2164" s="651"/>
      <c r="R2164" s="651"/>
      <c r="S2164" s="651"/>
    </row>
    <row r="2165" spans="12:19" ht="15.75" customHeight="1" x14ac:dyDescent="0.35">
      <c r="L2165" s="2"/>
      <c r="M2165" s="2"/>
      <c r="N2165" s="650"/>
      <c r="O2165" s="650"/>
      <c r="P2165" s="651"/>
      <c r="Q2165" s="651"/>
      <c r="R2165" s="651"/>
      <c r="S2165" s="651"/>
    </row>
    <row r="2166" spans="12:19" ht="15.75" customHeight="1" x14ac:dyDescent="0.35">
      <c r="L2166" s="2"/>
      <c r="M2166" s="2"/>
      <c r="N2166" s="650"/>
      <c r="O2166" s="650"/>
      <c r="P2166" s="651"/>
      <c r="Q2166" s="651"/>
      <c r="R2166" s="651"/>
      <c r="S2166" s="651"/>
    </row>
    <row r="2167" spans="12:19" ht="15.75" customHeight="1" x14ac:dyDescent="0.35">
      <c r="L2167" s="2"/>
      <c r="M2167" s="2"/>
      <c r="N2167" s="650"/>
      <c r="O2167" s="650"/>
      <c r="P2167" s="651"/>
      <c r="Q2167" s="651"/>
      <c r="R2167" s="651"/>
      <c r="S2167" s="651"/>
    </row>
    <row r="2168" spans="12:19" ht="15.75" customHeight="1" x14ac:dyDescent="0.35">
      <c r="L2168" s="2"/>
      <c r="M2168" s="2"/>
      <c r="N2168" s="650"/>
      <c r="O2168" s="650"/>
      <c r="P2168" s="651"/>
      <c r="Q2168" s="651"/>
      <c r="R2168" s="651"/>
      <c r="S2168" s="651"/>
    </row>
    <row r="2169" spans="12:19" ht="15.75" customHeight="1" x14ac:dyDescent="0.35">
      <c r="L2169" s="2"/>
      <c r="M2169" s="2"/>
      <c r="N2169" s="650"/>
      <c r="O2169" s="650"/>
      <c r="P2169" s="651"/>
      <c r="Q2169" s="651"/>
      <c r="R2169" s="651"/>
      <c r="S2169" s="651"/>
    </row>
    <row r="2170" spans="12:19" ht="15.75" customHeight="1" x14ac:dyDescent="0.35">
      <c r="L2170" s="2"/>
      <c r="M2170" s="2"/>
      <c r="N2170" s="650"/>
      <c r="O2170" s="650"/>
      <c r="P2170" s="651"/>
      <c r="Q2170" s="651"/>
      <c r="R2170" s="651"/>
      <c r="S2170" s="651"/>
    </row>
    <row r="2171" spans="12:19" ht="15.75" customHeight="1" x14ac:dyDescent="0.35">
      <c r="L2171" s="2"/>
      <c r="M2171" s="2"/>
      <c r="N2171" s="650"/>
      <c r="O2171" s="650"/>
      <c r="P2171" s="651"/>
      <c r="Q2171" s="651"/>
      <c r="R2171" s="651"/>
      <c r="S2171" s="651"/>
    </row>
    <row r="2172" spans="12:19" ht="15.75" customHeight="1" x14ac:dyDescent="0.35">
      <c r="L2172" s="2"/>
      <c r="M2172" s="2"/>
      <c r="N2172" s="650"/>
      <c r="O2172" s="650"/>
      <c r="P2172" s="651"/>
      <c r="Q2172" s="651"/>
      <c r="R2172" s="651"/>
      <c r="S2172" s="651"/>
    </row>
    <row r="2173" spans="12:19" ht="15.75" customHeight="1" x14ac:dyDescent="0.35">
      <c r="L2173" s="2"/>
      <c r="M2173" s="2"/>
      <c r="N2173" s="650"/>
      <c r="O2173" s="650"/>
      <c r="P2173" s="651"/>
      <c r="Q2173" s="651"/>
      <c r="R2173" s="651"/>
      <c r="S2173" s="651"/>
    </row>
    <row r="2174" spans="12:19" ht="15.75" customHeight="1" x14ac:dyDescent="0.35">
      <c r="L2174" s="2"/>
      <c r="M2174" s="2"/>
      <c r="N2174" s="650"/>
      <c r="O2174" s="650"/>
      <c r="P2174" s="651"/>
      <c r="Q2174" s="651"/>
      <c r="R2174" s="651"/>
      <c r="S2174" s="651"/>
    </row>
    <row r="2175" spans="12:19" ht="15.75" customHeight="1" x14ac:dyDescent="0.35">
      <c r="L2175" s="2"/>
      <c r="M2175" s="2"/>
      <c r="N2175" s="650"/>
      <c r="O2175" s="650"/>
      <c r="P2175" s="651"/>
      <c r="Q2175" s="651"/>
      <c r="R2175" s="651"/>
      <c r="S2175" s="651"/>
    </row>
    <row r="2176" spans="12:19" ht="15.75" customHeight="1" x14ac:dyDescent="0.35">
      <c r="L2176" s="2"/>
      <c r="M2176" s="2"/>
      <c r="N2176" s="650"/>
      <c r="O2176" s="650"/>
      <c r="P2176" s="651"/>
      <c r="Q2176" s="651"/>
      <c r="R2176" s="651"/>
      <c r="S2176" s="651"/>
    </row>
    <row r="2177" spans="12:19" ht="15.75" customHeight="1" x14ac:dyDescent="0.35">
      <c r="L2177" s="2"/>
      <c r="M2177" s="2"/>
      <c r="N2177" s="650"/>
      <c r="O2177" s="650"/>
      <c r="P2177" s="651"/>
      <c r="Q2177" s="651"/>
      <c r="R2177" s="651"/>
      <c r="S2177" s="651"/>
    </row>
    <row r="2178" spans="12:19" ht="15.75" customHeight="1" x14ac:dyDescent="0.35">
      <c r="L2178" s="2"/>
      <c r="M2178" s="2"/>
      <c r="N2178" s="650"/>
      <c r="O2178" s="650"/>
      <c r="P2178" s="651"/>
      <c r="Q2178" s="651"/>
      <c r="R2178" s="651"/>
      <c r="S2178" s="651"/>
    </row>
    <row r="2179" spans="12:19" ht="15.75" customHeight="1" x14ac:dyDescent="0.35">
      <c r="L2179" s="2"/>
      <c r="M2179" s="2"/>
      <c r="N2179" s="650"/>
      <c r="O2179" s="650"/>
      <c r="P2179" s="651"/>
      <c r="Q2179" s="651"/>
      <c r="R2179" s="651"/>
      <c r="S2179" s="651"/>
    </row>
    <row r="2180" spans="12:19" ht="15.75" customHeight="1" x14ac:dyDescent="0.35">
      <c r="L2180" s="2"/>
      <c r="M2180" s="2"/>
      <c r="N2180" s="650"/>
      <c r="O2180" s="650"/>
      <c r="P2180" s="651"/>
      <c r="Q2180" s="651"/>
      <c r="R2180" s="651"/>
      <c r="S2180" s="651"/>
    </row>
    <row r="2181" spans="12:19" ht="15.75" customHeight="1" x14ac:dyDescent="0.35">
      <c r="L2181" s="2"/>
      <c r="M2181" s="2"/>
      <c r="N2181" s="650"/>
      <c r="O2181" s="650"/>
      <c r="P2181" s="651"/>
      <c r="Q2181" s="651"/>
      <c r="R2181" s="651"/>
      <c r="S2181" s="651"/>
    </row>
    <row r="2182" spans="12:19" ht="15.75" customHeight="1" x14ac:dyDescent="0.35">
      <c r="L2182" s="2"/>
      <c r="M2182" s="2"/>
      <c r="N2182" s="650"/>
      <c r="O2182" s="650"/>
      <c r="P2182" s="651"/>
      <c r="Q2182" s="651"/>
      <c r="R2182" s="651"/>
      <c r="S2182" s="651"/>
    </row>
    <row r="2183" spans="12:19" ht="15.75" customHeight="1" x14ac:dyDescent="0.35">
      <c r="L2183" s="2"/>
      <c r="M2183" s="2"/>
      <c r="N2183" s="650"/>
      <c r="O2183" s="650"/>
      <c r="P2183" s="651"/>
      <c r="Q2183" s="651"/>
      <c r="R2183" s="651"/>
      <c r="S2183" s="651"/>
    </row>
    <row r="2184" spans="12:19" ht="15.75" customHeight="1" x14ac:dyDescent="0.35">
      <c r="L2184" s="2"/>
      <c r="M2184" s="2"/>
      <c r="N2184" s="650"/>
      <c r="O2184" s="650"/>
      <c r="P2184" s="651"/>
      <c r="Q2184" s="651"/>
      <c r="R2184" s="651"/>
      <c r="S2184" s="651"/>
    </row>
    <row r="2185" spans="12:19" ht="15.75" customHeight="1" x14ac:dyDescent="0.35">
      <c r="L2185" s="2"/>
      <c r="M2185" s="2"/>
      <c r="N2185" s="650"/>
      <c r="O2185" s="650"/>
      <c r="P2185" s="651"/>
      <c r="Q2185" s="651"/>
      <c r="R2185" s="651"/>
      <c r="S2185" s="651"/>
    </row>
    <row r="2186" spans="12:19" ht="15.75" customHeight="1" x14ac:dyDescent="0.35">
      <c r="L2186" s="2"/>
      <c r="M2186" s="2"/>
      <c r="N2186" s="650"/>
      <c r="O2186" s="650"/>
      <c r="P2186" s="651"/>
      <c r="Q2186" s="651"/>
      <c r="R2186" s="651"/>
      <c r="S2186" s="651"/>
    </row>
    <row r="2187" spans="12:19" ht="15.75" customHeight="1" x14ac:dyDescent="0.35">
      <c r="L2187" s="2"/>
      <c r="M2187" s="2"/>
      <c r="N2187" s="650"/>
      <c r="O2187" s="650"/>
      <c r="P2187" s="651"/>
      <c r="Q2187" s="651"/>
      <c r="R2187" s="651"/>
      <c r="S2187" s="651"/>
    </row>
    <row r="2188" spans="12:19" ht="15.75" customHeight="1" x14ac:dyDescent="0.35">
      <c r="L2188" s="2"/>
      <c r="M2188" s="2"/>
      <c r="N2188" s="650"/>
      <c r="O2188" s="650"/>
      <c r="P2188" s="651"/>
      <c r="Q2188" s="651"/>
      <c r="R2188" s="651"/>
      <c r="S2188" s="651"/>
    </row>
    <row r="2189" spans="12:19" ht="15.75" customHeight="1" x14ac:dyDescent="0.35">
      <c r="L2189" s="2"/>
      <c r="M2189" s="2"/>
      <c r="N2189" s="650"/>
      <c r="O2189" s="650"/>
      <c r="P2189" s="651"/>
      <c r="Q2189" s="651"/>
      <c r="R2189" s="651"/>
      <c r="S2189" s="651"/>
    </row>
    <row r="2190" spans="12:19" ht="15.75" customHeight="1" x14ac:dyDescent="0.35">
      <c r="L2190" s="2"/>
      <c r="M2190" s="2"/>
      <c r="N2190" s="650"/>
      <c r="O2190" s="650"/>
      <c r="P2190" s="651"/>
      <c r="Q2190" s="651"/>
      <c r="R2190" s="651"/>
      <c r="S2190" s="651"/>
    </row>
    <row r="2191" spans="12:19" ht="15.75" customHeight="1" x14ac:dyDescent="0.35">
      <c r="L2191" s="2"/>
      <c r="M2191" s="2"/>
      <c r="N2191" s="650"/>
      <c r="O2191" s="650"/>
      <c r="P2191" s="651"/>
      <c r="Q2191" s="651"/>
      <c r="R2191" s="651"/>
      <c r="S2191" s="651"/>
    </row>
    <row r="2192" spans="12:19" ht="15.75" customHeight="1" x14ac:dyDescent="0.35">
      <c r="L2192" s="2"/>
      <c r="M2192" s="2"/>
      <c r="N2192" s="650"/>
      <c r="O2192" s="650"/>
      <c r="P2192" s="651"/>
      <c r="Q2192" s="651"/>
      <c r="R2192" s="651"/>
      <c r="S2192" s="651"/>
    </row>
    <row r="2193" spans="12:19" ht="15.75" customHeight="1" x14ac:dyDescent="0.35">
      <c r="L2193" s="2"/>
      <c r="M2193" s="2"/>
      <c r="N2193" s="650"/>
      <c r="O2193" s="650"/>
      <c r="P2193" s="651"/>
      <c r="Q2193" s="651"/>
      <c r="R2193" s="651"/>
      <c r="S2193" s="651"/>
    </row>
    <row r="2194" spans="12:19" ht="15.75" customHeight="1" x14ac:dyDescent="0.35">
      <c r="L2194" s="2"/>
      <c r="M2194" s="2"/>
      <c r="N2194" s="650"/>
      <c r="O2194" s="650"/>
      <c r="P2194" s="651"/>
      <c r="Q2194" s="651"/>
      <c r="R2194" s="651"/>
      <c r="S2194" s="651"/>
    </row>
    <row r="2195" spans="12:19" ht="15.75" customHeight="1" x14ac:dyDescent="0.35">
      <c r="L2195" s="2"/>
      <c r="M2195" s="2"/>
      <c r="N2195" s="650"/>
      <c r="O2195" s="650"/>
      <c r="P2195" s="651"/>
      <c r="Q2195" s="651"/>
      <c r="R2195" s="651"/>
      <c r="S2195" s="651"/>
    </row>
    <row r="2196" spans="12:19" ht="15.75" customHeight="1" x14ac:dyDescent="0.35">
      <c r="L2196" s="2"/>
      <c r="M2196" s="2"/>
      <c r="N2196" s="650"/>
      <c r="O2196" s="650"/>
      <c r="P2196" s="651"/>
      <c r="Q2196" s="651"/>
      <c r="R2196" s="651"/>
      <c r="S2196" s="651"/>
    </row>
    <row r="2197" spans="12:19" ht="15.75" customHeight="1" x14ac:dyDescent="0.35">
      <c r="L2197" s="2"/>
      <c r="M2197" s="2"/>
      <c r="N2197" s="650"/>
      <c r="O2197" s="650"/>
      <c r="P2197" s="651"/>
      <c r="Q2197" s="651"/>
      <c r="R2197" s="651"/>
      <c r="S2197" s="651"/>
    </row>
    <row r="2198" spans="12:19" ht="15.75" customHeight="1" x14ac:dyDescent="0.35">
      <c r="L2198" s="2"/>
      <c r="M2198" s="2"/>
      <c r="N2198" s="650"/>
      <c r="O2198" s="650"/>
      <c r="P2198" s="651"/>
      <c r="Q2198" s="651"/>
      <c r="R2198" s="651"/>
      <c r="S2198" s="651"/>
    </row>
    <row r="2199" spans="12:19" ht="15.75" customHeight="1" x14ac:dyDescent="0.35">
      <c r="L2199" s="2"/>
      <c r="M2199" s="2"/>
      <c r="N2199" s="650"/>
      <c r="O2199" s="650"/>
      <c r="P2199" s="651"/>
      <c r="Q2199" s="651"/>
      <c r="R2199" s="651"/>
      <c r="S2199" s="651"/>
    </row>
    <row r="2200" spans="12:19" ht="15.75" customHeight="1" x14ac:dyDescent="0.35">
      <c r="L2200" s="2"/>
      <c r="M2200" s="2"/>
      <c r="N2200" s="650"/>
      <c r="O2200" s="650"/>
      <c r="P2200" s="651"/>
      <c r="Q2200" s="651"/>
      <c r="R2200" s="651"/>
      <c r="S2200" s="651"/>
    </row>
    <row r="2201" spans="12:19" ht="15.75" customHeight="1" x14ac:dyDescent="0.35">
      <c r="L2201" s="2"/>
      <c r="M2201" s="2"/>
      <c r="N2201" s="650"/>
      <c r="O2201" s="650"/>
      <c r="P2201" s="651"/>
      <c r="Q2201" s="651"/>
      <c r="R2201" s="651"/>
      <c r="S2201" s="651"/>
    </row>
    <row r="2202" spans="12:19" ht="15.75" customHeight="1" x14ac:dyDescent="0.35">
      <c r="L2202" s="2"/>
      <c r="M2202" s="2"/>
      <c r="N2202" s="650"/>
      <c r="O2202" s="650"/>
      <c r="P2202" s="651"/>
      <c r="Q2202" s="651"/>
      <c r="R2202" s="651"/>
      <c r="S2202" s="651"/>
    </row>
    <row r="2203" spans="12:19" ht="15.75" customHeight="1" x14ac:dyDescent="0.35">
      <c r="L2203" s="2"/>
      <c r="M2203" s="2"/>
      <c r="N2203" s="650"/>
      <c r="O2203" s="650"/>
      <c r="P2203" s="651"/>
      <c r="Q2203" s="651"/>
      <c r="R2203" s="651"/>
      <c r="S2203" s="651"/>
    </row>
    <row r="2204" spans="12:19" ht="15.75" customHeight="1" x14ac:dyDescent="0.35">
      <c r="L2204" s="2"/>
      <c r="M2204" s="2"/>
      <c r="N2204" s="650"/>
      <c r="O2204" s="650"/>
      <c r="P2204" s="651"/>
      <c r="Q2204" s="651"/>
      <c r="R2204" s="651"/>
      <c r="S2204" s="651"/>
    </row>
    <row r="2205" spans="12:19" ht="15.75" customHeight="1" x14ac:dyDescent="0.35">
      <c r="L2205" s="2"/>
      <c r="M2205" s="2"/>
      <c r="N2205" s="650"/>
      <c r="O2205" s="650"/>
      <c r="P2205" s="651"/>
      <c r="Q2205" s="651"/>
      <c r="R2205" s="651"/>
      <c r="S2205" s="651"/>
    </row>
    <row r="2206" spans="12:19" ht="15.75" customHeight="1" x14ac:dyDescent="0.35">
      <c r="L2206" s="2"/>
      <c r="M2206" s="2"/>
      <c r="N2206" s="650"/>
      <c r="O2206" s="650"/>
      <c r="P2206" s="651"/>
      <c r="Q2206" s="651"/>
      <c r="R2206" s="651"/>
      <c r="S2206" s="651"/>
    </row>
    <row r="2207" spans="12:19" ht="15.75" customHeight="1" x14ac:dyDescent="0.35">
      <c r="L2207" s="2"/>
      <c r="M2207" s="2"/>
      <c r="N2207" s="650"/>
      <c r="O2207" s="650"/>
      <c r="P2207" s="651"/>
      <c r="Q2207" s="651"/>
      <c r="R2207" s="651"/>
      <c r="S2207" s="651"/>
    </row>
    <row r="2208" spans="12:19" ht="15.75" customHeight="1" x14ac:dyDescent="0.35">
      <c r="L2208" s="2"/>
      <c r="M2208" s="2"/>
      <c r="N2208" s="650"/>
      <c r="O2208" s="650"/>
      <c r="P2208" s="651"/>
      <c r="Q2208" s="651"/>
      <c r="R2208" s="651"/>
      <c r="S2208" s="651"/>
    </row>
    <row r="2209" spans="12:19" ht="15.75" customHeight="1" x14ac:dyDescent="0.35">
      <c r="L2209" s="2"/>
      <c r="M2209" s="2"/>
      <c r="N2209" s="650"/>
      <c r="O2209" s="650"/>
      <c r="P2209" s="651"/>
      <c r="Q2209" s="651"/>
      <c r="R2209" s="651"/>
      <c r="S2209" s="651"/>
    </row>
    <row r="2210" spans="12:19" ht="15.75" customHeight="1" x14ac:dyDescent="0.35">
      <c r="L2210" s="2"/>
      <c r="M2210" s="2"/>
      <c r="N2210" s="650"/>
      <c r="O2210" s="650"/>
      <c r="P2210" s="651"/>
      <c r="Q2210" s="651"/>
      <c r="R2210" s="651"/>
      <c r="S2210" s="651"/>
    </row>
    <row r="2211" spans="12:19" ht="15.75" customHeight="1" x14ac:dyDescent="0.35">
      <c r="L2211" s="2"/>
      <c r="M2211" s="2"/>
      <c r="N2211" s="650"/>
      <c r="O2211" s="650"/>
      <c r="P2211" s="651"/>
      <c r="Q2211" s="651"/>
      <c r="R2211" s="651"/>
      <c r="S2211" s="651"/>
    </row>
    <row r="2212" spans="12:19" ht="15.75" customHeight="1" x14ac:dyDescent="0.35">
      <c r="L2212" s="2"/>
      <c r="M2212" s="2"/>
      <c r="N2212" s="650"/>
      <c r="O2212" s="650"/>
      <c r="P2212" s="651"/>
      <c r="Q2212" s="651"/>
      <c r="R2212" s="651"/>
      <c r="S2212" s="651"/>
    </row>
    <row r="2213" spans="12:19" ht="15.75" customHeight="1" x14ac:dyDescent="0.35">
      <c r="L2213" s="2"/>
      <c r="M2213" s="2"/>
      <c r="N2213" s="650"/>
      <c r="O2213" s="650"/>
      <c r="P2213" s="651"/>
      <c r="Q2213" s="651"/>
      <c r="R2213" s="651"/>
      <c r="S2213" s="651"/>
    </row>
    <row r="2214" spans="12:19" ht="15.75" customHeight="1" x14ac:dyDescent="0.35">
      <c r="L2214" s="2"/>
      <c r="M2214" s="2"/>
      <c r="N2214" s="650"/>
      <c r="O2214" s="650"/>
      <c r="P2214" s="651"/>
      <c r="Q2214" s="651"/>
      <c r="R2214" s="651"/>
      <c r="S2214" s="651"/>
    </row>
    <row r="2215" spans="12:19" ht="15.75" customHeight="1" x14ac:dyDescent="0.35">
      <c r="L2215" s="2"/>
      <c r="M2215" s="2"/>
      <c r="N2215" s="650"/>
      <c r="O2215" s="650"/>
      <c r="P2215" s="651"/>
      <c r="Q2215" s="651"/>
      <c r="R2215" s="651"/>
      <c r="S2215" s="651"/>
    </row>
    <row r="2216" spans="12:19" ht="15.75" customHeight="1" x14ac:dyDescent="0.35">
      <c r="L2216" s="2"/>
      <c r="M2216" s="2"/>
      <c r="N2216" s="650"/>
      <c r="O2216" s="650"/>
      <c r="P2216" s="651"/>
      <c r="Q2216" s="651"/>
      <c r="R2216" s="651"/>
      <c r="S2216" s="651"/>
    </row>
    <row r="2217" spans="12:19" ht="15.75" customHeight="1" x14ac:dyDescent="0.35">
      <c r="L2217" s="2"/>
      <c r="M2217" s="2"/>
      <c r="N2217" s="650"/>
      <c r="O2217" s="650"/>
      <c r="P2217" s="651"/>
      <c r="Q2217" s="651"/>
      <c r="R2217" s="651"/>
      <c r="S2217" s="651"/>
    </row>
    <row r="2218" spans="12:19" ht="15.75" customHeight="1" x14ac:dyDescent="0.35">
      <c r="L2218" s="2"/>
      <c r="M2218" s="2"/>
      <c r="N2218" s="650"/>
      <c r="O2218" s="650"/>
      <c r="P2218" s="651"/>
      <c r="Q2218" s="651"/>
      <c r="R2218" s="651"/>
      <c r="S2218" s="651"/>
    </row>
    <row r="2219" spans="12:19" ht="15.75" customHeight="1" x14ac:dyDescent="0.35">
      <c r="L2219" s="2"/>
      <c r="M2219" s="2"/>
      <c r="N2219" s="650"/>
      <c r="O2219" s="650"/>
      <c r="P2219" s="651"/>
      <c r="Q2219" s="651"/>
      <c r="R2219" s="651"/>
      <c r="S2219" s="651"/>
    </row>
    <row r="2220" spans="12:19" ht="15.75" customHeight="1" x14ac:dyDescent="0.35">
      <c r="L2220" s="2"/>
      <c r="M2220" s="2"/>
      <c r="N2220" s="650"/>
      <c r="O2220" s="650"/>
      <c r="P2220" s="651"/>
      <c r="Q2220" s="651"/>
      <c r="R2220" s="651"/>
      <c r="S2220" s="651"/>
    </row>
    <row r="2221" spans="12:19" ht="15.75" customHeight="1" x14ac:dyDescent="0.35">
      <c r="L2221" s="2"/>
      <c r="M2221" s="2"/>
      <c r="N2221" s="650"/>
      <c r="O2221" s="650"/>
      <c r="P2221" s="651"/>
      <c r="Q2221" s="651"/>
      <c r="R2221" s="651"/>
      <c r="S2221" s="651"/>
    </row>
    <row r="2222" spans="12:19" ht="15.75" customHeight="1" x14ac:dyDescent="0.35">
      <c r="L2222" s="2"/>
      <c r="M2222" s="2"/>
      <c r="N2222" s="650"/>
      <c r="O2222" s="650"/>
      <c r="P2222" s="651"/>
      <c r="Q2222" s="651"/>
      <c r="R2222" s="651"/>
      <c r="S2222" s="651"/>
    </row>
    <row r="2223" spans="12:19" ht="15.75" customHeight="1" x14ac:dyDescent="0.35">
      <c r="L2223" s="2"/>
      <c r="M2223" s="2"/>
      <c r="N2223" s="650"/>
      <c r="O2223" s="650"/>
      <c r="P2223" s="651"/>
      <c r="Q2223" s="651"/>
      <c r="R2223" s="651"/>
      <c r="S2223" s="651"/>
    </row>
    <row r="2224" spans="12:19" ht="15.75" customHeight="1" x14ac:dyDescent="0.35">
      <c r="L2224" s="2"/>
      <c r="M2224" s="2"/>
      <c r="N2224" s="650"/>
      <c r="O2224" s="650"/>
      <c r="P2224" s="651"/>
      <c r="Q2224" s="651"/>
      <c r="R2224" s="651"/>
      <c r="S2224" s="651"/>
    </row>
    <row r="2225" spans="12:19" ht="15.75" customHeight="1" x14ac:dyDescent="0.35">
      <c r="L2225" s="2"/>
      <c r="M2225" s="2"/>
      <c r="N2225" s="650"/>
      <c r="O2225" s="650"/>
      <c r="P2225" s="651"/>
      <c r="Q2225" s="651"/>
      <c r="R2225" s="651"/>
      <c r="S2225" s="651"/>
    </row>
    <row r="2226" spans="12:19" ht="15.75" customHeight="1" x14ac:dyDescent="0.35">
      <c r="L2226" s="2"/>
      <c r="M2226" s="2"/>
      <c r="N2226" s="650"/>
      <c r="O2226" s="650"/>
      <c r="P2226" s="651"/>
      <c r="Q2226" s="651"/>
      <c r="R2226" s="651"/>
      <c r="S2226" s="651"/>
    </row>
    <row r="2227" spans="12:19" ht="15.75" customHeight="1" x14ac:dyDescent="0.35">
      <c r="L2227" s="2"/>
      <c r="M2227" s="2"/>
      <c r="N2227" s="650"/>
      <c r="O2227" s="650"/>
      <c r="P2227" s="651"/>
      <c r="Q2227" s="651"/>
      <c r="R2227" s="651"/>
      <c r="S2227" s="651"/>
    </row>
    <row r="2228" spans="12:19" ht="15.75" customHeight="1" x14ac:dyDescent="0.35">
      <c r="L2228" s="2"/>
      <c r="M2228" s="2"/>
      <c r="N2228" s="650"/>
      <c r="O2228" s="650"/>
      <c r="P2228" s="651"/>
      <c r="Q2228" s="651"/>
      <c r="R2228" s="651"/>
      <c r="S2228" s="651"/>
    </row>
    <row r="2229" spans="12:19" ht="15.75" customHeight="1" x14ac:dyDescent="0.35">
      <c r="L2229" s="2"/>
      <c r="M2229" s="2"/>
      <c r="N2229" s="650"/>
      <c r="O2229" s="650"/>
      <c r="P2229" s="651"/>
      <c r="Q2229" s="651"/>
      <c r="R2229" s="651"/>
      <c r="S2229" s="651"/>
    </row>
    <row r="2230" spans="12:19" ht="15.75" customHeight="1" x14ac:dyDescent="0.35">
      <c r="L2230" s="2"/>
      <c r="M2230" s="2"/>
      <c r="N2230" s="650"/>
      <c r="O2230" s="650"/>
      <c r="P2230" s="651"/>
      <c r="Q2230" s="651"/>
      <c r="R2230" s="651"/>
      <c r="S2230" s="651"/>
    </row>
    <row r="2231" spans="12:19" ht="15.75" customHeight="1" x14ac:dyDescent="0.35">
      <c r="L2231" s="2"/>
      <c r="M2231" s="2"/>
      <c r="N2231" s="650"/>
      <c r="O2231" s="650"/>
      <c r="P2231" s="651"/>
      <c r="Q2231" s="651"/>
      <c r="R2231" s="651"/>
      <c r="S2231" s="651"/>
    </row>
    <row r="2232" spans="12:19" ht="15.75" customHeight="1" x14ac:dyDescent="0.35">
      <c r="L2232" s="2"/>
      <c r="M2232" s="2"/>
      <c r="N2232" s="650"/>
      <c r="O2232" s="650"/>
      <c r="P2232" s="651"/>
      <c r="Q2232" s="651"/>
      <c r="R2232" s="651"/>
      <c r="S2232" s="651"/>
    </row>
    <row r="2233" spans="12:19" ht="15.75" customHeight="1" x14ac:dyDescent="0.35">
      <c r="L2233" s="2"/>
      <c r="M2233" s="2"/>
      <c r="N2233" s="650"/>
      <c r="O2233" s="650"/>
      <c r="P2233" s="651"/>
      <c r="Q2233" s="651"/>
      <c r="R2233" s="651"/>
      <c r="S2233" s="651"/>
    </row>
    <row r="2234" spans="12:19" ht="15.75" customHeight="1" x14ac:dyDescent="0.35">
      <c r="L2234" s="2"/>
      <c r="M2234" s="2"/>
      <c r="N2234" s="650"/>
      <c r="O2234" s="650"/>
      <c r="P2234" s="651"/>
      <c r="Q2234" s="651"/>
      <c r="R2234" s="651"/>
      <c r="S2234" s="651"/>
    </row>
    <row r="2235" spans="12:19" ht="15.75" customHeight="1" x14ac:dyDescent="0.35">
      <c r="L2235" s="2"/>
      <c r="M2235" s="2"/>
      <c r="N2235" s="650"/>
      <c r="O2235" s="650"/>
      <c r="P2235" s="651"/>
      <c r="Q2235" s="651"/>
      <c r="R2235" s="651"/>
      <c r="S2235" s="651"/>
    </row>
    <row r="2236" spans="12:19" ht="15.75" customHeight="1" x14ac:dyDescent="0.35">
      <c r="L2236" s="2"/>
      <c r="M2236" s="2"/>
      <c r="N2236" s="650"/>
      <c r="O2236" s="650"/>
      <c r="P2236" s="651"/>
      <c r="Q2236" s="651"/>
      <c r="R2236" s="651"/>
      <c r="S2236" s="651"/>
    </row>
    <row r="2237" spans="12:19" ht="15.75" customHeight="1" x14ac:dyDescent="0.35">
      <c r="L2237" s="2"/>
      <c r="M2237" s="2"/>
      <c r="N2237" s="650"/>
      <c r="O2237" s="650"/>
      <c r="P2237" s="651"/>
      <c r="Q2237" s="651"/>
      <c r="R2237" s="651"/>
      <c r="S2237" s="651"/>
    </row>
    <row r="2238" spans="12:19" ht="15.75" customHeight="1" x14ac:dyDescent="0.35">
      <c r="L2238" s="2"/>
      <c r="M2238" s="2"/>
      <c r="N2238" s="650"/>
      <c r="O2238" s="650"/>
      <c r="P2238" s="651"/>
      <c r="Q2238" s="651"/>
      <c r="R2238" s="651"/>
      <c r="S2238" s="651"/>
    </row>
    <row r="2239" spans="12:19" ht="15.75" customHeight="1" x14ac:dyDescent="0.35">
      <c r="L2239" s="2"/>
      <c r="M2239" s="2"/>
      <c r="N2239" s="650"/>
      <c r="O2239" s="650"/>
      <c r="P2239" s="651"/>
      <c r="Q2239" s="651"/>
      <c r="R2239" s="651"/>
      <c r="S2239" s="651"/>
    </row>
    <row r="2240" spans="12:19" ht="15.75" customHeight="1" x14ac:dyDescent="0.35">
      <c r="L2240" s="2"/>
      <c r="M2240" s="2"/>
      <c r="N2240" s="650"/>
      <c r="O2240" s="650"/>
      <c r="P2240" s="651"/>
      <c r="Q2240" s="651"/>
      <c r="R2240" s="651"/>
      <c r="S2240" s="651"/>
    </row>
    <row r="2241" spans="12:19" ht="15.75" customHeight="1" x14ac:dyDescent="0.35">
      <c r="L2241" s="2"/>
      <c r="M2241" s="2"/>
      <c r="N2241" s="650"/>
      <c r="O2241" s="650"/>
      <c r="P2241" s="651"/>
      <c r="Q2241" s="651"/>
      <c r="R2241" s="651"/>
      <c r="S2241" s="651"/>
    </row>
    <row r="2242" spans="12:19" ht="15.75" customHeight="1" x14ac:dyDescent="0.35">
      <c r="L2242" s="2"/>
      <c r="M2242" s="2"/>
      <c r="N2242" s="650"/>
      <c r="O2242" s="650"/>
      <c r="P2242" s="651"/>
      <c r="Q2242" s="651"/>
      <c r="R2242" s="651"/>
      <c r="S2242" s="651"/>
    </row>
    <row r="2243" spans="12:19" ht="15.75" customHeight="1" x14ac:dyDescent="0.35">
      <c r="L2243" s="2"/>
      <c r="M2243" s="2"/>
      <c r="N2243" s="650"/>
      <c r="O2243" s="650"/>
      <c r="P2243" s="651"/>
      <c r="Q2243" s="651"/>
      <c r="R2243" s="651"/>
      <c r="S2243" s="651"/>
    </row>
    <row r="2244" spans="12:19" ht="15.75" customHeight="1" x14ac:dyDescent="0.35">
      <c r="L2244" s="2"/>
      <c r="M2244" s="2"/>
      <c r="N2244" s="650"/>
      <c r="O2244" s="650"/>
      <c r="P2244" s="651"/>
      <c r="Q2244" s="651"/>
      <c r="R2244" s="651"/>
      <c r="S2244" s="651"/>
    </row>
    <row r="2245" spans="12:19" ht="15.75" customHeight="1" x14ac:dyDescent="0.35">
      <c r="L2245" s="2"/>
      <c r="M2245" s="2"/>
      <c r="N2245" s="650"/>
      <c r="O2245" s="650"/>
      <c r="P2245" s="651"/>
      <c r="Q2245" s="651"/>
      <c r="R2245" s="651"/>
      <c r="S2245" s="651"/>
    </row>
    <row r="2246" spans="12:19" ht="15.75" customHeight="1" x14ac:dyDescent="0.35">
      <c r="L2246" s="2"/>
      <c r="M2246" s="2"/>
      <c r="N2246" s="650"/>
      <c r="O2246" s="650"/>
      <c r="P2246" s="651"/>
      <c r="Q2246" s="651"/>
      <c r="R2246" s="651"/>
      <c r="S2246" s="651"/>
    </row>
    <row r="2247" spans="12:19" ht="15.75" customHeight="1" x14ac:dyDescent="0.35">
      <c r="L2247" s="2"/>
      <c r="M2247" s="2"/>
      <c r="N2247" s="650"/>
      <c r="O2247" s="650"/>
      <c r="P2247" s="651"/>
      <c r="Q2247" s="651"/>
      <c r="R2247" s="651"/>
      <c r="S2247" s="651"/>
    </row>
    <row r="2248" spans="12:19" ht="15.75" customHeight="1" x14ac:dyDescent="0.35">
      <c r="L2248" s="2"/>
      <c r="M2248" s="2"/>
      <c r="N2248" s="650"/>
      <c r="O2248" s="650"/>
      <c r="P2248" s="651"/>
      <c r="Q2248" s="651"/>
      <c r="R2248" s="651"/>
      <c r="S2248" s="651"/>
    </row>
    <row r="2249" spans="12:19" ht="15.75" customHeight="1" x14ac:dyDescent="0.35">
      <c r="L2249" s="2"/>
      <c r="M2249" s="2"/>
      <c r="N2249" s="650"/>
      <c r="O2249" s="650"/>
      <c r="P2249" s="651"/>
      <c r="Q2249" s="651"/>
      <c r="R2249" s="651"/>
      <c r="S2249" s="651"/>
    </row>
    <row r="2250" spans="12:19" ht="15.75" customHeight="1" x14ac:dyDescent="0.35">
      <c r="L2250" s="2"/>
      <c r="M2250" s="2"/>
      <c r="N2250" s="650"/>
      <c r="O2250" s="650"/>
      <c r="P2250" s="651"/>
      <c r="Q2250" s="651"/>
      <c r="R2250" s="651"/>
      <c r="S2250" s="651"/>
    </row>
    <row r="2251" spans="12:19" ht="15.75" customHeight="1" x14ac:dyDescent="0.35">
      <c r="L2251" s="2"/>
      <c r="M2251" s="2"/>
      <c r="N2251" s="650"/>
      <c r="O2251" s="650"/>
      <c r="P2251" s="651"/>
      <c r="Q2251" s="651"/>
      <c r="R2251" s="651"/>
      <c r="S2251" s="651"/>
    </row>
    <row r="2252" spans="12:19" ht="15.75" customHeight="1" x14ac:dyDescent="0.35">
      <c r="L2252" s="2"/>
      <c r="M2252" s="2"/>
      <c r="N2252" s="650"/>
      <c r="O2252" s="650"/>
      <c r="P2252" s="651"/>
      <c r="Q2252" s="651"/>
      <c r="R2252" s="651"/>
      <c r="S2252" s="651"/>
    </row>
    <row r="2253" spans="12:19" ht="15.75" customHeight="1" x14ac:dyDescent="0.35">
      <c r="L2253" s="2"/>
      <c r="M2253" s="2"/>
      <c r="N2253" s="650"/>
      <c r="O2253" s="650"/>
      <c r="P2253" s="651"/>
      <c r="Q2253" s="651"/>
      <c r="R2253" s="651"/>
      <c r="S2253" s="651"/>
    </row>
    <row r="2254" spans="12:19" ht="15.75" customHeight="1" x14ac:dyDescent="0.35">
      <c r="L2254" s="2"/>
      <c r="M2254" s="2"/>
      <c r="N2254" s="650"/>
      <c r="O2254" s="650"/>
      <c r="P2254" s="651"/>
      <c r="Q2254" s="651"/>
      <c r="R2254" s="651"/>
      <c r="S2254" s="651"/>
    </row>
    <row r="2255" spans="12:19" ht="15.75" customHeight="1" x14ac:dyDescent="0.35">
      <c r="L2255" s="2"/>
      <c r="M2255" s="2"/>
      <c r="N2255" s="650"/>
      <c r="O2255" s="650"/>
      <c r="P2255" s="651"/>
      <c r="Q2255" s="651"/>
      <c r="R2255" s="651"/>
      <c r="S2255" s="651"/>
    </row>
    <row r="2256" spans="12:19" ht="15.75" customHeight="1" x14ac:dyDescent="0.35">
      <c r="L2256" s="2"/>
      <c r="M2256" s="2"/>
      <c r="N2256" s="650"/>
      <c r="O2256" s="650"/>
      <c r="P2256" s="651"/>
      <c r="Q2256" s="651"/>
      <c r="R2256" s="651"/>
      <c r="S2256" s="651"/>
    </row>
    <row r="2257" spans="12:19" ht="15.75" customHeight="1" x14ac:dyDescent="0.35">
      <c r="L2257" s="2"/>
      <c r="M2257" s="2"/>
      <c r="N2257" s="650"/>
      <c r="O2257" s="650"/>
      <c r="P2257" s="651"/>
      <c r="Q2257" s="651"/>
      <c r="R2257" s="651"/>
      <c r="S2257" s="651"/>
    </row>
    <row r="2258" spans="12:19" ht="15.75" customHeight="1" x14ac:dyDescent="0.35">
      <c r="L2258" s="2"/>
      <c r="M2258" s="2"/>
      <c r="N2258" s="650"/>
      <c r="O2258" s="650"/>
      <c r="P2258" s="651"/>
      <c r="Q2258" s="651"/>
      <c r="R2258" s="651"/>
      <c r="S2258" s="651"/>
    </row>
    <row r="2259" spans="12:19" ht="15.75" customHeight="1" x14ac:dyDescent="0.35">
      <c r="L2259" s="2"/>
      <c r="M2259" s="2"/>
      <c r="N2259" s="650"/>
      <c r="O2259" s="650"/>
      <c r="P2259" s="651"/>
      <c r="Q2259" s="651"/>
      <c r="R2259" s="651"/>
      <c r="S2259" s="651"/>
    </row>
    <row r="2260" spans="12:19" ht="15.75" customHeight="1" x14ac:dyDescent="0.35">
      <c r="L2260" s="2"/>
      <c r="M2260" s="2"/>
      <c r="N2260" s="650"/>
      <c r="O2260" s="650"/>
      <c r="P2260" s="651"/>
      <c r="Q2260" s="651"/>
      <c r="R2260" s="651"/>
      <c r="S2260" s="651"/>
    </row>
    <row r="2261" spans="12:19" ht="15.75" customHeight="1" x14ac:dyDescent="0.35">
      <c r="L2261" s="2"/>
      <c r="M2261" s="2"/>
      <c r="N2261" s="650"/>
      <c r="O2261" s="650"/>
      <c r="P2261" s="651"/>
      <c r="Q2261" s="651"/>
      <c r="R2261" s="651"/>
      <c r="S2261" s="651"/>
    </row>
    <row r="2262" spans="12:19" ht="15.75" customHeight="1" x14ac:dyDescent="0.35">
      <c r="L2262" s="2"/>
      <c r="M2262" s="2"/>
      <c r="N2262" s="650"/>
      <c r="O2262" s="650"/>
      <c r="P2262" s="651"/>
      <c r="Q2262" s="651"/>
      <c r="R2262" s="651"/>
      <c r="S2262" s="651"/>
    </row>
    <row r="2263" spans="12:19" ht="15.75" customHeight="1" x14ac:dyDescent="0.35">
      <c r="L2263" s="2"/>
      <c r="M2263" s="2"/>
      <c r="N2263" s="650"/>
      <c r="O2263" s="650"/>
      <c r="P2263" s="651"/>
      <c r="Q2263" s="651"/>
      <c r="R2263" s="651"/>
      <c r="S2263" s="651"/>
    </row>
    <row r="2264" spans="12:19" ht="15.75" customHeight="1" x14ac:dyDescent="0.35">
      <c r="L2264" s="2"/>
      <c r="M2264" s="2"/>
      <c r="N2264" s="650"/>
      <c r="O2264" s="650"/>
      <c r="P2264" s="651"/>
      <c r="Q2264" s="651"/>
      <c r="R2264" s="651"/>
      <c r="S2264" s="651"/>
    </row>
    <row r="2265" spans="12:19" ht="15.75" customHeight="1" x14ac:dyDescent="0.35">
      <c r="L2265" s="2"/>
      <c r="M2265" s="2"/>
      <c r="N2265" s="650"/>
      <c r="O2265" s="650"/>
      <c r="P2265" s="651"/>
      <c r="Q2265" s="651"/>
      <c r="R2265" s="651"/>
      <c r="S2265" s="651"/>
    </row>
    <row r="2266" spans="12:19" ht="15.75" customHeight="1" x14ac:dyDescent="0.35">
      <c r="L2266" s="2"/>
      <c r="M2266" s="2"/>
      <c r="N2266" s="650"/>
      <c r="O2266" s="650"/>
      <c r="P2266" s="651"/>
      <c r="Q2266" s="651"/>
      <c r="R2266" s="651"/>
      <c r="S2266" s="651"/>
    </row>
    <row r="2267" spans="12:19" ht="15.75" customHeight="1" x14ac:dyDescent="0.35">
      <c r="L2267" s="2"/>
      <c r="M2267" s="2"/>
      <c r="N2267" s="650"/>
      <c r="O2267" s="650"/>
      <c r="P2267" s="651"/>
      <c r="Q2267" s="651"/>
      <c r="R2267" s="651"/>
      <c r="S2267" s="651"/>
    </row>
    <row r="2268" spans="12:19" ht="15.75" customHeight="1" x14ac:dyDescent="0.35">
      <c r="L2268" s="2"/>
      <c r="M2268" s="2"/>
      <c r="N2268" s="650"/>
      <c r="O2268" s="650"/>
      <c r="P2268" s="651"/>
      <c r="Q2268" s="651"/>
      <c r="R2268" s="651"/>
      <c r="S2268" s="651"/>
    </row>
    <row r="2269" spans="12:19" ht="15.75" customHeight="1" x14ac:dyDescent="0.35">
      <c r="L2269" s="2"/>
      <c r="M2269" s="2"/>
      <c r="N2269" s="650"/>
      <c r="O2269" s="650"/>
      <c r="P2269" s="651"/>
      <c r="Q2269" s="651"/>
      <c r="R2269" s="651"/>
      <c r="S2269" s="651"/>
    </row>
    <row r="2270" spans="12:19" ht="15.75" customHeight="1" x14ac:dyDescent="0.35">
      <c r="L2270" s="2"/>
      <c r="M2270" s="2"/>
      <c r="N2270" s="650"/>
      <c r="O2270" s="650"/>
      <c r="P2270" s="651"/>
      <c r="Q2270" s="651"/>
      <c r="R2270" s="651"/>
      <c r="S2270" s="651"/>
    </row>
    <row r="2271" spans="12:19" ht="15.75" customHeight="1" x14ac:dyDescent="0.35">
      <c r="L2271" s="2"/>
      <c r="M2271" s="2"/>
      <c r="N2271" s="650"/>
      <c r="O2271" s="650"/>
      <c r="P2271" s="651"/>
      <c r="Q2271" s="651"/>
      <c r="R2271" s="651"/>
      <c r="S2271" s="651"/>
    </row>
    <row r="2272" spans="12:19" ht="15.75" customHeight="1" x14ac:dyDescent="0.35">
      <c r="L2272" s="2"/>
      <c r="M2272" s="2"/>
      <c r="N2272" s="650"/>
      <c r="O2272" s="650"/>
      <c r="P2272" s="651"/>
      <c r="Q2272" s="651"/>
      <c r="R2272" s="651"/>
      <c r="S2272" s="651"/>
    </row>
    <row r="2273" spans="12:19" ht="15.75" customHeight="1" x14ac:dyDescent="0.35">
      <c r="L2273" s="2"/>
      <c r="M2273" s="2"/>
      <c r="N2273" s="650"/>
      <c r="O2273" s="650"/>
      <c r="P2273" s="651"/>
      <c r="Q2273" s="651"/>
      <c r="R2273" s="651"/>
      <c r="S2273" s="651"/>
    </row>
    <row r="2274" spans="12:19" ht="15.75" customHeight="1" x14ac:dyDescent="0.35">
      <c r="L2274" s="2"/>
      <c r="M2274" s="2"/>
      <c r="N2274" s="650"/>
      <c r="O2274" s="650"/>
      <c r="P2274" s="651"/>
      <c r="Q2274" s="651"/>
      <c r="R2274" s="651"/>
      <c r="S2274" s="651"/>
    </row>
    <row r="2275" spans="12:19" ht="15.75" customHeight="1" x14ac:dyDescent="0.35">
      <c r="L2275" s="2"/>
      <c r="M2275" s="2"/>
      <c r="N2275" s="650"/>
      <c r="O2275" s="650"/>
      <c r="P2275" s="651"/>
      <c r="Q2275" s="651"/>
      <c r="R2275" s="651"/>
      <c r="S2275" s="651"/>
    </row>
    <row r="2276" spans="12:19" ht="15.75" customHeight="1" x14ac:dyDescent="0.35">
      <c r="L2276" s="2"/>
      <c r="M2276" s="2"/>
      <c r="N2276" s="650"/>
      <c r="O2276" s="650"/>
      <c r="P2276" s="651"/>
      <c r="Q2276" s="651"/>
      <c r="R2276" s="651"/>
      <c r="S2276" s="651"/>
    </row>
    <row r="2277" spans="12:19" ht="15.75" customHeight="1" x14ac:dyDescent="0.35">
      <c r="L2277" s="2"/>
      <c r="M2277" s="2"/>
      <c r="N2277" s="650"/>
      <c r="O2277" s="650"/>
      <c r="P2277" s="651"/>
      <c r="Q2277" s="651"/>
      <c r="R2277" s="651"/>
      <c r="S2277" s="651"/>
    </row>
    <row r="2278" spans="12:19" ht="15.75" customHeight="1" x14ac:dyDescent="0.35">
      <c r="L2278" s="2"/>
      <c r="M2278" s="2"/>
      <c r="N2278" s="650"/>
      <c r="O2278" s="650"/>
      <c r="P2278" s="651"/>
      <c r="Q2278" s="651"/>
      <c r="R2278" s="651"/>
      <c r="S2278" s="651"/>
    </row>
    <row r="2279" spans="12:19" ht="15.75" customHeight="1" x14ac:dyDescent="0.35">
      <c r="L2279" s="2"/>
      <c r="M2279" s="2"/>
      <c r="N2279" s="650"/>
      <c r="O2279" s="650"/>
      <c r="P2279" s="651"/>
      <c r="Q2279" s="651"/>
      <c r="R2279" s="651"/>
      <c r="S2279" s="651"/>
    </row>
    <row r="2280" spans="12:19" ht="15.75" customHeight="1" x14ac:dyDescent="0.35">
      <c r="L2280" s="2"/>
      <c r="M2280" s="2"/>
      <c r="N2280" s="650"/>
      <c r="O2280" s="650"/>
      <c r="P2280" s="651"/>
      <c r="Q2280" s="651"/>
      <c r="R2280" s="651"/>
      <c r="S2280" s="651"/>
    </row>
    <row r="2281" spans="12:19" ht="15.75" customHeight="1" x14ac:dyDescent="0.35">
      <c r="L2281" s="2"/>
      <c r="M2281" s="2"/>
      <c r="N2281" s="650"/>
      <c r="O2281" s="650"/>
      <c r="P2281" s="651"/>
      <c r="Q2281" s="651"/>
      <c r="R2281" s="651"/>
      <c r="S2281" s="651"/>
    </row>
    <row r="2282" spans="12:19" ht="15.75" customHeight="1" x14ac:dyDescent="0.35">
      <c r="L2282" s="2"/>
      <c r="M2282" s="2"/>
      <c r="N2282" s="650"/>
      <c r="O2282" s="650"/>
      <c r="P2282" s="651"/>
      <c r="Q2282" s="651"/>
      <c r="R2282" s="651"/>
      <c r="S2282" s="651"/>
    </row>
    <row r="2283" spans="12:19" ht="15.75" customHeight="1" x14ac:dyDescent="0.35">
      <c r="L2283" s="2"/>
      <c r="M2283" s="2"/>
      <c r="N2283" s="650"/>
      <c r="O2283" s="650"/>
      <c r="P2283" s="651"/>
      <c r="Q2283" s="651"/>
      <c r="R2283" s="651"/>
      <c r="S2283" s="651"/>
    </row>
    <row r="2284" spans="12:19" ht="15.75" customHeight="1" x14ac:dyDescent="0.35">
      <c r="L2284" s="2"/>
      <c r="M2284" s="2"/>
      <c r="N2284" s="650"/>
      <c r="O2284" s="650"/>
      <c r="P2284" s="651"/>
      <c r="Q2284" s="651"/>
      <c r="R2284" s="651"/>
      <c r="S2284" s="651"/>
    </row>
    <row r="2285" spans="12:19" ht="15.75" customHeight="1" x14ac:dyDescent="0.35">
      <c r="L2285" s="2"/>
      <c r="M2285" s="2"/>
      <c r="N2285" s="650"/>
      <c r="O2285" s="650"/>
      <c r="P2285" s="651"/>
      <c r="Q2285" s="651"/>
      <c r="R2285" s="651"/>
      <c r="S2285" s="651"/>
    </row>
    <row r="2286" spans="12:19" ht="15.75" customHeight="1" x14ac:dyDescent="0.35">
      <c r="L2286" s="2"/>
      <c r="M2286" s="2"/>
      <c r="N2286" s="650"/>
      <c r="O2286" s="650"/>
      <c r="P2286" s="651"/>
      <c r="Q2286" s="651"/>
      <c r="R2286" s="651"/>
      <c r="S2286" s="651"/>
    </row>
    <row r="2287" spans="12:19" ht="15.75" customHeight="1" x14ac:dyDescent="0.35">
      <c r="L2287" s="2"/>
      <c r="M2287" s="2"/>
      <c r="N2287" s="650"/>
      <c r="O2287" s="650"/>
      <c r="P2287" s="651"/>
      <c r="Q2287" s="651"/>
      <c r="R2287" s="651"/>
      <c r="S2287" s="651"/>
    </row>
    <row r="2288" spans="12:19" ht="15.75" customHeight="1" x14ac:dyDescent="0.35">
      <c r="L2288" s="2"/>
      <c r="M2288" s="2"/>
      <c r="N2288" s="650"/>
      <c r="O2288" s="650"/>
      <c r="P2288" s="651"/>
      <c r="Q2288" s="651"/>
      <c r="R2288" s="651"/>
      <c r="S2288" s="651"/>
    </row>
    <row r="2289" spans="12:19" ht="15.75" customHeight="1" x14ac:dyDescent="0.35">
      <c r="L2289" s="2"/>
      <c r="M2289" s="2"/>
      <c r="N2289" s="650"/>
      <c r="O2289" s="650"/>
      <c r="P2289" s="651"/>
      <c r="Q2289" s="651"/>
      <c r="R2289" s="651"/>
      <c r="S2289" s="651"/>
    </row>
    <row r="2290" spans="12:19" ht="15.75" customHeight="1" x14ac:dyDescent="0.35">
      <c r="L2290" s="2"/>
      <c r="M2290" s="2"/>
      <c r="N2290" s="650"/>
      <c r="O2290" s="650"/>
      <c r="P2290" s="651"/>
      <c r="Q2290" s="651"/>
      <c r="R2290" s="651"/>
      <c r="S2290" s="651"/>
    </row>
    <row r="2291" spans="12:19" ht="15.75" customHeight="1" x14ac:dyDescent="0.35">
      <c r="L2291" s="2"/>
      <c r="M2291" s="2"/>
      <c r="N2291" s="650"/>
      <c r="O2291" s="650"/>
      <c r="P2291" s="651"/>
      <c r="Q2291" s="651"/>
      <c r="R2291" s="651"/>
      <c r="S2291" s="651"/>
    </row>
    <row r="2292" spans="12:19" ht="15.75" customHeight="1" x14ac:dyDescent="0.35">
      <c r="L2292" s="2"/>
      <c r="M2292" s="2"/>
      <c r="N2292" s="650"/>
      <c r="O2292" s="650"/>
      <c r="P2292" s="651"/>
      <c r="Q2292" s="651"/>
      <c r="R2292" s="651"/>
      <c r="S2292" s="651"/>
    </row>
    <row r="2293" spans="12:19" ht="15.75" customHeight="1" x14ac:dyDescent="0.35">
      <c r="L2293" s="2"/>
      <c r="M2293" s="2"/>
      <c r="N2293" s="650"/>
      <c r="O2293" s="650"/>
      <c r="P2293" s="651"/>
      <c r="Q2293" s="651"/>
      <c r="R2293" s="651"/>
      <c r="S2293" s="651"/>
    </row>
    <row r="2294" spans="12:19" ht="15.75" customHeight="1" x14ac:dyDescent="0.35">
      <c r="L2294" s="2"/>
      <c r="M2294" s="2"/>
      <c r="N2294" s="650"/>
      <c r="O2294" s="650"/>
      <c r="P2294" s="651"/>
      <c r="Q2294" s="651"/>
      <c r="R2294" s="651"/>
      <c r="S2294" s="651"/>
    </row>
    <row r="2295" spans="12:19" ht="15.75" customHeight="1" x14ac:dyDescent="0.35">
      <c r="L2295" s="2"/>
      <c r="M2295" s="2"/>
      <c r="N2295" s="650"/>
      <c r="O2295" s="650"/>
      <c r="P2295" s="651"/>
      <c r="Q2295" s="651"/>
      <c r="R2295" s="651"/>
      <c r="S2295" s="651"/>
    </row>
    <row r="2296" spans="12:19" ht="15.75" customHeight="1" x14ac:dyDescent="0.35">
      <c r="L2296" s="2"/>
      <c r="M2296" s="2"/>
      <c r="N2296" s="650"/>
      <c r="O2296" s="650"/>
      <c r="P2296" s="651"/>
      <c r="Q2296" s="651"/>
      <c r="R2296" s="651"/>
      <c r="S2296" s="651"/>
    </row>
    <row r="2297" spans="12:19" ht="15.75" customHeight="1" x14ac:dyDescent="0.35">
      <c r="L2297" s="2"/>
      <c r="M2297" s="2"/>
      <c r="N2297" s="650"/>
      <c r="O2297" s="650"/>
      <c r="P2297" s="651"/>
      <c r="Q2297" s="651"/>
      <c r="R2297" s="651"/>
      <c r="S2297" s="651"/>
    </row>
    <row r="2298" spans="12:19" ht="15.75" customHeight="1" x14ac:dyDescent="0.35">
      <c r="L2298" s="2"/>
      <c r="M2298" s="2"/>
      <c r="N2298" s="650"/>
      <c r="O2298" s="650"/>
      <c r="P2298" s="651"/>
      <c r="Q2298" s="651"/>
      <c r="R2298" s="651"/>
      <c r="S2298" s="651"/>
    </row>
    <row r="2299" spans="12:19" ht="15.75" customHeight="1" x14ac:dyDescent="0.35">
      <c r="L2299" s="2"/>
      <c r="M2299" s="2"/>
      <c r="N2299" s="650"/>
      <c r="O2299" s="650"/>
      <c r="P2299" s="651"/>
      <c r="Q2299" s="651"/>
      <c r="R2299" s="651"/>
      <c r="S2299" s="651"/>
    </row>
    <row r="2300" spans="12:19" ht="15.75" customHeight="1" x14ac:dyDescent="0.35">
      <c r="L2300" s="2"/>
      <c r="M2300" s="2"/>
      <c r="N2300" s="650"/>
      <c r="O2300" s="650"/>
      <c r="P2300" s="651"/>
      <c r="Q2300" s="651"/>
      <c r="R2300" s="651"/>
      <c r="S2300" s="651"/>
    </row>
    <row r="2301" spans="12:19" ht="15.75" customHeight="1" x14ac:dyDescent="0.35">
      <c r="L2301" s="2"/>
      <c r="M2301" s="2"/>
      <c r="N2301" s="650"/>
      <c r="O2301" s="650"/>
      <c r="P2301" s="651"/>
      <c r="Q2301" s="651"/>
      <c r="R2301" s="651"/>
      <c r="S2301" s="651"/>
    </row>
    <row r="2302" spans="12:19" ht="15.75" customHeight="1" x14ac:dyDescent="0.35">
      <c r="L2302" s="2"/>
      <c r="M2302" s="2"/>
      <c r="N2302" s="650"/>
      <c r="O2302" s="650"/>
      <c r="P2302" s="651"/>
      <c r="Q2302" s="651"/>
      <c r="R2302" s="651"/>
      <c r="S2302" s="651"/>
    </row>
    <row r="2303" spans="12:19" ht="15.75" customHeight="1" x14ac:dyDescent="0.35">
      <c r="L2303" s="2"/>
      <c r="M2303" s="2"/>
      <c r="N2303" s="650"/>
      <c r="O2303" s="650"/>
      <c r="P2303" s="651"/>
      <c r="Q2303" s="651"/>
      <c r="R2303" s="651"/>
      <c r="S2303" s="651"/>
    </row>
    <row r="2304" spans="12:19" ht="15.75" customHeight="1" x14ac:dyDescent="0.35">
      <c r="L2304" s="2"/>
      <c r="M2304" s="2"/>
      <c r="N2304" s="650"/>
      <c r="O2304" s="650"/>
      <c r="P2304" s="651"/>
      <c r="Q2304" s="651"/>
      <c r="R2304" s="651"/>
      <c r="S2304" s="651"/>
    </row>
    <row r="2305" spans="12:19" ht="15.75" customHeight="1" x14ac:dyDescent="0.35">
      <c r="L2305" s="2"/>
      <c r="M2305" s="2"/>
      <c r="N2305" s="650"/>
      <c r="O2305" s="650"/>
      <c r="P2305" s="651"/>
      <c r="Q2305" s="651"/>
      <c r="R2305" s="651"/>
      <c r="S2305" s="651"/>
    </row>
    <row r="2306" spans="12:19" ht="15.75" customHeight="1" x14ac:dyDescent="0.35">
      <c r="L2306" s="2"/>
      <c r="M2306" s="2"/>
      <c r="N2306" s="650"/>
      <c r="O2306" s="650"/>
      <c r="P2306" s="651"/>
      <c r="Q2306" s="651"/>
      <c r="R2306" s="651"/>
      <c r="S2306" s="651"/>
    </row>
    <row r="2307" spans="12:19" ht="15.75" customHeight="1" x14ac:dyDescent="0.35">
      <c r="L2307" s="2"/>
      <c r="M2307" s="2"/>
      <c r="N2307" s="650"/>
      <c r="O2307" s="650"/>
      <c r="P2307" s="651"/>
      <c r="Q2307" s="651"/>
      <c r="R2307" s="651"/>
      <c r="S2307" s="651"/>
    </row>
    <row r="2308" spans="12:19" ht="15.75" customHeight="1" x14ac:dyDescent="0.35">
      <c r="L2308" s="2"/>
      <c r="M2308" s="2"/>
      <c r="N2308" s="650"/>
      <c r="O2308" s="650"/>
      <c r="P2308" s="651"/>
      <c r="Q2308" s="651"/>
      <c r="R2308" s="651"/>
      <c r="S2308" s="651"/>
    </row>
    <row r="2309" spans="12:19" ht="15.75" customHeight="1" x14ac:dyDescent="0.35">
      <c r="L2309" s="2"/>
      <c r="M2309" s="2"/>
      <c r="N2309" s="650"/>
      <c r="O2309" s="650"/>
      <c r="P2309" s="651"/>
      <c r="Q2309" s="651"/>
      <c r="R2309" s="651"/>
      <c r="S2309" s="651"/>
    </row>
    <row r="2310" spans="12:19" ht="15.75" customHeight="1" x14ac:dyDescent="0.35">
      <c r="L2310" s="2"/>
      <c r="M2310" s="2"/>
      <c r="N2310" s="650"/>
      <c r="O2310" s="650"/>
      <c r="P2310" s="651"/>
      <c r="Q2310" s="651"/>
      <c r="R2310" s="651"/>
      <c r="S2310" s="651"/>
    </row>
    <row r="2311" spans="12:19" ht="15.75" customHeight="1" x14ac:dyDescent="0.35">
      <c r="L2311" s="2"/>
      <c r="M2311" s="2"/>
      <c r="N2311" s="650"/>
      <c r="O2311" s="650"/>
      <c r="P2311" s="651"/>
      <c r="Q2311" s="651"/>
      <c r="R2311" s="651"/>
      <c r="S2311" s="651"/>
    </row>
    <row r="2312" spans="12:19" ht="15.75" customHeight="1" x14ac:dyDescent="0.35">
      <c r="L2312" s="2"/>
      <c r="M2312" s="2"/>
      <c r="N2312" s="650"/>
      <c r="O2312" s="650"/>
      <c r="P2312" s="651"/>
      <c r="Q2312" s="651"/>
      <c r="R2312" s="651"/>
      <c r="S2312" s="651"/>
    </row>
    <row r="2313" spans="12:19" ht="15.75" customHeight="1" x14ac:dyDescent="0.35">
      <c r="L2313" s="2"/>
      <c r="M2313" s="2"/>
      <c r="N2313" s="650"/>
      <c r="O2313" s="650"/>
      <c r="P2313" s="651"/>
      <c r="Q2313" s="651"/>
      <c r="R2313" s="651"/>
      <c r="S2313" s="651"/>
    </row>
    <row r="2314" spans="12:19" ht="15.75" customHeight="1" x14ac:dyDescent="0.35">
      <c r="L2314" s="2"/>
      <c r="M2314" s="2"/>
      <c r="N2314" s="650"/>
      <c r="O2314" s="650"/>
      <c r="P2314" s="651"/>
      <c r="Q2314" s="651"/>
      <c r="R2314" s="651"/>
      <c r="S2314" s="651"/>
    </row>
    <row r="2315" spans="12:19" ht="15.75" customHeight="1" x14ac:dyDescent="0.35">
      <c r="L2315" s="2"/>
      <c r="M2315" s="2"/>
      <c r="N2315" s="650"/>
      <c r="O2315" s="650"/>
      <c r="P2315" s="651"/>
      <c r="Q2315" s="651"/>
      <c r="R2315" s="651"/>
      <c r="S2315" s="651"/>
    </row>
    <row r="2316" spans="12:19" ht="15.75" customHeight="1" x14ac:dyDescent="0.35">
      <c r="L2316" s="2"/>
      <c r="M2316" s="2"/>
      <c r="N2316" s="650"/>
      <c r="O2316" s="650"/>
      <c r="P2316" s="651"/>
      <c r="Q2316" s="651"/>
      <c r="R2316" s="651"/>
      <c r="S2316" s="651"/>
    </row>
    <row r="2317" spans="12:19" ht="15.75" customHeight="1" x14ac:dyDescent="0.35">
      <c r="L2317" s="2"/>
      <c r="M2317" s="2"/>
      <c r="N2317" s="650"/>
      <c r="O2317" s="650"/>
      <c r="P2317" s="651"/>
      <c r="Q2317" s="651"/>
      <c r="R2317" s="651"/>
      <c r="S2317" s="651"/>
    </row>
    <row r="2318" spans="12:19" ht="15.75" customHeight="1" x14ac:dyDescent="0.35">
      <c r="L2318" s="2"/>
      <c r="M2318" s="2"/>
      <c r="N2318" s="650"/>
      <c r="O2318" s="650"/>
      <c r="P2318" s="651"/>
      <c r="Q2318" s="651"/>
      <c r="R2318" s="651"/>
      <c r="S2318" s="651"/>
    </row>
    <row r="2319" spans="12:19" ht="15.75" customHeight="1" x14ac:dyDescent="0.35">
      <c r="L2319" s="2"/>
      <c r="M2319" s="2"/>
      <c r="N2319" s="650"/>
      <c r="O2319" s="650"/>
      <c r="P2319" s="651"/>
      <c r="Q2319" s="651"/>
      <c r="R2319" s="651"/>
      <c r="S2319" s="651"/>
    </row>
    <row r="2320" spans="12:19" ht="15.75" customHeight="1" x14ac:dyDescent="0.35">
      <c r="L2320" s="2"/>
      <c r="M2320" s="2"/>
      <c r="N2320" s="650"/>
      <c r="O2320" s="650"/>
      <c r="P2320" s="651"/>
      <c r="Q2320" s="651"/>
      <c r="R2320" s="651"/>
      <c r="S2320" s="651"/>
    </row>
    <row r="2321" spans="12:19" ht="15.75" customHeight="1" x14ac:dyDescent="0.35">
      <c r="L2321" s="2"/>
      <c r="M2321" s="2"/>
      <c r="N2321" s="650"/>
      <c r="O2321" s="650"/>
      <c r="P2321" s="651"/>
      <c r="Q2321" s="651"/>
      <c r="R2321" s="651"/>
      <c r="S2321" s="651"/>
    </row>
    <row r="2322" spans="12:19" ht="15.75" customHeight="1" x14ac:dyDescent="0.35">
      <c r="L2322" s="2"/>
      <c r="M2322" s="2"/>
      <c r="N2322" s="650"/>
      <c r="O2322" s="650"/>
      <c r="P2322" s="651"/>
      <c r="Q2322" s="651"/>
      <c r="R2322" s="651"/>
      <c r="S2322" s="651"/>
    </row>
    <row r="2323" spans="12:19" ht="15.75" customHeight="1" x14ac:dyDescent="0.35">
      <c r="L2323" s="2"/>
      <c r="M2323" s="2"/>
      <c r="N2323" s="650"/>
      <c r="O2323" s="650"/>
      <c r="P2323" s="651"/>
      <c r="Q2323" s="651"/>
      <c r="R2323" s="651"/>
      <c r="S2323" s="651"/>
    </row>
    <row r="2324" spans="12:19" ht="15.75" customHeight="1" x14ac:dyDescent="0.35">
      <c r="L2324" s="2"/>
      <c r="M2324" s="2"/>
      <c r="N2324" s="650"/>
      <c r="O2324" s="650"/>
      <c r="P2324" s="651"/>
      <c r="Q2324" s="651"/>
      <c r="R2324" s="651"/>
      <c r="S2324" s="651"/>
    </row>
    <row r="2325" spans="12:19" ht="15.75" customHeight="1" x14ac:dyDescent="0.35">
      <c r="L2325" s="2"/>
      <c r="M2325" s="2"/>
      <c r="N2325" s="650"/>
      <c r="O2325" s="650"/>
      <c r="P2325" s="651"/>
      <c r="Q2325" s="651"/>
      <c r="R2325" s="651"/>
      <c r="S2325" s="651"/>
    </row>
    <row r="2326" spans="12:19" ht="15.75" customHeight="1" x14ac:dyDescent="0.35">
      <c r="L2326" s="2"/>
      <c r="M2326" s="2"/>
      <c r="N2326" s="650"/>
      <c r="O2326" s="650"/>
      <c r="P2326" s="651"/>
      <c r="Q2326" s="651"/>
      <c r="R2326" s="651"/>
      <c r="S2326" s="651"/>
    </row>
    <row r="2327" spans="12:19" ht="15.75" customHeight="1" x14ac:dyDescent="0.35">
      <c r="L2327" s="2"/>
      <c r="M2327" s="2"/>
      <c r="N2327" s="650"/>
      <c r="O2327" s="650"/>
      <c r="P2327" s="651"/>
      <c r="Q2327" s="651"/>
      <c r="R2327" s="651"/>
      <c r="S2327" s="651"/>
    </row>
    <row r="2328" spans="12:19" ht="15.75" customHeight="1" x14ac:dyDescent="0.35">
      <c r="L2328" s="2"/>
      <c r="M2328" s="2"/>
      <c r="N2328" s="650"/>
      <c r="O2328" s="650"/>
      <c r="P2328" s="651"/>
      <c r="Q2328" s="651"/>
      <c r="R2328" s="651"/>
      <c r="S2328" s="651"/>
    </row>
    <row r="2329" spans="12:19" ht="15.75" customHeight="1" x14ac:dyDescent="0.35">
      <c r="L2329" s="2"/>
      <c r="M2329" s="2"/>
      <c r="N2329" s="650"/>
      <c r="O2329" s="650"/>
      <c r="P2329" s="651"/>
      <c r="Q2329" s="651"/>
      <c r="R2329" s="651"/>
      <c r="S2329" s="651"/>
    </row>
    <row r="2330" spans="12:19" ht="15.75" customHeight="1" x14ac:dyDescent="0.35">
      <c r="L2330" s="2"/>
      <c r="M2330" s="2"/>
      <c r="N2330" s="650"/>
      <c r="O2330" s="650"/>
      <c r="P2330" s="651"/>
      <c r="Q2330" s="651"/>
      <c r="R2330" s="651"/>
      <c r="S2330" s="651"/>
    </row>
    <row r="2331" spans="12:19" ht="15.75" customHeight="1" x14ac:dyDescent="0.35">
      <c r="L2331" s="2"/>
      <c r="M2331" s="2"/>
      <c r="N2331" s="650"/>
      <c r="O2331" s="650"/>
      <c r="P2331" s="651"/>
      <c r="Q2331" s="651"/>
      <c r="R2331" s="651"/>
      <c r="S2331" s="651"/>
    </row>
    <row r="2332" spans="12:19" ht="15.75" customHeight="1" x14ac:dyDescent="0.35">
      <c r="L2332" s="2"/>
      <c r="M2332" s="2"/>
      <c r="N2332" s="650"/>
      <c r="O2332" s="650"/>
      <c r="P2332" s="651"/>
      <c r="Q2332" s="651"/>
      <c r="R2332" s="651"/>
      <c r="S2332" s="651"/>
    </row>
    <row r="2333" spans="12:19" ht="15.75" customHeight="1" x14ac:dyDescent="0.35">
      <c r="L2333" s="2"/>
      <c r="M2333" s="2"/>
      <c r="N2333" s="650"/>
      <c r="O2333" s="650"/>
      <c r="P2333" s="651"/>
      <c r="Q2333" s="651"/>
      <c r="R2333" s="651"/>
      <c r="S2333" s="651"/>
    </row>
    <row r="2334" spans="12:19" ht="15.75" customHeight="1" x14ac:dyDescent="0.35">
      <c r="L2334" s="2"/>
      <c r="M2334" s="2"/>
      <c r="N2334" s="650"/>
      <c r="O2334" s="650"/>
      <c r="P2334" s="651"/>
      <c r="Q2334" s="651"/>
      <c r="R2334" s="651"/>
      <c r="S2334" s="651"/>
    </row>
    <row r="2335" spans="12:19" ht="15.75" customHeight="1" x14ac:dyDescent="0.35">
      <c r="L2335" s="2"/>
      <c r="M2335" s="2"/>
      <c r="N2335" s="650"/>
      <c r="O2335" s="650"/>
      <c r="P2335" s="651"/>
      <c r="Q2335" s="651"/>
      <c r="R2335" s="651"/>
      <c r="S2335" s="651"/>
    </row>
    <row r="2336" spans="12:19" ht="15.75" customHeight="1" x14ac:dyDescent="0.35">
      <c r="L2336" s="2"/>
      <c r="M2336" s="2"/>
      <c r="N2336" s="650"/>
      <c r="O2336" s="650"/>
      <c r="P2336" s="651"/>
      <c r="Q2336" s="651"/>
      <c r="R2336" s="651"/>
      <c r="S2336" s="651"/>
    </row>
    <row r="2337" spans="12:19" ht="15.75" customHeight="1" x14ac:dyDescent="0.35">
      <c r="L2337" s="2"/>
      <c r="M2337" s="2"/>
      <c r="N2337" s="650"/>
      <c r="O2337" s="650"/>
      <c r="P2337" s="651"/>
      <c r="Q2337" s="651"/>
      <c r="R2337" s="651"/>
      <c r="S2337" s="651"/>
    </row>
    <row r="2338" spans="12:19" ht="15.75" customHeight="1" x14ac:dyDescent="0.35">
      <c r="L2338" s="2"/>
      <c r="M2338" s="2"/>
      <c r="N2338" s="650"/>
      <c r="O2338" s="650"/>
      <c r="P2338" s="651"/>
      <c r="Q2338" s="651"/>
      <c r="R2338" s="651"/>
      <c r="S2338" s="651"/>
    </row>
    <row r="2339" spans="12:19" ht="15.75" customHeight="1" x14ac:dyDescent="0.35">
      <c r="L2339" s="2"/>
      <c r="M2339" s="2"/>
      <c r="N2339" s="650"/>
      <c r="O2339" s="650"/>
      <c r="P2339" s="651"/>
      <c r="Q2339" s="651"/>
      <c r="R2339" s="651"/>
      <c r="S2339" s="651"/>
    </row>
    <row r="2340" spans="12:19" ht="15.75" customHeight="1" x14ac:dyDescent="0.35">
      <c r="L2340" s="2"/>
      <c r="M2340" s="2"/>
      <c r="N2340" s="650"/>
      <c r="O2340" s="650"/>
      <c r="P2340" s="651"/>
      <c r="Q2340" s="651"/>
      <c r="R2340" s="651"/>
      <c r="S2340" s="651"/>
    </row>
    <row r="2341" spans="12:19" ht="15.75" customHeight="1" x14ac:dyDescent="0.35">
      <c r="L2341" s="2"/>
      <c r="M2341" s="2"/>
      <c r="N2341" s="650"/>
      <c r="O2341" s="650"/>
      <c r="P2341" s="651"/>
      <c r="Q2341" s="651"/>
      <c r="R2341" s="651"/>
      <c r="S2341" s="651"/>
    </row>
    <row r="2342" spans="12:19" ht="15.75" customHeight="1" x14ac:dyDescent="0.35">
      <c r="L2342" s="2"/>
      <c r="M2342" s="2"/>
      <c r="N2342" s="650"/>
      <c r="O2342" s="650"/>
      <c r="P2342" s="651"/>
      <c r="Q2342" s="651"/>
      <c r="R2342" s="651"/>
      <c r="S2342" s="651"/>
    </row>
    <row r="2343" spans="12:19" ht="15.75" customHeight="1" x14ac:dyDescent="0.35">
      <c r="L2343" s="2"/>
      <c r="M2343" s="2"/>
      <c r="N2343" s="650"/>
      <c r="O2343" s="650"/>
      <c r="P2343" s="651"/>
      <c r="Q2343" s="651"/>
      <c r="R2343" s="651"/>
      <c r="S2343" s="651"/>
    </row>
    <row r="2344" spans="12:19" ht="15.75" customHeight="1" x14ac:dyDescent="0.35">
      <c r="L2344" s="2"/>
      <c r="M2344" s="2"/>
      <c r="N2344" s="650"/>
      <c r="O2344" s="650"/>
      <c r="P2344" s="651"/>
      <c r="Q2344" s="651"/>
      <c r="R2344" s="651"/>
      <c r="S2344" s="651"/>
    </row>
    <row r="2345" spans="12:19" ht="15.75" customHeight="1" x14ac:dyDescent="0.35">
      <c r="L2345" s="2"/>
      <c r="M2345" s="2"/>
      <c r="N2345" s="650"/>
      <c r="O2345" s="650"/>
      <c r="P2345" s="651"/>
      <c r="Q2345" s="651"/>
      <c r="R2345" s="651"/>
      <c r="S2345" s="651"/>
    </row>
    <row r="2346" spans="12:19" ht="15.75" customHeight="1" x14ac:dyDescent="0.35">
      <c r="L2346" s="2"/>
      <c r="M2346" s="2"/>
      <c r="N2346" s="650"/>
      <c r="O2346" s="650"/>
      <c r="P2346" s="651"/>
      <c r="Q2346" s="651"/>
      <c r="R2346" s="651"/>
      <c r="S2346" s="651"/>
    </row>
    <row r="2347" spans="12:19" ht="15.75" customHeight="1" x14ac:dyDescent="0.35">
      <c r="L2347" s="2"/>
      <c r="M2347" s="2"/>
      <c r="N2347" s="650"/>
      <c r="O2347" s="650"/>
      <c r="P2347" s="651"/>
      <c r="Q2347" s="651"/>
      <c r="R2347" s="651"/>
      <c r="S2347" s="651"/>
    </row>
    <row r="2348" spans="12:19" ht="15.75" customHeight="1" x14ac:dyDescent="0.35">
      <c r="L2348" s="2"/>
      <c r="M2348" s="2"/>
      <c r="N2348" s="650"/>
      <c r="O2348" s="650"/>
      <c r="P2348" s="651"/>
      <c r="Q2348" s="651"/>
      <c r="R2348" s="651"/>
      <c r="S2348" s="651"/>
    </row>
    <row r="2349" spans="12:19" ht="15.75" customHeight="1" x14ac:dyDescent="0.35">
      <c r="L2349" s="2"/>
      <c r="M2349" s="2"/>
      <c r="N2349" s="650"/>
      <c r="O2349" s="650"/>
      <c r="P2349" s="651"/>
      <c r="Q2349" s="651"/>
      <c r="R2349" s="651"/>
      <c r="S2349" s="651"/>
    </row>
    <row r="2350" spans="12:19" ht="15.75" customHeight="1" x14ac:dyDescent="0.35">
      <c r="L2350" s="2"/>
      <c r="M2350" s="2"/>
      <c r="N2350" s="650"/>
      <c r="O2350" s="650"/>
      <c r="P2350" s="651"/>
      <c r="Q2350" s="651"/>
      <c r="R2350" s="651"/>
      <c r="S2350" s="651"/>
    </row>
    <row r="2351" spans="12:19" ht="15.75" customHeight="1" x14ac:dyDescent="0.35">
      <c r="L2351" s="2"/>
      <c r="M2351" s="2"/>
      <c r="N2351" s="650"/>
      <c r="O2351" s="650"/>
      <c r="P2351" s="651"/>
      <c r="Q2351" s="651"/>
      <c r="R2351" s="651"/>
      <c r="S2351" s="651"/>
    </row>
    <row r="2352" spans="12:19" ht="15.75" customHeight="1" x14ac:dyDescent="0.35">
      <c r="L2352" s="2"/>
      <c r="M2352" s="2"/>
      <c r="N2352" s="650"/>
      <c r="O2352" s="650"/>
      <c r="P2352" s="651"/>
      <c r="Q2352" s="651"/>
      <c r="R2352" s="651"/>
      <c r="S2352" s="651"/>
    </row>
    <row r="2353" spans="12:19" ht="15.75" customHeight="1" x14ac:dyDescent="0.35">
      <c r="L2353" s="2"/>
      <c r="M2353" s="2"/>
      <c r="N2353" s="650"/>
      <c r="O2353" s="650"/>
      <c r="P2353" s="651"/>
      <c r="Q2353" s="651"/>
      <c r="R2353" s="651"/>
      <c r="S2353" s="651"/>
    </row>
    <row r="2354" spans="12:19" ht="15.75" customHeight="1" x14ac:dyDescent="0.35">
      <c r="L2354" s="2"/>
      <c r="M2354" s="2"/>
      <c r="N2354" s="650"/>
      <c r="O2354" s="650"/>
      <c r="P2354" s="651"/>
      <c r="Q2354" s="651"/>
      <c r="R2354" s="651"/>
      <c r="S2354" s="651"/>
    </row>
    <row r="2355" spans="12:19" ht="15.75" customHeight="1" x14ac:dyDescent="0.35">
      <c r="L2355" s="2"/>
      <c r="M2355" s="2"/>
      <c r="N2355" s="650"/>
      <c r="O2355" s="650"/>
      <c r="P2355" s="651"/>
      <c r="Q2355" s="651"/>
      <c r="R2355" s="651"/>
      <c r="S2355" s="651"/>
    </row>
    <row r="2356" spans="12:19" ht="15.75" customHeight="1" x14ac:dyDescent="0.35">
      <c r="L2356" s="2"/>
      <c r="M2356" s="2"/>
      <c r="N2356" s="650"/>
      <c r="O2356" s="650"/>
      <c r="P2356" s="651"/>
      <c r="Q2356" s="651"/>
      <c r="R2356" s="651"/>
      <c r="S2356" s="651"/>
    </row>
    <row r="2357" spans="12:19" ht="15.75" customHeight="1" x14ac:dyDescent="0.35">
      <c r="L2357" s="2"/>
      <c r="M2357" s="2"/>
      <c r="N2357" s="650"/>
      <c r="O2357" s="650"/>
      <c r="P2357" s="651"/>
      <c r="Q2357" s="651"/>
      <c r="R2357" s="651"/>
      <c r="S2357" s="651"/>
    </row>
    <row r="2358" spans="12:19" ht="15.75" customHeight="1" x14ac:dyDescent="0.35">
      <c r="L2358" s="2"/>
      <c r="M2358" s="2"/>
      <c r="N2358" s="650"/>
      <c r="O2358" s="650"/>
      <c r="P2358" s="651"/>
      <c r="Q2358" s="651"/>
      <c r="R2358" s="651"/>
      <c r="S2358" s="651"/>
    </row>
    <row r="2359" spans="12:19" ht="15.75" customHeight="1" x14ac:dyDescent="0.35">
      <c r="L2359" s="2"/>
      <c r="M2359" s="2"/>
      <c r="N2359" s="650"/>
      <c r="O2359" s="650"/>
      <c r="P2359" s="651"/>
      <c r="Q2359" s="651"/>
      <c r="R2359" s="651"/>
      <c r="S2359" s="651"/>
    </row>
    <row r="2360" spans="12:19" ht="15.75" customHeight="1" x14ac:dyDescent="0.35">
      <c r="L2360" s="2"/>
      <c r="M2360" s="2"/>
      <c r="N2360" s="650"/>
      <c r="O2360" s="650"/>
      <c r="P2360" s="651"/>
      <c r="Q2360" s="651"/>
      <c r="R2360" s="651"/>
      <c r="S2360" s="651"/>
    </row>
    <row r="2361" spans="12:19" ht="15.75" customHeight="1" x14ac:dyDescent="0.35">
      <c r="L2361" s="2"/>
      <c r="M2361" s="2"/>
      <c r="N2361" s="650"/>
      <c r="O2361" s="650"/>
      <c r="P2361" s="651"/>
      <c r="Q2361" s="651"/>
      <c r="R2361" s="651"/>
      <c r="S2361" s="651"/>
    </row>
    <row r="2362" spans="12:19" ht="15.75" customHeight="1" x14ac:dyDescent="0.35">
      <c r="L2362" s="2"/>
      <c r="M2362" s="2"/>
      <c r="N2362" s="650"/>
      <c r="O2362" s="650"/>
      <c r="P2362" s="651"/>
      <c r="Q2362" s="651"/>
      <c r="R2362" s="651"/>
      <c r="S2362" s="651"/>
    </row>
    <row r="2363" spans="12:19" ht="15.75" customHeight="1" x14ac:dyDescent="0.35">
      <c r="L2363" s="2"/>
      <c r="M2363" s="2"/>
      <c r="N2363" s="650"/>
      <c r="O2363" s="650"/>
      <c r="P2363" s="651"/>
      <c r="Q2363" s="651"/>
      <c r="R2363" s="651"/>
      <c r="S2363" s="651"/>
    </row>
    <row r="2364" spans="12:19" ht="15.75" customHeight="1" x14ac:dyDescent="0.35">
      <c r="L2364" s="2"/>
      <c r="M2364" s="2"/>
      <c r="N2364" s="650"/>
      <c r="O2364" s="650"/>
      <c r="P2364" s="651"/>
      <c r="Q2364" s="651"/>
      <c r="R2364" s="651"/>
      <c r="S2364" s="651"/>
    </row>
    <row r="2365" spans="12:19" ht="15.75" customHeight="1" x14ac:dyDescent="0.35">
      <c r="L2365" s="2"/>
      <c r="M2365" s="2"/>
      <c r="N2365" s="650"/>
      <c r="O2365" s="650"/>
      <c r="P2365" s="651"/>
      <c r="Q2365" s="651"/>
      <c r="R2365" s="651"/>
      <c r="S2365" s="651"/>
    </row>
    <row r="2366" spans="12:19" ht="15.75" customHeight="1" x14ac:dyDescent="0.35">
      <c r="L2366" s="2"/>
      <c r="M2366" s="2"/>
      <c r="N2366" s="650"/>
      <c r="O2366" s="650"/>
      <c r="P2366" s="651"/>
      <c r="Q2366" s="651"/>
      <c r="R2366" s="651"/>
      <c r="S2366" s="651"/>
    </row>
    <row r="2367" spans="12:19" ht="15.75" customHeight="1" x14ac:dyDescent="0.35">
      <c r="L2367" s="2"/>
      <c r="M2367" s="2"/>
      <c r="N2367" s="650"/>
      <c r="O2367" s="650"/>
      <c r="P2367" s="651"/>
      <c r="Q2367" s="651"/>
      <c r="R2367" s="651"/>
      <c r="S2367" s="651"/>
    </row>
    <row r="2368" spans="12:19" ht="15.75" customHeight="1" x14ac:dyDescent="0.35">
      <c r="L2368" s="2"/>
      <c r="M2368" s="2"/>
      <c r="N2368" s="650"/>
      <c r="O2368" s="650"/>
      <c r="P2368" s="651"/>
      <c r="Q2368" s="651"/>
      <c r="R2368" s="651"/>
      <c r="S2368" s="651"/>
    </row>
    <row r="2369" spans="12:19" ht="15.75" customHeight="1" x14ac:dyDescent="0.35">
      <c r="L2369" s="2"/>
      <c r="M2369" s="2"/>
      <c r="N2369" s="650"/>
      <c r="O2369" s="650"/>
      <c r="P2369" s="651"/>
      <c r="Q2369" s="651"/>
      <c r="R2369" s="651"/>
      <c r="S2369" s="651"/>
    </row>
    <row r="2370" spans="12:19" ht="15.75" customHeight="1" x14ac:dyDescent="0.35">
      <c r="L2370" s="2"/>
      <c r="M2370" s="2"/>
      <c r="N2370" s="650"/>
      <c r="O2370" s="650"/>
      <c r="P2370" s="651"/>
      <c r="Q2370" s="651"/>
      <c r="R2370" s="651"/>
      <c r="S2370" s="651"/>
    </row>
    <row r="2371" spans="12:19" ht="15.75" customHeight="1" x14ac:dyDescent="0.35">
      <c r="L2371" s="2"/>
      <c r="M2371" s="2"/>
      <c r="N2371" s="650"/>
      <c r="O2371" s="650"/>
      <c r="P2371" s="651"/>
      <c r="Q2371" s="651"/>
      <c r="R2371" s="651"/>
      <c r="S2371" s="651"/>
    </row>
    <row r="2372" spans="12:19" ht="15.75" customHeight="1" x14ac:dyDescent="0.35">
      <c r="L2372" s="2"/>
      <c r="M2372" s="2"/>
      <c r="N2372" s="650"/>
      <c r="O2372" s="650"/>
      <c r="P2372" s="651"/>
      <c r="Q2372" s="651"/>
      <c r="R2372" s="651"/>
      <c r="S2372" s="651"/>
    </row>
    <row r="2373" spans="12:19" ht="15.75" customHeight="1" x14ac:dyDescent="0.35">
      <c r="L2373" s="2"/>
      <c r="M2373" s="2"/>
      <c r="N2373" s="650"/>
      <c r="O2373" s="650"/>
      <c r="P2373" s="651"/>
      <c r="Q2373" s="651"/>
      <c r="R2373" s="651"/>
      <c r="S2373" s="651"/>
    </row>
    <row r="2374" spans="12:19" ht="15.75" customHeight="1" x14ac:dyDescent="0.35">
      <c r="L2374" s="2"/>
      <c r="M2374" s="2"/>
      <c r="N2374" s="650"/>
      <c r="O2374" s="650"/>
      <c r="P2374" s="651"/>
      <c r="Q2374" s="651"/>
      <c r="R2374" s="651"/>
      <c r="S2374" s="651"/>
    </row>
    <row r="2375" spans="12:19" ht="15.75" customHeight="1" x14ac:dyDescent="0.35">
      <c r="L2375" s="2"/>
      <c r="M2375" s="2"/>
      <c r="N2375" s="650"/>
      <c r="O2375" s="650"/>
      <c r="P2375" s="651"/>
      <c r="Q2375" s="651"/>
      <c r="R2375" s="651"/>
      <c r="S2375" s="651"/>
    </row>
    <row r="2376" spans="12:19" ht="15.75" customHeight="1" x14ac:dyDescent="0.35">
      <c r="L2376" s="2"/>
      <c r="M2376" s="2"/>
      <c r="N2376" s="650"/>
      <c r="O2376" s="650"/>
      <c r="P2376" s="651"/>
      <c r="Q2376" s="651"/>
      <c r="R2376" s="651"/>
      <c r="S2376" s="651"/>
    </row>
    <row r="2377" spans="12:19" ht="15.75" customHeight="1" x14ac:dyDescent="0.35">
      <c r="L2377" s="2"/>
      <c r="M2377" s="2"/>
      <c r="N2377" s="650"/>
      <c r="O2377" s="650"/>
      <c r="P2377" s="651"/>
      <c r="Q2377" s="651"/>
      <c r="R2377" s="651"/>
      <c r="S2377" s="651"/>
    </row>
    <row r="2378" spans="12:19" ht="15.75" customHeight="1" x14ac:dyDescent="0.35">
      <c r="L2378" s="2"/>
      <c r="M2378" s="2"/>
      <c r="N2378" s="650"/>
      <c r="O2378" s="650"/>
      <c r="P2378" s="651"/>
      <c r="Q2378" s="651"/>
      <c r="R2378" s="651"/>
      <c r="S2378" s="651"/>
    </row>
    <row r="2379" spans="12:19" ht="15.75" customHeight="1" x14ac:dyDescent="0.35">
      <c r="L2379" s="2"/>
      <c r="M2379" s="2"/>
      <c r="N2379" s="650"/>
      <c r="O2379" s="650"/>
      <c r="P2379" s="651"/>
      <c r="Q2379" s="651"/>
      <c r="R2379" s="651"/>
      <c r="S2379" s="651"/>
    </row>
    <row r="2380" spans="12:19" ht="15.75" customHeight="1" x14ac:dyDescent="0.35">
      <c r="L2380" s="2"/>
      <c r="M2380" s="2"/>
      <c r="N2380" s="650"/>
      <c r="O2380" s="650"/>
      <c r="P2380" s="651"/>
      <c r="Q2380" s="651"/>
      <c r="R2380" s="651"/>
      <c r="S2380" s="651"/>
    </row>
    <row r="2381" spans="12:19" ht="15.75" customHeight="1" x14ac:dyDescent="0.35">
      <c r="L2381" s="2"/>
      <c r="M2381" s="2"/>
      <c r="N2381" s="650"/>
      <c r="O2381" s="650"/>
      <c r="P2381" s="651"/>
      <c r="Q2381" s="651"/>
      <c r="R2381" s="651"/>
      <c r="S2381" s="651"/>
    </row>
    <row r="2382" spans="12:19" ht="15.75" customHeight="1" x14ac:dyDescent="0.35">
      <c r="L2382" s="2"/>
      <c r="M2382" s="2"/>
      <c r="N2382" s="650"/>
      <c r="O2382" s="650"/>
      <c r="P2382" s="651"/>
      <c r="Q2382" s="651"/>
      <c r="R2382" s="651"/>
      <c r="S2382" s="651"/>
    </row>
    <row r="2383" spans="12:19" ht="15.75" customHeight="1" x14ac:dyDescent="0.35">
      <c r="L2383" s="2"/>
      <c r="M2383" s="2"/>
      <c r="N2383" s="650"/>
      <c r="O2383" s="650"/>
      <c r="P2383" s="651"/>
      <c r="Q2383" s="651"/>
      <c r="R2383" s="651"/>
      <c r="S2383" s="651"/>
    </row>
    <row r="2384" spans="12:19" ht="15.75" customHeight="1" x14ac:dyDescent="0.35">
      <c r="L2384" s="2"/>
      <c r="M2384" s="2"/>
      <c r="N2384" s="650"/>
      <c r="O2384" s="650"/>
      <c r="P2384" s="651"/>
      <c r="Q2384" s="651"/>
      <c r="R2384" s="651"/>
      <c r="S2384" s="651"/>
    </row>
    <row r="2385" spans="12:19" ht="15.75" customHeight="1" x14ac:dyDescent="0.35">
      <c r="L2385" s="2"/>
      <c r="M2385" s="2"/>
      <c r="N2385" s="650"/>
      <c r="O2385" s="650"/>
      <c r="P2385" s="651"/>
      <c r="Q2385" s="651"/>
      <c r="R2385" s="651"/>
      <c r="S2385" s="651"/>
    </row>
    <row r="2386" spans="12:19" ht="15.75" customHeight="1" x14ac:dyDescent="0.35">
      <c r="L2386" s="2"/>
      <c r="M2386" s="2"/>
      <c r="N2386" s="650"/>
      <c r="O2386" s="650"/>
      <c r="P2386" s="651"/>
      <c r="Q2386" s="651"/>
      <c r="R2386" s="651"/>
      <c r="S2386" s="651"/>
    </row>
    <row r="2387" spans="12:19" ht="15.75" customHeight="1" x14ac:dyDescent="0.35">
      <c r="L2387" s="2"/>
      <c r="M2387" s="2"/>
      <c r="N2387" s="650"/>
      <c r="O2387" s="650"/>
      <c r="P2387" s="651"/>
      <c r="Q2387" s="651"/>
      <c r="R2387" s="651"/>
      <c r="S2387" s="651"/>
    </row>
    <row r="2388" spans="12:19" ht="15.75" customHeight="1" x14ac:dyDescent="0.35">
      <c r="L2388" s="2"/>
      <c r="M2388" s="2"/>
      <c r="N2388" s="650"/>
      <c r="O2388" s="650"/>
      <c r="P2388" s="651"/>
      <c r="Q2388" s="651"/>
      <c r="R2388" s="651"/>
      <c r="S2388" s="651"/>
    </row>
    <row r="2389" spans="12:19" ht="15.75" customHeight="1" x14ac:dyDescent="0.35">
      <c r="L2389" s="2"/>
      <c r="M2389" s="2"/>
      <c r="N2389" s="650"/>
      <c r="O2389" s="650"/>
      <c r="P2389" s="651"/>
      <c r="Q2389" s="651"/>
      <c r="R2389" s="651"/>
      <c r="S2389" s="651"/>
    </row>
    <row r="2390" spans="12:19" ht="15.75" customHeight="1" x14ac:dyDescent="0.35">
      <c r="L2390" s="2"/>
      <c r="M2390" s="2"/>
      <c r="N2390" s="650"/>
      <c r="O2390" s="650"/>
      <c r="P2390" s="651"/>
      <c r="Q2390" s="651"/>
      <c r="R2390" s="651"/>
      <c r="S2390" s="651"/>
    </row>
    <row r="2391" spans="12:19" ht="15.75" customHeight="1" x14ac:dyDescent="0.35">
      <c r="L2391" s="2"/>
      <c r="M2391" s="2"/>
      <c r="N2391" s="650"/>
      <c r="O2391" s="650"/>
      <c r="P2391" s="651"/>
      <c r="Q2391" s="651"/>
      <c r="R2391" s="651"/>
      <c r="S2391" s="651"/>
    </row>
    <row r="2392" spans="12:19" ht="15.75" customHeight="1" x14ac:dyDescent="0.35">
      <c r="L2392" s="2"/>
      <c r="M2392" s="2"/>
      <c r="N2392" s="650"/>
      <c r="O2392" s="650"/>
      <c r="P2392" s="651"/>
      <c r="Q2392" s="651"/>
      <c r="R2392" s="651"/>
      <c r="S2392" s="651"/>
    </row>
    <row r="2393" spans="12:19" ht="15.75" customHeight="1" x14ac:dyDescent="0.35">
      <c r="L2393" s="2"/>
      <c r="M2393" s="2"/>
      <c r="N2393" s="650"/>
      <c r="O2393" s="650"/>
      <c r="P2393" s="651"/>
      <c r="Q2393" s="651"/>
      <c r="R2393" s="651"/>
      <c r="S2393" s="651"/>
    </row>
    <row r="2394" spans="12:19" ht="15.75" customHeight="1" x14ac:dyDescent="0.35">
      <c r="L2394" s="2"/>
      <c r="M2394" s="2"/>
      <c r="N2394" s="650"/>
      <c r="O2394" s="650"/>
      <c r="P2394" s="651"/>
      <c r="Q2394" s="651"/>
      <c r="R2394" s="651"/>
      <c r="S2394" s="651"/>
    </row>
    <row r="2395" spans="12:19" ht="15.75" customHeight="1" x14ac:dyDescent="0.35">
      <c r="L2395" s="2"/>
      <c r="M2395" s="2"/>
      <c r="N2395" s="650"/>
      <c r="O2395" s="650"/>
      <c r="P2395" s="651"/>
      <c r="Q2395" s="651"/>
      <c r="R2395" s="651"/>
      <c r="S2395" s="651"/>
    </row>
    <row r="2396" spans="12:19" ht="15.75" customHeight="1" x14ac:dyDescent="0.35">
      <c r="L2396" s="2"/>
      <c r="M2396" s="2"/>
      <c r="N2396" s="650"/>
      <c r="O2396" s="650"/>
      <c r="P2396" s="651"/>
      <c r="Q2396" s="651"/>
      <c r="R2396" s="651"/>
      <c r="S2396" s="651"/>
    </row>
    <row r="2397" spans="12:19" ht="15.75" customHeight="1" x14ac:dyDescent="0.35">
      <c r="L2397" s="2"/>
      <c r="M2397" s="2"/>
      <c r="N2397" s="650"/>
      <c r="O2397" s="650"/>
      <c r="P2397" s="651"/>
      <c r="Q2397" s="651"/>
      <c r="R2397" s="651"/>
      <c r="S2397" s="651"/>
    </row>
    <row r="2398" spans="12:19" ht="15.75" customHeight="1" x14ac:dyDescent="0.35">
      <c r="L2398" s="2"/>
      <c r="M2398" s="2"/>
      <c r="N2398" s="650"/>
      <c r="O2398" s="650"/>
      <c r="P2398" s="651"/>
      <c r="Q2398" s="651"/>
      <c r="R2398" s="651"/>
      <c r="S2398" s="651"/>
    </row>
    <row r="2399" spans="12:19" ht="15.75" customHeight="1" x14ac:dyDescent="0.35">
      <c r="L2399" s="2"/>
      <c r="M2399" s="2"/>
      <c r="N2399" s="650"/>
      <c r="O2399" s="650"/>
      <c r="P2399" s="651"/>
      <c r="Q2399" s="651"/>
      <c r="R2399" s="651"/>
      <c r="S2399" s="651"/>
    </row>
    <row r="2400" spans="12:19" ht="15.75" customHeight="1" x14ac:dyDescent="0.35">
      <c r="L2400" s="2"/>
      <c r="M2400" s="2"/>
      <c r="N2400" s="650"/>
      <c r="O2400" s="650"/>
      <c r="P2400" s="651"/>
      <c r="Q2400" s="651"/>
      <c r="R2400" s="651"/>
      <c r="S2400" s="651"/>
    </row>
    <row r="2401" spans="12:19" ht="15.75" customHeight="1" x14ac:dyDescent="0.35">
      <c r="L2401" s="2"/>
      <c r="M2401" s="2"/>
      <c r="N2401" s="650"/>
      <c r="O2401" s="650"/>
      <c r="P2401" s="651"/>
      <c r="Q2401" s="651"/>
      <c r="R2401" s="651"/>
      <c r="S2401" s="651"/>
    </row>
    <row r="2402" spans="12:19" ht="15.75" customHeight="1" x14ac:dyDescent="0.35">
      <c r="L2402" s="2"/>
      <c r="M2402" s="2"/>
      <c r="N2402" s="650"/>
      <c r="O2402" s="650"/>
      <c r="P2402" s="651"/>
      <c r="Q2402" s="651"/>
      <c r="R2402" s="651"/>
      <c r="S2402" s="651"/>
    </row>
    <row r="2403" spans="12:19" ht="15.75" customHeight="1" x14ac:dyDescent="0.35">
      <c r="L2403" s="2"/>
      <c r="M2403" s="2"/>
      <c r="N2403" s="650"/>
      <c r="O2403" s="650"/>
      <c r="P2403" s="651"/>
      <c r="Q2403" s="651"/>
      <c r="R2403" s="651"/>
      <c r="S2403" s="651"/>
    </row>
    <row r="2404" spans="12:19" ht="15.75" customHeight="1" x14ac:dyDescent="0.35">
      <c r="L2404" s="2"/>
      <c r="M2404" s="2"/>
      <c r="N2404" s="650"/>
      <c r="O2404" s="650"/>
      <c r="P2404" s="651"/>
      <c r="Q2404" s="651"/>
      <c r="R2404" s="651"/>
      <c r="S2404" s="651"/>
    </row>
    <row r="2405" spans="12:19" ht="15.75" customHeight="1" x14ac:dyDescent="0.35">
      <c r="L2405" s="2"/>
      <c r="M2405" s="2"/>
      <c r="N2405" s="650"/>
      <c r="O2405" s="650"/>
      <c r="P2405" s="651"/>
      <c r="Q2405" s="651"/>
      <c r="R2405" s="651"/>
      <c r="S2405" s="651"/>
    </row>
    <row r="2406" spans="12:19" ht="15.75" customHeight="1" x14ac:dyDescent="0.35">
      <c r="L2406" s="2"/>
      <c r="M2406" s="2"/>
      <c r="N2406" s="650"/>
      <c r="O2406" s="650"/>
      <c r="P2406" s="651"/>
      <c r="Q2406" s="651"/>
      <c r="R2406" s="651"/>
      <c r="S2406" s="651"/>
    </row>
    <row r="2407" spans="12:19" ht="15.75" customHeight="1" x14ac:dyDescent="0.35">
      <c r="L2407" s="2"/>
      <c r="M2407" s="2"/>
      <c r="N2407" s="650"/>
      <c r="O2407" s="650"/>
      <c r="P2407" s="651"/>
      <c r="Q2407" s="651"/>
      <c r="R2407" s="651"/>
      <c r="S2407" s="651"/>
    </row>
    <row r="2408" spans="12:19" ht="15.75" customHeight="1" x14ac:dyDescent="0.35">
      <c r="L2408" s="2"/>
      <c r="M2408" s="2"/>
      <c r="N2408" s="650"/>
      <c r="O2408" s="650"/>
      <c r="P2408" s="651"/>
      <c r="Q2408" s="651"/>
      <c r="R2408" s="651"/>
      <c r="S2408" s="651"/>
    </row>
    <row r="2409" spans="12:19" ht="15.75" customHeight="1" x14ac:dyDescent="0.35">
      <c r="L2409" s="2"/>
      <c r="M2409" s="2"/>
      <c r="N2409" s="650"/>
      <c r="O2409" s="650"/>
      <c r="P2409" s="651"/>
      <c r="Q2409" s="651"/>
      <c r="R2409" s="651"/>
      <c r="S2409" s="651"/>
    </row>
    <row r="2410" spans="12:19" ht="15.75" customHeight="1" x14ac:dyDescent="0.35">
      <c r="L2410" s="2"/>
      <c r="M2410" s="2"/>
      <c r="N2410" s="650"/>
      <c r="O2410" s="650"/>
      <c r="P2410" s="651"/>
      <c r="Q2410" s="651"/>
      <c r="R2410" s="651"/>
      <c r="S2410" s="651"/>
    </row>
    <row r="2411" spans="12:19" ht="15.75" customHeight="1" x14ac:dyDescent="0.35">
      <c r="L2411" s="2"/>
      <c r="M2411" s="2"/>
      <c r="N2411" s="650"/>
      <c r="O2411" s="650"/>
      <c r="P2411" s="651"/>
      <c r="Q2411" s="651"/>
      <c r="R2411" s="651"/>
      <c r="S2411" s="651"/>
    </row>
    <row r="2412" spans="12:19" ht="15.75" customHeight="1" x14ac:dyDescent="0.35">
      <c r="L2412" s="2"/>
      <c r="M2412" s="2"/>
      <c r="N2412" s="650"/>
      <c r="O2412" s="650"/>
      <c r="P2412" s="651"/>
      <c r="Q2412" s="651"/>
      <c r="R2412" s="651"/>
      <c r="S2412" s="651"/>
    </row>
    <row r="2413" spans="12:19" ht="15.75" customHeight="1" x14ac:dyDescent="0.35">
      <c r="L2413" s="2"/>
      <c r="M2413" s="2"/>
      <c r="N2413" s="650"/>
      <c r="O2413" s="650"/>
      <c r="P2413" s="651"/>
      <c r="Q2413" s="651"/>
      <c r="R2413" s="651"/>
      <c r="S2413" s="651"/>
    </row>
    <row r="2414" spans="12:19" ht="15.75" customHeight="1" x14ac:dyDescent="0.35">
      <c r="L2414" s="2"/>
      <c r="M2414" s="2"/>
      <c r="N2414" s="650"/>
      <c r="O2414" s="650"/>
      <c r="P2414" s="651"/>
      <c r="Q2414" s="651"/>
      <c r="R2414" s="651"/>
      <c r="S2414" s="651"/>
    </row>
    <row r="2415" spans="12:19" ht="15.75" customHeight="1" x14ac:dyDescent="0.35">
      <c r="L2415" s="2"/>
      <c r="M2415" s="2"/>
      <c r="N2415" s="650"/>
      <c r="O2415" s="650"/>
      <c r="P2415" s="651"/>
      <c r="Q2415" s="651"/>
      <c r="R2415" s="651"/>
      <c r="S2415" s="651"/>
    </row>
    <row r="2416" spans="12:19" ht="15.75" customHeight="1" x14ac:dyDescent="0.35">
      <c r="L2416" s="2"/>
      <c r="M2416" s="2"/>
      <c r="N2416" s="650"/>
      <c r="O2416" s="650"/>
      <c r="P2416" s="651"/>
      <c r="Q2416" s="651"/>
      <c r="R2416" s="651"/>
      <c r="S2416" s="651"/>
    </row>
    <row r="2417" spans="12:19" ht="15.75" customHeight="1" x14ac:dyDescent="0.35">
      <c r="L2417" s="2"/>
      <c r="M2417" s="2"/>
      <c r="N2417" s="650"/>
      <c r="O2417" s="650"/>
      <c r="P2417" s="651"/>
      <c r="Q2417" s="651"/>
      <c r="R2417" s="651"/>
      <c r="S2417" s="651"/>
    </row>
    <row r="2418" spans="12:19" ht="15.75" customHeight="1" x14ac:dyDescent="0.35">
      <c r="L2418" s="2"/>
      <c r="M2418" s="2"/>
      <c r="N2418" s="650"/>
      <c r="O2418" s="650"/>
      <c r="P2418" s="651"/>
      <c r="Q2418" s="651"/>
      <c r="R2418" s="651"/>
      <c r="S2418" s="651"/>
    </row>
    <row r="2419" spans="12:19" ht="15.75" customHeight="1" x14ac:dyDescent="0.35">
      <c r="L2419" s="2"/>
      <c r="M2419" s="2"/>
      <c r="N2419" s="650"/>
      <c r="O2419" s="650"/>
      <c r="P2419" s="651"/>
      <c r="Q2419" s="651"/>
      <c r="R2419" s="651"/>
      <c r="S2419" s="651"/>
    </row>
    <row r="2420" spans="12:19" ht="15.75" customHeight="1" x14ac:dyDescent="0.35">
      <c r="L2420" s="2"/>
      <c r="M2420" s="2"/>
      <c r="N2420" s="650"/>
      <c r="O2420" s="650"/>
      <c r="P2420" s="651"/>
      <c r="Q2420" s="651"/>
      <c r="R2420" s="651"/>
      <c r="S2420" s="651"/>
    </row>
    <row r="2421" spans="12:19" ht="15.75" customHeight="1" x14ac:dyDescent="0.35">
      <c r="L2421" s="2"/>
      <c r="M2421" s="2"/>
      <c r="N2421" s="650"/>
      <c r="O2421" s="650"/>
      <c r="P2421" s="651"/>
      <c r="Q2421" s="651"/>
      <c r="R2421" s="651"/>
      <c r="S2421" s="651"/>
    </row>
    <row r="2422" spans="12:19" ht="15.75" customHeight="1" x14ac:dyDescent="0.35">
      <c r="L2422" s="2"/>
      <c r="M2422" s="2"/>
      <c r="N2422" s="650"/>
      <c r="O2422" s="650"/>
      <c r="P2422" s="651"/>
      <c r="Q2422" s="651"/>
      <c r="R2422" s="651"/>
      <c r="S2422" s="651"/>
    </row>
    <row r="2423" spans="12:19" ht="15.75" customHeight="1" x14ac:dyDescent="0.35">
      <c r="L2423" s="2"/>
      <c r="M2423" s="2"/>
      <c r="N2423" s="650"/>
      <c r="O2423" s="650"/>
      <c r="P2423" s="651"/>
      <c r="Q2423" s="651"/>
      <c r="R2423" s="651"/>
      <c r="S2423" s="651"/>
    </row>
    <row r="2424" spans="12:19" ht="15.75" customHeight="1" x14ac:dyDescent="0.35">
      <c r="L2424" s="2"/>
      <c r="M2424" s="2"/>
      <c r="N2424" s="650"/>
      <c r="O2424" s="650"/>
      <c r="P2424" s="651"/>
      <c r="Q2424" s="651"/>
      <c r="R2424" s="651"/>
      <c r="S2424" s="651"/>
    </row>
    <row r="2425" spans="12:19" ht="15.75" customHeight="1" x14ac:dyDescent="0.35">
      <c r="L2425" s="2"/>
      <c r="M2425" s="2"/>
      <c r="N2425" s="650"/>
      <c r="O2425" s="650"/>
      <c r="P2425" s="651"/>
      <c r="Q2425" s="651"/>
      <c r="R2425" s="651"/>
      <c r="S2425" s="651"/>
    </row>
    <row r="2426" spans="12:19" ht="15.75" customHeight="1" x14ac:dyDescent="0.35">
      <c r="L2426" s="2"/>
      <c r="M2426" s="2"/>
      <c r="N2426" s="650"/>
      <c r="O2426" s="650"/>
      <c r="P2426" s="651"/>
      <c r="Q2426" s="651"/>
      <c r="R2426" s="651"/>
      <c r="S2426" s="651"/>
    </row>
    <row r="2427" spans="12:19" ht="15.75" customHeight="1" x14ac:dyDescent="0.35">
      <c r="L2427" s="2"/>
      <c r="M2427" s="2"/>
      <c r="N2427" s="650"/>
      <c r="O2427" s="650"/>
      <c r="P2427" s="651"/>
      <c r="Q2427" s="651"/>
      <c r="R2427" s="651"/>
      <c r="S2427" s="651"/>
    </row>
    <row r="2428" spans="12:19" ht="15.75" customHeight="1" x14ac:dyDescent="0.35">
      <c r="L2428" s="2"/>
      <c r="M2428" s="2"/>
      <c r="N2428" s="650"/>
      <c r="O2428" s="650"/>
      <c r="P2428" s="651"/>
      <c r="Q2428" s="651"/>
      <c r="R2428" s="651"/>
      <c r="S2428" s="651"/>
    </row>
    <row r="2429" spans="12:19" ht="15.75" customHeight="1" x14ac:dyDescent="0.35">
      <c r="L2429" s="2"/>
      <c r="M2429" s="2"/>
      <c r="N2429" s="650"/>
      <c r="O2429" s="650"/>
      <c r="P2429" s="651"/>
      <c r="Q2429" s="651"/>
      <c r="R2429" s="651"/>
      <c r="S2429" s="651"/>
    </row>
    <row r="2430" spans="12:19" ht="15.75" customHeight="1" x14ac:dyDescent="0.35">
      <c r="L2430" s="2"/>
      <c r="M2430" s="2"/>
      <c r="N2430" s="650"/>
      <c r="O2430" s="650"/>
      <c r="P2430" s="651"/>
      <c r="Q2430" s="651"/>
      <c r="R2430" s="651"/>
      <c r="S2430" s="651"/>
    </row>
    <row r="2431" spans="12:19" ht="15.75" customHeight="1" x14ac:dyDescent="0.35">
      <c r="L2431" s="2"/>
      <c r="M2431" s="2"/>
      <c r="N2431" s="650"/>
      <c r="O2431" s="650"/>
      <c r="P2431" s="651"/>
      <c r="Q2431" s="651"/>
      <c r="R2431" s="651"/>
      <c r="S2431" s="651"/>
    </row>
    <row r="2432" spans="12:19" ht="15.75" customHeight="1" x14ac:dyDescent="0.35">
      <c r="L2432" s="2"/>
      <c r="M2432" s="2"/>
      <c r="N2432" s="650"/>
      <c r="O2432" s="650"/>
      <c r="P2432" s="651"/>
      <c r="Q2432" s="651"/>
      <c r="R2432" s="651"/>
      <c r="S2432" s="651"/>
    </row>
    <row r="2433" spans="12:19" ht="15.75" customHeight="1" x14ac:dyDescent="0.35">
      <c r="L2433" s="2"/>
      <c r="M2433" s="2"/>
      <c r="N2433" s="650"/>
      <c r="O2433" s="650"/>
      <c r="P2433" s="651"/>
      <c r="Q2433" s="651"/>
      <c r="R2433" s="651"/>
      <c r="S2433" s="651"/>
    </row>
    <row r="2434" spans="12:19" ht="15.75" customHeight="1" x14ac:dyDescent="0.35">
      <c r="L2434" s="2"/>
      <c r="M2434" s="2"/>
      <c r="N2434" s="650"/>
      <c r="O2434" s="650"/>
      <c r="P2434" s="651"/>
      <c r="Q2434" s="651"/>
      <c r="R2434" s="651"/>
      <c r="S2434" s="651"/>
    </row>
    <row r="2435" spans="12:19" ht="15.75" customHeight="1" x14ac:dyDescent="0.35">
      <c r="L2435" s="2"/>
      <c r="M2435" s="2"/>
      <c r="N2435" s="650"/>
      <c r="O2435" s="650"/>
      <c r="P2435" s="651"/>
      <c r="Q2435" s="651"/>
      <c r="R2435" s="651"/>
      <c r="S2435" s="651"/>
    </row>
    <row r="2436" spans="12:19" ht="15.75" customHeight="1" x14ac:dyDescent="0.35">
      <c r="L2436" s="2"/>
      <c r="M2436" s="2"/>
      <c r="N2436" s="650"/>
      <c r="O2436" s="650"/>
      <c r="P2436" s="651"/>
      <c r="Q2436" s="651"/>
      <c r="R2436" s="651"/>
      <c r="S2436" s="651"/>
    </row>
    <row r="2437" spans="12:19" ht="15.75" customHeight="1" x14ac:dyDescent="0.35">
      <c r="L2437" s="2"/>
      <c r="M2437" s="2"/>
      <c r="N2437" s="650"/>
      <c r="O2437" s="650"/>
      <c r="P2437" s="651"/>
      <c r="Q2437" s="651"/>
      <c r="R2437" s="651"/>
      <c r="S2437" s="651"/>
    </row>
    <row r="2438" spans="12:19" ht="15.75" customHeight="1" x14ac:dyDescent="0.35">
      <c r="L2438" s="2"/>
      <c r="M2438" s="2"/>
      <c r="N2438" s="650"/>
      <c r="O2438" s="650"/>
      <c r="P2438" s="651"/>
      <c r="Q2438" s="651"/>
      <c r="R2438" s="651"/>
      <c r="S2438" s="651"/>
    </row>
    <row r="2439" spans="12:19" ht="15.75" customHeight="1" x14ac:dyDescent="0.35">
      <c r="L2439" s="2"/>
      <c r="M2439" s="2"/>
      <c r="N2439" s="650"/>
      <c r="O2439" s="650"/>
      <c r="P2439" s="651"/>
      <c r="Q2439" s="651"/>
      <c r="R2439" s="651"/>
      <c r="S2439" s="651"/>
    </row>
    <row r="2440" spans="12:19" ht="15.75" customHeight="1" x14ac:dyDescent="0.35">
      <c r="L2440" s="2"/>
      <c r="M2440" s="2"/>
      <c r="N2440" s="650"/>
      <c r="O2440" s="650"/>
      <c r="P2440" s="651"/>
      <c r="Q2440" s="651"/>
      <c r="R2440" s="651"/>
      <c r="S2440" s="651"/>
    </row>
    <row r="2441" spans="12:19" ht="15.75" customHeight="1" x14ac:dyDescent="0.35">
      <c r="L2441" s="2"/>
      <c r="M2441" s="2"/>
      <c r="N2441" s="650"/>
      <c r="O2441" s="650"/>
      <c r="P2441" s="651"/>
      <c r="Q2441" s="651"/>
      <c r="R2441" s="651"/>
      <c r="S2441" s="651"/>
    </row>
    <row r="2442" spans="12:19" ht="15.75" customHeight="1" x14ac:dyDescent="0.35">
      <c r="L2442" s="2"/>
      <c r="M2442" s="2"/>
      <c r="N2442" s="650"/>
      <c r="O2442" s="650"/>
      <c r="P2442" s="651"/>
      <c r="Q2442" s="651"/>
      <c r="R2442" s="651"/>
      <c r="S2442" s="651"/>
    </row>
    <row r="2443" spans="12:19" ht="15.75" customHeight="1" x14ac:dyDescent="0.35">
      <c r="L2443" s="2"/>
      <c r="M2443" s="2"/>
      <c r="N2443" s="650"/>
      <c r="O2443" s="650"/>
      <c r="P2443" s="651"/>
      <c r="Q2443" s="651"/>
      <c r="R2443" s="651"/>
      <c r="S2443" s="651"/>
    </row>
    <row r="2444" spans="12:19" ht="15.75" customHeight="1" x14ac:dyDescent="0.35">
      <c r="L2444" s="2"/>
      <c r="M2444" s="2"/>
      <c r="N2444" s="650"/>
      <c r="O2444" s="650"/>
      <c r="P2444" s="651"/>
      <c r="Q2444" s="651"/>
      <c r="R2444" s="651"/>
      <c r="S2444" s="651"/>
    </row>
    <row r="2445" spans="12:19" ht="15.75" customHeight="1" x14ac:dyDescent="0.35">
      <c r="L2445" s="2"/>
      <c r="M2445" s="2"/>
      <c r="N2445" s="650"/>
      <c r="O2445" s="650"/>
      <c r="P2445" s="651"/>
      <c r="Q2445" s="651"/>
      <c r="R2445" s="651"/>
      <c r="S2445" s="651"/>
    </row>
    <row r="2446" spans="12:19" ht="15.75" customHeight="1" x14ac:dyDescent="0.35">
      <c r="L2446" s="2"/>
      <c r="M2446" s="2"/>
      <c r="N2446" s="650"/>
      <c r="O2446" s="650"/>
      <c r="P2446" s="651"/>
      <c r="Q2446" s="651"/>
      <c r="R2446" s="651"/>
      <c r="S2446" s="651"/>
    </row>
    <row r="2447" spans="12:19" ht="15.75" customHeight="1" x14ac:dyDescent="0.35">
      <c r="L2447" s="2"/>
      <c r="M2447" s="2"/>
      <c r="N2447" s="650"/>
      <c r="O2447" s="650"/>
      <c r="P2447" s="651"/>
      <c r="Q2447" s="651"/>
      <c r="R2447" s="651"/>
      <c r="S2447" s="651"/>
    </row>
    <row r="2448" spans="12:19" ht="15.75" customHeight="1" x14ac:dyDescent="0.35">
      <c r="L2448" s="2"/>
      <c r="M2448" s="2"/>
      <c r="N2448" s="650"/>
      <c r="O2448" s="650"/>
      <c r="P2448" s="651"/>
      <c r="Q2448" s="651"/>
      <c r="R2448" s="651"/>
      <c r="S2448" s="651"/>
    </row>
    <row r="2449" spans="12:19" ht="15.75" customHeight="1" x14ac:dyDescent="0.35">
      <c r="L2449" s="2"/>
      <c r="M2449" s="2"/>
      <c r="N2449" s="650"/>
      <c r="O2449" s="650"/>
      <c r="P2449" s="651"/>
      <c r="Q2449" s="651"/>
      <c r="R2449" s="651"/>
      <c r="S2449" s="651"/>
    </row>
    <row r="2450" spans="12:19" ht="15.75" customHeight="1" x14ac:dyDescent="0.35">
      <c r="L2450" s="2"/>
      <c r="M2450" s="2"/>
      <c r="N2450" s="650"/>
      <c r="O2450" s="650"/>
      <c r="P2450" s="651"/>
      <c r="Q2450" s="651"/>
      <c r="R2450" s="651"/>
      <c r="S2450" s="651"/>
    </row>
    <row r="2451" spans="12:19" ht="15.75" customHeight="1" x14ac:dyDescent="0.35">
      <c r="L2451" s="2"/>
      <c r="M2451" s="2"/>
      <c r="N2451" s="650"/>
      <c r="O2451" s="650"/>
      <c r="P2451" s="651"/>
      <c r="Q2451" s="651"/>
      <c r="R2451" s="651"/>
      <c r="S2451" s="651"/>
    </row>
    <row r="2452" spans="12:19" ht="15.75" customHeight="1" x14ac:dyDescent="0.35">
      <c r="L2452" s="2"/>
      <c r="M2452" s="2"/>
      <c r="N2452" s="650"/>
      <c r="O2452" s="650"/>
      <c r="P2452" s="651"/>
      <c r="Q2452" s="651"/>
      <c r="R2452" s="651"/>
      <c r="S2452" s="651"/>
    </row>
    <row r="2453" spans="12:19" ht="15.75" customHeight="1" x14ac:dyDescent="0.35">
      <c r="L2453" s="2"/>
      <c r="M2453" s="2"/>
      <c r="N2453" s="650"/>
      <c r="O2453" s="650"/>
      <c r="P2453" s="651"/>
      <c r="Q2453" s="651"/>
      <c r="R2453" s="651"/>
      <c r="S2453" s="651"/>
    </row>
    <row r="2454" spans="12:19" ht="15.75" customHeight="1" x14ac:dyDescent="0.35">
      <c r="L2454" s="2"/>
      <c r="M2454" s="2"/>
      <c r="N2454" s="650"/>
      <c r="O2454" s="650"/>
      <c r="P2454" s="651"/>
      <c r="Q2454" s="651"/>
      <c r="R2454" s="651"/>
      <c r="S2454" s="651"/>
    </row>
    <row r="2455" spans="12:19" ht="15.75" customHeight="1" x14ac:dyDescent="0.35">
      <c r="L2455" s="2"/>
      <c r="M2455" s="2"/>
      <c r="N2455" s="650"/>
      <c r="O2455" s="650"/>
      <c r="P2455" s="651"/>
      <c r="Q2455" s="651"/>
      <c r="R2455" s="651"/>
      <c r="S2455" s="651"/>
    </row>
    <row r="2456" spans="12:19" ht="15.75" customHeight="1" x14ac:dyDescent="0.35">
      <c r="L2456" s="2"/>
      <c r="M2456" s="2"/>
      <c r="N2456" s="650"/>
      <c r="O2456" s="650"/>
      <c r="P2456" s="651"/>
      <c r="Q2456" s="651"/>
      <c r="R2456" s="651"/>
      <c r="S2456" s="651"/>
    </row>
    <row r="2457" spans="12:19" ht="15.75" customHeight="1" x14ac:dyDescent="0.35">
      <c r="L2457" s="2"/>
      <c r="M2457" s="2"/>
      <c r="N2457" s="650"/>
      <c r="O2457" s="650"/>
      <c r="P2457" s="651"/>
      <c r="Q2457" s="651"/>
      <c r="R2457" s="651"/>
      <c r="S2457" s="651"/>
    </row>
    <row r="2458" spans="12:19" ht="15.75" customHeight="1" x14ac:dyDescent="0.35">
      <c r="L2458" s="2"/>
      <c r="M2458" s="2"/>
      <c r="N2458" s="650"/>
      <c r="O2458" s="650"/>
      <c r="P2458" s="651"/>
      <c r="Q2458" s="651"/>
      <c r="R2458" s="651"/>
      <c r="S2458" s="651"/>
    </row>
    <row r="2459" spans="12:19" ht="15.75" customHeight="1" x14ac:dyDescent="0.35">
      <c r="L2459" s="2"/>
      <c r="M2459" s="2"/>
      <c r="N2459" s="650"/>
      <c r="O2459" s="650"/>
      <c r="P2459" s="651"/>
      <c r="Q2459" s="651"/>
      <c r="R2459" s="651"/>
      <c r="S2459" s="651"/>
    </row>
    <row r="2460" spans="12:19" ht="15.75" customHeight="1" x14ac:dyDescent="0.35">
      <c r="L2460" s="2"/>
      <c r="M2460" s="2"/>
      <c r="N2460" s="650"/>
      <c r="O2460" s="650"/>
      <c r="P2460" s="651"/>
      <c r="Q2460" s="651"/>
      <c r="R2460" s="651"/>
      <c r="S2460" s="651"/>
    </row>
    <row r="2461" spans="12:19" ht="15.75" customHeight="1" x14ac:dyDescent="0.35">
      <c r="L2461" s="2"/>
      <c r="M2461" s="2"/>
      <c r="N2461" s="650"/>
      <c r="O2461" s="650"/>
      <c r="P2461" s="651"/>
      <c r="Q2461" s="651"/>
      <c r="R2461" s="651"/>
      <c r="S2461" s="651"/>
    </row>
    <row r="2462" spans="12:19" ht="15.75" customHeight="1" x14ac:dyDescent="0.35">
      <c r="L2462" s="2"/>
      <c r="M2462" s="2"/>
      <c r="N2462" s="650"/>
      <c r="O2462" s="650"/>
      <c r="P2462" s="651"/>
      <c r="Q2462" s="651"/>
      <c r="R2462" s="651"/>
      <c r="S2462" s="651"/>
    </row>
    <row r="2463" spans="12:19" ht="15.75" customHeight="1" x14ac:dyDescent="0.35">
      <c r="L2463" s="2"/>
      <c r="M2463" s="2"/>
      <c r="N2463" s="650"/>
      <c r="O2463" s="650"/>
      <c r="P2463" s="651"/>
      <c r="Q2463" s="651"/>
      <c r="R2463" s="651"/>
      <c r="S2463" s="651"/>
    </row>
    <row r="2464" spans="12:19" ht="15.75" customHeight="1" x14ac:dyDescent="0.35">
      <c r="L2464" s="2"/>
      <c r="M2464" s="2"/>
      <c r="N2464" s="650"/>
      <c r="O2464" s="650"/>
      <c r="P2464" s="651"/>
      <c r="Q2464" s="651"/>
      <c r="R2464" s="651"/>
      <c r="S2464" s="651"/>
    </row>
    <row r="2465" spans="12:19" ht="15.75" customHeight="1" x14ac:dyDescent="0.35">
      <c r="L2465" s="2"/>
      <c r="M2465" s="2"/>
      <c r="N2465" s="650"/>
      <c r="O2465" s="650"/>
      <c r="P2465" s="651"/>
      <c r="Q2465" s="651"/>
      <c r="R2465" s="651"/>
      <c r="S2465" s="651"/>
    </row>
    <row r="2466" spans="12:19" ht="15.75" customHeight="1" x14ac:dyDescent="0.35">
      <c r="L2466" s="2"/>
      <c r="M2466" s="2"/>
      <c r="N2466" s="650"/>
      <c r="O2466" s="650"/>
      <c r="P2466" s="651"/>
      <c r="Q2466" s="651"/>
      <c r="R2466" s="651"/>
      <c r="S2466" s="651"/>
    </row>
    <row r="2467" spans="12:19" ht="15.75" customHeight="1" x14ac:dyDescent="0.35">
      <c r="L2467" s="2"/>
      <c r="M2467" s="2"/>
      <c r="N2467" s="650"/>
      <c r="O2467" s="650"/>
      <c r="P2467" s="651"/>
      <c r="Q2467" s="651"/>
      <c r="R2467" s="651"/>
      <c r="S2467" s="651"/>
    </row>
    <row r="2468" spans="12:19" ht="15.75" customHeight="1" x14ac:dyDescent="0.35">
      <c r="L2468" s="2"/>
      <c r="M2468" s="2"/>
      <c r="N2468" s="650"/>
      <c r="O2468" s="650"/>
      <c r="P2468" s="651"/>
      <c r="Q2468" s="651"/>
      <c r="R2468" s="651"/>
      <c r="S2468" s="651"/>
    </row>
    <row r="2469" spans="12:19" ht="15.75" customHeight="1" x14ac:dyDescent="0.35">
      <c r="L2469" s="2"/>
      <c r="M2469" s="2"/>
      <c r="N2469" s="650"/>
      <c r="O2469" s="650"/>
      <c r="P2469" s="651"/>
      <c r="Q2469" s="651"/>
      <c r="R2469" s="651"/>
      <c r="S2469" s="651"/>
    </row>
    <row r="2470" spans="12:19" ht="15.75" customHeight="1" x14ac:dyDescent="0.35">
      <c r="L2470" s="2"/>
      <c r="M2470" s="2"/>
      <c r="N2470" s="650"/>
      <c r="O2470" s="650"/>
      <c r="P2470" s="651"/>
      <c r="Q2470" s="651"/>
      <c r="R2470" s="651"/>
      <c r="S2470" s="651"/>
    </row>
    <row r="2471" spans="12:19" ht="15.75" customHeight="1" x14ac:dyDescent="0.35">
      <c r="L2471" s="2"/>
      <c r="M2471" s="2"/>
      <c r="N2471" s="650"/>
      <c r="O2471" s="650"/>
      <c r="P2471" s="651"/>
      <c r="Q2471" s="651"/>
      <c r="R2471" s="651"/>
      <c r="S2471" s="651"/>
    </row>
    <row r="2472" spans="12:19" ht="15.75" customHeight="1" x14ac:dyDescent="0.35">
      <c r="L2472" s="2"/>
      <c r="M2472" s="2"/>
      <c r="N2472" s="650"/>
      <c r="O2472" s="650"/>
      <c r="P2472" s="651"/>
      <c r="Q2472" s="651"/>
      <c r="R2472" s="651"/>
      <c r="S2472" s="651"/>
    </row>
    <row r="2473" spans="12:19" ht="15.75" customHeight="1" x14ac:dyDescent="0.35">
      <c r="L2473" s="2"/>
      <c r="M2473" s="2"/>
      <c r="N2473" s="650"/>
      <c r="O2473" s="650"/>
      <c r="P2473" s="651"/>
      <c r="Q2473" s="651"/>
      <c r="R2473" s="651"/>
      <c r="S2473" s="651"/>
    </row>
    <row r="2474" spans="12:19" ht="15.75" customHeight="1" x14ac:dyDescent="0.35">
      <c r="L2474" s="2"/>
      <c r="M2474" s="2"/>
      <c r="N2474" s="650"/>
      <c r="O2474" s="650"/>
      <c r="P2474" s="651"/>
      <c r="Q2474" s="651"/>
      <c r="R2474" s="651"/>
      <c r="S2474" s="651"/>
    </row>
    <row r="2475" spans="12:19" ht="15.75" customHeight="1" x14ac:dyDescent="0.35">
      <c r="L2475" s="2"/>
      <c r="M2475" s="2"/>
      <c r="N2475" s="650"/>
      <c r="O2475" s="650"/>
      <c r="P2475" s="651"/>
      <c r="Q2475" s="651"/>
      <c r="R2475" s="651"/>
      <c r="S2475" s="651"/>
    </row>
    <row r="2476" spans="12:19" ht="15.75" customHeight="1" x14ac:dyDescent="0.35">
      <c r="L2476" s="2"/>
      <c r="M2476" s="2"/>
      <c r="N2476" s="650"/>
      <c r="O2476" s="650"/>
      <c r="P2476" s="651"/>
      <c r="Q2476" s="651"/>
      <c r="R2476" s="651"/>
      <c r="S2476" s="651"/>
    </row>
    <row r="2477" spans="12:19" ht="15.75" customHeight="1" x14ac:dyDescent="0.35">
      <c r="L2477" s="2"/>
      <c r="M2477" s="2"/>
      <c r="N2477" s="650"/>
      <c r="O2477" s="650"/>
      <c r="P2477" s="651"/>
      <c r="Q2477" s="651"/>
      <c r="R2477" s="651"/>
      <c r="S2477" s="651"/>
    </row>
    <row r="2478" spans="12:19" ht="15.75" customHeight="1" x14ac:dyDescent="0.35">
      <c r="L2478" s="2"/>
      <c r="M2478" s="2"/>
      <c r="N2478" s="650"/>
      <c r="O2478" s="650"/>
      <c r="P2478" s="651"/>
      <c r="Q2478" s="651"/>
      <c r="R2478" s="651"/>
      <c r="S2478" s="651"/>
    </row>
    <row r="2479" spans="12:19" ht="15.75" customHeight="1" x14ac:dyDescent="0.35">
      <c r="L2479" s="2"/>
      <c r="M2479" s="2"/>
      <c r="N2479" s="650"/>
      <c r="O2479" s="650"/>
      <c r="P2479" s="651"/>
      <c r="Q2479" s="651"/>
      <c r="R2479" s="651"/>
      <c r="S2479" s="651"/>
    </row>
    <row r="2480" spans="12:19" ht="15.75" customHeight="1" x14ac:dyDescent="0.35">
      <c r="L2480" s="2"/>
      <c r="M2480" s="2"/>
      <c r="N2480" s="650"/>
      <c r="O2480" s="650"/>
      <c r="P2480" s="651"/>
      <c r="Q2480" s="651"/>
      <c r="R2480" s="651"/>
      <c r="S2480" s="651"/>
    </row>
    <row r="2481" spans="12:19" ht="15.75" customHeight="1" x14ac:dyDescent="0.35">
      <c r="L2481" s="2"/>
      <c r="M2481" s="2"/>
      <c r="N2481" s="650"/>
      <c r="O2481" s="650"/>
      <c r="P2481" s="651"/>
      <c r="Q2481" s="651"/>
      <c r="R2481" s="651"/>
      <c r="S2481" s="651"/>
    </row>
    <row r="2482" spans="12:19" ht="15.75" customHeight="1" x14ac:dyDescent="0.35">
      <c r="L2482" s="2"/>
      <c r="M2482" s="2"/>
      <c r="N2482" s="650"/>
      <c r="O2482" s="650"/>
      <c r="P2482" s="651"/>
      <c r="Q2482" s="651"/>
      <c r="R2482" s="651"/>
      <c r="S2482" s="651"/>
    </row>
    <row r="2483" spans="12:19" ht="15.75" customHeight="1" x14ac:dyDescent="0.35">
      <c r="L2483" s="2"/>
      <c r="M2483" s="2"/>
      <c r="N2483" s="650"/>
      <c r="O2483" s="650"/>
      <c r="P2483" s="651"/>
      <c r="Q2483" s="651"/>
      <c r="R2483" s="651"/>
      <c r="S2483" s="651"/>
    </row>
    <row r="2484" spans="12:19" ht="15.75" customHeight="1" x14ac:dyDescent="0.35">
      <c r="L2484" s="2"/>
      <c r="M2484" s="2"/>
      <c r="N2484" s="650"/>
      <c r="O2484" s="650"/>
      <c r="P2484" s="651"/>
      <c r="Q2484" s="651"/>
      <c r="R2484" s="651"/>
      <c r="S2484" s="651"/>
    </row>
    <row r="2485" spans="12:19" ht="15.75" customHeight="1" x14ac:dyDescent="0.35">
      <c r="L2485" s="2"/>
      <c r="M2485" s="2"/>
      <c r="N2485" s="650"/>
      <c r="O2485" s="650"/>
      <c r="P2485" s="651"/>
      <c r="Q2485" s="651"/>
      <c r="R2485" s="651"/>
      <c r="S2485" s="651"/>
    </row>
    <row r="2486" spans="12:19" ht="15.75" customHeight="1" x14ac:dyDescent="0.35">
      <c r="L2486" s="2"/>
      <c r="M2486" s="2"/>
      <c r="N2486" s="650"/>
      <c r="O2486" s="650"/>
      <c r="P2486" s="651"/>
      <c r="Q2486" s="651"/>
      <c r="R2486" s="651"/>
      <c r="S2486" s="651"/>
    </row>
    <row r="2487" spans="12:19" ht="15.75" customHeight="1" x14ac:dyDescent="0.35">
      <c r="L2487" s="2"/>
      <c r="M2487" s="2"/>
      <c r="N2487" s="650"/>
      <c r="O2487" s="650"/>
      <c r="P2487" s="651"/>
      <c r="Q2487" s="651"/>
      <c r="R2487" s="651"/>
      <c r="S2487" s="651"/>
    </row>
    <row r="2488" spans="12:19" ht="15.75" customHeight="1" x14ac:dyDescent="0.35">
      <c r="L2488" s="2"/>
      <c r="M2488" s="2"/>
      <c r="N2488" s="650"/>
      <c r="O2488" s="650"/>
      <c r="P2488" s="651"/>
      <c r="Q2488" s="651"/>
      <c r="R2488" s="651"/>
      <c r="S2488" s="651"/>
    </row>
    <row r="2489" spans="12:19" ht="15.75" customHeight="1" x14ac:dyDescent="0.35">
      <c r="L2489" s="2"/>
      <c r="M2489" s="2"/>
      <c r="N2489" s="650"/>
      <c r="O2489" s="650"/>
      <c r="P2489" s="651"/>
      <c r="Q2489" s="651"/>
      <c r="R2489" s="651"/>
      <c r="S2489" s="651"/>
    </row>
    <row r="2490" spans="12:19" ht="15.75" customHeight="1" x14ac:dyDescent="0.35">
      <c r="L2490" s="2"/>
      <c r="M2490" s="2"/>
      <c r="N2490" s="650"/>
      <c r="O2490" s="650"/>
      <c r="P2490" s="651"/>
      <c r="Q2490" s="651"/>
      <c r="R2490" s="651"/>
      <c r="S2490" s="651"/>
    </row>
    <row r="2491" spans="12:19" ht="15.75" customHeight="1" x14ac:dyDescent="0.35">
      <c r="L2491" s="2"/>
      <c r="M2491" s="2"/>
      <c r="N2491" s="650"/>
      <c r="O2491" s="650"/>
      <c r="P2491" s="651"/>
      <c r="Q2491" s="651"/>
      <c r="R2491" s="651"/>
      <c r="S2491" s="651"/>
    </row>
    <row r="2492" spans="12:19" ht="15.75" customHeight="1" x14ac:dyDescent="0.35">
      <c r="L2492" s="2"/>
      <c r="M2492" s="2"/>
      <c r="N2492" s="650"/>
      <c r="O2492" s="650"/>
      <c r="P2492" s="651"/>
      <c r="Q2492" s="651"/>
      <c r="R2492" s="651"/>
      <c r="S2492" s="651"/>
    </row>
    <row r="2493" spans="12:19" ht="15.75" customHeight="1" x14ac:dyDescent="0.35">
      <c r="L2493" s="2"/>
      <c r="M2493" s="2"/>
      <c r="N2493" s="650"/>
      <c r="O2493" s="650"/>
      <c r="P2493" s="651"/>
      <c r="Q2493" s="651"/>
      <c r="R2493" s="651"/>
      <c r="S2493" s="651"/>
    </row>
    <row r="2494" spans="12:19" ht="15.75" customHeight="1" x14ac:dyDescent="0.35">
      <c r="L2494" s="2"/>
      <c r="M2494" s="2"/>
      <c r="N2494" s="650"/>
      <c r="O2494" s="650"/>
      <c r="P2494" s="651"/>
      <c r="Q2494" s="651"/>
      <c r="R2494" s="651"/>
      <c r="S2494" s="651"/>
    </row>
    <row r="2495" spans="12:19" ht="15.75" customHeight="1" x14ac:dyDescent="0.35">
      <c r="L2495" s="2"/>
      <c r="M2495" s="2"/>
      <c r="N2495" s="650"/>
      <c r="O2495" s="650"/>
      <c r="P2495" s="651"/>
      <c r="Q2495" s="651"/>
      <c r="R2495" s="651"/>
      <c r="S2495" s="651"/>
    </row>
    <row r="2496" spans="12:19" ht="15.75" customHeight="1" x14ac:dyDescent="0.35">
      <c r="L2496" s="2"/>
      <c r="M2496" s="2"/>
      <c r="N2496" s="650"/>
      <c r="O2496" s="650"/>
      <c r="P2496" s="651"/>
      <c r="Q2496" s="651"/>
      <c r="R2496" s="651"/>
      <c r="S2496" s="651"/>
    </row>
    <row r="2497" spans="12:19" ht="15.75" customHeight="1" x14ac:dyDescent="0.35">
      <c r="L2497" s="2"/>
      <c r="M2497" s="2"/>
      <c r="N2497" s="650"/>
      <c r="O2497" s="650"/>
      <c r="P2497" s="651"/>
      <c r="Q2497" s="651"/>
      <c r="R2497" s="651"/>
      <c r="S2497" s="651"/>
    </row>
    <row r="2498" spans="12:19" ht="15.75" customHeight="1" x14ac:dyDescent="0.35">
      <c r="L2498" s="2"/>
      <c r="M2498" s="2"/>
      <c r="N2498" s="650"/>
      <c r="O2498" s="650"/>
      <c r="P2498" s="651"/>
      <c r="Q2498" s="651"/>
      <c r="R2498" s="651"/>
      <c r="S2498" s="651"/>
    </row>
    <row r="2499" spans="12:19" ht="15.75" customHeight="1" x14ac:dyDescent="0.35">
      <c r="L2499" s="2"/>
      <c r="M2499" s="2"/>
      <c r="N2499" s="650"/>
      <c r="O2499" s="650"/>
      <c r="P2499" s="651"/>
      <c r="Q2499" s="651"/>
      <c r="R2499" s="651"/>
      <c r="S2499" s="651"/>
    </row>
    <row r="2500" spans="12:19" ht="15.75" customHeight="1" x14ac:dyDescent="0.35">
      <c r="L2500" s="2"/>
      <c r="M2500" s="2"/>
      <c r="N2500" s="650"/>
      <c r="O2500" s="650"/>
      <c r="P2500" s="651"/>
      <c r="Q2500" s="651"/>
      <c r="R2500" s="651"/>
      <c r="S2500" s="651"/>
    </row>
    <row r="2501" spans="12:19" ht="15.75" customHeight="1" x14ac:dyDescent="0.35">
      <c r="L2501" s="2"/>
      <c r="M2501" s="2"/>
      <c r="N2501" s="650"/>
      <c r="O2501" s="650"/>
      <c r="P2501" s="651"/>
      <c r="Q2501" s="651"/>
      <c r="R2501" s="651"/>
      <c r="S2501" s="651"/>
    </row>
    <row r="2502" spans="12:19" ht="15.75" customHeight="1" x14ac:dyDescent="0.35">
      <c r="L2502" s="2"/>
      <c r="M2502" s="2"/>
      <c r="N2502" s="650"/>
      <c r="O2502" s="650"/>
      <c r="P2502" s="651"/>
      <c r="Q2502" s="651"/>
      <c r="R2502" s="651"/>
      <c r="S2502" s="651"/>
    </row>
    <row r="2503" spans="12:19" ht="15.75" customHeight="1" x14ac:dyDescent="0.35">
      <c r="L2503" s="2"/>
      <c r="M2503" s="2"/>
      <c r="N2503" s="650"/>
      <c r="O2503" s="650"/>
      <c r="P2503" s="651"/>
      <c r="Q2503" s="651"/>
      <c r="R2503" s="651"/>
      <c r="S2503" s="651"/>
    </row>
    <row r="2504" spans="12:19" ht="15.75" customHeight="1" x14ac:dyDescent="0.35">
      <c r="L2504" s="2"/>
      <c r="M2504" s="2"/>
      <c r="N2504" s="650"/>
      <c r="O2504" s="650"/>
      <c r="P2504" s="651"/>
      <c r="Q2504" s="651"/>
      <c r="R2504" s="651"/>
      <c r="S2504" s="651"/>
    </row>
    <row r="2505" spans="12:19" ht="15.75" customHeight="1" x14ac:dyDescent="0.35">
      <c r="L2505" s="2"/>
      <c r="M2505" s="2"/>
      <c r="N2505" s="650"/>
      <c r="O2505" s="650"/>
      <c r="P2505" s="651"/>
      <c r="Q2505" s="651"/>
      <c r="R2505" s="651"/>
      <c r="S2505" s="651"/>
    </row>
    <row r="2506" spans="12:19" ht="15.75" customHeight="1" x14ac:dyDescent="0.35">
      <c r="L2506" s="2"/>
      <c r="M2506" s="2"/>
      <c r="N2506" s="650"/>
      <c r="O2506" s="650"/>
      <c r="P2506" s="651"/>
      <c r="Q2506" s="651"/>
      <c r="R2506" s="651"/>
      <c r="S2506" s="651"/>
    </row>
    <row r="2507" spans="12:19" ht="15.75" customHeight="1" x14ac:dyDescent="0.35">
      <c r="L2507" s="2"/>
      <c r="M2507" s="2"/>
      <c r="N2507" s="650"/>
      <c r="O2507" s="650"/>
      <c r="P2507" s="651"/>
      <c r="Q2507" s="651"/>
      <c r="R2507" s="651"/>
      <c r="S2507" s="651"/>
    </row>
    <row r="2508" spans="12:19" ht="15.75" customHeight="1" x14ac:dyDescent="0.35">
      <c r="L2508" s="2"/>
      <c r="M2508" s="2"/>
      <c r="N2508" s="650"/>
      <c r="O2508" s="650"/>
      <c r="P2508" s="651"/>
      <c r="Q2508" s="651"/>
      <c r="R2508" s="651"/>
      <c r="S2508" s="651"/>
    </row>
    <row r="2509" spans="12:19" ht="15.75" customHeight="1" x14ac:dyDescent="0.35">
      <c r="L2509" s="2"/>
      <c r="M2509" s="2"/>
      <c r="N2509" s="650"/>
      <c r="O2509" s="650"/>
      <c r="P2509" s="651"/>
      <c r="Q2509" s="651"/>
      <c r="R2509" s="651"/>
      <c r="S2509" s="651"/>
    </row>
    <row r="2510" spans="12:19" ht="15.75" customHeight="1" x14ac:dyDescent="0.35">
      <c r="L2510" s="2"/>
      <c r="M2510" s="2"/>
      <c r="N2510" s="650"/>
      <c r="O2510" s="650"/>
      <c r="P2510" s="651"/>
      <c r="Q2510" s="651"/>
      <c r="R2510" s="651"/>
      <c r="S2510" s="651"/>
    </row>
    <row r="2511" spans="12:19" ht="15.75" customHeight="1" x14ac:dyDescent="0.35">
      <c r="L2511" s="2"/>
      <c r="M2511" s="2"/>
      <c r="N2511" s="650"/>
      <c r="O2511" s="650"/>
      <c r="P2511" s="651"/>
      <c r="Q2511" s="651"/>
      <c r="R2511" s="651"/>
      <c r="S2511" s="651"/>
    </row>
    <row r="2512" spans="12:19" ht="15.75" customHeight="1" x14ac:dyDescent="0.35">
      <c r="L2512" s="2"/>
      <c r="M2512" s="2"/>
      <c r="N2512" s="650"/>
      <c r="O2512" s="650"/>
      <c r="P2512" s="651"/>
      <c r="Q2512" s="651"/>
      <c r="R2512" s="651"/>
      <c r="S2512" s="651"/>
    </row>
    <row r="2513" spans="12:19" ht="15.75" customHeight="1" x14ac:dyDescent="0.35">
      <c r="L2513" s="2"/>
      <c r="M2513" s="2"/>
      <c r="N2513" s="650"/>
      <c r="O2513" s="650"/>
      <c r="P2513" s="651"/>
      <c r="Q2513" s="651"/>
      <c r="R2513" s="651"/>
      <c r="S2513" s="651"/>
    </row>
    <row r="2514" spans="12:19" ht="15.75" customHeight="1" x14ac:dyDescent="0.35">
      <c r="L2514" s="2"/>
      <c r="M2514" s="2"/>
      <c r="N2514" s="650"/>
      <c r="O2514" s="650"/>
      <c r="P2514" s="651"/>
      <c r="Q2514" s="651"/>
      <c r="R2514" s="651"/>
      <c r="S2514" s="651"/>
    </row>
    <row r="2515" spans="12:19" ht="15.75" customHeight="1" x14ac:dyDescent="0.35">
      <c r="L2515" s="2"/>
      <c r="M2515" s="2"/>
      <c r="N2515" s="650"/>
      <c r="O2515" s="650"/>
      <c r="P2515" s="651"/>
      <c r="Q2515" s="651"/>
      <c r="R2515" s="651"/>
      <c r="S2515" s="651"/>
    </row>
    <row r="2516" spans="12:19" ht="15.75" customHeight="1" x14ac:dyDescent="0.35">
      <c r="L2516" s="2"/>
      <c r="M2516" s="2"/>
      <c r="N2516" s="650"/>
      <c r="O2516" s="650"/>
      <c r="P2516" s="651"/>
      <c r="Q2516" s="651"/>
      <c r="R2516" s="651"/>
      <c r="S2516" s="651"/>
    </row>
    <row r="2517" spans="12:19" ht="15.75" customHeight="1" x14ac:dyDescent="0.35">
      <c r="L2517" s="2"/>
      <c r="M2517" s="2"/>
      <c r="N2517" s="650"/>
      <c r="O2517" s="650"/>
      <c r="P2517" s="651"/>
      <c r="Q2517" s="651"/>
      <c r="R2517" s="651"/>
      <c r="S2517" s="651"/>
    </row>
    <row r="2518" spans="12:19" ht="15.75" customHeight="1" x14ac:dyDescent="0.35">
      <c r="L2518" s="2"/>
      <c r="M2518" s="2"/>
      <c r="N2518" s="650"/>
      <c r="O2518" s="650"/>
      <c r="P2518" s="651"/>
      <c r="Q2518" s="651"/>
      <c r="R2518" s="651"/>
      <c r="S2518" s="651"/>
    </row>
    <row r="2519" spans="12:19" ht="15.75" customHeight="1" x14ac:dyDescent="0.35">
      <c r="L2519" s="2"/>
      <c r="M2519" s="2"/>
      <c r="N2519" s="650"/>
      <c r="O2519" s="650"/>
      <c r="P2519" s="651"/>
      <c r="Q2519" s="651"/>
      <c r="R2519" s="651"/>
      <c r="S2519" s="651"/>
    </row>
    <row r="2520" spans="12:19" ht="15.75" customHeight="1" x14ac:dyDescent="0.35">
      <c r="L2520" s="2"/>
      <c r="M2520" s="2"/>
      <c r="N2520" s="650"/>
      <c r="O2520" s="650"/>
      <c r="P2520" s="651"/>
      <c r="Q2520" s="651"/>
      <c r="R2520" s="651"/>
      <c r="S2520" s="651"/>
    </row>
    <row r="2521" spans="12:19" ht="15.75" customHeight="1" x14ac:dyDescent="0.35">
      <c r="L2521" s="2"/>
      <c r="M2521" s="2"/>
      <c r="N2521" s="650"/>
      <c r="O2521" s="650"/>
      <c r="P2521" s="651"/>
      <c r="Q2521" s="651"/>
      <c r="R2521" s="651"/>
      <c r="S2521" s="651"/>
    </row>
    <row r="2522" spans="12:19" ht="15.75" customHeight="1" x14ac:dyDescent="0.35">
      <c r="L2522" s="2"/>
      <c r="M2522" s="2"/>
      <c r="N2522" s="650"/>
      <c r="O2522" s="650"/>
      <c r="P2522" s="651"/>
      <c r="Q2522" s="651"/>
      <c r="R2522" s="651"/>
      <c r="S2522" s="651"/>
    </row>
    <row r="2523" spans="12:19" ht="15.75" customHeight="1" x14ac:dyDescent="0.35">
      <c r="L2523" s="2"/>
      <c r="M2523" s="2"/>
      <c r="N2523" s="650"/>
      <c r="O2523" s="650"/>
      <c r="P2523" s="651"/>
      <c r="Q2523" s="651"/>
      <c r="R2523" s="651"/>
      <c r="S2523" s="651"/>
    </row>
    <row r="2524" spans="12:19" ht="15.75" customHeight="1" x14ac:dyDescent="0.35">
      <c r="L2524" s="2"/>
      <c r="M2524" s="2"/>
      <c r="N2524" s="650"/>
      <c r="O2524" s="650"/>
      <c r="P2524" s="651"/>
      <c r="Q2524" s="651"/>
      <c r="R2524" s="651"/>
      <c r="S2524" s="651"/>
    </row>
    <row r="2525" spans="12:19" ht="15.75" customHeight="1" x14ac:dyDescent="0.35">
      <c r="L2525" s="2"/>
      <c r="M2525" s="2"/>
      <c r="N2525" s="650"/>
      <c r="O2525" s="650"/>
      <c r="P2525" s="651"/>
      <c r="Q2525" s="651"/>
      <c r="R2525" s="651"/>
      <c r="S2525" s="651"/>
    </row>
    <row r="2526" spans="12:19" ht="15.75" customHeight="1" x14ac:dyDescent="0.35">
      <c r="L2526" s="2"/>
      <c r="M2526" s="2"/>
      <c r="N2526" s="650"/>
      <c r="O2526" s="650"/>
      <c r="P2526" s="651"/>
      <c r="Q2526" s="651"/>
      <c r="R2526" s="651"/>
      <c r="S2526" s="651"/>
    </row>
    <row r="2527" spans="12:19" ht="15.75" customHeight="1" x14ac:dyDescent="0.35">
      <c r="L2527" s="2"/>
      <c r="M2527" s="2"/>
      <c r="N2527" s="650"/>
      <c r="O2527" s="650"/>
      <c r="P2527" s="651"/>
      <c r="Q2527" s="651"/>
      <c r="R2527" s="651"/>
      <c r="S2527" s="651"/>
    </row>
    <row r="2528" spans="12:19" ht="15.75" customHeight="1" x14ac:dyDescent="0.35">
      <c r="L2528" s="2"/>
      <c r="M2528" s="2"/>
      <c r="N2528" s="650"/>
      <c r="O2528" s="650"/>
      <c r="P2528" s="651"/>
      <c r="Q2528" s="651"/>
      <c r="R2528" s="651"/>
      <c r="S2528" s="651"/>
    </row>
    <row r="2529" spans="12:19" ht="15.75" customHeight="1" x14ac:dyDescent="0.35">
      <c r="L2529" s="2"/>
      <c r="M2529" s="2"/>
      <c r="N2529" s="650"/>
      <c r="O2529" s="650"/>
      <c r="P2529" s="651"/>
      <c r="Q2529" s="651"/>
      <c r="R2529" s="651"/>
      <c r="S2529" s="651"/>
    </row>
    <row r="2530" spans="12:19" ht="15.75" customHeight="1" x14ac:dyDescent="0.35">
      <c r="L2530" s="2"/>
      <c r="M2530" s="2"/>
      <c r="N2530" s="650"/>
      <c r="O2530" s="650"/>
      <c r="P2530" s="651"/>
      <c r="Q2530" s="651"/>
      <c r="R2530" s="651"/>
      <c r="S2530" s="651"/>
    </row>
    <row r="2531" spans="12:19" ht="15.75" customHeight="1" x14ac:dyDescent="0.35">
      <c r="L2531" s="2"/>
      <c r="M2531" s="2"/>
      <c r="N2531" s="650"/>
      <c r="O2531" s="650"/>
      <c r="P2531" s="651"/>
      <c r="Q2531" s="651"/>
      <c r="R2531" s="651"/>
      <c r="S2531" s="651"/>
    </row>
    <row r="2532" spans="12:19" ht="15.75" customHeight="1" x14ac:dyDescent="0.35">
      <c r="L2532" s="2"/>
      <c r="M2532" s="2"/>
      <c r="N2532" s="650"/>
      <c r="O2532" s="650"/>
      <c r="P2532" s="651"/>
      <c r="Q2532" s="651"/>
      <c r="R2532" s="651"/>
      <c r="S2532" s="651"/>
    </row>
    <row r="2533" spans="12:19" ht="15.75" customHeight="1" x14ac:dyDescent="0.35">
      <c r="L2533" s="2"/>
      <c r="M2533" s="2"/>
      <c r="N2533" s="650"/>
      <c r="O2533" s="650"/>
      <c r="P2533" s="651"/>
      <c r="Q2533" s="651"/>
      <c r="R2533" s="651"/>
      <c r="S2533" s="651"/>
    </row>
    <row r="2534" spans="12:19" ht="15.75" customHeight="1" x14ac:dyDescent="0.35">
      <c r="L2534" s="2"/>
      <c r="M2534" s="2"/>
      <c r="N2534" s="650"/>
      <c r="O2534" s="650"/>
      <c r="P2534" s="651"/>
      <c r="Q2534" s="651"/>
      <c r="R2534" s="651"/>
      <c r="S2534" s="651"/>
    </row>
    <row r="2535" spans="12:19" ht="15.75" customHeight="1" x14ac:dyDescent="0.35">
      <c r="L2535" s="2"/>
      <c r="M2535" s="2"/>
      <c r="N2535" s="650"/>
      <c r="O2535" s="650"/>
      <c r="P2535" s="651"/>
      <c r="Q2535" s="651"/>
      <c r="R2535" s="651"/>
      <c r="S2535" s="651"/>
    </row>
    <row r="2536" spans="12:19" ht="15.75" customHeight="1" x14ac:dyDescent="0.35">
      <c r="L2536" s="2"/>
      <c r="M2536" s="2"/>
      <c r="N2536" s="650"/>
      <c r="O2536" s="650"/>
      <c r="P2536" s="651"/>
      <c r="Q2536" s="651"/>
      <c r="R2536" s="651"/>
      <c r="S2536" s="651"/>
    </row>
    <row r="2537" spans="12:19" ht="15.75" customHeight="1" x14ac:dyDescent="0.35">
      <c r="L2537" s="2"/>
      <c r="M2537" s="2"/>
      <c r="N2537" s="650"/>
      <c r="O2537" s="650"/>
      <c r="P2537" s="651"/>
      <c r="Q2537" s="651"/>
      <c r="R2537" s="651"/>
      <c r="S2537" s="651"/>
    </row>
    <row r="2538" spans="12:19" ht="15.75" customHeight="1" x14ac:dyDescent="0.35">
      <c r="L2538" s="2"/>
      <c r="M2538" s="2"/>
      <c r="N2538" s="650"/>
      <c r="O2538" s="650"/>
      <c r="P2538" s="651"/>
      <c r="Q2538" s="651"/>
      <c r="R2538" s="651"/>
      <c r="S2538" s="651"/>
    </row>
    <row r="2539" spans="12:19" ht="15.75" customHeight="1" x14ac:dyDescent="0.35">
      <c r="L2539" s="2"/>
      <c r="M2539" s="2"/>
      <c r="N2539" s="650"/>
      <c r="O2539" s="650"/>
      <c r="P2539" s="651"/>
      <c r="Q2539" s="651"/>
      <c r="R2539" s="651"/>
      <c r="S2539" s="651"/>
    </row>
    <row r="2540" spans="12:19" ht="15.75" customHeight="1" x14ac:dyDescent="0.35">
      <c r="L2540" s="2"/>
      <c r="M2540" s="2"/>
      <c r="N2540" s="650"/>
      <c r="O2540" s="650"/>
      <c r="P2540" s="651"/>
      <c r="Q2540" s="651"/>
      <c r="R2540" s="651"/>
      <c r="S2540" s="651"/>
    </row>
    <row r="2541" spans="12:19" ht="15.75" customHeight="1" x14ac:dyDescent="0.35">
      <c r="L2541" s="2"/>
      <c r="M2541" s="2"/>
      <c r="N2541" s="650"/>
      <c r="O2541" s="650"/>
      <c r="P2541" s="651"/>
      <c r="Q2541" s="651"/>
      <c r="R2541" s="651"/>
      <c r="S2541" s="651"/>
    </row>
    <row r="2542" spans="12:19" ht="15.75" customHeight="1" x14ac:dyDescent="0.35">
      <c r="L2542" s="2"/>
      <c r="M2542" s="2"/>
      <c r="N2542" s="650"/>
      <c r="O2542" s="650"/>
      <c r="P2542" s="651"/>
      <c r="Q2542" s="651"/>
      <c r="R2542" s="651"/>
      <c r="S2542" s="651"/>
    </row>
    <row r="2543" spans="12:19" ht="15.75" customHeight="1" x14ac:dyDescent="0.35">
      <c r="L2543" s="2"/>
      <c r="M2543" s="2"/>
      <c r="N2543" s="650"/>
      <c r="O2543" s="650"/>
      <c r="P2543" s="651"/>
      <c r="Q2543" s="651"/>
      <c r="R2543" s="651"/>
      <c r="S2543" s="651"/>
    </row>
    <row r="2544" spans="12:19" ht="15.75" customHeight="1" x14ac:dyDescent="0.35">
      <c r="L2544" s="2"/>
      <c r="M2544" s="2"/>
      <c r="N2544" s="650"/>
      <c r="O2544" s="650"/>
      <c r="P2544" s="651"/>
      <c r="Q2544" s="651"/>
      <c r="R2544" s="651"/>
      <c r="S2544" s="651"/>
    </row>
    <row r="2545" spans="12:19" ht="15.75" customHeight="1" x14ac:dyDescent="0.35">
      <c r="L2545" s="2"/>
      <c r="M2545" s="2"/>
      <c r="N2545" s="650"/>
      <c r="O2545" s="650"/>
      <c r="P2545" s="651"/>
      <c r="Q2545" s="651"/>
      <c r="R2545" s="651"/>
      <c r="S2545" s="651"/>
    </row>
    <row r="2546" spans="12:19" ht="15.75" customHeight="1" x14ac:dyDescent="0.35">
      <c r="L2546" s="2"/>
      <c r="M2546" s="2"/>
      <c r="N2546" s="650"/>
      <c r="O2546" s="650"/>
      <c r="P2546" s="651"/>
      <c r="Q2546" s="651"/>
      <c r="R2546" s="651"/>
      <c r="S2546" s="651"/>
    </row>
    <row r="2547" spans="12:19" ht="15.75" customHeight="1" x14ac:dyDescent="0.35">
      <c r="L2547" s="2"/>
      <c r="M2547" s="2"/>
      <c r="N2547" s="650"/>
      <c r="O2547" s="650"/>
      <c r="P2547" s="651"/>
      <c r="Q2547" s="651"/>
      <c r="R2547" s="651"/>
      <c r="S2547" s="651"/>
    </row>
    <row r="2548" spans="12:19" ht="15.75" customHeight="1" x14ac:dyDescent="0.35">
      <c r="L2548" s="2"/>
      <c r="M2548" s="2"/>
      <c r="N2548" s="650"/>
      <c r="O2548" s="650"/>
      <c r="P2548" s="651"/>
      <c r="Q2548" s="651"/>
      <c r="R2548" s="651"/>
      <c r="S2548" s="651"/>
    </row>
    <row r="2549" spans="12:19" ht="15.75" customHeight="1" x14ac:dyDescent="0.35">
      <c r="L2549" s="2"/>
      <c r="M2549" s="2"/>
      <c r="N2549" s="650"/>
      <c r="O2549" s="650"/>
      <c r="P2549" s="651"/>
      <c r="Q2549" s="651"/>
      <c r="R2549" s="651"/>
      <c r="S2549" s="651"/>
    </row>
    <row r="2550" spans="12:19" ht="15.75" customHeight="1" x14ac:dyDescent="0.35">
      <c r="L2550" s="2"/>
      <c r="M2550" s="2"/>
      <c r="N2550" s="650"/>
      <c r="O2550" s="650"/>
      <c r="P2550" s="651"/>
      <c r="Q2550" s="651"/>
      <c r="R2550" s="651"/>
      <c r="S2550" s="651"/>
    </row>
    <row r="2551" spans="12:19" ht="15.75" customHeight="1" x14ac:dyDescent="0.35">
      <c r="L2551" s="2"/>
      <c r="M2551" s="2"/>
      <c r="N2551" s="650"/>
      <c r="O2551" s="650"/>
      <c r="P2551" s="651"/>
      <c r="Q2551" s="651"/>
      <c r="R2551" s="651"/>
      <c r="S2551" s="651"/>
    </row>
    <row r="2552" spans="12:19" ht="15.75" customHeight="1" x14ac:dyDescent="0.35">
      <c r="L2552" s="2"/>
      <c r="M2552" s="2"/>
      <c r="N2552" s="650"/>
      <c r="O2552" s="650"/>
      <c r="P2552" s="651"/>
      <c r="Q2552" s="651"/>
      <c r="R2552" s="651"/>
      <c r="S2552" s="651"/>
    </row>
    <row r="2553" spans="12:19" ht="15.75" customHeight="1" x14ac:dyDescent="0.35">
      <c r="L2553" s="2"/>
      <c r="M2553" s="2"/>
      <c r="N2553" s="650"/>
      <c r="O2553" s="650"/>
      <c r="P2553" s="651"/>
      <c r="Q2553" s="651"/>
      <c r="R2553" s="651"/>
      <c r="S2553" s="651"/>
    </row>
    <row r="2554" spans="12:19" ht="15.75" customHeight="1" x14ac:dyDescent="0.35">
      <c r="L2554" s="2"/>
      <c r="M2554" s="2"/>
      <c r="N2554" s="650"/>
      <c r="O2554" s="650"/>
      <c r="P2554" s="651"/>
      <c r="Q2554" s="651"/>
      <c r="R2554" s="651"/>
      <c r="S2554" s="651"/>
    </row>
    <row r="2555" spans="12:19" ht="15.75" customHeight="1" x14ac:dyDescent="0.35">
      <c r="L2555" s="2"/>
      <c r="M2555" s="2"/>
      <c r="N2555" s="650"/>
      <c r="O2555" s="650"/>
      <c r="P2555" s="651"/>
      <c r="Q2555" s="651"/>
      <c r="R2555" s="651"/>
      <c r="S2555" s="651"/>
    </row>
    <row r="2556" spans="12:19" ht="15.75" customHeight="1" x14ac:dyDescent="0.35">
      <c r="L2556" s="2"/>
      <c r="M2556" s="2"/>
      <c r="N2556" s="650"/>
      <c r="O2556" s="650"/>
      <c r="P2556" s="651"/>
      <c r="Q2556" s="651"/>
      <c r="R2556" s="651"/>
      <c r="S2556" s="651"/>
    </row>
    <row r="2557" spans="12:19" ht="15.75" customHeight="1" x14ac:dyDescent="0.35">
      <c r="L2557" s="2"/>
      <c r="M2557" s="2"/>
      <c r="N2557" s="650"/>
      <c r="O2557" s="650"/>
      <c r="P2557" s="651"/>
      <c r="Q2557" s="651"/>
      <c r="R2557" s="651"/>
      <c r="S2557" s="651"/>
    </row>
    <row r="2558" spans="12:19" ht="15.75" customHeight="1" x14ac:dyDescent="0.35">
      <c r="L2558" s="2"/>
      <c r="M2558" s="2"/>
      <c r="N2558" s="650"/>
      <c r="O2558" s="650"/>
      <c r="P2558" s="651"/>
      <c r="Q2558" s="651"/>
      <c r="R2558" s="651"/>
      <c r="S2558" s="651"/>
    </row>
    <row r="2559" spans="12:19" ht="15.75" customHeight="1" x14ac:dyDescent="0.35">
      <c r="L2559" s="2"/>
      <c r="M2559" s="2"/>
      <c r="N2559" s="650"/>
      <c r="O2559" s="650"/>
      <c r="P2559" s="651"/>
      <c r="Q2559" s="651"/>
      <c r="R2559" s="651"/>
      <c r="S2559" s="651"/>
    </row>
    <row r="2560" spans="12:19" ht="15.75" customHeight="1" x14ac:dyDescent="0.35">
      <c r="L2560" s="2"/>
      <c r="M2560" s="2"/>
      <c r="N2560" s="650"/>
      <c r="O2560" s="650"/>
      <c r="P2560" s="651"/>
      <c r="Q2560" s="651"/>
      <c r="R2560" s="651"/>
      <c r="S2560" s="651"/>
    </row>
    <row r="2561" spans="12:19" ht="15.75" customHeight="1" x14ac:dyDescent="0.35">
      <c r="L2561" s="2"/>
      <c r="M2561" s="2"/>
      <c r="N2561" s="650"/>
      <c r="O2561" s="650"/>
      <c r="P2561" s="651"/>
      <c r="Q2561" s="651"/>
      <c r="R2561" s="651"/>
      <c r="S2561" s="651"/>
    </row>
    <row r="2562" spans="12:19" ht="15.75" customHeight="1" x14ac:dyDescent="0.35">
      <c r="L2562" s="2"/>
      <c r="M2562" s="2"/>
      <c r="N2562" s="650"/>
      <c r="O2562" s="650"/>
      <c r="P2562" s="651"/>
      <c r="Q2562" s="651"/>
      <c r="R2562" s="651"/>
      <c r="S2562" s="651"/>
    </row>
    <row r="2563" spans="12:19" ht="15.75" customHeight="1" x14ac:dyDescent="0.35">
      <c r="L2563" s="2"/>
      <c r="M2563" s="2"/>
      <c r="N2563" s="650"/>
      <c r="O2563" s="650"/>
      <c r="P2563" s="651"/>
      <c r="Q2563" s="651"/>
      <c r="R2563" s="651"/>
      <c r="S2563" s="651"/>
    </row>
    <row r="2564" spans="12:19" ht="15.75" customHeight="1" x14ac:dyDescent="0.35">
      <c r="L2564" s="2"/>
      <c r="M2564" s="2"/>
      <c r="N2564" s="650"/>
      <c r="O2564" s="650"/>
      <c r="P2564" s="651"/>
      <c r="Q2564" s="651"/>
      <c r="R2564" s="651"/>
      <c r="S2564" s="651"/>
    </row>
    <row r="2565" spans="12:19" ht="15.75" customHeight="1" x14ac:dyDescent="0.35">
      <c r="L2565" s="2"/>
      <c r="M2565" s="2"/>
      <c r="N2565" s="650"/>
      <c r="O2565" s="650"/>
      <c r="P2565" s="651"/>
      <c r="Q2565" s="651"/>
      <c r="R2565" s="651"/>
      <c r="S2565" s="651"/>
    </row>
    <row r="2566" spans="12:19" ht="15.75" customHeight="1" x14ac:dyDescent="0.35">
      <c r="L2566" s="2"/>
      <c r="M2566" s="2"/>
      <c r="N2566" s="650"/>
      <c r="O2566" s="650"/>
      <c r="P2566" s="651"/>
      <c r="Q2566" s="651"/>
      <c r="R2566" s="651"/>
      <c r="S2566" s="651"/>
    </row>
    <row r="2567" spans="12:19" ht="15.75" customHeight="1" x14ac:dyDescent="0.35">
      <c r="L2567" s="2"/>
      <c r="M2567" s="2"/>
      <c r="N2567" s="650"/>
      <c r="O2567" s="650"/>
      <c r="P2567" s="651"/>
      <c r="Q2567" s="651"/>
      <c r="R2567" s="651"/>
      <c r="S2567" s="651"/>
    </row>
    <row r="2568" spans="12:19" ht="15.75" customHeight="1" x14ac:dyDescent="0.35">
      <c r="L2568" s="2"/>
      <c r="M2568" s="2"/>
      <c r="N2568" s="650"/>
      <c r="O2568" s="650"/>
      <c r="P2568" s="651"/>
      <c r="Q2568" s="651"/>
      <c r="R2568" s="651"/>
      <c r="S2568" s="651"/>
    </row>
    <row r="2569" spans="12:19" ht="15.75" customHeight="1" x14ac:dyDescent="0.35">
      <c r="L2569" s="2"/>
      <c r="M2569" s="2"/>
      <c r="N2569" s="650"/>
      <c r="O2569" s="650"/>
      <c r="P2569" s="651"/>
      <c r="Q2569" s="651"/>
      <c r="R2569" s="651"/>
      <c r="S2569" s="651"/>
    </row>
    <row r="2570" spans="12:19" ht="15.75" customHeight="1" x14ac:dyDescent="0.35">
      <c r="L2570" s="2"/>
      <c r="M2570" s="2"/>
      <c r="N2570" s="650"/>
      <c r="O2570" s="650"/>
      <c r="P2570" s="651"/>
      <c r="Q2570" s="651"/>
      <c r="R2570" s="651"/>
      <c r="S2570" s="651"/>
    </row>
    <row r="2571" spans="12:19" ht="15.75" customHeight="1" x14ac:dyDescent="0.35">
      <c r="L2571" s="2"/>
      <c r="M2571" s="2"/>
      <c r="N2571" s="650"/>
      <c r="O2571" s="650"/>
      <c r="P2571" s="651"/>
      <c r="Q2571" s="651"/>
      <c r="R2571" s="651"/>
      <c r="S2571" s="651"/>
    </row>
    <row r="2572" spans="12:19" ht="15.75" customHeight="1" x14ac:dyDescent="0.35">
      <c r="L2572" s="2"/>
      <c r="M2572" s="2"/>
      <c r="N2572" s="650"/>
      <c r="O2572" s="650"/>
      <c r="P2572" s="651"/>
      <c r="Q2572" s="651"/>
      <c r="R2572" s="651"/>
      <c r="S2572" s="651"/>
    </row>
    <row r="2573" spans="12:19" ht="15.75" customHeight="1" x14ac:dyDescent="0.35">
      <c r="L2573" s="2"/>
      <c r="M2573" s="2"/>
      <c r="N2573" s="650"/>
      <c r="O2573" s="650"/>
      <c r="P2573" s="651"/>
      <c r="Q2573" s="651"/>
      <c r="R2573" s="651"/>
      <c r="S2573" s="651"/>
    </row>
    <row r="2574" spans="12:19" ht="15.75" customHeight="1" x14ac:dyDescent="0.35">
      <c r="L2574" s="2"/>
      <c r="M2574" s="2"/>
      <c r="N2574" s="650"/>
      <c r="O2574" s="650"/>
      <c r="P2574" s="651"/>
      <c r="Q2574" s="651"/>
      <c r="R2574" s="651"/>
      <c r="S2574" s="651"/>
    </row>
    <row r="2575" spans="12:19" ht="15.75" customHeight="1" x14ac:dyDescent="0.35">
      <c r="L2575" s="2"/>
      <c r="M2575" s="2"/>
      <c r="N2575" s="650"/>
      <c r="O2575" s="650"/>
      <c r="P2575" s="651"/>
      <c r="Q2575" s="651"/>
      <c r="R2575" s="651"/>
      <c r="S2575" s="651"/>
    </row>
    <row r="2576" spans="12:19" ht="15.75" customHeight="1" x14ac:dyDescent="0.35">
      <c r="L2576" s="2"/>
      <c r="M2576" s="2"/>
      <c r="N2576" s="650"/>
      <c r="O2576" s="650"/>
      <c r="P2576" s="651"/>
      <c r="Q2576" s="651"/>
      <c r="R2576" s="651"/>
      <c r="S2576" s="651"/>
    </row>
    <row r="2577" spans="12:19" ht="15.75" customHeight="1" x14ac:dyDescent="0.35">
      <c r="L2577" s="2"/>
      <c r="M2577" s="2"/>
      <c r="N2577" s="650"/>
      <c r="O2577" s="650"/>
      <c r="P2577" s="651"/>
      <c r="Q2577" s="651"/>
      <c r="R2577" s="651"/>
      <c r="S2577" s="651"/>
    </row>
    <row r="2578" spans="12:19" ht="15.75" customHeight="1" x14ac:dyDescent="0.35">
      <c r="L2578" s="2"/>
      <c r="M2578" s="2"/>
      <c r="N2578" s="650"/>
      <c r="O2578" s="650"/>
      <c r="P2578" s="651"/>
      <c r="Q2578" s="651"/>
      <c r="R2578" s="651"/>
      <c r="S2578" s="651"/>
    </row>
    <row r="2579" spans="12:19" ht="15.75" customHeight="1" x14ac:dyDescent="0.35">
      <c r="L2579" s="2"/>
      <c r="M2579" s="2"/>
      <c r="N2579" s="650"/>
      <c r="O2579" s="650"/>
      <c r="P2579" s="651"/>
      <c r="Q2579" s="651"/>
      <c r="R2579" s="651"/>
      <c r="S2579" s="651"/>
    </row>
    <row r="2580" spans="12:19" ht="15.75" customHeight="1" x14ac:dyDescent="0.35">
      <c r="L2580" s="2"/>
      <c r="M2580" s="2"/>
      <c r="N2580" s="650"/>
      <c r="O2580" s="650"/>
      <c r="P2580" s="651"/>
      <c r="Q2580" s="651"/>
      <c r="R2580" s="651"/>
      <c r="S2580" s="651"/>
    </row>
    <row r="2581" spans="12:19" ht="15.75" customHeight="1" x14ac:dyDescent="0.35">
      <c r="L2581" s="2"/>
      <c r="M2581" s="2"/>
      <c r="N2581" s="650"/>
      <c r="O2581" s="650"/>
      <c r="P2581" s="651"/>
      <c r="Q2581" s="651"/>
      <c r="R2581" s="651"/>
      <c r="S2581" s="651"/>
    </row>
    <row r="2582" spans="12:19" ht="15.75" customHeight="1" x14ac:dyDescent="0.35">
      <c r="L2582" s="2"/>
      <c r="M2582" s="2"/>
      <c r="N2582" s="650"/>
      <c r="O2582" s="650"/>
      <c r="P2582" s="651"/>
      <c r="Q2582" s="651"/>
      <c r="R2582" s="651"/>
      <c r="S2582" s="651"/>
    </row>
    <row r="2583" spans="12:19" ht="15.75" customHeight="1" x14ac:dyDescent="0.35">
      <c r="L2583" s="2"/>
      <c r="M2583" s="2"/>
      <c r="N2583" s="650"/>
      <c r="O2583" s="650"/>
      <c r="P2583" s="651"/>
      <c r="Q2583" s="651"/>
      <c r="R2583" s="651"/>
      <c r="S2583" s="651"/>
    </row>
    <row r="2584" spans="12:19" ht="15.75" customHeight="1" x14ac:dyDescent="0.35">
      <c r="L2584" s="2"/>
      <c r="M2584" s="2"/>
      <c r="N2584" s="650"/>
      <c r="O2584" s="650"/>
      <c r="P2584" s="651"/>
      <c r="Q2584" s="651"/>
      <c r="R2584" s="651"/>
      <c r="S2584" s="651"/>
    </row>
    <row r="2585" spans="12:19" ht="15.75" customHeight="1" x14ac:dyDescent="0.35">
      <c r="L2585" s="2"/>
      <c r="M2585" s="2"/>
      <c r="N2585" s="650"/>
      <c r="O2585" s="650"/>
      <c r="P2585" s="651"/>
      <c r="Q2585" s="651"/>
      <c r="R2585" s="651"/>
      <c r="S2585" s="651"/>
    </row>
    <row r="2586" spans="12:19" ht="15.75" customHeight="1" x14ac:dyDescent="0.35">
      <c r="L2586" s="2"/>
      <c r="M2586" s="2"/>
      <c r="N2586" s="650"/>
      <c r="O2586" s="650"/>
      <c r="P2586" s="651"/>
      <c r="Q2586" s="651"/>
      <c r="R2586" s="651"/>
      <c r="S2586" s="651"/>
    </row>
    <row r="2587" spans="12:19" ht="15.75" customHeight="1" x14ac:dyDescent="0.35">
      <c r="L2587" s="2"/>
      <c r="M2587" s="2"/>
      <c r="N2587" s="650"/>
      <c r="O2587" s="650"/>
      <c r="P2587" s="651"/>
      <c r="Q2587" s="651"/>
      <c r="R2587" s="651"/>
      <c r="S2587" s="651"/>
    </row>
    <row r="2588" spans="12:19" ht="15.75" customHeight="1" x14ac:dyDescent="0.35">
      <c r="L2588" s="2"/>
      <c r="M2588" s="2"/>
      <c r="N2588" s="650"/>
      <c r="O2588" s="650"/>
      <c r="P2588" s="651"/>
      <c r="Q2588" s="651"/>
      <c r="R2588" s="651"/>
      <c r="S2588" s="651"/>
    </row>
    <row r="2589" spans="12:19" ht="15.75" customHeight="1" x14ac:dyDescent="0.35">
      <c r="L2589" s="2"/>
      <c r="M2589" s="2"/>
      <c r="N2589" s="650"/>
      <c r="O2589" s="650"/>
      <c r="P2589" s="651"/>
      <c r="Q2589" s="651"/>
      <c r="R2589" s="651"/>
      <c r="S2589" s="651"/>
    </row>
    <row r="2590" spans="12:19" ht="15.75" customHeight="1" x14ac:dyDescent="0.35">
      <c r="L2590" s="2"/>
      <c r="M2590" s="2"/>
      <c r="N2590" s="650"/>
      <c r="O2590" s="650"/>
      <c r="P2590" s="651"/>
      <c r="Q2590" s="651"/>
      <c r="R2590" s="651"/>
      <c r="S2590" s="651"/>
    </row>
    <row r="2591" spans="12:19" ht="15.75" customHeight="1" x14ac:dyDescent="0.35">
      <c r="L2591" s="2"/>
      <c r="M2591" s="2"/>
      <c r="N2591" s="650"/>
      <c r="O2591" s="650"/>
      <c r="P2591" s="651"/>
      <c r="Q2591" s="651"/>
      <c r="R2591" s="651"/>
      <c r="S2591" s="651"/>
    </row>
    <row r="2592" spans="12:19" ht="15.75" customHeight="1" x14ac:dyDescent="0.35">
      <c r="L2592" s="2"/>
      <c r="M2592" s="2"/>
      <c r="N2592" s="650"/>
      <c r="O2592" s="650"/>
      <c r="P2592" s="651"/>
      <c r="Q2592" s="651"/>
      <c r="R2592" s="651"/>
      <c r="S2592" s="651"/>
    </row>
    <row r="2593" spans="12:19" ht="15.75" customHeight="1" x14ac:dyDescent="0.35">
      <c r="L2593" s="2"/>
      <c r="M2593" s="2"/>
      <c r="N2593" s="650"/>
      <c r="O2593" s="650"/>
      <c r="P2593" s="651"/>
      <c r="Q2593" s="651"/>
      <c r="R2593" s="651"/>
      <c r="S2593" s="651"/>
    </row>
    <row r="2594" spans="12:19" ht="15.75" customHeight="1" x14ac:dyDescent="0.35">
      <c r="L2594" s="2"/>
      <c r="M2594" s="2"/>
      <c r="N2594" s="650"/>
      <c r="O2594" s="650"/>
      <c r="P2594" s="651"/>
      <c r="Q2594" s="651"/>
      <c r="R2594" s="651"/>
      <c r="S2594" s="651"/>
    </row>
    <row r="2595" spans="12:19" ht="15.75" customHeight="1" x14ac:dyDescent="0.35">
      <c r="L2595" s="2"/>
      <c r="M2595" s="2"/>
      <c r="N2595" s="650"/>
      <c r="O2595" s="650"/>
      <c r="P2595" s="651"/>
      <c r="Q2595" s="651"/>
      <c r="R2595" s="651"/>
      <c r="S2595" s="651"/>
    </row>
    <row r="2596" spans="12:19" ht="15.75" customHeight="1" x14ac:dyDescent="0.35">
      <c r="L2596" s="2"/>
      <c r="M2596" s="2"/>
      <c r="N2596" s="650"/>
      <c r="O2596" s="650"/>
      <c r="P2596" s="651"/>
      <c r="Q2596" s="651"/>
      <c r="R2596" s="651"/>
      <c r="S2596" s="651"/>
    </row>
    <row r="2597" spans="12:19" ht="15.75" customHeight="1" x14ac:dyDescent="0.35">
      <c r="L2597" s="2"/>
      <c r="M2597" s="2"/>
      <c r="N2597" s="650"/>
      <c r="O2597" s="650"/>
      <c r="P2597" s="651"/>
      <c r="Q2597" s="651"/>
      <c r="R2597" s="651"/>
      <c r="S2597" s="651"/>
    </row>
    <row r="2598" spans="12:19" ht="15.75" customHeight="1" x14ac:dyDescent="0.35">
      <c r="L2598" s="2"/>
      <c r="M2598" s="2"/>
      <c r="N2598" s="650"/>
      <c r="O2598" s="650"/>
      <c r="P2598" s="651"/>
      <c r="Q2598" s="651"/>
      <c r="R2598" s="651"/>
      <c r="S2598" s="651"/>
    </row>
    <row r="2599" spans="12:19" ht="15.75" customHeight="1" x14ac:dyDescent="0.35">
      <c r="L2599" s="2"/>
      <c r="M2599" s="2"/>
      <c r="N2599" s="650"/>
      <c r="O2599" s="650"/>
      <c r="P2599" s="651"/>
      <c r="Q2599" s="651"/>
      <c r="R2599" s="651"/>
      <c r="S2599" s="651"/>
    </row>
    <row r="2600" spans="12:19" ht="15.75" customHeight="1" x14ac:dyDescent="0.35">
      <c r="L2600" s="2"/>
      <c r="M2600" s="2"/>
      <c r="N2600" s="650"/>
      <c r="O2600" s="650"/>
      <c r="P2600" s="651"/>
      <c r="Q2600" s="651"/>
      <c r="R2600" s="651"/>
      <c r="S2600" s="651"/>
    </row>
    <row r="2601" spans="12:19" ht="15.75" customHeight="1" x14ac:dyDescent="0.35">
      <c r="L2601" s="2"/>
      <c r="M2601" s="2"/>
      <c r="N2601" s="650"/>
      <c r="O2601" s="650"/>
      <c r="P2601" s="651"/>
      <c r="Q2601" s="651"/>
      <c r="R2601" s="651"/>
      <c r="S2601" s="651"/>
    </row>
    <row r="2602" spans="12:19" ht="15.75" customHeight="1" x14ac:dyDescent="0.35">
      <c r="L2602" s="2"/>
      <c r="M2602" s="2"/>
      <c r="N2602" s="650"/>
      <c r="O2602" s="650"/>
      <c r="P2602" s="651"/>
      <c r="Q2602" s="651"/>
      <c r="R2602" s="651"/>
      <c r="S2602" s="651"/>
    </row>
    <row r="2603" spans="12:19" ht="15.75" customHeight="1" x14ac:dyDescent="0.35">
      <c r="L2603" s="2"/>
      <c r="M2603" s="2"/>
      <c r="N2603" s="650"/>
      <c r="O2603" s="650"/>
      <c r="P2603" s="651"/>
      <c r="Q2603" s="651"/>
      <c r="R2603" s="651"/>
      <c r="S2603" s="651"/>
    </row>
    <row r="2604" spans="12:19" ht="15.75" customHeight="1" x14ac:dyDescent="0.35">
      <c r="L2604" s="2"/>
      <c r="M2604" s="2"/>
      <c r="N2604" s="650"/>
      <c r="O2604" s="650"/>
      <c r="P2604" s="651"/>
      <c r="Q2604" s="651"/>
      <c r="R2604" s="651"/>
      <c r="S2604" s="651"/>
    </row>
    <row r="2605" spans="12:19" ht="15.75" customHeight="1" x14ac:dyDescent="0.35">
      <c r="L2605" s="2"/>
      <c r="M2605" s="2"/>
      <c r="N2605" s="650"/>
      <c r="O2605" s="650"/>
      <c r="P2605" s="651"/>
      <c r="Q2605" s="651"/>
      <c r="R2605" s="651"/>
      <c r="S2605" s="651"/>
    </row>
    <row r="2606" spans="12:19" ht="15.75" customHeight="1" x14ac:dyDescent="0.35">
      <c r="L2606" s="2"/>
      <c r="M2606" s="2"/>
      <c r="N2606" s="650"/>
      <c r="O2606" s="650"/>
      <c r="P2606" s="651"/>
      <c r="Q2606" s="651"/>
      <c r="R2606" s="651"/>
      <c r="S2606" s="651"/>
    </row>
    <row r="2607" spans="12:19" ht="15.75" customHeight="1" x14ac:dyDescent="0.35">
      <c r="L2607" s="2"/>
      <c r="M2607" s="2"/>
      <c r="N2607" s="650"/>
      <c r="O2607" s="650"/>
      <c r="P2607" s="651"/>
      <c r="Q2607" s="651"/>
      <c r="R2607" s="651"/>
      <c r="S2607" s="651"/>
    </row>
    <row r="2608" spans="12:19" ht="15.75" customHeight="1" x14ac:dyDescent="0.35">
      <c r="L2608" s="2"/>
      <c r="M2608" s="2"/>
      <c r="N2608" s="650"/>
      <c r="O2608" s="650"/>
      <c r="P2608" s="651"/>
      <c r="Q2608" s="651"/>
      <c r="R2608" s="651"/>
      <c r="S2608" s="651"/>
    </row>
    <row r="2609" spans="12:19" ht="15.75" customHeight="1" x14ac:dyDescent="0.35">
      <c r="L2609" s="2"/>
      <c r="M2609" s="2"/>
      <c r="N2609" s="650"/>
      <c r="O2609" s="650"/>
      <c r="P2609" s="651"/>
      <c r="Q2609" s="651"/>
      <c r="R2609" s="651"/>
      <c r="S2609" s="651"/>
    </row>
    <row r="2610" spans="12:19" ht="15.75" customHeight="1" x14ac:dyDescent="0.35">
      <c r="L2610" s="2"/>
      <c r="M2610" s="2"/>
      <c r="N2610" s="650"/>
      <c r="O2610" s="650"/>
      <c r="P2610" s="651"/>
      <c r="Q2610" s="651"/>
      <c r="R2610" s="651"/>
      <c r="S2610" s="651"/>
    </row>
    <row r="2611" spans="12:19" ht="15.75" customHeight="1" x14ac:dyDescent="0.35">
      <c r="L2611" s="2"/>
      <c r="M2611" s="2"/>
      <c r="N2611" s="650"/>
      <c r="O2611" s="650"/>
      <c r="P2611" s="651"/>
      <c r="Q2611" s="651"/>
      <c r="R2611" s="651"/>
      <c r="S2611" s="651"/>
    </row>
    <row r="2612" spans="12:19" ht="15.75" customHeight="1" x14ac:dyDescent="0.35">
      <c r="L2612" s="2"/>
      <c r="M2612" s="2"/>
      <c r="N2612" s="650"/>
      <c r="O2612" s="650"/>
      <c r="P2612" s="651"/>
      <c r="Q2612" s="651"/>
      <c r="R2612" s="651"/>
      <c r="S2612" s="651"/>
    </row>
    <row r="2613" spans="12:19" ht="15.75" customHeight="1" x14ac:dyDescent="0.35">
      <c r="L2613" s="2"/>
      <c r="M2613" s="2"/>
      <c r="N2613" s="650"/>
      <c r="O2613" s="650"/>
      <c r="P2613" s="651"/>
      <c r="Q2613" s="651"/>
      <c r="R2613" s="651"/>
      <c r="S2613" s="651"/>
    </row>
    <row r="2614" spans="12:19" ht="15.75" customHeight="1" x14ac:dyDescent="0.35">
      <c r="L2614" s="2"/>
      <c r="M2614" s="2"/>
      <c r="N2614" s="650"/>
      <c r="O2614" s="650"/>
      <c r="P2614" s="651"/>
      <c r="Q2614" s="651"/>
      <c r="R2614" s="651"/>
      <c r="S2614" s="651"/>
    </row>
    <row r="2615" spans="12:19" ht="15.75" customHeight="1" x14ac:dyDescent="0.35">
      <c r="L2615" s="2"/>
      <c r="M2615" s="2"/>
      <c r="N2615" s="650"/>
      <c r="O2615" s="650"/>
      <c r="P2615" s="651"/>
      <c r="Q2615" s="651"/>
      <c r="R2615" s="651"/>
      <c r="S2615" s="651"/>
    </row>
    <row r="2616" spans="12:19" ht="15.75" customHeight="1" x14ac:dyDescent="0.35">
      <c r="L2616" s="2"/>
      <c r="M2616" s="2"/>
      <c r="N2616" s="650"/>
      <c r="O2616" s="650"/>
      <c r="P2616" s="651"/>
      <c r="Q2616" s="651"/>
      <c r="R2616" s="651"/>
      <c r="S2616" s="651"/>
    </row>
    <row r="2617" spans="12:19" ht="15.75" customHeight="1" x14ac:dyDescent="0.35">
      <c r="L2617" s="2"/>
      <c r="M2617" s="2"/>
      <c r="N2617" s="650"/>
      <c r="O2617" s="650"/>
      <c r="P2617" s="651"/>
      <c r="Q2617" s="651"/>
      <c r="R2617" s="651"/>
      <c r="S2617" s="651"/>
    </row>
    <row r="2618" spans="12:19" ht="15.75" customHeight="1" x14ac:dyDescent="0.35">
      <c r="L2618" s="2"/>
      <c r="M2618" s="2"/>
      <c r="N2618" s="650"/>
      <c r="O2618" s="650"/>
      <c r="P2618" s="651"/>
      <c r="Q2618" s="651"/>
      <c r="R2618" s="651"/>
      <c r="S2618" s="651"/>
    </row>
    <row r="2619" spans="12:19" ht="15.75" customHeight="1" x14ac:dyDescent="0.35">
      <c r="L2619" s="2"/>
      <c r="M2619" s="2"/>
      <c r="N2619" s="650"/>
      <c r="O2619" s="650"/>
      <c r="P2619" s="651"/>
      <c r="Q2619" s="651"/>
      <c r="R2619" s="651"/>
      <c r="S2619" s="651"/>
    </row>
    <row r="2620" spans="12:19" ht="15.75" customHeight="1" x14ac:dyDescent="0.35">
      <c r="L2620" s="2"/>
      <c r="M2620" s="2"/>
      <c r="N2620" s="650"/>
      <c r="O2620" s="650"/>
      <c r="P2620" s="651"/>
      <c r="Q2620" s="651"/>
      <c r="R2620" s="651"/>
      <c r="S2620" s="651"/>
    </row>
    <row r="2621" spans="12:19" ht="15.75" customHeight="1" x14ac:dyDescent="0.35">
      <c r="L2621" s="2"/>
      <c r="M2621" s="2"/>
      <c r="N2621" s="650"/>
      <c r="O2621" s="650"/>
      <c r="P2621" s="651"/>
      <c r="Q2621" s="651"/>
      <c r="R2621" s="651"/>
      <c r="S2621" s="651"/>
    </row>
    <row r="2622" spans="12:19" ht="15.75" customHeight="1" x14ac:dyDescent="0.35">
      <c r="L2622" s="2"/>
      <c r="M2622" s="2"/>
      <c r="N2622" s="650"/>
      <c r="O2622" s="650"/>
      <c r="P2622" s="651"/>
      <c r="Q2622" s="651"/>
      <c r="R2622" s="651"/>
      <c r="S2622" s="651"/>
    </row>
    <row r="2623" spans="12:19" ht="15.75" customHeight="1" x14ac:dyDescent="0.35">
      <c r="L2623" s="2"/>
      <c r="M2623" s="2"/>
      <c r="N2623" s="650"/>
      <c r="O2623" s="650"/>
      <c r="P2623" s="651"/>
      <c r="Q2623" s="651"/>
      <c r="R2623" s="651"/>
      <c r="S2623" s="651"/>
    </row>
    <row r="2624" spans="12:19" ht="15.75" customHeight="1" x14ac:dyDescent="0.35">
      <c r="L2624" s="2"/>
      <c r="M2624" s="2"/>
      <c r="N2624" s="650"/>
      <c r="O2624" s="650"/>
      <c r="P2624" s="651"/>
      <c r="Q2624" s="651"/>
      <c r="R2624" s="651"/>
      <c r="S2624" s="651"/>
    </row>
    <row r="2625" spans="12:19" ht="15.75" customHeight="1" x14ac:dyDescent="0.35">
      <c r="L2625" s="2"/>
      <c r="M2625" s="2"/>
      <c r="N2625" s="650"/>
      <c r="O2625" s="650"/>
      <c r="P2625" s="651"/>
      <c r="Q2625" s="651"/>
      <c r="R2625" s="651"/>
      <c r="S2625" s="651"/>
    </row>
    <row r="2626" spans="12:19" ht="15.75" customHeight="1" x14ac:dyDescent="0.35">
      <c r="L2626" s="2"/>
      <c r="M2626" s="2"/>
      <c r="N2626" s="650"/>
      <c r="O2626" s="650"/>
      <c r="P2626" s="651"/>
      <c r="Q2626" s="651"/>
      <c r="R2626" s="651"/>
      <c r="S2626" s="651"/>
    </row>
    <row r="2627" spans="12:19" ht="15.75" customHeight="1" x14ac:dyDescent="0.35">
      <c r="L2627" s="2"/>
      <c r="M2627" s="2"/>
      <c r="N2627" s="650"/>
      <c r="O2627" s="650"/>
      <c r="P2627" s="651"/>
      <c r="Q2627" s="651"/>
      <c r="R2627" s="651"/>
      <c r="S2627" s="651"/>
    </row>
    <row r="2628" spans="12:19" ht="15.75" customHeight="1" x14ac:dyDescent="0.35">
      <c r="L2628" s="2"/>
      <c r="M2628" s="2"/>
      <c r="N2628" s="650"/>
      <c r="O2628" s="650"/>
      <c r="P2628" s="651"/>
      <c r="Q2628" s="651"/>
      <c r="R2628" s="651"/>
      <c r="S2628" s="651"/>
    </row>
    <row r="2629" spans="12:19" ht="15.75" customHeight="1" x14ac:dyDescent="0.35">
      <c r="L2629" s="2"/>
      <c r="M2629" s="2"/>
      <c r="N2629" s="650"/>
      <c r="O2629" s="650"/>
      <c r="P2629" s="651"/>
      <c r="Q2629" s="651"/>
      <c r="R2629" s="651"/>
      <c r="S2629" s="651"/>
    </row>
    <row r="2630" spans="12:19" ht="15.75" customHeight="1" x14ac:dyDescent="0.35">
      <c r="L2630" s="2"/>
      <c r="M2630" s="2"/>
      <c r="N2630" s="650"/>
      <c r="O2630" s="650"/>
      <c r="P2630" s="651"/>
      <c r="Q2630" s="651"/>
      <c r="R2630" s="651"/>
      <c r="S2630" s="651"/>
    </row>
    <row r="2631" spans="12:19" ht="15.75" customHeight="1" x14ac:dyDescent="0.35">
      <c r="L2631" s="2"/>
      <c r="M2631" s="2"/>
      <c r="N2631" s="650"/>
      <c r="O2631" s="650"/>
      <c r="P2631" s="651"/>
      <c r="Q2631" s="651"/>
      <c r="R2631" s="651"/>
      <c r="S2631" s="651"/>
    </row>
    <row r="2632" spans="12:19" ht="15.75" customHeight="1" x14ac:dyDescent="0.35">
      <c r="L2632" s="2"/>
      <c r="M2632" s="2"/>
      <c r="N2632" s="650"/>
      <c r="O2632" s="650"/>
      <c r="P2632" s="651"/>
      <c r="Q2632" s="651"/>
      <c r="R2632" s="651"/>
      <c r="S2632" s="651"/>
    </row>
    <row r="2633" spans="12:19" ht="15.75" customHeight="1" x14ac:dyDescent="0.35">
      <c r="L2633" s="2"/>
      <c r="M2633" s="2"/>
      <c r="N2633" s="650"/>
      <c r="O2633" s="650"/>
      <c r="P2633" s="651"/>
      <c r="Q2633" s="651"/>
      <c r="R2633" s="651"/>
      <c r="S2633" s="651"/>
    </row>
    <row r="2634" spans="12:19" ht="15.75" customHeight="1" x14ac:dyDescent="0.35">
      <c r="L2634" s="2"/>
      <c r="M2634" s="2"/>
      <c r="N2634" s="650"/>
      <c r="O2634" s="650"/>
      <c r="P2634" s="651"/>
      <c r="Q2634" s="651"/>
      <c r="R2634" s="651"/>
      <c r="S2634" s="651"/>
    </row>
    <row r="2635" spans="12:19" ht="15.75" customHeight="1" x14ac:dyDescent="0.35">
      <c r="L2635" s="2"/>
      <c r="M2635" s="2"/>
      <c r="N2635" s="650"/>
      <c r="O2635" s="650"/>
      <c r="P2635" s="651"/>
      <c r="Q2635" s="651"/>
      <c r="R2635" s="651"/>
      <c r="S2635" s="651"/>
    </row>
    <row r="2636" spans="12:19" ht="15.75" customHeight="1" x14ac:dyDescent="0.35">
      <c r="L2636" s="2"/>
      <c r="M2636" s="2"/>
      <c r="N2636" s="650"/>
      <c r="O2636" s="650"/>
      <c r="P2636" s="651"/>
      <c r="Q2636" s="651"/>
      <c r="R2636" s="651"/>
      <c r="S2636" s="651"/>
    </row>
    <row r="2637" spans="12:19" ht="15.75" customHeight="1" x14ac:dyDescent="0.35">
      <c r="L2637" s="2"/>
      <c r="M2637" s="2"/>
      <c r="N2637" s="650"/>
      <c r="O2637" s="650"/>
      <c r="P2637" s="651"/>
      <c r="Q2637" s="651"/>
      <c r="R2637" s="651"/>
      <c r="S2637" s="651"/>
    </row>
    <row r="2638" spans="12:19" ht="15.75" customHeight="1" x14ac:dyDescent="0.35">
      <c r="L2638" s="2"/>
      <c r="M2638" s="2"/>
      <c r="N2638" s="650"/>
      <c r="O2638" s="650"/>
      <c r="P2638" s="651"/>
      <c r="Q2638" s="651"/>
      <c r="R2638" s="651"/>
      <c r="S2638" s="651"/>
    </row>
    <row r="2639" spans="12:19" ht="15.75" customHeight="1" x14ac:dyDescent="0.35">
      <c r="L2639" s="2"/>
      <c r="M2639" s="2"/>
      <c r="N2639" s="650"/>
      <c r="O2639" s="650"/>
      <c r="P2639" s="651"/>
      <c r="Q2639" s="651"/>
      <c r="R2639" s="651"/>
      <c r="S2639" s="651"/>
    </row>
    <row r="2640" spans="12:19" ht="15.75" customHeight="1" x14ac:dyDescent="0.35">
      <c r="L2640" s="2"/>
      <c r="M2640" s="2"/>
      <c r="N2640" s="650"/>
      <c r="O2640" s="650"/>
      <c r="P2640" s="651"/>
      <c r="Q2640" s="651"/>
      <c r="R2640" s="651"/>
      <c r="S2640" s="651"/>
    </row>
    <row r="2641" spans="12:19" ht="15.75" customHeight="1" x14ac:dyDescent="0.35">
      <c r="L2641" s="2"/>
      <c r="M2641" s="2"/>
      <c r="N2641" s="650"/>
      <c r="O2641" s="650"/>
      <c r="P2641" s="651"/>
      <c r="Q2641" s="651"/>
      <c r="R2641" s="651"/>
      <c r="S2641" s="651"/>
    </row>
    <row r="2642" spans="12:19" ht="15.75" customHeight="1" x14ac:dyDescent="0.35">
      <c r="L2642" s="2"/>
      <c r="M2642" s="2"/>
      <c r="N2642" s="650"/>
      <c r="O2642" s="650"/>
      <c r="P2642" s="651"/>
      <c r="Q2642" s="651"/>
      <c r="R2642" s="651"/>
      <c r="S2642" s="651"/>
    </row>
    <row r="2643" spans="12:19" ht="15.75" customHeight="1" x14ac:dyDescent="0.35">
      <c r="L2643" s="2"/>
      <c r="M2643" s="2"/>
      <c r="N2643" s="650"/>
      <c r="O2643" s="650"/>
      <c r="P2643" s="651"/>
      <c r="Q2643" s="651"/>
      <c r="R2643" s="651"/>
      <c r="S2643" s="651"/>
    </row>
    <row r="2644" spans="12:19" ht="15.75" customHeight="1" x14ac:dyDescent="0.35">
      <c r="L2644" s="2"/>
      <c r="M2644" s="2"/>
      <c r="N2644" s="650"/>
      <c r="O2644" s="650"/>
      <c r="P2644" s="651"/>
      <c r="Q2644" s="651"/>
      <c r="R2644" s="651"/>
      <c r="S2644" s="651"/>
    </row>
    <row r="2645" spans="12:19" ht="15.75" customHeight="1" x14ac:dyDescent="0.35">
      <c r="L2645" s="2"/>
      <c r="M2645" s="2"/>
      <c r="N2645" s="650"/>
      <c r="O2645" s="650"/>
      <c r="P2645" s="651"/>
      <c r="Q2645" s="651"/>
      <c r="R2645" s="651"/>
      <c r="S2645" s="651"/>
    </row>
    <row r="2646" spans="12:19" ht="15.75" customHeight="1" x14ac:dyDescent="0.35">
      <c r="L2646" s="2"/>
      <c r="M2646" s="2"/>
      <c r="N2646" s="650"/>
      <c r="O2646" s="650"/>
      <c r="P2646" s="651"/>
      <c r="Q2646" s="651"/>
      <c r="R2646" s="651"/>
      <c r="S2646" s="651"/>
    </row>
    <row r="2647" spans="12:19" ht="15.75" customHeight="1" x14ac:dyDescent="0.35">
      <c r="L2647" s="2"/>
      <c r="M2647" s="2"/>
      <c r="N2647" s="650"/>
      <c r="O2647" s="650"/>
      <c r="P2647" s="651"/>
      <c r="Q2647" s="651"/>
      <c r="R2647" s="651"/>
      <c r="S2647" s="651"/>
    </row>
    <row r="2648" spans="12:19" ht="15.75" customHeight="1" x14ac:dyDescent="0.35">
      <c r="L2648" s="2"/>
      <c r="M2648" s="2"/>
      <c r="N2648" s="650"/>
      <c r="O2648" s="650"/>
      <c r="P2648" s="651"/>
      <c r="Q2648" s="651"/>
      <c r="R2648" s="651"/>
      <c r="S2648" s="651"/>
    </row>
    <row r="2649" spans="12:19" ht="15.75" customHeight="1" x14ac:dyDescent="0.35">
      <c r="L2649" s="2"/>
      <c r="M2649" s="2"/>
      <c r="N2649" s="650"/>
      <c r="O2649" s="650"/>
      <c r="P2649" s="651"/>
      <c r="Q2649" s="651"/>
      <c r="R2649" s="651"/>
      <c r="S2649" s="651"/>
    </row>
    <row r="2650" spans="12:19" ht="15.75" customHeight="1" x14ac:dyDescent="0.35">
      <c r="L2650" s="2"/>
      <c r="M2650" s="2"/>
      <c r="N2650" s="650"/>
      <c r="O2650" s="650"/>
      <c r="P2650" s="651"/>
      <c r="Q2650" s="651"/>
      <c r="R2650" s="651"/>
      <c r="S2650" s="651"/>
    </row>
    <row r="2651" spans="12:19" ht="15.75" customHeight="1" x14ac:dyDescent="0.35">
      <c r="L2651" s="2"/>
      <c r="M2651" s="2"/>
      <c r="N2651" s="650"/>
      <c r="O2651" s="650"/>
      <c r="P2651" s="651"/>
      <c r="Q2651" s="651"/>
      <c r="R2651" s="651"/>
      <c r="S2651" s="651"/>
    </row>
    <row r="2652" spans="12:19" ht="15.75" customHeight="1" x14ac:dyDescent="0.35">
      <c r="L2652" s="2"/>
      <c r="M2652" s="2"/>
      <c r="N2652" s="650"/>
      <c r="O2652" s="650"/>
      <c r="P2652" s="651"/>
      <c r="Q2652" s="651"/>
      <c r="R2652" s="651"/>
      <c r="S2652" s="651"/>
    </row>
    <row r="2653" spans="12:19" ht="15.75" customHeight="1" x14ac:dyDescent="0.35">
      <c r="L2653" s="2"/>
      <c r="M2653" s="2"/>
      <c r="N2653" s="650"/>
      <c r="O2653" s="650"/>
      <c r="P2653" s="651"/>
      <c r="Q2653" s="651"/>
      <c r="R2653" s="651"/>
      <c r="S2653" s="651"/>
    </row>
    <row r="2654" spans="12:19" ht="15.75" customHeight="1" x14ac:dyDescent="0.35">
      <c r="L2654" s="2"/>
      <c r="M2654" s="2"/>
      <c r="N2654" s="650"/>
      <c r="O2654" s="650"/>
      <c r="P2654" s="651"/>
      <c r="Q2654" s="651"/>
      <c r="R2654" s="651"/>
      <c r="S2654" s="651"/>
    </row>
    <row r="2655" spans="12:19" ht="15.75" customHeight="1" x14ac:dyDescent="0.35">
      <c r="L2655" s="2"/>
      <c r="M2655" s="2"/>
      <c r="N2655" s="650"/>
      <c r="O2655" s="650"/>
      <c r="P2655" s="651"/>
      <c r="Q2655" s="651"/>
      <c r="R2655" s="651"/>
      <c r="S2655" s="651"/>
    </row>
    <row r="2656" spans="12:19" ht="15.75" customHeight="1" x14ac:dyDescent="0.35">
      <c r="L2656" s="2"/>
      <c r="M2656" s="2"/>
      <c r="N2656" s="650"/>
      <c r="O2656" s="650"/>
      <c r="P2656" s="651"/>
      <c r="Q2656" s="651"/>
      <c r="R2656" s="651"/>
      <c r="S2656" s="651"/>
    </row>
    <row r="2657" spans="12:19" ht="15.75" customHeight="1" x14ac:dyDescent="0.35">
      <c r="L2657" s="2"/>
      <c r="M2657" s="2"/>
      <c r="N2657" s="650"/>
      <c r="O2657" s="650"/>
      <c r="P2657" s="651"/>
      <c r="Q2657" s="651"/>
      <c r="R2657" s="651"/>
      <c r="S2657" s="651"/>
    </row>
    <row r="2658" spans="12:19" ht="15.75" customHeight="1" x14ac:dyDescent="0.35">
      <c r="L2658" s="2"/>
      <c r="M2658" s="2"/>
      <c r="N2658" s="650"/>
      <c r="O2658" s="650"/>
      <c r="P2658" s="651"/>
      <c r="Q2658" s="651"/>
      <c r="R2658" s="651"/>
      <c r="S2658" s="651"/>
    </row>
    <row r="2659" spans="12:19" ht="15.75" customHeight="1" x14ac:dyDescent="0.35">
      <c r="L2659" s="2"/>
      <c r="M2659" s="2"/>
      <c r="N2659" s="650"/>
      <c r="O2659" s="650"/>
      <c r="P2659" s="651"/>
      <c r="Q2659" s="651"/>
      <c r="R2659" s="651"/>
      <c r="S2659" s="651"/>
    </row>
    <row r="2660" spans="12:19" ht="15.75" customHeight="1" x14ac:dyDescent="0.35">
      <c r="L2660" s="2"/>
      <c r="M2660" s="2"/>
      <c r="N2660" s="650"/>
      <c r="O2660" s="650"/>
      <c r="P2660" s="651"/>
      <c r="Q2660" s="651"/>
      <c r="R2660" s="651"/>
      <c r="S2660" s="651"/>
    </row>
    <row r="2661" spans="12:19" ht="15.75" customHeight="1" x14ac:dyDescent="0.35">
      <c r="L2661" s="2"/>
      <c r="M2661" s="2"/>
      <c r="N2661" s="650"/>
      <c r="O2661" s="650"/>
      <c r="P2661" s="651"/>
      <c r="Q2661" s="651"/>
      <c r="R2661" s="651"/>
      <c r="S2661" s="651"/>
    </row>
    <row r="2662" spans="12:19" ht="15.75" customHeight="1" x14ac:dyDescent="0.35">
      <c r="L2662" s="2"/>
      <c r="M2662" s="2"/>
      <c r="N2662" s="650"/>
      <c r="O2662" s="650"/>
      <c r="P2662" s="651"/>
      <c r="Q2662" s="651"/>
      <c r="R2662" s="651"/>
      <c r="S2662" s="651"/>
    </row>
    <row r="2663" spans="12:19" ht="15.75" customHeight="1" x14ac:dyDescent="0.35">
      <c r="L2663" s="2"/>
      <c r="M2663" s="2"/>
      <c r="N2663" s="650"/>
      <c r="O2663" s="650"/>
      <c r="P2663" s="651"/>
      <c r="Q2663" s="651"/>
      <c r="R2663" s="651"/>
      <c r="S2663" s="651"/>
    </row>
    <row r="2664" spans="12:19" ht="15.75" customHeight="1" x14ac:dyDescent="0.35">
      <c r="L2664" s="2"/>
      <c r="M2664" s="2"/>
      <c r="N2664" s="650"/>
      <c r="O2664" s="650"/>
      <c r="P2664" s="651"/>
      <c r="Q2664" s="651"/>
      <c r="R2664" s="651"/>
      <c r="S2664" s="651"/>
    </row>
    <row r="2665" spans="12:19" ht="15.75" customHeight="1" x14ac:dyDescent="0.35">
      <c r="L2665" s="2"/>
      <c r="M2665" s="2"/>
      <c r="N2665" s="650"/>
      <c r="O2665" s="650"/>
      <c r="P2665" s="651"/>
      <c r="Q2665" s="651"/>
      <c r="R2665" s="651"/>
      <c r="S2665" s="651"/>
    </row>
    <row r="2666" spans="12:19" ht="15.75" customHeight="1" x14ac:dyDescent="0.35">
      <c r="L2666" s="2"/>
      <c r="M2666" s="2"/>
      <c r="N2666" s="650"/>
      <c r="O2666" s="650"/>
      <c r="P2666" s="651"/>
      <c r="Q2666" s="651"/>
      <c r="R2666" s="651"/>
      <c r="S2666" s="651"/>
    </row>
    <row r="2667" spans="12:19" ht="15.75" customHeight="1" x14ac:dyDescent="0.35">
      <c r="L2667" s="2"/>
      <c r="M2667" s="2"/>
      <c r="N2667" s="650"/>
      <c r="O2667" s="650"/>
      <c r="P2667" s="651"/>
      <c r="Q2667" s="651"/>
      <c r="R2667" s="651"/>
      <c r="S2667" s="651"/>
    </row>
    <row r="2668" spans="12:19" ht="15.75" customHeight="1" x14ac:dyDescent="0.35">
      <c r="L2668" s="2"/>
      <c r="M2668" s="2"/>
      <c r="N2668" s="650"/>
      <c r="O2668" s="650"/>
      <c r="P2668" s="651"/>
      <c r="Q2668" s="651"/>
      <c r="R2668" s="651"/>
      <c r="S2668" s="651"/>
    </row>
    <row r="2669" spans="12:19" ht="15.75" customHeight="1" x14ac:dyDescent="0.35">
      <c r="L2669" s="2"/>
      <c r="M2669" s="2"/>
      <c r="N2669" s="650"/>
      <c r="O2669" s="650"/>
      <c r="P2669" s="651"/>
      <c r="Q2669" s="651"/>
      <c r="R2669" s="651"/>
      <c r="S2669" s="651"/>
    </row>
    <row r="2670" spans="12:19" ht="15.75" customHeight="1" x14ac:dyDescent="0.35">
      <c r="L2670" s="2"/>
      <c r="M2670" s="2"/>
      <c r="N2670" s="650"/>
      <c r="O2670" s="650"/>
      <c r="P2670" s="651"/>
      <c r="Q2670" s="651"/>
      <c r="R2670" s="651"/>
      <c r="S2670" s="651"/>
    </row>
    <row r="2671" spans="12:19" ht="15.75" customHeight="1" x14ac:dyDescent="0.35">
      <c r="L2671" s="2"/>
      <c r="M2671" s="2"/>
      <c r="N2671" s="650"/>
      <c r="O2671" s="650"/>
      <c r="P2671" s="651"/>
      <c r="Q2671" s="651"/>
      <c r="R2671" s="651"/>
      <c r="S2671" s="651"/>
    </row>
    <row r="2672" spans="12:19" ht="15.75" customHeight="1" x14ac:dyDescent="0.35">
      <c r="L2672" s="2"/>
      <c r="M2672" s="2"/>
      <c r="N2672" s="650"/>
      <c r="O2672" s="650"/>
      <c r="P2672" s="651"/>
      <c r="Q2672" s="651"/>
      <c r="R2672" s="651"/>
      <c r="S2672" s="651"/>
    </row>
    <row r="2673" spans="12:19" ht="15.75" customHeight="1" x14ac:dyDescent="0.35">
      <c r="L2673" s="2"/>
      <c r="M2673" s="2"/>
      <c r="N2673" s="650"/>
      <c r="O2673" s="650"/>
      <c r="P2673" s="651"/>
      <c r="Q2673" s="651"/>
      <c r="R2673" s="651"/>
      <c r="S2673" s="651"/>
    </row>
    <row r="2674" spans="12:19" ht="15.75" customHeight="1" x14ac:dyDescent="0.35">
      <c r="L2674" s="2"/>
      <c r="M2674" s="2"/>
      <c r="N2674" s="650"/>
      <c r="O2674" s="650"/>
      <c r="P2674" s="651"/>
      <c r="Q2674" s="651"/>
      <c r="R2674" s="651"/>
      <c r="S2674" s="651"/>
    </row>
    <row r="2675" spans="12:19" ht="15.75" customHeight="1" x14ac:dyDescent="0.35">
      <c r="L2675" s="2"/>
      <c r="M2675" s="2"/>
      <c r="N2675" s="650"/>
      <c r="O2675" s="650"/>
      <c r="P2675" s="651"/>
      <c r="Q2675" s="651"/>
      <c r="R2675" s="651"/>
      <c r="S2675" s="651"/>
    </row>
    <row r="2676" spans="12:19" ht="15.75" customHeight="1" x14ac:dyDescent="0.35">
      <c r="L2676" s="2"/>
      <c r="M2676" s="2"/>
      <c r="N2676" s="650"/>
      <c r="O2676" s="650"/>
      <c r="P2676" s="651"/>
      <c r="Q2676" s="651"/>
      <c r="R2676" s="651"/>
      <c r="S2676" s="651"/>
    </row>
    <row r="2677" spans="12:19" ht="15.75" customHeight="1" x14ac:dyDescent="0.35">
      <c r="L2677" s="2"/>
      <c r="M2677" s="2"/>
      <c r="N2677" s="650"/>
      <c r="O2677" s="650"/>
      <c r="P2677" s="651"/>
      <c r="Q2677" s="651"/>
      <c r="R2677" s="651"/>
      <c r="S2677" s="651"/>
    </row>
    <row r="2678" spans="12:19" ht="15.75" customHeight="1" x14ac:dyDescent="0.35">
      <c r="L2678" s="2"/>
      <c r="M2678" s="2"/>
      <c r="N2678" s="650"/>
      <c r="O2678" s="650"/>
      <c r="P2678" s="651"/>
      <c r="Q2678" s="651"/>
      <c r="R2678" s="651"/>
      <c r="S2678" s="651"/>
    </row>
    <row r="2679" spans="12:19" ht="15.75" customHeight="1" x14ac:dyDescent="0.35">
      <c r="L2679" s="2"/>
      <c r="M2679" s="2"/>
      <c r="N2679" s="650"/>
      <c r="O2679" s="650"/>
      <c r="P2679" s="651"/>
      <c r="Q2679" s="651"/>
      <c r="R2679" s="651"/>
      <c r="S2679" s="651"/>
    </row>
    <row r="2680" spans="12:19" ht="15.75" customHeight="1" x14ac:dyDescent="0.35">
      <c r="L2680" s="2"/>
      <c r="M2680" s="2"/>
      <c r="N2680" s="650"/>
      <c r="O2680" s="650"/>
      <c r="P2680" s="651"/>
      <c r="Q2680" s="651"/>
      <c r="R2680" s="651"/>
      <c r="S2680" s="651"/>
    </row>
    <row r="2681" spans="12:19" ht="15.75" customHeight="1" x14ac:dyDescent="0.35">
      <c r="L2681" s="2"/>
      <c r="M2681" s="2"/>
      <c r="N2681" s="650"/>
      <c r="O2681" s="650"/>
      <c r="P2681" s="651"/>
      <c r="Q2681" s="651"/>
      <c r="R2681" s="651"/>
      <c r="S2681" s="651"/>
    </row>
    <row r="2682" spans="12:19" ht="15.75" customHeight="1" x14ac:dyDescent="0.35">
      <c r="L2682" s="2"/>
      <c r="M2682" s="2"/>
      <c r="N2682" s="650"/>
      <c r="O2682" s="650"/>
      <c r="P2682" s="651"/>
      <c r="Q2682" s="651"/>
      <c r="R2682" s="651"/>
      <c r="S2682" s="651"/>
    </row>
    <row r="2683" spans="12:19" ht="15.75" customHeight="1" x14ac:dyDescent="0.35">
      <c r="L2683" s="2"/>
      <c r="M2683" s="2"/>
      <c r="N2683" s="650"/>
      <c r="O2683" s="650"/>
      <c r="P2683" s="651"/>
      <c r="Q2683" s="651"/>
      <c r="R2683" s="651"/>
      <c r="S2683" s="651"/>
    </row>
    <row r="2684" spans="12:19" ht="15.75" customHeight="1" x14ac:dyDescent="0.35">
      <c r="L2684" s="2"/>
      <c r="M2684" s="2"/>
      <c r="N2684" s="650"/>
      <c r="O2684" s="650"/>
      <c r="P2684" s="651"/>
      <c r="Q2684" s="651"/>
      <c r="R2684" s="651"/>
      <c r="S2684" s="651"/>
    </row>
    <row r="2685" spans="12:19" ht="15.75" customHeight="1" x14ac:dyDescent="0.35">
      <c r="L2685" s="2"/>
      <c r="M2685" s="2"/>
      <c r="N2685" s="650"/>
      <c r="O2685" s="650"/>
      <c r="P2685" s="651"/>
      <c r="Q2685" s="651"/>
      <c r="R2685" s="651"/>
      <c r="S2685" s="651"/>
    </row>
    <row r="2686" spans="12:19" ht="15.75" customHeight="1" x14ac:dyDescent="0.35">
      <c r="L2686" s="2"/>
      <c r="M2686" s="2"/>
      <c r="N2686" s="650"/>
      <c r="O2686" s="650"/>
      <c r="P2686" s="651"/>
      <c r="Q2686" s="651"/>
      <c r="R2686" s="651"/>
      <c r="S2686" s="651"/>
    </row>
    <row r="2687" spans="12:19" ht="15.75" customHeight="1" x14ac:dyDescent="0.35">
      <c r="L2687" s="2"/>
      <c r="M2687" s="2"/>
      <c r="N2687" s="650"/>
      <c r="O2687" s="650"/>
      <c r="P2687" s="651"/>
      <c r="Q2687" s="651"/>
      <c r="R2687" s="651"/>
      <c r="S2687" s="651"/>
    </row>
    <row r="2688" spans="12:19" ht="15.75" customHeight="1" x14ac:dyDescent="0.35">
      <c r="L2688" s="2"/>
      <c r="M2688" s="2"/>
      <c r="N2688" s="650"/>
      <c r="O2688" s="650"/>
      <c r="P2688" s="651"/>
      <c r="Q2688" s="651"/>
      <c r="R2688" s="651"/>
      <c r="S2688" s="651"/>
    </row>
    <row r="2689" spans="12:19" ht="15.75" customHeight="1" x14ac:dyDescent="0.35">
      <c r="L2689" s="2"/>
      <c r="M2689" s="2"/>
      <c r="N2689" s="650"/>
      <c r="O2689" s="650"/>
      <c r="P2689" s="651"/>
      <c r="Q2689" s="651"/>
      <c r="R2689" s="651"/>
      <c r="S2689" s="651"/>
    </row>
    <row r="2690" spans="12:19" ht="15.75" customHeight="1" x14ac:dyDescent="0.35">
      <c r="L2690" s="2"/>
      <c r="M2690" s="2"/>
      <c r="N2690" s="650"/>
      <c r="O2690" s="650"/>
      <c r="P2690" s="651"/>
      <c r="Q2690" s="651"/>
      <c r="R2690" s="651"/>
      <c r="S2690" s="651"/>
    </row>
    <row r="2691" spans="12:19" ht="15.75" customHeight="1" x14ac:dyDescent="0.35">
      <c r="L2691" s="2"/>
      <c r="M2691" s="2"/>
      <c r="N2691" s="650"/>
      <c r="O2691" s="650"/>
      <c r="P2691" s="651"/>
      <c r="Q2691" s="651"/>
      <c r="R2691" s="651"/>
      <c r="S2691" s="651"/>
    </row>
    <row r="2692" spans="12:19" ht="15.75" customHeight="1" x14ac:dyDescent="0.35">
      <c r="L2692" s="2"/>
      <c r="M2692" s="2"/>
      <c r="N2692" s="650"/>
      <c r="O2692" s="650"/>
      <c r="P2692" s="651"/>
      <c r="Q2692" s="651"/>
      <c r="R2692" s="651"/>
      <c r="S2692" s="651"/>
    </row>
    <row r="2693" spans="12:19" ht="15.75" customHeight="1" x14ac:dyDescent="0.35">
      <c r="L2693" s="2"/>
      <c r="M2693" s="2"/>
      <c r="N2693" s="650"/>
      <c r="O2693" s="650"/>
      <c r="P2693" s="651"/>
      <c r="Q2693" s="651"/>
      <c r="R2693" s="651"/>
      <c r="S2693" s="651"/>
    </row>
    <row r="2694" spans="12:19" ht="15.75" customHeight="1" x14ac:dyDescent="0.35">
      <c r="L2694" s="2"/>
      <c r="M2694" s="2"/>
      <c r="N2694" s="650"/>
      <c r="O2694" s="650"/>
      <c r="P2694" s="651"/>
      <c r="Q2694" s="651"/>
      <c r="R2694" s="651"/>
      <c r="S2694" s="651"/>
    </row>
    <row r="2695" spans="12:19" ht="15.75" customHeight="1" x14ac:dyDescent="0.35">
      <c r="L2695" s="2"/>
      <c r="M2695" s="2"/>
      <c r="N2695" s="650"/>
      <c r="O2695" s="650"/>
      <c r="P2695" s="651"/>
      <c r="Q2695" s="651"/>
      <c r="R2695" s="651"/>
      <c r="S2695" s="651"/>
    </row>
    <row r="2696" spans="12:19" ht="15.75" customHeight="1" x14ac:dyDescent="0.35">
      <c r="L2696" s="2"/>
      <c r="M2696" s="2"/>
      <c r="N2696" s="650"/>
      <c r="O2696" s="650"/>
      <c r="P2696" s="651"/>
      <c r="Q2696" s="651"/>
      <c r="R2696" s="651"/>
      <c r="S2696" s="651"/>
    </row>
    <row r="2697" spans="12:19" ht="15.75" customHeight="1" x14ac:dyDescent="0.35">
      <c r="L2697" s="2"/>
      <c r="M2697" s="2"/>
      <c r="N2697" s="650"/>
      <c r="O2697" s="650"/>
      <c r="P2697" s="651"/>
      <c r="Q2697" s="651"/>
      <c r="R2697" s="651"/>
      <c r="S2697" s="651"/>
    </row>
    <row r="2698" spans="12:19" ht="15.75" customHeight="1" x14ac:dyDescent="0.35">
      <c r="L2698" s="2"/>
      <c r="M2698" s="2"/>
      <c r="N2698" s="650"/>
      <c r="O2698" s="650"/>
      <c r="P2698" s="651"/>
      <c r="Q2698" s="651"/>
      <c r="R2698" s="651"/>
      <c r="S2698" s="651"/>
    </row>
    <row r="2699" spans="12:19" ht="15.75" customHeight="1" x14ac:dyDescent="0.35">
      <c r="L2699" s="2"/>
      <c r="M2699" s="2"/>
      <c r="N2699" s="650"/>
      <c r="O2699" s="650"/>
      <c r="P2699" s="651"/>
      <c r="Q2699" s="651"/>
      <c r="R2699" s="651"/>
      <c r="S2699" s="651"/>
    </row>
    <row r="2700" spans="12:19" ht="15.75" customHeight="1" x14ac:dyDescent="0.35">
      <c r="L2700" s="2"/>
      <c r="M2700" s="2"/>
      <c r="N2700" s="650"/>
      <c r="O2700" s="650"/>
      <c r="P2700" s="651"/>
      <c r="Q2700" s="651"/>
      <c r="R2700" s="651"/>
      <c r="S2700" s="651"/>
    </row>
    <row r="2701" spans="12:19" ht="15.75" customHeight="1" x14ac:dyDescent="0.35">
      <c r="L2701" s="2"/>
      <c r="M2701" s="2"/>
      <c r="N2701" s="650"/>
      <c r="O2701" s="650"/>
      <c r="P2701" s="651"/>
      <c r="Q2701" s="651"/>
      <c r="R2701" s="651"/>
      <c r="S2701" s="651"/>
    </row>
    <row r="2702" spans="12:19" ht="15.75" customHeight="1" x14ac:dyDescent="0.35">
      <c r="L2702" s="2"/>
      <c r="M2702" s="2"/>
      <c r="N2702" s="650"/>
      <c r="O2702" s="650"/>
      <c r="P2702" s="651"/>
      <c r="Q2702" s="651"/>
      <c r="R2702" s="651"/>
      <c r="S2702" s="651"/>
    </row>
    <row r="2703" spans="12:19" ht="15.75" customHeight="1" x14ac:dyDescent="0.35">
      <c r="L2703" s="2"/>
      <c r="M2703" s="2"/>
      <c r="N2703" s="650"/>
      <c r="O2703" s="650"/>
      <c r="P2703" s="651"/>
      <c r="Q2703" s="651"/>
      <c r="R2703" s="651"/>
      <c r="S2703" s="651"/>
    </row>
    <row r="2704" spans="12:19" ht="15.75" customHeight="1" x14ac:dyDescent="0.35">
      <c r="L2704" s="2"/>
      <c r="M2704" s="2"/>
      <c r="N2704" s="650"/>
      <c r="O2704" s="650"/>
      <c r="P2704" s="651"/>
      <c r="Q2704" s="651"/>
      <c r="R2704" s="651"/>
      <c r="S2704" s="651"/>
    </row>
    <row r="2705" spans="12:19" ht="15.75" customHeight="1" x14ac:dyDescent="0.35">
      <c r="L2705" s="2"/>
      <c r="M2705" s="2"/>
      <c r="N2705" s="650"/>
      <c r="O2705" s="650"/>
      <c r="P2705" s="651"/>
      <c r="Q2705" s="651"/>
      <c r="R2705" s="651"/>
      <c r="S2705" s="651"/>
    </row>
    <row r="2706" spans="12:19" ht="15.75" customHeight="1" x14ac:dyDescent="0.35">
      <c r="L2706" s="2"/>
      <c r="M2706" s="2"/>
      <c r="N2706" s="650"/>
      <c r="O2706" s="650"/>
      <c r="P2706" s="651"/>
      <c r="Q2706" s="651"/>
      <c r="R2706" s="651"/>
      <c r="S2706" s="651"/>
    </row>
    <row r="2707" spans="12:19" ht="15.75" customHeight="1" x14ac:dyDescent="0.35">
      <c r="L2707" s="2"/>
      <c r="M2707" s="2"/>
      <c r="N2707" s="650"/>
      <c r="O2707" s="650"/>
      <c r="P2707" s="651"/>
      <c r="Q2707" s="651"/>
      <c r="R2707" s="651"/>
      <c r="S2707" s="651"/>
    </row>
    <row r="2708" spans="12:19" ht="15.75" customHeight="1" x14ac:dyDescent="0.35">
      <c r="L2708" s="2"/>
      <c r="M2708" s="2"/>
      <c r="N2708" s="650"/>
      <c r="O2708" s="650"/>
      <c r="P2708" s="651"/>
      <c r="Q2708" s="651"/>
      <c r="R2708" s="651"/>
      <c r="S2708" s="651"/>
    </row>
    <row r="2709" spans="12:19" ht="15.75" customHeight="1" x14ac:dyDescent="0.35">
      <c r="L2709" s="2"/>
      <c r="M2709" s="2"/>
      <c r="N2709" s="650"/>
      <c r="O2709" s="650"/>
      <c r="P2709" s="651"/>
      <c r="Q2709" s="651"/>
      <c r="R2709" s="651"/>
      <c r="S2709" s="651"/>
    </row>
    <row r="2710" spans="12:19" ht="15.75" customHeight="1" x14ac:dyDescent="0.35">
      <c r="L2710" s="2"/>
      <c r="M2710" s="2"/>
      <c r="N2710" s="650"/>
      <c r="O2710" s="650"/>
      <c r="P2710" s="651"/>
      <c r="Q2710" s="651"/>
      <c r="R2710" s="651"/>
      <c r="S2710" s="651"/>
    </row>
    <row r="2711" spans="12:19" ht="15.75" customHeight="1" x14ac:dyDescent="0.35">
      <c r="L2711" s="2"/>
      <c r="M2711" s="2"/>
      <c r="N2711" s="650"/>
      <c r="O2711" s="650"/>
      <c r="P2711" s="651"/>
      <c r="Q2711" s="651"/>
      <c r="R2711" s="651"/>
      <c r="S2711" s="651"/>
    </row>
    <row r="2712" spans="12:19" ht="15.75" customHeight="1" x14ac:dyDescent="0.35">
      <c r="L2712" s="2"/>
      <c r="M2712" s="2"/>
      <c r="N2712" s="650"/>
      <c r="O2712" s="650"/>
      <c r="P2712" s="651"/>
      <c r="Q2712" s="651"/>
      <c r="R2712" s="651"/>
      <c r="S2712" s="651"/>
    </row>
    <row r="2713" spans="12:19" ht="15.75" customHeight="1" x14ac:dyDescent="0.35">
      <c r="L2713" s="2"/>
      <c r="M2713" s="2"/>
      <c r="N2713" s="650"/>
      <c r="O2713" s="650"/>
      <c r="P2713" s="651"/>
      <c r="Q2713" s="651"/>
      <c r="R2713" s="651"/>
      <c r="S2713" s="651"/>
    </row>
    <row r="2714" spans="12:19" ht="15.75" customHeight="1" x14ac:dyDescent="0.35">
      <c r="L2714" s="2"/>
      <c r="M2714" s="2"/>
      <c r="N2714" s="650"/>
      <c r="O2714" s="650"/>
      <c r="P2714" s="651"/>
      <c r="Q2714" s="651"/>
      <c r="R2714" s="651"/>
      <c r="S2714" s="651"/>
    </row>
    <row r="2715" spans="12:19" ht="15.75" customHeight="1" x14ac:dyDescent="0.35">
      <c r="L2715" s="2"/>
      <c r="M2715" s="2"/>
      <c r="N2715" s="650"/>
      <c r="O2715" s="650"/>
      <c r="P2715" s="651"/>
      <c r="Q2715" s="651"/>
      <c r="R2715" s="651"/>
      <c r="S2715" s="651"/>
    </row>
    <row r="2716" spans="12:19" ht="15.75" customHeight="1" x14ac:dyDescent="0.35">
      <c r="L2716" s="2"/>
      <c r="M2716" s="2"/>
      <c r="N2716" s="650"/>
      <c r="O2716" s="650"/>
      <c r="P2716" s="651"/>
      <c r="Q2716" s="651"/>
      <c r="R2716" s="651"/>
      <c r="S2716" s="651"/>
    </row>
    <row r="2717" spans="12:19" ht="15.75" customHeight="1" x14ac:dyDescent="0.35">
      <c r="L2717" s="2"/>
      <c r="M2717" s="2"/>
      <c r="N2717" s="650"/>
      <c r="O2717" s="650"/>
      <c r="P2717" s="651"/>
      <c r="Q2717" s="651"/>
      <c r="R2717" s="651"/>
      <c r="S2717" s="651"/>
    </row>
    <row r="2718" spans="12:19" ht="15.75" customHeight="1" x14ac:dyDescent="0.35">
      <c r="L2718" s="2"/>
      <c r="M2718" s="2"/>
      <c r="N2718" s="650"/>
      <c r="O2718" s="650"/>
      <c r="P2718" s="651"/>
      <c r="Q2718" s="651"/>
      <c r="R2718" s="651"/>
      <c r="S2718" s="651"/>
    </row>
    <row r="2719" spans="12:19" ht="15.75" customHeight="1" x14ac:dyDescent="0.35">
      <c r="L2719" s="2"/>
      <c r="M2719" s="2"/>
      <c r="N2719" s="650"/>
      <c r="O2719" s="650"/>
      <c r="P2719" s="651"/>
      <c r="Q2719" s="651"/>
      <c r="R2719" s="651"/>
      <c r="S2719" s="651"/>
    </row>
    <row r="2720" spans="12:19" ht="15.75" customHeight="1" x14ac:dyDescent="0.35">
      <c r="L2720" s="2"/>
      <c r="M2720" s="2"/>
      <c r="N2720" s="650"/>
      <c r="O2720" s="650"/>
      <c r="P2720" s="651"/>
      <c r="Q2720" s="651"/>
      <c r="R2720" s="651"/>
      <c r="S2720" s="651"/>
    </row>
    <row r="2721" spans="12:19" ht="15.75" customHeight="1" x14ac:dyDescent="0.35">
      <c r="L2721" s="2"/>
      <c r="M2721" s="2"/>
      <c r="N2721" s="650"/>
      <c r="O2721" s="650"/>
      <c r="P2721" s="651"/>
      <c r="Q2721" s="651"/>
      <c r="R2721" s="651"/>
      <c r="S2721" s="651"/>
    </row>
    <row r="2722" spans="12:19" ht="15.75" customHeight="1" x14ac:dyDescent="0.35">
      <c r="L2722" s="2"/>
      <c r="M2722" s="2"/>
      <c r="N2722" s="650"/>
      <c r="O2722" s="650"/>
      <c r="P2722" s="651"/>
      <c r="Q2722" s="651"/>
      <c r="R2722" s="651"/>
      <c r="S2722" s="651"/>
    </row>
    <row r="2723" spans="12:19" ht="15.75" customHeight="1" x14ac:dyDescent="0.35">
      <c r="L2723" s="2"/>
      <c r="M2723" s="2"/>
      <c r="N2723" s="650"/>
      <c r="O2723" s="650"/>
      <c r="P2723" s="651"/>
      <c r="Q2723" s="651"/>
      <c r="R2723" s="651"/>
      <c r="S2723" s="651"/>
    </row>
    <row r="2724" spans="12:19" ht="15.75" customHeight="1" x14ac:dyDescent="0.35">
      <c r="L2724" s="2"/>
      <c r="M2724" s="2"/>
      <c r="N2724" s="650"/>
      <c r="O2724" s="650"/>
      <c r="P2724" s="651"/>
      <c r="Q2724" s="651"/>
      <c r="R2724" s="651"/>
      <c r="S2724" s="651"/>
    </row>
    <row r="2725" spans="12:19" ht="15.75" customHeight="1" x14ac:dyDescent="0.35">
      <c r="L2725" s="2"/>
      <c r="M2725" s="2"/>
      <c r="N2725" s="650"/>
      <c r="O2725" s="650"/>
      <c r="P2725" s="651"/>
      <c r="Q2725" s="651"/>
      <c r="R2725" s="651"/>
      <c r="S2725" s="651"/>
    </row>
    <row r="2726" spans="12:19" ht="15.75" customHeight="1" x14ac:dyDescent="0.35">
      <c r="L2726" s="2"/>
      <c r="M2726" s="2"/>
      <c r="N2726" s="650"/>
      <c r="O2726" s="650"/>
      <c r="P2726" s="651"/>
      <c r="Q2726" s="651"/>
      <c r="R2726" s="651"/>
      <c r="S2726" s="651"/>
    </row>
    <row r="2727" spans="12:19" ht="15.75" customHeight="1" x14ac:dyDescent="0.35">
      <c r="L2727" s="2"/>
      <c r="M2727" s="2"/>
      <c r="N2727" s="650"/>
      <c r="O2727" s="650"/>
      <c r="P2727" s="651"/>
      <c r="Q2727" s="651"/>
      <c r="R2727" s="651"/>
      <c r="S2727" s="651"/>
    </row>
    <row r="2728" spans="12:19" ht="15.75" customHeight="1" x14ac:dyDescent="0.35">
      <c r="L2728" s="2"/>
      <c r="M2728" s="2"/>
      <c r="N2728" s="650"/>
      <c r="O2728" s="650"/>
      <c r="P2728" s="651"/>
      <c r="Q2728" s="651"/>
      <c r="R2728" s="651"/>
      <c r="S2728" s="651"/>
    </row>
    <row r="2729" spans="12:19" ht="15.75" customHeight="1" x14ac:dyDescent="0.35">
      <c r="L2729" s="2"/>
      <c r="M2729" s="2"/>
      <c r="N2729" s="650"/>
      <c r="O2729" s="650"/>
      <c r="P2729" s="651"/>
      <c r="Q2729" s="651"/>
      <c r="R2729" s="651"/>
      <c r="S2729" s="651"/>
    </row>
    <row r="2730" spans="12:19" ht="15.75" customHeight="1" x14ac:dyDescent="0.35">
      <c r="L2730" s="2"/>
      <c r="M2730" s="2"/>
      <c r="N2730" s="650"/>
      <c r="O2730" s="650"/>
      <c r="P2730" s="651"/>
      <c r="Q2730" s="651"/>
      <c r="R2730" s="651"/>
      <c r="S2730" s="651"/>
    </row>
    <row r="2731" spans="12:19" ht="15.75" customHeight="1" x14ac:dyDescent="0.35">
      <c r="L2731" s="2"/>
      <c r="M2731" s="2"/>
      <c r="N2731" s="650"/>
      <c r="O2731" s="650"/>
      <c r="P2731" s="651"/>
      <c r="Q2731" s="651"/>
      <c r="R2731" s="651"/>
      <c r="S2731" s="651"/>
    </row>
    <row r="2732" spans="12:19" ht="15.75" customHeight="1" x14ac:dyDescent="0.35">
      <c r="L2732" s="2"/>
      <c r="M2732" s="2"/>
      <c r="N2732" s="650"/>
      <c r="O2732" s="650"/>
      <c r="P2732" s="651"/>
      <c r="Q2732" s="651"/>
      <c r="R2732" s="651"/>
      <c r="S2732" s="651"/>
    </row>
    <row r="2733" spans="12:19" ht="15.75" customHeight="1" x14ac:dyDescent="0.35">
      <c r="L2733" s="2"/>
      <c r="M2733" s="2"/>
      <c r="N2733" s="650"/>
      <c r="O2733" s="650"/>
      <c r="P2733" s="651"/>
      <c r="Q2733" s="651"/>
      <c r="R2733" s="651"/>
      <c r="S2733" s="651"/>
    </row>
    <row r="2734" spans="12:19" ht="15.75" customHeight="1" x14ac:dyDescent="0.35">
      <c r="L2734" s="2"/>
      <c r="M2734" s="2"/>
      <c r="N2734" s="650"/>
      <c r="O2734" s="650"/>
      <c r="P2734" s="651"/>
      <c r="Q2734" s="651"/>
      <c r="R2734" s="651"/>
      <c r="S2734" s="651"/>
    </row>
    <row r="2735" spans="12:19" ht="15.75" customHeight="1" x14ac:dyDescent="0.35">
      <c r="L2735" s="2"/>
      <c r="M2735" s="2"/>
      <c r="N2735" s="650"/>
      <c r="O2735" s="650"/>
      <c r="P2735" s="651"/>
      <c r="Q2735" s="651"/>
      <c r="R2735" s="651"/>
      <c r="S2735" s="651"/>
    </row>
    <row r="2736" spans="12:19" ht="15.75" customHeight="1" x14ac:dyDescent="0.35">
      <c r="L2736" s="2"/>
      <c r="M2736" s="2"/>
      <c r="N2736" s="650"/>
      <c r="O2736" s="650"/>
      <c r="P2736" s="651"/>
      <c r="Q2736" s="651"/>
      <c r="R2736" s="651"/>
      <c r="S2736" s="651"/>
    </row>
    <row r="2737" spans="12:19" ht="15.75" customHeight="1" x14ac:dyDescent="0.35">
      <c r="L2737" s="2"/>
      <c r="M2737" s="2"/>
      <c r="N2737" s="650"/>
      <c r="O2737" s="650"/>
      <c r="P2737" s="651"/>
      <c r="Q2737" s="651"/>
      <c r="R2737" s="651"/>
      <c r="S2737" s="651"/>
    </row>
    <row r="2738" spans="12:19" ht="15.75" customHeight="1" x14ac:dyDescent="0.35">
      <c r="L2738" s="2"/>
      <c r="M2738" s="2"/>
      <c r="N2738" s="650"/>
      <c r="O2738" s="650"/>
      <c r="P2738" s="651"/>
      <c r="Q2738" s="651"/>
      <c r="R2738" s="651"/>
      <c r="S2738" s="651"/>
    </row>
    <row r="2739" spans="12:19" ht="15.75" customHeight="1" x14ac:dyDescent="0.35">
      <c r="L2739" s="2"/>
      <c r="M2739" s="2"/>
      <c r="N2739" s="650"/>
      <c r="O2739" s="650"/>
      <c r="P2739" s="651"/>
      <c r="Q2739" s="651"/>
      <c r="R2739" s="651"/>
      <c r="S2739" s="651"/>
    </row>
    <row r="2740" spans="12:19" ht="15.75" customHeight="1" x14ac:dyDescent="0.35">
      <c r="L2740" s="2"/>
      <c r="M2740" s="2"/>
      <c r="N2740" s="650"/>
      <c r="O2740" s="650"/>
      <c r="P2740" s="651"/>
      <c r="Q2740" s="651"/>
      <c r="R2740" s="651"/>
      <c r="S2740" s="651"/>
    </row>
    <row r="2741" spans="12:19" ht="15.75" customHeight="1" x14ac:dyDescent="0.35">
      <c r="L2741" s="2"/>
      <c r="M2741" s="2"/>
      <c r="N2741" s="650"/>
      <c r="O2741" s="650"/>
      <c r="P2741" s="651"/>
      <c r="Q2741" s="651"/>
      <c r="R2741" s="651"/>
      <c r="S2741" s="651"/>
    </row>
    <row r="2742" spans="12:19" ht="15.75" customHeight="1" x14ac:dyDescent="0.35">
      <c r="L2742" s="2"/>
      <c r="M2742" s="2"/>
      <c r="N2742" s="650"/>
      <c r="O2742" s="650"/>
      <c r="P2742" s="651"/>
      <c r="Q2742" s="651"/>
      <c r="R2742" s="651"/>
      <c r="S2742" s="651"/>
    </row>
    <row r="2743" spans="12:19" ht="15.75" customHeight="1" x14ac:dyDescent="0.35">
      <c r="L2743" s="2"/>
      <c r="M2743" s="2"/>
      <c r="N2743" s="650"/>
      <c r="O2743" s="650"/>
      <c r="P2743" s="651"/>
      <c r="Q2743" s="651"/>
      <c r="R2743" s="651"/>
      <c r="S2743" s="651"/>
    </row>
    <row r="2744" spans="12:19" ht="15.75" customHeight="1" x14ac:dyDescent="0.35">
      <c r="L2744" s="2"/>
      <c r="M2744" s="2"/>
      <c r="N2744" s="650"/>
      <c r="O2744" s="650"/>
      <c r="P2744" s="651"/>
      <c r="Q2744" s="651"/>
      <c r="R2744" s="651"/>
      <c r="S2744" s="651"/>
    </row>
    <row r="2745" spans="12:19" ht="15.75" customHeight="1" x14ac:dyDescent="0.35">
      <c r="L2745" s="2"/>
      <c r="M2745" s="2"/>
      <c r="N2745" s="650"/>
      <c r="O2745" s="650"/>
      <c r="P2745" s="651"/>
      <c r="Q2745" s="651"/>
      <c r="R2745" s="651"/>
      <c r="S2745" s="651"/>
    </row>
    <row r="2746" spans="12:19" ht="15.75" customHeight="1" x14ac:dyDescent="0.35">
      <c r="L2746" s="2"/>
      <c r="M2746" s="2"/>
      <c r="N2746" s="650"/>
      <c r="O2746" s="650"/>
      <c r="P2746" s="651"/>
      <c r="Q2746" s="651"/>
      <c r="R2746" s="651"/>
      <c r="S2746" s="651"/>
    </row>
    <row r="2747" spans="12:19" ht="15.75" customHeight="1" x14ac:dyDescent="0.35">
      <c r="L2747" s="2"/>
      <c r="M2747" s="2"/>
      <c r="N2747" s="650"/>
      <c r="O2747" s="650"/>
      <c r="P2747" s="651"/>
      <c r="Q2747" s="651"/>
      <c r="R2747" s="651"/>
      <c r="S2747" s="651"/>
    </row>
    <row r="2748" spans="12:19" ht="15.75" customHeight="1" x14ac:dyDescent="0.35">
      <c r="L2748" s="2"/>
      <c r="M2748" s="2"/>
      <c r="N2748" s="650"/>
      <c r="O2748" s="650"/>
      <c r="P2748" s="651"/>
      <c r="Q2748" s="651"/>
      <c r="R2748" s="651"/>
      <c r="S2748" s="651"/>
    </row>
    <row r="2749" spans="12:19" ht="15.75" customHeight="1" x14ac:dyDescent="0.35">
      <c r="L2749" s="2"/>
      <c r="M2749" s="2"/>
      <c r="N2749" s="650"/>
      <c r="O2749" s="650"/>
      <c r="P2749" s="651"/>
      <c r="Q2749" s="651"/>
      <c r="R2749" s="651"/>
      <c r="S2749" s="651"/>
    </row>
    <row r="2750" spans="12:19" ht="15.75" customHeight="1" x14ac:dyDescent="0.35">
      <c r="L2750" s="2"/>
      <c r="M2750" s="2"/>
      <c r="N2750" s="650"/>
      <c r="O2750" s="650"/>
      <c r="P2750" s="651"/>
      <c r="Q2750" s="651"/>
      <c r="R2750" s="651"/>
      <c r="S2750" s="651"/>
    </row>
    <row r="2751" spans="12:19" ht="15.75" customHeight="1" x14ac:dyDescent="0.35">
      <c r="L2751" s="2"/>
      <c r="M2751" s="2"/>
      <c r="N2751" s="650"/>
      <c r="O2751" s="650"/>
      <c r="P2751" s="651"/>
      <c r="Q2751" s="651"/>
      <c r="R2751" s="651"/>
      <c r="S2751" s="651"/>
    </row>
    <row r="2752" spans="12:19" ht="15.75" customHeight="1" x14ac:dyDescent="0.35">
      <c r="L2752" s="2"/>
      <c r="M2752" s="2"/>
      <c r="N2752" s="650"/>
      <c r="O2752" s="650"/>
      <c r="P2752" s="651"/>
      <c r="Q2752" s="651"/>
      <c r="R2752" s="651"/>
      <c r="S2752" s="651"/>
    </row>
    <row r="2753" spans="12:19" ht="15.75" customHeight="1" x14ac:dyDescent="0.35">
      <c r="L2753" s="2"/>
      <c r="M2753" s="2"/>
      <c r="N2753" s="650"/>
      <c r="O2753" s="650"/>
      <c r="P2753" s="651"/>
      <c r="Q2753" s="651"/>
      <c r="R2753" s="651"/>
      <c r="S2753" s="651"/>
    </row>
    <row r="2754" spans="12:19" ht="15.75" customHeight="1" x14ac:dyDescent="0.35">
      <c r="L2754" s="2"/>
      <c r="M2754" s="2"/>
      <c r="N2754" s="650"/>
      <c r="O2754" s="650"/>
      <c r="P2754" s="651"/>
      <c r="Q2754" s="651"/>
      <c r="R2754" s="651"/>
      <c r="S2754" s="651"/>
    </row>
    <row r="2755" spans="12:19" ht="15.75" customHeight="1" x14ac:dyDescent="0.35">
      <c r="L2755" s="2"/>
      <c r="M2755" s="2"/>
      <c r="N2755" s="650"/>
      <c r="O2755" s="650"/>
      <c r="P2755" s="651"/>
      <c r="Q2755" s="651"/>
      <c r="R2755" s="651"/>
      <c r="S2755" s="651"/>
    </row>
    <row r="2756" spans="12:19" ht="15.75" customHeight="1" x14ac:dyDescent="0.35">
      <c r="L2756" s="2"/>
      <c r="M2756" s="2"/>
      <c r="N2756" s="650"/>
      <c r="O2756" s="650"/>
      <c r="P2756" s="651"/>
      <c r="Q2756" s="651"/>
      <c r="R2756" s="651"/>
      <c r="S2756" s="651"/>
    </row>
    <row r="2757" spans="12:19" ht="15.75" customHeight="1" x14ac:dyDescent="0.35">
      <c r="L2757" s="2"/>
      <c r="M2757" s="2"/>
      <c r="N2757" s="650"/>
      <c r="O2757" s="650"/>
      <c r="P2757" s="651"/>
      <c r="Q2757" s="651"/>
      <c r="R2757" s="651"/>
      <c r="S2757" s="651"/>
    </row>
    <row r="2758" spans="12:19" ht="15.75" customHeight="1" x14ac:dyDescent="0.35">
      <c r="L2758" s="2"/>
      <c r="M2758" s="2"/>
      <c r="N2758" s="650"/>
      <c r="O2758" s="650"/>
      <c r="P2758" s="651"/>
      <c r="Q2758" s="651"/>
      <c r="R2758" s="651"/>
      <c r="S2758" s="651"/>
    </row>
    <row r="2759" spans="12:19" ht="15.75" customHeight="1" x14ac:dyDescent="0.35">
      <c r="L2759" s="2"/>
      <c r="M2759" s="2"/>
      <c r="N2759" s="650"/>
      <c r="O2759" s="650"/>
      <c r="P2759" s="651"/>
      <c r="Q2759" s="651"/>
      <c r="R2759" s="651"/>
      <c r="S2759" s="651"/>
    </row>
    <row r="2760" spans="12:19" ht="15.75" customHeight="1" x14ac:dyDescent="0.35">
      <c r="L2760" s="2"/>
      <c r="M2760" s="2"/>
      <c r="N2760" s="650"/>
      <c r="O2760" s="650"/>
      <c r="P2760" s="651"/>
      <c r="Q2760" s="651"/>
      <c r="R2760" s="651"/>
      <c r="S2760" s="651"/>
    </row>
    <row r="2761" spans="12:19" ht="15.75" customHeight="1" x14ac:dyDescent="0.35">
      <c r="L2761" s="2"/>
      <c r="M2761" s="2"/>
      <c r="N2761" s="650"/>
      <c r="O2761" s="650"/>
      <c r="P2761" s="651"/>
      <c r="Q2761" s="651"/>
      <c r="R2761" s="651"/>
      <c r="S2761" s="651"/>
    </row>
    <row r="2762" spans="12:19" ht="15.75" customHeight="1" x14ac:dyDescent="0.35">
      <c r="L2762" s="2"/>
      <c r="M2762" s="2"/>
      <c r="N2762" s="650"/>
      <c r="O2762" s="650"/>
      <c r="P2762" s="651"/>
      <c r="Q2762" s="651"/>
      <c r="R2762" s="651"/>
      <c r="S2762" s="651"/>
    </row>
    <row r="2763" spans="12:19" ht="15.75" customHeight="1" x14ac:dyDescent="0.35">
      <c r="L2763" s="2"/>
      <c r="M2763" s="2"/>
      <c r="N2763" s="650"/>
      <c r="O2763" s="650"/>
      <c r="P2763" s="651"/>
      <c r="Q2763" s="651"/>
      <c r="R2763" s="651"/>
      <c r="S2763" s="651"/>
    </row>
    <row r="2764" spans="12:19" ht="15.75" customHeight="1" x14ac:dyDescent="0.35">
      <c r="L2764" s="2"/>
      <c r="M2764" s="2"/>
      <c r="N2764" s="650"/>
      <c r="O2764" s="650"/>
      <c r="P2764" s="651"/>
      <c r="Q2764" s="651"/>
      <c r="R2764" s="651"/>
      <c r="S2764" s="651"/>
    </row>
    <row r="2765" spans="12:19" ht="15.75" customHeight="1" x14ac:dyDescent="0.35">
      <c r="L2765" s="2"/>
      <c r="M2765" s="2"/>
      <c r="N2765" s="650"/>
      <c r="O2765" s="650"/>
      <c r="P2765" s="651"/>
      <c r="Q2765" s="651"/>
      <c r="R2765" s="651"/>
      <c r="S2765" s="651"/>
    </row>
    <row r="2766" spans="12:19" ht="15.75" customHeight="1" x14ac:dyDescent="0.35">
      <c r="L2766" s="2"/>
      <c r="M2766" s="2"/>
      <c r="N2766" s="650"/>
      <c r="O2766" s="650"/>
      <c r="P2766" s="651"/>
      <c r="Q2766" s="651"/>
      <c r="R2766" s="651"/>
      <c r="S2766" s="651"/>
    </row>
    <row r="2767" spans="12:19" ht="15.75" customHeight="1" x14ac:dyDescent="0.35">
      <c r="L2767" s="2"/>
      <c r="M2767" s="2"/>
      <c r="N2767" s="650"/>
      <c r="O2767" s="650"/>
      <c r="P2767" s="651"/>
      <c r="Q2767" s="651"/>
      <c r="R2767" s="651"/>
      <c r="S2767" s="651"/>
    </row>
    <row r="2768" spans="12:19" ht="15.75" customHeight="1" x14ac:dyDescent="0.35">
      <c r="L2768" s="2"/>
      <c r="M2768" s="2"/>
      <c r="N2768" s="650"/>
      <c r="O2768" s="650"/>
      <c r="P2768" s="651"/>
      <c r="Q2768" s="651"/>
      <c r="R2768" s="651"/>
      <c r="S2768" s="651"/>
    </row>
    <row r="2769" spans="12:19" ht="15.75" customHeight="1" x14ac:dyDescent="0.35">
      <c r="L2769" s="2"/>
      <c r="M2769" s="2"/>
      <c r="N2769" s="650"/>
      <c r="O2769" s="650"/>
      <c r="P2769" s="651"/>
      <c r="Q2769" s="651"/>
      <c r="R2769" s="651"/>
      <c r="S2769" s="651"/>
    </row>
    <row r="2770" spans="12:19" ht="15.75" customHeight="1" x14ac:dyDescent="0.35">
      <c r="L2770" s="2"/>
      <c r="M2770" s="2"/>
      <c r="N2770" s="650"/>
      <c r="O2770" s="650"/>
      <c r="P2770" s="651"/>
      <c r="Q2770" s="651"/>
      <c r="R2770" s="651"/>
      <c r="S2770" s="651"/>
    </row>
    <row r="2771" spans="12:19" ht="15.75" customHeight="1" x14ac:dyDescent="0.35">
      <c r="L2771" s="2"/>
      <c r="M2771" s="2"/>
      <c r="N2771" s="650"/>
      <c r="O2771" s="650"/>
      <c r="P2771" s="651"/>
      <c r="Q2771" s="651"/>
      <c r="R2771" s="651"/>
      <c r="S2771" s="651"/>
    </row>
    <row r="2772" spans="12:19" ht="15.75" customHeight="1" x14ac:dyDescent="0.35">
      <c r="L2772" s="2"/>
      <c r="M2772" s="2"/>
      <c r="N2772" s="650"/>
      <c r="O2772" s="650"/>
      <c r="P2772" s="651"/>
      <c r="Q2772" s="651"/>
      <c r="R2772" s="651"/>
      <c r="S2772" s="651"/>
    </row>
    <row r="2773" spans="12:19" ht="15.75" customHeight="1" x14ac:dyDescent="0.35">
      <c r="L2773" s="2"/>
      <c r="M2773" s="2"/>
      <c r="N2773" s="650"/>
      <c r="O2773" s="650"/>
      <c r="P2773" s="651"/>
      <c r="Q2773" s="651"/>
      <c r="R2773" s="651"/>
      <c r="S2773" s="651"/>
    </row>
    <row r="2774" spans="12:19" ht="15.75" customHeight="1" x14ac:dyDescent="0.35">
      <c r="L2774" s="2"/>
      <c r="M2774" s="2"/>
      <c r="N2774" s="650"/>
      <c r="O2774" s="650"/>
      <c r="P2774" s="651"/>
      <c r="Q2774" s="651"/>
      <c r="R2774" s="651"/>
      <c r="S2774" s="651"/>
    </row>
    <row r="2775" spans="12:19" ht="15.75" customHeight="1" x14ac:dyDescent="0.35">
      <c r="L2775" s="2"/>
      <c r="M2775" s="2"/>
      <c r="N2775" s="650"/>
      <c r="O2775" s="650"/>
      <c r="P2775" s="651"/>
      <c r="Q2775" s="651"/>
      <c r="R2775" s="651"/>
      <c r="S2775" s="651"/>
    </row>
    <row r="2776" spans="12:19" ht="15.75" customHeight="1" x14ac:dyDescent="0.35">
      <c r="L2776" s="2"/>
      <c r="M2776" s="2"/>
      <c r="N2776" s="650"/>
      <c r="O2776" s="650"/>
      <c r="P2776" s="651"/>
      <c r="Q2776" s="651"/>
      <c r="R2776" s="651"/>
      <c r="S2776" s="651"/>
    </row>
    <row r="2777" spans="12:19" ht="15.75" customHeight="1" x14ac:dyDescent="0.35">
      <c r="L2777" s="2"/>
      <c r="M2777" s="2"/>
      <c r="N2777" s="650"/>
      <c r="O2777" s="650"/>
      <c r="P2777" s="651"/>
      <c r="Q2777" s="651"/>
      <c r="R2777" s="651"/>
      <c r="S2777" s="651"/>
    </row>
    <row r="2778" spans="12:19" ht="15.75" customHeight="1" x14ac:dyDescent="0.35">
      <c r="L2778" s="2"/>
      <c r="M2778" s="2"/>
      <c r="N2778" s="650"/>
      <c r="O2778" s="650"/>
      <c r="P2778" s="651"/>
      <c r="Q2778" s="651"/>
      <c r="R2778" s="651"/>
      <c r="S2778" s="651"/>
    </row>
    <row r="2779" spans="12:19" ht="15.75" customHeight="1" x14ac:dyDescent="0.35">
      <c r="L2779" s="2"/>
      <c r="M2779" s="2"/>
      <c r="N2779" s="650"/>
      <c r="O2779" s="650"/>
      <c r="P2779" s="651"/>
      <c r="Q2779" s="651"/>
      <c r="R2779" s="651"/>
      <c r="S2779" s="651"/>
    </row>
    <row r="2780" spans="12:19" ht="15.75" customHeight="1" x14ac:dyDescent="0.35">
      <c r="L2780" s="2"/>
      <c r="M2780" s="2"/>
      <c r="N2780" s="650"/>
      <c r="O2780" s="650"/>
      <c r="P2780" s="651"/>
      <c r="Q2780" s="651"/>
      <c r="R2780" s="651"/>
      <c r="S2780" s="651"/>
    </row>
    <row r="2781" spans="12:19" ht="15.75" customHeight="1" x14ac:dyDescent="0.35">
      <c r="L2781" s="2"/>
      <c r="M2781" s="2"/>
      <c r="N2781" s="650"/>
      <c r="O2781" s="650"/>
      <c r="P2781" s="651"/>
      <c r="Q2781" s="651"/>
      <c r="R2781" s="651"/>
      <c r="S2781" s="651"/>
    </row>
    <row r="2782" spans="12:19" ht="15.75" customHeight="1" x14ac:dyDescent="0.35">
      <c r="L2782" s="2"/>
      <c r="M2782" s="2"/>
      <c r="N2782" s="650"/>
      <c r="O2782" s="650"/>
      <c r="P2782" s="651"/>
      <c r="Q2782" s="651"/>
      <c r="R2782" s="651"/>
      <c r="S2782" s="651"/>
    </row>
    <row r="2783" spans="12:19" ht="15.75" customHeight="1" x14ac:dyDescent="0.35">
      <c r="L2783" s="2"/>
      <c r="M2783" s="2"/>
      <c r="N2783" s="650"/>
      <c r="O2783" s="650"/>
      <c r="P2783" s="651"/>
      <c r="Q2783" s="651"/>
      <c r="R2783" s="651"/>
      <c r="S2783" s="651"/>
    </row>
    <row r="2784" spans="12:19" ht="15.75" customHeight="1" x14ac:dyDescent="0.35">
      <c r="L2784" s="2"/>
      <c r="M2784" s="2"/>
      <c r="N2784" s="650"/>
      <c r="O2784" s="650"/>
      <c r="P2784" s="651"/>
      <c r="Q2784" s="651"/>
      <c r="R2784" s="651"/>
      <c r="S2784" s="651"/>
    </row>
    <row r="2785" spans="12:19" ht="15.75" customHeight="1" x14ac:dyDescent="0.35">
      <c r="L2785" s="2"/>
      <c r="M2785" s="2"/>
      <c r="N2785" s="650"/>
      <c r="O2785" s="650"/>
      <c r="P2785" s="651"/>
      <c r="Q2785" s="651"/>
      <c r="R2785" s="651"/>
      <c r="S2785" s="651"/>
    </row>
    <row r="2786" spans="12:19" ht="15.75" customHeight="1" x14ac:dyDescent="0.35">
      <c r="L2786" s="2"/>
      <c r="M2786" s="2"/>
      <c r="N2786" s="650"/>
      <c r="O2786" s="650"/>
      <c r="P2786" s="651"/>
      <c r="Q2786" s="651"/>
      <c r="R2786" s="651"/>
      <c r="S2786" s="651"/>
    </row>
    <row r="2787" spans="12:19" ht="15.75" customHeight="1" x14ac:dyDescent="0.35">
      <c r="L2787" s="2"/>
      <c r="M2787" s="2"/>
      <c r="N2787" s="650"/>
      <c r="O2787" s="650"/>
      <c r="P2787" s="651"/>
      <c r="Q2787" s="651"/>
      <c r="R2787" s="651"/>
      <c r="S2787" s="651"/>
    </row>
    <row r="2788" spans="12:19" ht="15.75" customHeight="1" x14ac:dyDescent="0.35">
      <c r="L2788" s="2"/>
      <c r="M2788" s="2"/>
      <c r="N2788" s="650"/>
      <c r="O2788" s="650"/>
      <c r="P2788" s="651"/>
      <c r="Q2788" s="651"/>
      <c r="R2788" s="651"/>
      <c r="S2788" s="651"/>
    </row>
    <row r="2789" spans="12:19" ht="15.75" customHeight="1" x14ac:dyDescent="0.35">
      <c r="L2789" s="2"/>
      <c r="M2789" s="2"/>
      <c r="N2789" s="650"/>
      <c r="O2789" s="650"/>
      <c r="P2789" s="651"/>
      <c r="Q2789" s="651"/>
      <c r="R2789" s="651"/>
      <c r="S2789" s="651"/>
    </row>
    <row r="2790" spans="12:19" ht="15.75" customHeight="1" x14ac:dyDescent="0.35">
      <c r="L2790" s="2"/>
      <c r="M2790" s="2"/>
      <c r="N2790" s="650"/>
      <c r="O2790" s="650"/>
      <c r="P2790" s="651"/>
      <c r="Q2790" s="651"/>
      <c r="R2790" s="651"/>
      <c r="S2790" s="651"/>
    </row>
    <row r="2791" spans="12:19" ht="15.75" customHeight="1" x14ac:dyDescent="0.35">
      <c r="L2791" s="2"/>
      <c r="M2791" s="2"/>
      <c r="N2791" s="650"/>
      <c r="O2791" s="650"/>
      <c r="P2791" s="651"/>
      <c r="Q2791" s="651"/>
      <c r="R2791" s="651"/>
      <c r="S2791" s="651"/>
    </row>
    <row r="2792" spans="12:19" ht="15.75" customHeight="1" x14ac:dyDescent="0.35">
      <c r="L2792" s="2"/>
      <c r="M2792" s="2"/>
      <c r="N2792" s="650"/>
      <c r="O2792" s="650"/>
      <c r="P2792" s="651"/>
      <c r="Q2792" s="651"/>
      <c r="R2792" s="651"/>
      <c r="S2792" s="651"/>
    </row>
    <row r="2793" spans="12:19" ht="15.75" customHeight="1" x14ac:dyDescent="0.35">
      <c r="L2793" s="2"/>
      <c r="M2793" s="2"/>
      <c r="N2793" s="650"/>
      <c r="O2793" s="650"/>
      <c r="P2793" s="651"/>
      <c r="Q2793" s="651"/>
      <c r="R2793" s="651"/>
      <c r="S2793" s="651"/>
    </row>
    <row r="2794" spans="12:19" ht="15.75" customHeight="1" x14ac:dyDescent="0.35">
      <c r="L2794" s="2"/>
      <c r="M2794" s="2"/>
      <c r="N2794" s="650"/>
      <c r="O2794" s="650"/>
      <c r="P2794" s="651"/>
      <c r="Q2794" s="651"/>
      <c r="R2794" s="651"/>
      <c r="S2794" s="651"/>
    </row>
    <row r="2795" spans="12:19" ht="15.75" customHeight="1" x14ac:dyDescent="0.35">
      <c r="L2795" s="2"/>
      <c r="M2795" s="2"/>
      <c r="N2795" s="650"/>
      <c r="O2795" s="650"/>
      <c r="P2795" s="651"/>
      <c r="Q2795" s="651"/>
      <c r="R2795" s="651"/>
      <c r="S2795" s="651"/>
    </row>
    <row r="2796" spans="12:19" ht="15.75" customHeight="1" x14ac:dyDescent="0.35">
      <c r="L2796" s="2"/>
      <c r="M2796" s="2"/>
      <c r="N2796" s="650"/>
      <c r="O2796" s="650"/>
      <c r="P2796" s="651"/>
      <c r="Q2796" s="651"/>
      <c r="R2796" s="651"/>
      <c r="S2796" s="651"/>
    </row>
    <row r="2797" spans="12:19" ht="15.75" customHeight="1" x14ac:dyDescent="0.35">
      <c r="L2797" s="2"/>
      <c r="M2797" s="2"/>
      <c r="N2797" s="650"/>
      <c r="O2797" s="650"/>
      <c r="P2797" s="651"/>
      <c r="Q2797" s="651"/>
      <c r="R2797" s="651"/>
      <c r="S2797" s="651"/>
    </row>
    <row r="2798" spans="12:19" ht="15.75" customHeight="1" x14ac:dyDescent="0.35">
      <c r="L2798" s="2"/>
      <c r="M2798" s="2"/>
      <c r="N2798" s="650"/>
      <c r="O2798" s="650"/>
      <c r="P2798" s="651"/>
      <c r="Q2798" s="651"/>
      <c r="R2798" s="651"/>
      <c r="S2798" s="651"/>
    </row>
    <row r="2799" spans="12:19" ht="15.75" customHeight="1" x14ac:dyDescent="0.35">
      <c r="L2799" s="2"/>
      <c r="M2799" s="2"/>
      <c r="N2799" s="650"/>
      <c r="O2799" s="650"/>
      <c r="P2799" s="651"/>
      <c r="Q2799" s="651"/>
      <c r="R2799" s="651"/>
      <c r="S2799" s="651"/>
    </row>
    <row r="2800" spans="12:19" ht="15.75" customHeight="1" x14ac:dyDescent="0.35">
      <c r="L2800" s="2"/>
      <c r="M2800" s="2"/>
      <c r="N2800" s="650"/>
      <c r="O2800" s="650"/>
      <c r="P2800" s="651"/>
      <c r="Q2800" s="651"/>
      <c r="R2800" s="651"/>
      <c r="S2800" s="651"/>
    </row>
    <row r="2801" spans="12:19" ht="15.75" customHeight="1" x14ac:dyDescent="0.35">
      <c r="L2801" s="2"/>
      <c r="M2801" s="2"/>
      <c r="N2801" s="650"/>
      <c r="O2801" s="650"/>
      <c r="P2801" s="651"/>
      <c r="Q2801" s="651"/>
      <c r="R2801" s="651"/>
      <c r="S2801" s="651"/>
    </row>
    <row r="2802" spans="12:19" ht="15.75" customHeight="1" x14ac:dyDescent="0.35">
      <c r="L2802" s="2"/>
      <c r="M2802" s="2"/>
      <c r="N2802" s="650"/>
      <c r="O2802" s="650"/>
      <c r="P2802" s="651"/>
      <c r="Q2802" s="651"/>
      <c r="R2802" s="651"/>
      <c r="S2802" s="651"/>
    </row>
    <row r="2803" spans="12:19" ht="15.75" customHeight="1" x14ac:dyDescent="0.35">
      <c r="L2803" s="2"/>
      <c r="M2803" s="2"/>
      <c r="N2803" s="650"/>
      <c r="O2803" s="650"/>
      <c r="P2803" s="651"/>
      <c r="Q2803" s="651"/>
      <c r="R2803" s="651"/>
      <c r="S2803" s="651"/>
    </row>
    <row r="2804" spans="12:19" ht="15.75" customHeight="1" x14ac:dyDescent="0.35">
      <c r="L2804" s="2"/>
      <c r="M2804" s="2"/>
      <c r="N2804" s="650"/>
      <c r="O2804" s="650"/>
      <c r="P2804" s="651"/>
      <c r="Q2804" s="651"/>
      <c r="R2804" s="651"/>
      <c r="S2804" s="651"/>
    </row>
    <row r="2805" spans="12:19" ht="15.75" customHeight="1" x14ac:dyDescent="0.35">
      <c r="L2805" s="2"/>
      <c r="M2805" s="2"/>
      <c r="N2805" s="650"/>
      <c r="O2805" s="650"/>
      <c r="P2805" s="651"/>
      <c r="Q2805" s="651"/>
      <c r="R2805" s="651"/>
      <c r="S2805" s="651"/>
    </row>
    <row r="2806" spans="12:19" ht="15.75" customHeight="1" x14ac:dyDescent="0.35">
      <c r="L2806" s="2"/>
      <c r="M2806" s="2"/>
      <c r="N2806" s="650"/>
      <c r="O2806" s="650"/>
      <c r="P2806" s="651"/>
      <c r="Q2806" s="651"/>
      <c r="R2806" s="651"/>
      <c r="S2806" s="651"/>
    </row>
    <row r="2807" spans="12:19" ht="15.75" customHeight="1" x14ac:dyDescent="0.35">
      <c r="L2807" s="2"/>
      <c r="M2807" s="2"/>
      <c r="N2807" s="650"/>
      <c r="O2807" s="650"/>
      <c r="P2807" s="651"/>
      <c r="Q2807" s="651"/>
      <c r="R2807" s="651"/>
      <c r="S2807" s="651"/>
    </row>
    <row r="2808" spans="12:19" ht="15.75" customHeight="1" x14ac:dyDescent="0.35">
      <c r="L2808" s="2"/>
      <c r="M2808" s="2"/>
      <c r="N2808" s="650"/>
      <c r="O2808" s="650"/>
      <c r="P2808" s="651"/>
      <c r="Q2808" s="651"/>
      <c r="R2808" s="651"/>
      <c r="S2808" s="651"/>
    </row>
    <row r="2809" spans="12:19" ht="15.75" customHeight="1" x14ac:dyDescent="0.35">
      <c r="L2809" s="2"/>
      <c r="M2809" s="2"/>
      <c r="N2809" s="650"/>
      <c r="O2809" s="650"/>
      <c r="P2809" s="651"/>
      <c r="Q2809" s="651"/>
      <c r="R2809" s="651"/>
      <c r="S2809" s="651"/>
    </row>
    <row r="2810" spans="12:19" ht="15.75" customHeight="1" x14ac:dyDescent="0.35">
      <c r="L2810" s="2"/>
      <c r="M2810" s="2"/>
      <c r="N2810" s="650"/>
      <c r="O2810" s="650"/>
      <c r="P2810" s="651"/>
      <c r="Q2810" s="651"/>
      <c r="R2810" s="651"/>
      <c r="S2810" s="651"/>
    </row>
    <row r="2811" spans="12:19" ht="15.75" customHeight="1" x14ac:dyDescent="0.35">
      <c r="L2811" s="2"/>
      <c r="M2811" s="2"/>
      <c r="N2811" s="650"/>
      <c r="O2811" s="650"/>
      <c r="P2811" s="651"/>
      <c r="Q2811" s="651"/>
      <c r="R2811" s="651"/>
      <c r="S2811" s="651"/>
    </row>
    <row r="2812" spans="12:19" ht="15.75" customHeight="1" x14ac:dyDescent="0.35">
      <c r="L2812" s="2"/>
      <c r="M2812" s="2"/>
      <c r="N2812" s="650"/>
      <c r="O2812" s="650"/>
      <c r="P2812" s="651"/>
      <c r="Q2812" s="651"/>
      <c r="R2812" s="651"/>
      <c r="S2812" s="651"/>
    </row>
    <row r="2813" spans="12:19" ht="15.75" customHeight="1" x14ac:dyDescent="0.35">
      <c r="L2813" s="2"/>
      <c r="M2813" s="2"/>
      <c r="N2813" s="650"/>
      <c r="O2813" s="650"/>
      <c r="P2813" s="651"/>
      <c r="Q2813" s="651"/>
      <c r="R2813" s="651"/>
      <c r="S2813" s="651"/>
    </row>
    <row r="2814" spans="12:19" ht="15.75" customHeight="1" x14ac:dyDescent="0.35">
      <c r="L2814" s="2"/>
      <c r="M2814" s="2"/>
      <c r="N2814" s="650"/>
      <c r="O2814" s="650"/>
      <c r="P2814" s="651"/>
      <c r="Q2814" s="651"/>
      <c r="R2814" s="651"/>
      <c r="S2814" s="651"/>
    </row>
    <row r="2815" spans="12:19" ht="15.75" customHeight="1" x14ac:dyDescent="0.35">
      <c r="L2815" s="2"/>
      <c r="M2815" s="2"/>
      <c r="N2815" s="650"/>
      <c r="O2815" s="650"/>
      <c r="P2815" s="651"/>
      <c r="Q2815" s="651"/>
      <c r="R2815" s="651"/>
      <c r="S2815" s="651"/>
    </row>
    <row r="2816" spans="12:19" ht="15.75" customHeight="1" x14ac:dyDescent="0.35">
      <c r="L2816" s="2"/>
      <c r="M2816" s="2"/>
      <c r="N2816" s="650"/>
      <c r="O2816" s="650"/>
      <c r="P2816" s="651"/>
      <c r="Q2816" s="651"/>
      <c r="R2816" s="651"/>
      <c r="S2816" s="651"/>
    </row>
    <row r="2817" spans="12:19" ht="15.75" customHeight="1" x14ac:dyDescent="0.35">
      <c r="L2817" s="2"/>
      <c r="M2817" s="2"/>
      <c r="N2817" s="650"/>
      <c r="O2817" s="650"/>
      <c r="P2817" s="651"/>
      <c r="Q2817" s="651"/>
      <c r="R2817" s="651"/>
      <c r="S2817" s="651"/>
    </row>
    <row r="2818" spans="12:19" ht="15.75" customHeight="1" x14ac:dyDescent="0.35">
      <c r="L2818" s="2"/>
      <c r="M2818" s="2"/>
      <c r="N2818" s="650"/>
      <c r="O2818" s="650"/>
      <c r="P2818" s="651"/>
      <c r="Q2818" s="651"/>
      <c r="R2818" s="651"/>
      <c r="S2818" s="651"/>
    </row>
    <row r="2819" spans="12:19" ht="15.75" customHeight="1" x14ac:dyDescent="0.35">
      <c r="L2819" s="2"/>
      <c r="M2819" s="2"/>
      <c r="N2819" s="650"/>
      <c r="O2819" s="650"/>
      <c r="P2819" s="651"/>
      <c r="Q2819" s="651"/>
      <c r="R2819" s="651"/>
      <c r="S2819" s="651"/>
    </row>
    <row r="2820" spans="12:19" ht="15.75" customHeight="1" x14ac:dyDescent="0.35">
      <c r="L2820" s="2"/>
      <c r="M2820" s="2"/>
      <c r="N2820" s="650"/>
      <c r="O2820" s="650"/>
      <c r="P2820" s="651"/>
      <c r="Q2820" s="651"/>
      <c r="R2820" s="651"/>
      <c r="S2820" s="651"/>
    </row>
    <row r="2821" spans="12:19" ht="15.75" customHeight="1" x14ac:dyDescent="0.35">
      <c r="L2821" s="2"/>
      <c r="M2821" s="2"/>
      <c r="N2821" s="650"/>
      <c r="O2821" s="650"/>
      <c r="P2821" s="651"/>
      <c r="Q2821" s="651"/>
      <c r="R2821" s="651"/>
      <c r="S2821" s="651"/>
    </row>
    <row r="2822" spans="12:19" ht="15.75" customHeight="1" x14ac:dyDescent="0.35">
      <c r="L2822" s="2"/>
      <c r="M2822" s="2"/>
      <c r="N2822" s="650"/>
      <c r="O2822" s="650"/>
      <c r="P2822" s="651"/>
      <c r="Q2822" s="651"/>
      <c r="R2822" s="651"/>
      <c r="S2822" s="651"/>
    </row>
    <row r="2823" spans="12:19" ht="15.75" customHeight="1" x14ac:dyDescent="0.35">
      <c r="L2823" s="2"/>
      <c r="M2823" s="2"/>
      <c r="N2823" s="650"/>
      <c r="O2823" s="650"/>
      <c r="P2823" s="651"/>
      <c r="Q2823" s="651"/>
      <c r="R2823" s="651"/>
      <c r="S2823" s="651"/>
    </row>
    <row r="2824" spans="12:19" ht="15.75" customHeight="1" x14ac:dyDescent="0.35">
      <c r="L2824" s="2"/>
      <c r="M2824" s="2"/>
      <c r="N2824" s="650"/>
      <c r="O2824" s="650"/>
      <c r="P2824" s="651"/>
      <c r="Q2824" s="651"/>
      <c r="R2824" s="651"/>
      <c r="S2824" s="651"/>
    </row>
    <row r="2825" spans="12:19" ht="15.75" customHeight="1" x14ac:dyDescent="0.35">
      <c r="L2825" s="2"/>
      <c r="M2825" s="2"/>
      <c r="N2825" s="650"/>
      <c r="O2825" s="650"/>
      <c r="P2825" s="651"/>
      <c r="Q2825" s="651"/>
      <c r="R2825" s="651"/>
      <c r="S2825" s="651"/>
    </row>
    <row r="2826" spans="12:19" ht="15.75" customHeight="1" x14ac:dyDescent="0.35">
      <c r="L2826" s="2"/>
      <c r="M2826" s="2"/>
      <c r="N2826" s="650"/>
      <c r="O2826" s="650"/>
      <c r="P2826" s="651"/>
      <c r="Q2826" s="651"/>
      <c r="R2826" s="651"/>
      <c r="S2826" s="651"/>
    </row>
    <row r="2827" spans="12:19" ht="15.75" customHeight="1" x14ac:dyDescent="0.35">
      <c r="L2827" s="2"/>
      <c r="M2827" s="2"/>
      <c r="N2827" s="650"/>
      <c r="O2827" s="650"/>
      <c r="P2827" s="651"/>
      <c r="Q2827" s="651"/>
      <c r="R2827" s="651"/>
      <c r="S2827" s="651"/>
    </row>
    <row r="2828" spans="12:19" ht="15.75" customHeight="1" x14ac:dyDescent="0.35">
      <c r="L2828" s="2"/>
      <c r="M2828" s="2"/>
      <c r="N2828" s="650"/>
      <c r="O2828" s="650"/>
      <c r="P2828" s="651"/>
      <c r="Q2828" s="651"/>
      <c r="R2828" s="651"/>
      <c r="S2828" s="651"/>
    </row>
    <row r="2829" spans="12:19" ht="15.75" customHeight="1" x14ac:dyDescent="0.35">
      <c r="L2829" s="2"/>
      <c r="M2829" s="2"/>
      <c r="N2829" s="650"/>
      <c r="O2829" s="650"/>
      <c r="P2829" s="651"/>
      <c r="Q2829" s="651"/>
      <c r="R2829" s="651"/>
      <c r="S2829" s="651"/>
    </row>
    <row r="2830" spans="12:19" ht="15.75" customHeight="1" x14ac:dyDescent="0.35">
      <c r="L2830" s="2"/>
      <c r="M2830" s="2"/>
      <c r="N2830" s="650"/>
      <c r="O2830" s="650"/>
      <c r="P2830" s="651"/>
      <c r="Q2830" s="651"/>
      <c r="R2830" s="651"/>
      <c r="S2830" s="651"/>
    </row>
    <row r="2831" spans="12:19" ht="15.75" customHeight="1" x14ac:dyDescent="0.35">
      <c r="L2831" s="2"/>
      <c r="M2831" s="2"/>
      <c r="N2831" s="650"/>
      <c r="O2831" s="650"/>
      <c r="P2831" s="651"/>
      <c r="Q2831" s="651"/>
      <c r="R2831" s="651"/>
      <c r="S2831" s="651"/>
    </row>
    <row r="2832" spans="12:19" ht="15.75" customHeight="1" x14ac:dyDescent="0.35">
      <c r="L2832" s="2"/>
      <c r="M2832" s="2"/>
      <c r="N2832" s="650"/>
      <c r="O2832" s="650"/>
      <c r="P2832" s="651"/>
      <c r="Q2832" s="651"/>
      <c r="R2832" s="651"/>
      <c r="S2832" s="651"/>
    </row>
    <row r="2833" spans="12:19" ht="15.75" customHeight="1" x14ac:dyDescent="0.35">
      <c r="L2833" s="2"/>
      <c r="M2833" s="2"/>
      <c r="N2833" s="650"/>
      <c r="O2833" s="650"/>
      <c r="P2833" s="651"/>
      <c r="Q2833" s="651"/>
      <c r="R2833" s="651"/>
      <c r="S2833" s="651"/>
    </row>
    <row r="2834" spans="12:19" ht="15.75" customHeight="1" x14ac:dyDescent="0.35">
      <c r="L2834" s="2"/>
      <c r="M2834" s="2"/>
      <c r="N2834" s="650"/>
      <c r="O2834" s="650"/>
      <c r="P2834" s="651"/>
      <c r="Q2834" s="651"/>
      <c r="R2834" s="651"/>
      <c r="S2834" s="651"/>
    </row>
    <row r="2835" spans="12:19" ht="15.75" customHeight="1" x14ac:dyDescent="0.35">
      <c r="L2835" s="2"/>
      <c r="M2835" s="2"/>
      <c r="N2835" s="650"/>
      <c r="O2835" s="650"/>
      <c r="P2835" s="651"/>
      <c r="Q2835" s="651"/>
      <c r="R2835" s="651"/>
      <c r="S2835" s="651"/>
    </row>
    <row r="2836" spans="12:19" ht="15.75" customHeight="1" x14ac:dyDescent="0.35">
      <c r="L2836" s="2"/>
      <c r="M2836" s="2"/>
      <c r="N2836" s="650"/>
      <c r="O2836" s="650"/>
      <c r="P2836" s="651"/>
      <c r="Q2836" s="651"/>
      <c r="R2836" s="651"/>
      <c r="S2836" s="651"/>
    </row>
    <row r="2837" spans="12:19" ht="15.75" customHeight="1" x14ac:dyDescent="0.35">
      <c r="L2837" s="2"/>
      <c r="M2837" s="2"/>
      <c r="N2837" s="650"/>
      <c r="O2837" s="650"/>
      <c r="P2837" s="651"/>
      <c r="Q2837" s="651"/>
      <c r="R2837" s="651"/>
      <c r="S2837" s="651"/>
    </row>
    <row r="2838" spans="12:19" ht="15.75" customHeight="1" x14ac:dyDescent="0.35">
      <c r="L2838" s="2"/>
      <c r="M2838" s="2"/>
      <c r="N2838" s="650"/>
      <c r="O2838" s="650"/>
      <c r="P2838" s="651"/>
      <c r="Q2838" s="651"/>
      <c r="R2838" s="651"/>
      <c r="S2838" s="651"/>
    </row>
    <row r="2839" spans="12:19" ht="15.75" customHeight="1" x14ac:dyDescent="0.35">
      <c r="L2839" s="2"/>
      <c r="M2839" s="2"/>
      <c r="N2839" s="650"/>
      <c r="O2839" s="650"/>
      <c r="P2839" s="651"/>
      <c r="Q2839" s="651"/>
      <c r="R2839" s="651"/>
      <c r="S2839" s="651"/>
    </row>
    <row r="2840" spans="12:19" ht="15.75" customHeight="1" x14ac:dyDescent="0.35">
      <c r="L2840" s="2"/>
      <c r="M2840" s="2"/>
      <c r="N2840" s="650"/>
      <c r="O2840" s="650"/>
      <c r="P2840" s="651"/>
      <c r="Q2840" s="651"/>
      <c r="R2840" s="651"/>
      <c r="S2840" s="651"/>
    </row>
    <row r="2841" spans="12:19" ht="15.75" customHeight="1" x14ac:dyDescent="0.35">
      <c r="L2841" s="2"/>
      <c r="M2841" s="2"/>
      <c r="N2841" s="650"/>
      <c r="O2841" s="650"/>
      <c r="P2841" s="651"/>
      <c r="Q2841" s="651"/>
      <c r="R2841" s="651"/>
      <c r="S2841" s="651"/>
    </row>
    <row r="2842" spans="12:19" ht="15.75" customHeight="1" x14ac:dyDescent="0.35">
      <c r="L2842" s="2"/>
      <c r="M2842" s="2"/>
      <c r="N2842" s="650"/>
      <c r="O2842" s="650"/>
      <c r="P2842" s="651"/>
      <c r="Q2842" s="651"/>
      <c r="R2842" s="651"/>
      <c r="S2842" s="651"/>
    </row>
    <row r="2843" spans="12:19" ht="15.75" customHeight="1" x14ac:dyDescent="0.35">
      <c r="L2843" s="2"/>
      <c r="M2843" s="2"/>
      <c r="N2843" s="650"/>
      <c r="O2843" s="650"/>
      <c r="P2843" s="651"/>
      <c r="Q2843" s="651"/>
      <c r="R2843" s="651"/>
      <c r="S2843" s="651"/>
    </row>
    <row r="2844" spans="12:19" ht="15.75" customHeight="1" x14ac:dyDescent="0.35">
      <c r="L2844" s="2"/>
      <c r="M2844" s="2"/>
      <c r="N2844" s="650"/>
      <c r="O2844" s="650"/>
      <c r="P2844" s="651"/>
      <c r="Q2844" s="651"/>
      <c r="R2844" s="651"/>
      <c r="S2844" s="651"/>
    </row>
    <row r="2845" spans="12:19" ht="15.75" customHeight="1" x14ac:dyDescent="0.35">
      <c r="L2845" s="2"/>
      <c r="M2845" s="2"/>
      <c r="N2845" s="650"/>
      <c r="O2845" s="650"/>
      <c r="P2845" s="651"/>
      <c r="Q2845" s="651"/>
      <c r="R2845" s="651"/>
      <c r="S2845" s="651"/>
    </row>
    <row r="2846" spans="12:19" ht="15.75" customHeight="1" x14ac:dyDescent="0.35">
      <c r="L2846" s="2"/>
      <c r="M2846" s="2"/>
      <c r="N2846" s="650"/>
      <c r="O2846" s="650"/>
      <c r="P2846" s="651"/>
      <c r="Q2846" s="651"/>
      <c r="R2846" s="651"/>
      <c r="S2846" s="651"/>
    </row>
    <row r="2847" spans="12:19" ht="15.75" customHeight="1" x14ac:dyDescent="0.35">
      <c r="L2847" s="2"/>
      <c r="M2847" s="2"/>
      <c r="N2847" s="650"/>
      <c r="O2847" s="650"/>
      <c r="P2847" s="651"/>
      <c r="Q2847" s="651"/>
      <c r="R2847" s="651"/>
      <c r="S2847" s="651"/>
    </row>
    <row r="2848" spans="12:19" ht="15.75" customHeight="1" x14ac:dyDescent="0.35">
      <c r="L2848" s="2"/>
      <c r="M2848" s="2"/>
      <c r="N2848" s="650"/>
      <c r="O2848" s="650"/>
      <c r="P2848" s="651"/>
      <c r="Q2848" s="651"/>
      <c r="R2848" s="651"/>
      <c r="S2848" s="651"/>
    </row>
    <row r="2849" spans="12:19" ht="15.75" customHeight="1" x14ac:dyDescent="0.35">
      <c r="L2849" s="2"/>
      <c r="M2849" s="2"/>
      <c r="N2849" s="650"/>
      <c r="O2849" s="650"/>
      <c r="P2849" s="651"/>
      <c r="Q2849" s="651"/>
      <c r="R2849" s="651"/>
      <c r="S2849" s="651"/>
    </row>
    <row r="2850" spans="12:19" ht="15.75" customHeight="1" x14ac:dyDescent="0.35">
      <c r="L2850" s="2"/>
      <c r="M2850" s="2"/>
      <c r="N2850" s="650"/>
      <c r="O2850" s="650"/>
      <c r="P2850" s="651"/>
      <c r="Q2850" s="651"/>
      <c r="R2850" s="651"/>
      <c r="S2850" s="651"/>
    </row>
    <row r="2851" spans="12:19" ht="15.75" customHeight="1" x14ac:dyDescent="0.35">
      <c r="L2851" s="2"/>
      <c r="M2851" s="2"/>
      <c r="N2851" s="650"/>
      <c r="O2851" s="650"/>
      <c r="P2851" s="651"/>
      <c r="Q2851" s="651"/>
      <c r="R2851" s="651"/>
      <c r="S2851" s="651"/>
    </row>
    <row r="2852" spans="12:19" ht="15.75" customHeight="1" x14ac:dyDescent="0.35">
      <c r="L2852" s="2"/>
      <c r="M2852" s="2"/>
      <c r="N2852" s="650"/>
      <c r="O2852" s="650"/>
      <c r="P2852" s="651"/>
      <c r="Q2852" s="651"/>
      <c r="R2852" s="651"/>
      <c r="S2852" s="651"/>
    </row>
    <row r="2853" spans="12:19" ht="15.75" customHeight="1" x14ac:dyDescent="0.35">
      <c r="L2853" s="2"/>
      <c r="M2853" s="2"/>
      <c r="N2853" s="650"/>
      <c r="O2853" s="650"/>
      <c r="P2853" s="651"/>
      <c r="Q2853" s="651"/>
      <c r="R2853" s="651"/>
      <c r="S2853" s="651"/>
    </row>
    <row r="2854" spans="12:19" ht="15.75" customHeight="1" x14ac:dyDescent="0.35">
      <c r="L2854" s="2"/>
      <c r="M2854" s="2"/>
      <c r="N2854" s="650"/>
      <c r="O2854" s="650"/>
      <c r="P2854" s="651"/>
      <c r="Q2854" s="651"/>
      <c r="R2854" s="651"/>
      <c r="S2854" s="651"/>
    </row>
    <row r="2855" spans="12:19" ht="15.75" customHeight="1" x14ac:dyDescent="0.35">
      <c r="L2855" s="2"/>
      <c r="M2855" s="2"/>
      <c r="N2855" s="650"/>
      <c r="O2855" s="650"/>
      <c r="P2855" s="651"/>
      <c r="Q2855" s="651"/>
      <c r="R2855" s="651"/>
      <c r="S2855" s="651"/>
    </row>
    <row r="2856" spans="12:19" ht="15.75" customHeight="1" x14ac:dyDescent="0.35">
      <c r="L2856" s="2"/>
      <c r="M2856" s="2"/>
      <c r="N2856" s="650"/>
      <c r="O2856" s="650"/>
      <c r="P2856" s="651"/>
      <c r="Q2856" s="651"/>
      <c r="R2856" s="651"/>
      <c r="S2856" s="651"/>
    </row>
    <row r="2857" spans="12:19" ht="15.75" customHeight="1" x14ac:dyDescent="0.35">
      <c r="L2857" s="2"/>
      <c r="M2857" s="2"/>
      <c r="N2857" s="650"/>
      <c r="O2857" s="650"/>
      <c r="P2857" s="651"/>
      <c r="Q2857" s="651"/>
      <c r="R2857" s="651"/>
      <c r="S2857" s="651"/>
    </row>
    <row r="2858" spans="12:19" ht="15.75" customHeight="1" x14ac:dyDescent="0.35">
      <c r="L2858" s="2"/>
      <c r="M2858" s="2"/>
      <c r="N2858" s="650"/>
      <c r="O2858" s="650"/>
      <c r="P2858" s="651"/>
      <c r="Q2858" s="651"/>
      <c r="R2858" s="651"/>
      <c r="S2858" s="651"/>
    </row>
    <row r="2859" spans="12:19" ht="15.75" customHeight="1" x14ac:dyDescent="0.35">
      <c r="L2859" s="2"/>
      <c r="M2859" s="2"/>
      <c r="N2859" s="650"/>
      <c r="O2859" s="650"/>
      <c r="P2859" s="651"/>
      <c r="Q2859" s="651"/>
      <c r="R2859" s="651"/>
      <c r="S2859" s="651"/>
    </row>
    <row r="2860" spans="12:19" ht="15.75" customHeight="1" x14ac:dyDescent="0.35">
      <c r="L2860" s="2"/>
      <c r="M2860" s="2"/>
      <c r="N2860" s="650"/>
      <c r="O2860" s="650"/>
      <c r="P2860" s="651"/>
      <c r="Q2860" s="651"/>
      <c r="R2860" s="651"/>
      <c r="S2860" s="651"/>
    </row>
    <row r="2861" spans="12:19" ht="15.75" customHeight="1" x14ac:dyDescent="0.35">
      <c r="L2861" s="2"/>
      <c r="M2861" s="2"/>
      <c r="N2861" s="650"/>
      <c r="O2861" s="650"/>
      <c r="P2861" s="651"/>
      <c r="Q2861" s="651"/>
      <c r="R2861" s="651"/>
      <c r="S2861" s="651"/>
    </row>
    <row r="2862" spans="12:19" ht="15.75" customHeight="1" x14ac:dyDescent="0.35">
      <c r="L2862" s="2"/>
      <c r="M2862" s="2"/>
      <c r="N2862" s="650"/>
      <c r="O2862" s="650"/>
      <c r="P2862" s="651"/>
      <c r="Q2862" s="651"/>
      <c r="R2862" s="651"/>
      <c r="S2862" s="651"/>
    </row>
    <row r="2863" spans="12:19" ht="15.75" customHeight="1" x14ac:dyDescent="0.35">
      <c r="L2863" s="2"/>
      <c r="M2863" s="2"/>
      <c r="N2863" s="650"/>
      <c r="O2863" s="650"/>
      <c r="P2863" s="651"/>
      <c r="Q2863" s="651"/>
      <c r="R2863" s="651"/>
      <c r="S2863" s="651"/>
    </row>
    <row r="2864" spans="12:19" ht="15.75" customHeight="1" x14ac:dyDescent="0.35">
      <c r="L2864" s="2"/>
      <c r="M2864" s="2"/>
      <c r="N2864" s="650"/>
      <c r="O2864" s="650"/>
      <c r="P2864" s="651"/>
      <c r="Q2864" s="651"/>
      <c r="R2864" s="651"/>
      <c r="S2864" s="651"/>
    </row>
    <row r="2865" spans="12:19" ht="15.75" customHeight="1" x14ac:dyDescent="0.35">
      <c r="L2865" s="2"/>
      <c r="M2865" s="2"/>
      <c r="N2865" s="650"/>
      <c r="O2865" s="650"/>
      <c r="P2865" s="651"/>
      <c r="Q2865" s="651"/>
      <c r="R2865" s="651"/>
      <c r="S2865" s="651"/>
    </row>
    <row r="2866" spans="12:19" ht="15.75" customHeight="1" x14ac:dyDescent="0.35">
      <c r="L2866" s="2"/>
      <c r="M2866" s="2"/>
      <c r="N2866" s="650"/>
      <c r="O2866" s="650"/>
      <c r="P2866" s="651"/>
      <c r="Q2866" s="651"/>
      <c r="R2866" s="651"/>
      <c r="S2866" s="651"/>
    </row>
    <row r="2867" spans="12:19" ht="15.75" customHeight="1" x14ac:dyDescent="0.35">
      <c r="L2867" s="2"/>
      <c r="M2867" s="2"/>
      <c r="N2867" s="650"/>
      <c r="O2867" s="650"/>
      <c r="P2867" s="651"/>
      <c r="Q2867" s="651"/>
      <c r="R2867" s="651"/>
      <c r="S2867" s="651"/>
    </row>
    <row r="2868" spans="12:19" ht="15.75" customHeight="1" x14ac:dyDescent="0.35">
      <c r="L2868" s="2"/>
      <c r="M2868" s="2"/>
      <c r="N2868" s="650"/>
      <c r="O2868" s="650"/>
      <c r="P2868" s="651"/>
      <c r="Q2868" s="651"/>
      <c r="R2868" s="651"/>
      <c r="S2868" s="651"/>
    </row>
    <row r="2869" spans="12:19" ht="15.75" customHeight="1" x14ac:dyDescent="0.35">
      <c r="L2869" s="2"/>
      <c r="M2869" s="2"/>
      <c r="N2869" s="650"/>
      <c r="O2869" s="650"/>
      <c r="P2869" s="651"/>
      <c r="Q2869" s="651"/>
      <c r="R2869" s="651"/>
      <c r="S2869" s="651"/>
    </row>
    <row r="2870" spans="12:19" ht="15.75" customHeight="1" x14ac:dyDescent="0.35">
      <c r="L2870" s="2"/>
      <c r="M2870" s="2"/>
      <c r="N2870" s="650"/>
      <c r="O2870" s="650"/>
      <c r="P2870" s="651"/>
      <c r="Q2870" s="651"/>
      <c r="R2870" s="651"/>
      <c r="S2870" s="651"/>
    </row>
    <row r="2871" spans="12:19" ht="15.75" customHeight="1" x14ac:dyDescent="0.35">
      <c r="L2871" s="2"/>
      <c r="M2871" s="2"/>
      <c r="N2871" s="650"/>
      <c r="O2871" s="650"/>
      <c r="P2871" s="651"/>
      <c r="Q2871" s="651"/>
      <c r="R2871" s="651"/>
      <c r="S2871" s="651"/>
    </row>
    <row r="2872" spans="12:19" ht="15.75" customHeight="1" x14ac:dyDescent="0.35">
      <c r="L2872" s="2"/>
      <c r="M2872" s="2"/>
      <c r="N2872" s="650"/>
      <c r="O2872" s="650"/>
      <c r="P2872" s="651"/>
      <c r="Q2872" s="651"/>
      <c r="R2872" s="651"/>
      <c r="S2872" s="651"/>
    </row>
    <row r="2873" spans="12:19" ht="15.75" customHeight="1" x14ac:dyDescent="0.35">
      <c r="L2873" s="2"/>
      <c r="M2873" s="2"/>
      <c r="N2873" s="650"/>
      <c r="O2873" s="650"/>
      <c r="P2873" s="651"/>
      <c r="Q2873" s="651"/>
      <c r="R2873" s="651"/>
      <c r="S2873" s="651"/>
    </row>
    <row r="2874" spans="12:19" ht="15.75" customHeight="1" x14ac:dyDescent="0.35">
      <c r="L2874" s="2"/>
      <c r="M2874" s="2"/>
      <c r="N2874" s="650"/>
      <c r="O2874" s="650"/>
      <c r="P2874" s="651"/>
      <c r="Q2874" s="651"/>
      <c r="R2874" s="651"/>
      <c r="S2874" s="651"/>
    </row>
    <row r="2875" spans="12:19" ht="15.75" customHeight="1" x14ac:dyDescent="0.35">
      <c r="L2875" s="2"/>
      <c r="M2875" s="2"/>
      <c r="N2875" s="650"/>
      <c r="O2875" s="650"/>
      <c r="P2875" s="651"/>
      <c r="Q2875" s="651"/>
      <c r="R2875" s="651"/>
      <c r="S2875" s="651"/>
    </row>
    <row r="2876" spans="12:19" ht="15.75" customHeight="1" x14ac:dyDescent="0.35">
      <c r="L2876" s="2"/>
      <c r="M2876" s="2"/>
      <c r="N2876" s="650"/>
      <c r="O2876" s="650"/>
      <c r="P2876" s="651"/>
      <c r="Q2876" s="651"/>
      <c r="R2876" s="651"/>
      <c r="S2876" s="651"/>
    </row>
    <row r="2877" spans="12:19" ht="15.75" customHeight="1" x14ac:dyDescent="0.35">
      <c r="L2877" s="2"/>
      <c r="M2877" s="2"/>
      <c r="N2877" s="650"/>
      <c r="O2877" s="650"/>
      <c r="P2877" s="651"/>
      <c r="Q2877" s="651"/>
      <c r="R2877" s="651"/>
      <c r="S2877" s="651"/>
    </row>
    <row r="2878" spans="12:19" ht="15.75" customHeight="1" x14ac:dyDescent="0.35">
      <c r="L2878" s="2"/>
      <c r="M2878" s="2"/>
      <c r="N2878" s="650"/>
      <c r="O2878" s="650"/>
      <c r="P2878" s="651"/>
      <c r="Q2878" s="651"/>
      <c r="R2878" s="651"/>
      <c r="S2878" s="651"/>
    </row>
    <row r="2879" spans="12:19" ht="15.75" customHeight="1" x14ac:dyDescent="0.35">
      <c r="L2879" s="2"/>
      <c r="M2879" s="2"/>
      <c r="N2879" s="650"/>
      <c r="O2879" s="650"/>
      <c r="P2879" s="651"/>
      <c r="Q2879" s="651"/>
      <c r="R2879" s="651"/>
      <c r="S2879" s="651"/>
    </row>
    <row r="2880" spans="12:19" ht="15.75" customHeight="1" x14ac:dyDescent="0.35">
      <c r="L2880" s="2"/>
      <c r="M2880" s="2"/>
      <c r="N2880" s="650"/>
      <c r="O2880" s="650"/>
      <c r="P2880" s="651"/>
      <c r="Q2880" s="651"/>
      <c r="R2880" s="651"/>
      <c r="S2880" s="651"/>
    </row>
    <row r="2881" spans="12:19" ht="15.75" customHeight="1" x14ac:dyDescent="0.35">
      <c r="L2881" s="2"/>
      <c r="M2881" s="2"/>
      <c r="N2881" s="650"/>
      <c r="O2881" s="650"/>
      <c r="P2881" s="651"/>
      <c r="Q2881" s="651"/>
      <c r="R2881" s="651"/>
      <c r="S2881" s="651"/>
    </row>
    <row r="2882" spans="12:19" ht="15.75" customHeight="1" x14ac:dyDescent="0.35">
      <c r="L2882" s="2"/>
      <c r="M2882" s="2"/>
      <c r="N2882" s="650"/>
      <c r="O2882" s="650"/>
      <c r="P2882" s="651"/>
      <c r="Q2882" s="651"/>
      <c r="R2882" s="651"/>
      <c r="S2882" s="651"/>
    </row>
    <row r="2883" spans="12:19" ht="15.75" customHeight="1" x14ac:dyDescent="0.35">
      <c r="L2883" s="2"/>
      <c r="M2883" s="2"/>
      <c r="N2883" s="650"/>
      <c r="O2883" s="650"/>
      <c r="P2883" s="651"/>
      <c r="Q2883" s="651"/>
      <c r="R2883" s="651"/>
      <c r="S2883" s="651"/>
    </row>
    <row r="2884" spans="12:19" ht="15.75" customHeight="1" x14ac:dyDescent="0.35">
      <c r="L2884" s="2"/>
      <c r="M2884" s="2"/>
      <c r="N2884" s="650"/>
      <c r="O2884" s="650"/>
      <c r="P2884" s="651"/>
      <c r="Q2884" s="651"/>
      <c r="R2884" s="651"/>
      <c r="S2884" s="651"/>
    </row>
    <row r="2885" spans="12:19" ht="15.75" customHeight="1" x14ac:dyDescent="0.35">
      <c r="L2885" s="2"/>
      <c r="M2885" s="2"/>
      <c r="N2885" s="650"/>
      <c r="O2885" s="650"/>
      <c r="P2885" s="651"/>
      <c r="Q2885" s="651"/>
      <c r="R2885" s="651"/>
      <c r="S2885" s="651"/>
    </row>
    <row r="2886" spans="12:19" ht="15.75" customHeight="1" x14ac:dyDescent="0.35">
      <c r="L2886" s="2"/>
      <c r="M2886" s="2"/>
      <c r="N2886" s="650"/>
      <c r="O2886" s="650"/>
      <c r="P2886" s="651"/>
      <c r="Q2886" s="651"/>
      <c r="R2886" s="651"/>
      <c r="S2886" s="651"/>
    </row>
    <row r="2887" spans="12:19" ht="15.75" customHeight="1" x14ac:dyDescent="0.35">
      <c r="L2887" s="2"/>
      <c r="M2887" s="2"/>
      <c r="N2887" s="650"/>
      <c r="O2887" s="650"/>
      <c r="P2887" s="651"/>
      <c r="Q2887" s="651"/>
      <c r="R2887" s="651"/>
      <c r="S2887" s="651"/>
    </row>
    <row r="2888" spans="12:19" ht="15.75" customHeight="1" x14ac:dyDescent="0.35">
      <c r="L2888" s="2"/>
      <c r="M2888" s="2"/>
      <c r="N2888" s="650"/>
      <c r="O2888" s="650"/>
      <c r="P2888" s="651"/>
      <c r="Q2888" s="651"/>
      <c r="R2888" s="651"/>
      <c r="S2888" s="651"/>
    </row>
    <row r="2889" spans="12:19" ht="15.75" customHeight="1" x14ac:dyDescent="0.35">
      <c r="L2889" s="2"/>
      <c r="M2889" s="2"/>
      <c r="N2889" s="650"/>
      <c r="O2889" s="650"/>
      <c r="P2889" s="651"/>
      <c r="Q2889" s="651"/>
      <c r="R2889" s="651"/>
      <c r="S2889" s="651"/>
    </row>
    <row r="2890" spans="12:19" ht="15.75" customHeight="1" x14ac:dyDescent="0.35">
      <c r="L2890" s="2"/>
      <c r="M2890" s="2"/>
      <c r="N2890" s="650"/>
      <c r="O2890" s="650"/>
      <c r="P2890" s="651"/>
      <c r="Q2890" s="651"/>
      <c r="R2890" s="651"/>
      <c r="S2890" s="651"/>
    </row>
    <row r="2891" spans="12:19" ht="15.75" customHeight="1" x14ac:dyDescent="0.35">
      <c r="L2891" s="2"/>
      <c r="M2891" s="2"/>
      <c r="N2891" s="650"/>
      <c r="O2891" s="650"/>
      <c r="P2891" s="651"/>
      <c r="Q2891" s="651"/>
      <c r="R2891" s="651"/>
      <c r="S2891" s="651"/>
    </row>
    <row r="2892" spans="12:19" ht="15.75" customHeight="1" x14ac:dyDescent="0.35">
      <c r="L2892" s="2"/>
      <c r="M2892" s="2"/>
      <c r="N2892" s="650"/>
      <c r="O2892" s="650"/>
      <c r="P2892" s="651"/>
      <c r="Q2892" s="651"/>
      <c r="R2892" s="651"/>
      <c r="S2892" s="651"/>
    </row>
    <row r="2893" spans="12:19" ht="15.75" customHeight="1" x14ac:dyDescent="0.35">
      <c r="L2893" s="2"/>
      <c r="M2893" s="2"/>
      <c r="N2893" s="650"/>
      <c r="O2893" s="650"/>
      <c r="P2893" s="651"/>
      <c r="Q2893" s="651"/>
      <c r="R2893" s="651"/>
      <c r="S2893" s="651"/>
    </row>
    <row r="2894" spans="12:19" ht="15.75" customHeight="1" x14ac:dyDescent="0.35">
      <c r="L2894" s="2"/>
      <c r="M2894" s="2"/>
      <c r="N2894" s="650"/>
      <c r="O2894" s="650"/>
      <c r="P2894" s="651"/>
      <c r="Q2894" s="651"/>
      <c r="R2894" s="651"/>
      <c r="S2894" s="651"/>
    </row>
    <row r="2895" spans="12:19" ht="15.75" customHeight="1" x14ac:dyDescent="0.35">
      <c r="L2895" s="2"/>
      <c r="M2895" s="2"/>
      <c r="N2895" s="650"/>
      <c r="O2895" s="650"/>
      <c r="P2895" s="651"/>
      <c r="Q2895" s="651"/>
      <c r="R2895" s="651"/>
      <c r="S2895" s="651"/>
    </row>
    <row r="2896" spans="12:19" ht="15.75" customHeight="1" x14ac:dyDescent="0.35">
      <c r="L2896" s="2"/>
      <c r="M2896" s="2"/>
      <c r="N2896" s="650"/>
      <c r="O2896" s="650"/>
      <c r="P2896" s="651"/>
      <c r="Q2896" s="651"/>
      <c r="R2896" s="651"/>
      <c r="S2896" s="651"/>
    </row>
    <row r="2897" spans="12:19" ht="15.75" customHeight="1" x14ac:dyDescent="0.35">
      <c r="L2897" s="2"/>
      <c r="M2897" s="2"/>
      <c r="N2897" s="650"/>
      <c r="O2897" s="650"/>
      <c r="P2897" s="651"/>
      <c r="Q2897" s="651"/>
      <c r="R2897" s="651"/>
      <c r="S2897" s="651"/>
    </row>
    <row r="2898" spans="12:19" ht="15.75" customHeight="1" x14ac:dyDescent="0.35">
      <c r="L2898" s="2"/>
      <c r="M2898" s="2"/>
      <c r="N2898" s="650"/>
      <c r="O2898" s="650"/>
      <c r="P2898" s="651"/>
      <c r="Q2898" s="651"/>
      <c r="R2898" s="651"/>
      <c r="S2898" s="651"/>
    </row>
    <row r="2899" spans="12:19" ht="15.75" customHeight="1" x14ac:dyDescent="0.35">
      <c r="L2899" s="2"/>
      <c r="M2899" s="2"/>
      <c r="N2899" s="650"/>
      <c r="O2899" s="650"/>
      <c r="P2899" s="651"/>
      <c r="Q2899" s="651"/>
      <c r="R2899" s="651"/>
      <c r="S2899" s="651"/>
    </row>
    <row r="2900" spans="12:19" ht="15.75" customHeight="1" x14ac:dyDescent="0.35">
      <c r="L2900" s="2"/>
      <c r="M2900" s="2"/>
      <c r="N2900" s="650"/>
      <c r="O2900" s="650"/>
      <c r="P2900" s="651"/>
      <c r="Q2900" s="651"/>
      <c r="R2900" s="651"/>
      <c r="S2900" s="651"/>
    </row>
    <row r="2901" spans="12:19" ht="15.75" customHeight="1" x14ac:dyDescent="0.35">
      <c r="L2901" s="2"/>
      <c r="M2901" s="2"/>
      <c r="N2901" s="650"/>
      <c r="O2901" s="650"/>
      <c r="P2901" s="651"/>
      <c r="Q2901" s="651"/>
      <c r="R2901" s="651"/>
      <c r="S2901" s="651"/>
    </row>
    <row r="2902" spans="12:19" ht="15.75" customHeight="1" x14ac:dyDescent="0.35">
      <c r="L2902" s="2"/>
      <c r="M2902" s="2"/>
      <c r="N2902" s="650"/>
      <c r="O2902" s="650"/>
      <c r="P2902" s="651"/>
      <c r="Q2902" s="651"/>
      <c r="R2902" s="651"/>
      <c r="S2902" s="651"/>
    </row>
    <row r="2903" spans="12:19" ht="15.75" customHeight="1" x14ac:dyDescent="0.35">
      <c r="L2903" s="2"/>
      <c r="M2903" s="2"/>
      <c r="N2903" s="650"/>
      <c r="O2903" s="650"/>
      <c r="P2903" s="651"/>
      <c r="Q2903" s="651"/>
      <c r="R2903" s="651"/>
      <c r="S2903" s="651"/>
    </row>
    <row r="2904" spans="12:19" ht="15.75" customHeight="1" x14ac:dyDescent="0.35">
      <c r="L2904" s="2"/>
      <c r="M2904" s="2"/>
      <c r="N2904" s="650"/>
      <c r="O2904" s="650"/>
      <c r="P2904" s="651"/>
      <c r="Q2904" s="651"/>
      <c r="R2904" s="651"/>
      <c r="S2904" s="651"/>
    </row>
    <row r="2905" spans="12:19" ht="15.75" customHeight="1" x14ac:dyDescent="0.35">
      <c r="L2905" s="2"/>
      <c r="M2905" s="2"/>
      <c r="N2905" s="650"/>
      <c r="O2905" s="650"/>
      <c r="P2905" s="651"/>
      <c r="Q2905" s="651"/>
      <c r="R2905" s="651"/>
      <c r="S2905" s="651"/>
    </row>
    <row r="2906" spans="12:19" ht="15.75" customHeight="1" x14ac:dyDescent="0.35">
      <c r="L2906" s="2"/>
      <c r="M2906" s="2"/>
      <c r="N2906" s="650"/>
      <c r="O2906" s="650"/>
      <c r="P2906" s="651"/>
      <c r="Q2906" s="651"/>
      <c r="R2906" s="651"/>
      <c r="S2906" s="651"/>
    </row>
    <row r="2907" spans="12:19" ht="15.75" customHeight="1" x14ac:dyDescent="0.35">
      <c r="L2907" s="2"/>
      <c r="M2907" s="2"/>
      <c r="N2907" s="650"/>
      <c r="O2907" s="650"/>
      <c r="P2907" s="651"/>
      <c r="Q2907" s="651"/>
      <c r="R2907" s="651"/>
      <c r="S2907" s="651"/>
    </row>
    <row r="2908" spans="12:19" ht="15.75" customHeight="1" x14ac:dyDescent="0.35">
      <c r="L2908" s="2"/>
      <c r="M2908" s="2"/>
      <c r="N2908" s="650"/>
      <c r="O2908" s="650"/>
      <c r="P2908" s="651"/>
      <c r="Q2908" s="651"/>
      <c r="R2908" s="651"/>
      <c r="S2908" s="651"/>
    </row>
    <row r="2909" spans="12:19" ht="15.75" customHeight="1" x14ac:dyDescent="0.35">
      <c r="L2909" s="2"/>
      <c r="M2909" s="2"/>
      <c r="N2909" s="650"/>
      <c r="O2909" s="650"/>
      <c r="P2909" s="651"/>
      <c r="Q2909" s="651"/>
      <c r="R2909" s="651"/>
      <c r="S2909" s="651"/>
    </row>
    <row r="2910" spans="12:19" ht="15.75" customHeight="1" x14ac:dyDescent="0.35">
      <c r="L2910" s="2"/>
      <c r="M2910" s="2"/>
      <c r="N2910" s="650"/>
      <c r="O2910" s="650"/>
      <c r="P2910" s="651"/>
      <c r="Q2910" s="651"/>
      <c r="R2910" s="651"/>
      <c r="S2910" s="651"/>
    </row>
    <row r="2911" spans="12:19" ht="15.75" customHeight="1" x14ac:dyDescent="0.35">
      <c r="L2911" s="2"/>
      <c r="M2911" s="2"/>
      <c r="N2911" s="650"/>
      <c r="O2911" s="650"/>
      <c r="P2911" s="651"/>
      <c r="Q2911" s="651"/>
      <c r="R2911" s="651"/>
      <c r="S2911" s="651"/>
    </row>
    <row r="2912" spans="12:19" ht="15.75" customHeight="1" x14ac:dyDescent="0.35">
      <c r="L2912" s="2"/>
      <c r="M2912" s="2"/>
      <c r="N2912" s="650"/>
      <c r="O2912" s="650"/>
      <c r="P2912" s="651"/>
      <c r="Q2912" s="651"/>
      <c r="R2912" s="651"/>
      <c r="S2912" s="651"/>
    </row>
    <row r="2913" spans="12:19" ht="15.75" customHeight="1" x14ac:dyDescent="0.35">
      <c r="L2913" s="2"/>
      <c r="M2913" s="2"/>
      <c r="N2913" s="650"/>
      <c r="O2913" s="650"/>
      <c r="P2913" s="651"/>
      <c r="Q2913" s="651"/>
      <c r="R2913" s="651"/>
      <c r="S2913" s="651"/>
    </row>
    <row r="2914" spans="12:19" ht="15.75" customHeight="1" x14ac:dyDescent="0.35">
      <c r="L2914" s="2"/>
      <c r="M2914" s="2"/>
      <c r="N2914" s="650"/>
      <c r="O2914" s="650"/>
      <c r="P2914" s="651"/>
      <c r="Q2914" s="651"/>
      <c r="R2914" s="651"/>
      <c r="S2914" s="651"/>
    </row>
    <row r="2915" spans="12:19" ht="15.75" customHeight="1" x14ac:dyDescent="0.35">
      <c r="L2915" s="2"/>
      <c r="M2915" s="2"/>
      <c r="N2915" s="650"/>
      <c r="O2915" s="650"/>
      <c r="P2915" s="651"/>
      <c r="Q2915" s="651"/>
      <c r="R2915" s="651"/>
      <c r="S2915" s="651"/>
    </row>
    <row r="2916" spans="12:19" ht="15.75" customHeight="1" x14ac:dyDescent="0.35">
      <c r="L2916" s="2"/>
      <c r="M2916" s="2"/>
      <c r="N2916" s="650"/>
      <c r="O2916" s="650"/>
      <c r="P2916" s="651"/>
      <c r="Q2916" s="651"/>
      <c r="R2916" s="651"/>
      <c r="S2916" s="651"/>
    </row>
    <row r="2917" spans="12:19" ht="15.75" customHeight="1" x14ac:dyDescent="0.35">
      <c r="L2917" s="2"/>
      <c r="M2917" s="2"/>
      <c r="N2917" s="650"/>
      <c r="O2917" s="650"/>
      <c r="P2917" s="651"/>
      <c r="Q2917" s="651"/>
      <c r="R2917" s="651"/>
      <c r="S2917" s="651"/>
    </row>
    <row r="2918" spans="12:19" ht="15.75" customHeight="1" x14ac:dyDescent="0.35">
      <c r="L2918" s="2"/>
      <c r="M2918" s="2"/>
      <c r="N2918" s="650"/>
      <c r="O2918" s="650"/>
      <c r="P2918" s="651"/>
      <c r="Q2918" s="651"/>
      <c r="R2918" s="651"/>
      <c r="S2918" s="651"/>
    </row>
    <row r="2919" spans="12:19" ht="15.75" customHeight="1" x14ac:dyDescent="0.35">
      <c r="L2919" s="2"/>
      <c r="M2919" s="2"/>
      <c r="N2919" s="650"/>
      <c r="O2919" s="650"/>
      <c r="P2919" s="651"/>
      <c r="Q2919" s="651"/>
      <c r="R2919" s="651"/>
      <c r="S2919" s="651"/>
    </row>
    <row r="2920" spans="12:19" ht="15.75" customHeight="1" x14ac:dyDescent="0.35">
      <c r="L2920" s="2"/>
      <c r="M2920" s="2"/>
      <c r="N2920" s="650"/>
      <c r="O2920" s="650"/>
      <c r="P2920" s="651"/>
      <c r="Q2920" s="651"/>
      <c r="R2920" s="651"/>
      <c r="S2920" s="651"/>
    </row>
    <row r="2921" spans="12:19" ht="15.75" customHeight="1" x14ac:dyDescent="0.35">
      <c r="L2921" s="2"/>
      <c r="M2921" s="2"/>
      <c r="N2921" s="650"/>
      <c r="O2921" s="650"/>
      <c r="P2921" s="651"/>
      <c r="Q2921" s="651"/>
      <c r="R2921" s="651"/>
      <c r="S2921" s="651"/>
    </row>
    <row r="2922" spans="12:19" ht="15.75" customHeight="1" x14ac:dyDescent="0.35">
      <c r="L2922" s="2"/>
      <c r="M2922" s="2"/>
      <c r="N2922" s="650"/>
      <c r="O2922" s="650"/>
      <c r="P2922" s="651"/>
      <c r="Q2922" s="651"/>
      <c r="R2922" s="651"/>
      <c r="S2922" s="651"/>
    </row>
    <row r="2923" spans="12:19" ht="15.75" customHeight="1" x14ac:dyDescent="0.35">
      <c r="L2923" s="2"/>
      <c r="M2923" s="2"/>
      <c r="N2923" s="650"/>
      <c r="O2923" s="650"/>
      <c r="P2923" s="651"/>
      <c r="Q2923" s="651"/>
      <c r="R2923" s="651"/>
      <c r="S2923" s="651"/>
    </row>
    <row r="2924" spans="12:19" ht="15.75" customHeight="1" x14ac:dyDescent="0.35">
      <c r="L2924" s="2"/>
      <c r="M2924" s="2"/>
      <c r="N2924" s="650"/>
      <c r="O2924" s="650"/>
      <c r="P2924" s="651"/>
      <c r="Q2924" s="651"/>
      <c r="R2924" s="651"/>
      <c r="S2924" s="651"/>
    </row>
    <row r="2925" spans="12:19" ht="15.75" customHeight="1" x14ac:dyDescent="0.35">
      <c r="L2925" s="2"/>
      <c r="M2925" s="2"/>
      <c r="N2925" s="650"/>
      <c r="O2925" s="650"/>
      <c r="P2925" s="651"/>
      <c r="Q2925" s="651"/>
      <c r="R2925" s="651"/>
      <c r="S2925" s="651"/>
    </row>
    <row r="2926" spans="12:19" ht="15.75" customHeight="1" x14ac:dyDescent="0.35">
      <c r="L2926" s="2"/>
      <c r="M2926" s="2"/>
      <c r="N2926" s="650"/>
      <c r="O2926" s="650"/>
      <c r="P2926" s="651"/>
      <c r="Q2926" s="651"/>
      <c r="R2926" s="651"/>
      <c r="S2926" s="651"/>
    </row>
    <row r="2927" spans="12:19" ht="15.75" customHeight="1" x14ac:dyDescent="0.35">
      <c r="L2927" s="2"/>
      <c r="M2927" s="2"/>
      <c r="N2927" s="650"/>
      <c r="O2927" s="650"/>
      <c r="P2927" s="651"/>
      <c r="Q2927" s="651"/>
      <c r="R2927" s="651"/>
      <c r="S2927" s="651"/>
    </row>
    <row r="2928" spans="12:19" ht="15.75" customHeight="1" x14ac:dyDescent="0.35">
      <c r="L2928" s="2"/>
      <c r="M2928" s="2"/>
      <c r="N2928" s="650"/>
      <c r="O2928" s="650"/>
      <c r="P2928" s="651"/>
      <c r="Q2928" s="651"/>
      <c r="R2928" s="651"/>
      <c r="S2928" s="651"/>
    </row>
    <row r="2929" spans="12:19" ht="15.75" customHeight="1" x14ac:dyDescent="0.35">
      <c r="L2929" s="2"/>
      <c r="M2929" s="2"/>
      <c r="N2929" s="650"/>
      <c r="O2929" s="650"/>
      <c r="P2929" s="651"/>
      <c r="Q2929" s="651"/>
      <c r="R2929" s="651"/>
      <c r="S2929" s="651"/>
    </row>
    <row r="2930" spans="12:19" ht="15.75" customHeight="1" x14ac:dyDescent="0.35">
      <c r="L2930" s="2"/>
      <c r="M2930" s="2"/>
      <c r="N2930" s="650"/>
      <c r="O2930" s="650"/>
      <c r="P2930" s="651"/>
      <c r="Q2930" s="651"/>
      <c r="R2930" s="651"/>
      <c r="S2930" s="651"/>
    </row>
    <row r="2931" spans="12:19" ht="15.75" customHeight="1" x14ac:dyDescent="0.35">
      <c r="L2931" s="2"/>
      <c r="M2931" s="2"/>
      <c r="N2931" s="650"/>
      <c r="O2931" s="650"/>
      <c r="P2931" s="651"/>
      <c r="Q2931" s="651"/>
      <c r="R2931" s="651"/>
      <c r="S2931" s="651"/>
    </row>
    <row r="2932" spans="12:19" ht="15.75" customHeight="1" x14ac:dyDescent="0.35">
      <c r="L2932" s="2"/>
      <c r="M2932" s="2"/>
      <c r="N2932" s="650"/>
      <c r="O2932" s="650"/>
      <c r="P2932" s="651"/>
      <c r="Q2932" s="651"/>
      <c r="R2932" s="651"/>
      <c r="S2932" s="651"/>
    </row>
    <row r="2933" spans="12:19" ht="15.75" customHeight="1" x14ac:dyDescent="0.35">
      <c r="L2933" s="2"/>
      <c r="M2933" s="2"/>
      <c r="N2933" s="650"/>
      <c r="O2933" s="650"/>
      <c r="P2933" s="651"/>
      <c r="Q2933" s="651"/>
      <c r="R2933" s="651"/>
      <c r="S2933" s="651"/>
    </row>
    <row r="2934" spans="12:19" ht="15.75" customHeight="1" x14ac:dyDescent="0.35">
      <c r="L2934" s="2"/>
      <c r="M2934" s="2"/>
      <c r="N2934" s="650"/>
      <c r="O2934" s="650"/>
      <c r="P2934" s="651"/>
      <c r="Q2934" s="651"/>
      <c r="R2934" s="651"/>
      <c r="S2934" s="651"/>
    </row>
    <row r="2935" spans="12:19" ht="15.75" customHeight="1" x14ac:dyDescent="0.35">
      <c r="L2935" s="2"/>
      <c r="M2935" s="2"/>
      <c r="N2935" s="650"/>
      <c r="O2935" s="650"/>
      <c r="P2935" s="651"/>
      <c r="Q2935" s="651"/>
      <c r="R2935" s="651"/>
      <c r="S2935" s="651"/>
    </row>
    <row r="2936" spans="12:19" ht="15.75" customHeight="1" x14ac:dyDescent="0.35">
      <c r="L2936" s="2"/>
      <c r="M2936" s="2"/>
      <c r="N2936" s="650"/>
      <c r="O2936" s="650"/>
      <c r="P2936" s="651"/>
      <c r="Q2936" s="651"/>
      <c r="R2936" s="651"/>
      <c r="S2936" s="651"/>
    </row>
    <row r="2937" spans="12:19" ht="15.75" customHeight="1" x14ac:dyDescent="0.35">
      <c r="L2937" s="2"/>
      <c r="M2937" s="2"/>
      <c r="N2937" s="650"/>
      <c r="O2937" s="650"/>
      <c r="P2937" s="651"/>
      <c r="Q2937" s="651"/>
      <c r="R2937" s="651"/>
      <c r="S2937" s="651"/>
    </row>
    <row r="2938" spans="12:19" ht="15.75" customHeight="1" x14ac:dyDescent="0.35">
      <c r="L2938" s="2"/>
      <c r="M2938" s="2"/>
      <c r="N2938" s="650"/>
      <c r="O2938" s="650"/>
      <c r="P2938" s="651"/>
      <c r="Q2938" s="651"/>
      <c r="R2938" s="651"/>
      <c r="S2938" s="651"/>
    </row>
    <row r="2939" spans="12:19" ht="15.75" customHeight="1" x14ac:dyDescent="0.35">
      <c r="L2939" s="2"/>
      <c r="M2939" s="2"/>
      <c r="N2939" s="650"/>
      <c r="O2939" s="650"/>
      <c r="P2939" s="651"/>
      <c r="Q2939" s="651"/>
      <c r="R2939" s="651"/>
      <c r="S2939" s="651"/>
    </row>
    <row r="2940" spans="12:19" ht="15.75" customHeight="1" x14ac:dyDescent="0.35">
      <c r="L2940" s="2"/>
      <c r="M2940" s="2"/>
      <c r="N2940" s="650"/>
      <c r="O2940" s="650"/>
      <c r="P2940" s="651"/>
      <c r="Q2940" s="651"/>
      <c r="R2940" s="651"/>
      <c r="S2940" s="651"/>
    </row>
    <row r="2941" spans="12:19" ht="15.75" customHeight="1" x14ac:dyDescent="0.35">
      <c r="L2941" s="2"/>
      <c r="M2941" s="2"/>
      <c r="N2941" s="650"/>
      <c r="O2941" s="650"/>
      <c r="P2941" s="651"/>
      <c r="Q2941" s="651"/>
      <c r="R2941" s="651"/>
      <c r="S2941" s="651"/>
    </row>
    <row r="2942" spans="12:19" ht="15.75" customHeight="1" x14ac:dyDescent="0.35">
      <c r="L2942" s="2"/>
      <c r="M2942" s="2"/>
      <c r="N2942" s="650"/>
      <c r="O2942" s="650"/>
      <c r="P2942" s="651"/>
      <c r="Q2942" s="651"/>
      <c r="R2942" s="651"/>
      <c r="S2942" s="651"/>
    </row>
    <row r="2943" spans="12:19" ht="15.75" customHeight="1" x14ac:dyDescent="0.35">
      <c r="L2943" s="2"/>
      <c r="M2943" s="2"/>
      <c r="N2943" s="650"/>
      <c r="O2943" s="650"/>
      <c r="P2943" s="651"/>
      <c r="Q2943" s="651"/>
      <c r="R2943" s="651"/>
      <c r="S2943" s="651"/>
    </row>
    <row r="2944" spans="12:19" ht="15.75" customHeight="1" x14ac:dyDescent="0.35">
      <c r="L2944" s="2"/>
      <c r="M2944" s="2"/>
      <c r="N2944" s="650"/>
      <c r="O2944" s="650"/>
      <c r="P2944" s="651"/>
      <c r="Q2944" s="651"/>
      <c r="R2944" s="651"/>
      <c r="S2944" s="651"/>
    </row>
    <row r="2945" spans="12:19" ht="15.75" customHeight="1" x14ac:dyDescent="0.35">
      <c r="L2945" s="2"/>
      <c r="M2945" s="2"/>
      <c r="N2945" s="650"/>
      <c r="O2945" s="650"/>
      <c r="P2945" s="651"/>
      <c r="Q2945" s="651"/>
      <c r="R2945" s="651"/>
      <c r="S2945" s="651"/>
    </row>
    <row r="2946" spans="12:19" ht="15.75" customHeight="1" x14ac:dyDescent="0.35">
      <c r="L2946" s="2"/>
      <c r="M2946" s="2"/>
      <c r="N2946" s="650"/>
      <c r="O2946" s="650"/>
      <c r="P2946" s="651"/>
      <c r="Q2946" s="651"/>
      <c r="R2946" s="651"/>
      <c r="S2946" s="651"/>
    </row>
    <row r="2947" spans="12:19" ht="15.75" customHeight="1" x14ac:dyDescent="0.35">
      <c r="L2947" s="2"/>
      <c r="M2947" s="2"/>
      <c r="N2947" s="650"/>
      <c r="O2947" s="650"/>
      <c r="P2947" s="651"/>
      <c r="Q2947" s="651"/>
      <c r="R2947" s="651"/>
      <c r="S2947" s="651"/>
    </row>
    <row r="2948" spans="12:19" ht="15.75" customHeight="1" x14ac:dyDescent="0.35">
      <c r="L2948" s="2"/>
      <c r="M2948" s="2"/>
      <c r="N2948" s="650"/>
      <c r="O2948" s="650"/>
      <c r="P2948" s="651"/>
      <c r="Q2948" s="651"/>
      <c r="R2948" s="651"/>
      <c r="S2948" s="651"/>
    </row>
    <row r="2949" spans="12:19" ht="15.75" customHeight="1" x14ac:dyDescent="0.35">
      <c r="L2949" s="2"/>
      <c r="M2949" s="2"/>
      <c r="N2949" s="650"/>
      <c r="O2949" s="650"/>
      <c r="P2949" s="651"/>
      <c r="Q2949" s="651"/>
      <c r="R2949" s="651"/>
      <c r="S2949" s="651"/>
    </row>
    <row r="2950" spans="12:19" ht="15.75" customHeight="1" x14ac:dyDescent="0.35">
      <c r="L2950" s="2"/>
      <c r="M2950" s="2"/>
      <c r="N2950" s="650"/>
      <c r="O2950" s="650"/>
      <c r="P2950" s="651"/>
      <c r="Q2950" s="651"/>
      <c r="R2950" s="651"/>
      <c r="S2950" s="651"/>
    </row>
    <row r="2951" spans="12:19" ht="15.75" customHeight="1" x14ac:dyDescent="0.35">
      <c r="L2951" s="2"/>
      <c r="M2951" s="2"/>
      <c r="N2951" s="650"/>
      <c r="O2951" s="650"/>
      <c r="P2951" s="651"/>
      <c r="Q2951" s="651"/>
      <c r="R2951" s="651"/>
      <c r="S2951" s="651"/>
    </row>
    <row r="2952" spans="12:19" ht="15.75" customHeight="1" x14ac:dyDescent="0.35">
      <c r="L2952" s="2"/>
      <c r="M2952" s="2"/>
      <c r="N2952" s="650"/>
      <c r="O2952" s="650"/>
      <c r="P2952" s="651"/>
      <c r="Q2952" s="651"/>
      <c r="R2952" s="651"/>
      <c r="S2952" s="651"/>
    </row>
    <row r="2953" spans="12:19" ht="15.75" customHeight="1" x14ac:dyDescent="0.35">
      <c r="L2953" s="2"/>
      <c r="M2953" s="2"/>
      <c r="N2953" s="650"/>
      <c r="O2953" s="650"/>
      <c r="P2953" s="651"/>
      <c r="Q2953" s="651"/>
      <c r="R2953" s="651"/>
      <c r="S2953" s="651"/>
    </row>
    <row r="2954" spans="12:19" ht="15.75" customHeight="1" x14ac:dyDescent="0.35">
      <c r="L2954" s="2"/>
      <c r="M2954" s="2"/>
      <c r="N2954" s="650"/>
      <c r="O2954" s="650"/>
      <c r="P2954" s="651"/>
      <c r="Q2954" s="651"/>
      <c r="R2954" s="651"/>
      <c r="S2954" s="651"/>
    </row>
    <row r="2955" spans="12:19" ht="15.75" customHeight="1" x14ac:dyDescent="0.35">
      <c r="L2955" s="2"/>
      <c r="M2955" s="2"/>
      <c r="N2955" s="650"/>
      <c r="O2955" s="650"/>
      <c r="P2955" s="651"/>
      <c r="Q2955" s="651"/>
      <c r="R2955" s="651"/>
      <c r="S2955" s="651"/>
    </row>
    <row r="2956" spans="12:19" ht="15.75" customHeight="1" x14ac:dyDescent="0.35">
      <c r="L2956" s="2"/>
      <c r="M2956" s="2"/>
      <c r="N2956" s="650"/>
      <c r="O2956" s="650"/>
      <c r="P2956" s="651"/>
      <c r="Q2956" s="651"/>
      <c r="R2956" s="651"/>
      <c r="S2956" s="651"/>
    </row>
    <row r="2957" spans="12:19" ht="15.75" customHeight="1" x14ac:dyDescent="0.35">
      <c r="L2957" s="2"/>
      <c r="M2957" s="2"/>
      <c r="N2957" s="650"/>
      <c r="O2957" s="650"/>
      <c r="P2957" s="651"/>
      <c r="Q2957" s="651"/>
      <c r="R2957" s="651"/>
      <c r="S2957" s="651"/>
    </row>
    <row r="2958" spans="12:19" ht="15.75" customHeight="1" x14ac:dyDescent="0.35">
      <c r="L2958" s="2"/>
      <c r="M2958" s="2"/>
      <c r="N2958" s="650"/>
      <c r="O2958" s="650"/>
      <c r="P2958" s="651"/>
      <c r="Q2958" s="651"/>
      <c r="R2958" s="651"/>
      <c r="S2958" s="651"/>
    </row>
    <row r="2959" spans="12:19" ht="15.75" customHeight="1" x14ac:dyDescent="0.35">
      <c r="L2959" s="2"/>
      <c r="M2959" s="2"/>
      <c r="N2959" s="650"/>
      <c r="O2959" s="650"/>
      <c r="P2959" s="651"/>
      <c r="Q2959" s="651"/>
      <c r="R2959" s="651"/>
      <c r="S2959" s="651"/>
    </row>
    <row r="2960" spans="12:19" ht="15.75" customHeight="1" x14ac:dyDescent="0.35">
      <c r="L2960" s="2"/>
      <c r="M2960" s="2"/>
      <c r="N2960" s="650"/>
      <c r="O2960" s="650"/>
      <c r="P2960" s="651"/>
      <c r="Q2960" s="651"/>
      <c r="R2960" s="651"/>
      <c r="S2960" s="651"/>
    </row>
    <row r="2961" spans="12:19" ht="15.75" customHeight="1" x14ac:dyDescent="0.35">
      <c r="L2961" s="2"/>
      <c r="M2961" s="2"/>
      <c r="N2961" s="650"/>
      <c r="O2961" s="650"/>
      <c r="P2961" s="651"/>
      <c r="Q2961" s="651"/>
      <c r="R2961" s="651"/>
      <c r="S2961" s="651"/>
    </row>
    <row r="2962" spans="12:19" ht="15.75" customHeight="1" x14ac:dyDescent="0.35">
      <c r="L2962" s="2"/>
      <c r="M2962" s="2"/>
      <c r="N2962" s="650"/>
      <c r="O2962" s="650"/>
      <c r="P2962" s="651"/>
      <c r="Q2962" s="651"/>
      <c r="R2962" s="651"/>
      <c r="S2962" s="651"/>
    </row>
    <row r="2963" spans="12:19" ht="15.75" customHeight="1" x14ac:dyDescent="0.35">
      <c r="L2963" s="2"/>
      <c r="M2963" s="2"/>
      <c r="N2963" s="650"/>
      <c r="O2963" s="650"/>
      <c r="P2963" s="651"/>
      <c r="Q2963" s="651"/>
      <c r="R2963" s="651"/>
      <c r="S2963" s="651"/>
    </row>
    <row r="2964" spans="12:19" ht="15.75" customHeight="1" x14ac:dyDescent="0.35">
      <c r="L2964" s="2"/>
      <c r="M2964" s="2"/>
      <c r="N2964" s="650"/>
      <c r="O2964" s="650"/>
      <c r="P2964" s="651"/>
      <c r="Q2964" s="651"/>
      <c r="R2964" s="651"/>
      <c r="S2964" s="651"/>
    </row>
    <row r="2965" spans="12:19" ht="15.75" customHeight="1" x14ac:dyDescent="0.35">
      <c r="L2965" s="2"/>
      <c r="M2965" s="2"/>
      <c r="N2965" s="650"/>
      <c r="O2965" s="650"/>
      <c r="P2965" s="651"/>
      <c r="Q2965" s="651"/>
      <c r="R2965" s="651"/>
      <c r="S2965" s="651"/>
    </row>
    <row r="2966" spans="12:19" ht="15.75" customHeight="1" x14ac:dyDescent="0.35">
      <c r="L2966" s="2"/>
      <c r="M2966" s="2"/>
      <c r="N2966" s="650"/>
      <c r="O2966" s="650"/>
      <c r="P2966" s="651"/>
      <c r="Q2966" s="651"/>
      <c r="R2966" s="651"/>
      <c r="S2966" s="651"/>
    </row>
    <row r="2967" spans="12:19" ht="15.75" customHeight="1" x14ac:dyDescent="0.35">
      <c r="L2967" s="2"/>
      <c r="M2967" s="2"/>
      <c r="N2967" s="650"/>
      <c r="O2967" s="650"/>
      <c r="P2967" s="651"/>
      <c r="Q2967" s="651"/>
      <c r="R2967" s="651"/>
      <c r="S2967" s="651"/>
    </row>
    <row r="2968" spans="12:19" ht="15.75" customHeight="1" x14ac:dyDescent="0.35">
      <c r="L2968" s="2"/>
      <c r="M2968" s="2"/>
      <c r="N2968" s="650"/>
      <c r="O2968" s="650"/>
      <c r="P2968" s="651"/>
      <c r="Q2968" s="651"/>
      <c r="R2968" s="651"/>
      <c r="S2968" s="651"/>
    </row>
    <row r="2969" spans="12:19" ht="15.75" customHeight="1" x14ac:dyDescent="0.35">
      <c r="L2969" s="2"/>
      <c r="M2969" s="2"/>
      <c r="N2969" s="650"/>
      <c r="O2969" s="650"/>
      <c r="P2969" s="651"/>
      <c r="Q2969" s="651"/>
      <c r="R2969" s="651"/>
      <c r="S2969" s="651"/>
    </row>
    <row r="2970" spans="12:19" ht="15.75" customHeight="1" x14ac:dyDescent="0.35">
      <c r="L2970" s="2"/>
      <c r="M2970" s="2"/>
      <c r="N2970" s="650"/>
      <c r="O2970" s="650"/>
      <c r="P2970" s="651"/>
      <c r="Q2970" s="651"/>
      <c r="R2970" s="651"/>
      <c r="S2970" s="651"/>
    </row>
    <row r="2971" spans="12:19" ht="15.75" customHeight="1" x14ac:dyDescent="0.35">
      <c r="L2971" s="2"/>
      <c r="M2971" s="2"/>
      <c r="N2971" s="650"/>
      <c r="O2971" s="650"/>
      <c r="P2971" s="651"/>
      <c r="Q2971" s="651"/>
      <c r="R2971" s="651"/>
      <c r="S2971" s="651"/>
    </row>
    <row r="2972" spans="12:19" ht="15.75" customHeight="1" x14ac:dyDescent="0.35">
      <c r="L2972" s="2"/>
      <c r="M2972" s="2"/>
      <c r="N2972" s="650"/>
      <c r="O2972" s="650"/>
      <c r="P2972" s="651"/>
      <c r="Q2972" s="651"/>
      <c r="R2972" s="651"/>
      <c r="S2972" s="651"/>
    </row>
    <row r="2973" spans="12:19" ht="15.75" customHeight="1" x14ac:dyDescent="0.35">
      <c r="L2973" s="2"/>
      <c r="M2973" s="2"/>
      <c r="N2973" s="650"/>
      <c r="O2973" s="650"/>
      <c r="P2973" s="651"/>
      <c r="Q2973" s="651"/>
      <c r="R2973" s="651"/>
      <c r="S2973" s="651"/>
    </row>
    <row r="2974" spans="12:19" ht="15.75" customHeight="1" x14ac:dyDescent="0.35">
      <c r="L2974" s="2"/>
      <c r="M2974" s="2"/>
      <c r="N2974" s="650"/>
      <c r="O2974" s="650"/>
      <c r="P2974" s="651"/>
      <c r="Q2974" s="651"/>
      <c r="R2974" s="651"/>
      <c r="S2974" s="651"/>
    </row>
    <row r="2975" spans="12:19" ht="15.75" customHeight="1" x14ac:dyDescent="0.35">
      <c r="L2975" s="2"/>
      <c r="M2975" s="2"/>
      <c r="N2975" s="650"/>
      <c r="O2975" s="650"/>
      <c r="P2975" s="651"/>
      <c r="Q2975" s="651"/>
      <c r="R2975" s="651"/>
      <c r="S2975" s="651"/>
    </row>
    <row r="2976" spans="12:19" ht="15.75" customHeight="1" x14ac:dyDescent="0.35">
      <c r="L2976" s="2"/>
      <c r="M2976" s="2"/>
      <c r="N2976" s="650"/>
      <c r="O2976" s="650"/>
      <c r="P2976" s="651"/>
      <c r="Q2976" s="651"/>
      <c r="R2976" s="651"/>
      <c r="S2976" s="651"/>
    </row>
    <row r="2977" spans="12:19" ht="15.75" customHeight="1" x14ac:dyDescent="0.35">
      <c r="L2977" s="2"/>
      <c r="M2977" s="2"/>
      <c r="N2977" s="650"/>
      <c r="O2977" s="650"/>
      <c r="P2977" s="651"/>
      <c r="Q2977" s="651"/>
      <c r="R2977" s="651"/>
      <c r="S2977" s="651"/>
    </row>
    <row r="2978" spans="12:19" ht="15.75" customHeight="1" x14ac:dyDescent="0.35">
      <c r="L2978" s="2"/>
      <c r="M2978" s="2"/>
      <c r="N2978" s="650"/>
      <c r="O2978" s="650"/>
      <c r="P2978" s="651"/>
      <c r="Q2978" s="651"/>
      <c r="R2978" s="651"/>
      <c r="S2978" s="651"/>
    </row>
    <row r="2979" spans="12:19" ht="15.75" customHeight="1" x14ac:dyDescent="0.35">
      <c r="L2979" s="2"/>
      <c r="M2979" s="2"/>
      <c r="N2979" s="650"/>
      <c r="O2979" s="650"/>
      <c r="P2979" s="651"/>
      <c r="Q2979" s="651"/>
      <c r="R2979" s="651"/>
      <c r="S2979" s="651"/>
    </row>
    <row r="2980" spans="12:19" ht="15.75" customHeight="1" x14ac:dyDescent="0.35">
      <c r="L2980" s="2"/>
      <c r="M2980" s="2"/>
      <c r="N2980" s="650"/>
      <c r="O2980" s="650"/>
      <c r="P2980" s="651"/>
      <c r="Q2980" s="651"/>
      <c r="R2980" s="651"/>
      <c r="S2980" s="651"/>
    </row>
    <row r="2981" spans="12:19" ht="15.75" customHeight="1" x14ac:dyDescent="0.35">
      <c r="L2981" s="2"/>
      <c r="M2981" s="2"/>
      <c r="N2981" s="650"/>
      <c r="O2981" s="650"/>
      <c r="P2981" s="651"/>
      <c r="Q2981" s="651"/>
      <c r="R2981" s="651"/>
      <c r="S2981" s="651"/>
    </row>
    <row r="2982" spans="12:19" ht="15.75" customHeight="1" x14ac:dyDescent="0.35">
      <c r="L2982" s="2"/>
      <c r="M2982" s="2"/>
      <c r="N2982" s="650"/>
      <c r="O2982" s="650"/>
      <c r="P2982" s="651"/>
      <c r="Q2982" s="651"/>
      <c r="R2982" s="651"/>
      <c r="S2982" s="651"/>
    </row>
    <row r="2983" spans="12:19" ht="15.75" customHeight="1" x14ac:dyDescent="0.35">
      <c r="L2983" s="2"/>
      <c r="M2983" s="2"/>
      <c r="N2983" s="650"/>
      <c r="O2983" s="650"/>
      <c r="P2983" s="651"/>
      <c r="Q2983" s="651"/>
      <c r="R2983" s="651"/>
      <c r="S2983" s="651"/>
    </row>
    <row r="2984" spans="12:19" ht="15.75" customHeight="1" x14ac:dyDescent="0.35">
      <c r="L2984" s="2"/>
      <c r="M2984" s="2"/>
      <c r="N2984" s="650"/>
      <c r="O2984" s="650"/>
      <c r="P2984" s="651"/>
      <c r="Q2984" s="651"/>
      <c r="R2984" s="651"/>
      <c r="S2984" s="651"/>
    </row>
    <row r="2985" spans="12:19" ht="15.75" customHeight="1" x14ac:dyDescent="0.35">
      <c r="L2985" s="2"/>
      <c r="M2985" s="2"/>
      <c r="N2985" s="650"/>
      <c r="O2985" s="650"/>
      <c r="P2985" s="651"/>
      <c r="Q2985" s="651"/>
      <c r="R2985" s="651"/>
      <c r="S2985" s="651"/>
    </row>
    <row r="2986" spans="12:19" ht="15.75" customHeight="1" x14ac:dyDescent="0.35">
      <c r="L2986" s="2"/>
      <c r="M2986" s="2"/>
      <c r="N2986" s="650"/>
      <c r="O2986" s="650"/>
      <c r="P2986" s="651"/>
      <c r="Q2986" s="651"/>
      <c r="R2986" s="651"/>
      <c r="S2986" s="651"/>
    </row>
    <row r="2987" spans="12:19" ht="15.75" customHeight="1" x14ac:dyDescent="0.35">
      <c r="L2987" s="2"/>
      <c r="M2987" s="2"/>
      <c r="N2987" s="650"/>
      <c r="O2987" s="650"/>
      <c r="P2987" s="651"/>
      <c r="Q2987" s="651"/>
      <c r="R2987" s="651"/>
      <c r="S2987" s="651"/>
    </row>
    <row r="2988" spans="12:19" ht="15.75" customHeight="1" x14ac:dyDescent="0.35">
      <c r="L2988" s="2"/>
      <c r="M2988" s="2"/>
      <c r="N2988" s="650"/>
      <c r="O2988" s="650"/>
      <c r="P2988" s="651"/>
      <c r="Q2988" s="651"/>
      <c r="R2988" s="651"/>
      <c r="S2988" s="651"/>
    </row>
    <row r="2989" spans="12:19" ht="15.75" customHeight="1" x14ac:dyDescent="0.35">
      <c r="L2989" s="2"/>
      <c r="M2989" s="2"/>
      <c r="N2989" s="650"/>
      <c r="O2989" s="650"/>
      <c r="P2989" s="651"/>
      <c r="Q2989" s="651"/>
      <c r="R2989" s="651"/>
      <c r="S2989" s="651"/>
    </row>
    <row r="2990" spans="12:19" ht="15.75" customHeight="1" x14ac:dyDescent="0.35">
      <c r="L2990" s="2"/>
      <c r="M2990" s="2"/>
      <c r="N2990" s="650"/>
      <c r="O2990" s="650"/>
      <c r="P2990" s="651"/>
      <c r="Q2990" s="651"/>
      <c r="R2990" s="651"/>
      <c r="S2990" s="651"/>
    </row>
    <row r="2991" spans="12:19" ht="15.75" customHeight="1" x14ac:dyDescent="0.35">
      <c r="L2991" s="2"/>
      <c r="M2991" s="2"/>
      <c r="N2991" s="650"/>
      <c r="O2991" s="650"/>
      <c r="P2991" s="651"/>
      <c r="Q2991" s="651"/>
      <c r="R2991" s="651"/>
      <c r="S2991" s="651"/>
    </row>
    <row r="2992" spans="12:19" ht="15.75" customHeight="1" x14ac:dyDescent="0.35">
      <c r="L2992" s="2"/>
      <c r="M2992" s="2"/>
      <c r="N2992" s="650"/>
      <c r="O2992" s="650"/>
      <c r="P2992" s="651"/>
      <c r="Q2992" s="651"/>
      <c r="R2992" s="651"/>
      <c r="S2992" s="651"/>
    </row>
    <row r="2993" spans="12:19" ht="15.75" customHeight="1" x14ac:dyDescent="0.35">
      <c r="L2993" s="2"/>
      <c r="M2993" s="2"/>
      <c r="N2993" s="650"/>
      <c r="O2993" s="650"/>
      <c r="P2993" s="651"/>
      <c r="Q2993" s="651"/>
      <c r="R2993" s="651"/>
      <c r="S2993" s="651"/>
    </row>
    <row r="2994" spans="12:19" ht="15.75" customHeight="1" x14ac:dyDescent="0.35">
      <c r="L2994" s="2"/>
      <c r="M2994" s="2"/>
      <c r="N2994" s="650"/>
      <c r="O2994" s="650"/>
      <c r="P2994" s="651"/>
      <c r="Q2994" s="651"/>
      <c r="R2994" s="651"/>
      <c r="S2994" s="651"/>
    </row>
    <row r="2995" spans="12:19" ht="15.75" customHeight="1" x14ac:dyDescent="0.35">
      <c r="L2995" s="2"/>
      <c r="M2995" s="2"/>
      <c r="N2995" s="650"/>
      <c r="O2995" s="650"/>
      <c r="P2995" s="651"/>
      <c r="Q2995" s="651"/>
      <c r="R2995" s="651"/>
      <c r="S2995" s="651"/>
    </row>
    <row r="2996" spans="12:19" ht="15.75" customHeight="1" x14ac:dyDescent="0.35">
      <c r="L2996" s="2"/>
      <c r="M2996" s="2"/>
      <c r="N2996" s="650"/>
      <c r="O2996" s="650"/>
      <c r="P2996" s="651"/>
      <c r="Q2996" s="651"/>
      <c r="R2996" s="651"/>
      <c r="S2996" s="651"/>
    </row>
    <row r="2997" spans="12:19" ht="15.75" customHeight="1" x14ac:dyDescent="0.35">
      <c r="L2997" s="2"/>
      <c r="M2997" s="2"/>
      <c r="N2997" s="650"/>
      <c r="O2997" s="650"/>
      <c r="P2997" s="651"/>
      <c r="Q2997" s="651"/>
      <c r="R2997" s="651"/>
      <c r="S2997" s="651"/>
    </row>
    <row r="2998" spans="12:19" ht="15.75" customHeight="1" x14ac:dyDescent="0.35">
      <c r="L2998" s="2"/>
      <c r="M2998" s="2"/>
      <c r="N2998" s="650"/>
      <c r="O2998" s="650"/>
      <c r="P2998" s="651"/>
      <c r="Q2998" s="651"/>
      <c r="R2998" s="651"/>
      <c r="S2998" s="651"/>
    </row>
    <row r="2999" spans="12:19" ht="15.75" customHeight="1" x14ac:dyDescent="0.35">
      <c r="L2999" s="2"/>
      <c r="M2999" s="2"/>
      <c r="N2999" s="650"/>
      <c r="O2999" s="650"/>
      <c r="P2999" s="651"/>
      <c r="Q2999" s="651"/>
      <c r="R2999" s="651"/>
      <c r="S2999" s="651"/>
    </row>
    <row r="3000" spans="12:19" ht="15.75" customHeight="1" x14ac:dyDescent="0.35">
      <c r="L3000" s="2"/>
      <c r="M3000" s="2"/>
      <c r="N3000" s="650"/>
      <c r="O3000" s="650"/>
      <c r="P3000" s="651"/>
      <c r="Q3000" s="651"/>
      <c r="R3000" s="651"/>
      <c r="S3000" s="651"/>
    </row>
    <row r="3001" spans="12:19" ht="15.75" customHeight="1" x14ac:dyDescent="0.35">
      <c r="L3001" s="2"/>
      <c r="M3001" s="2"/>
      <c r="N3001" s="650"/>
      <c r="O3001" s="650"/>
      <c r="P3001" s="651"/>
      <c r="Q3001" s="651"/>
      <c r="R3001" s="651"/>
      <c r="S3001" s="651"/>
    </row>
    <row r="3002" spans="12:19" ht="15.75" customHeight="1" x14ac:dyDescent="0.35">
      <c r="L3002" s="2"/>
      <c r="M3002" s="2"/>
      <c r="N3002" s="650"/>
      <c r="O3002" s="650"/>
      <c r="P3002" s="651"/>
      <c r="Q3002" s="651"/>
      <c r="R3002" s="651"/>
      <c r="S3002" s="651"/>
    </row>
    <row r="3003" spans="12:19" ht="15.75" customHeight="1" x14ac:dyDescent="0.35">
      <c r="L3003" s="2"/>
      <c r="M3003" s="2"/>
      <c r="N3003" s="650"/>
      <c r="O3003" s="650"/>
      <c r="P3003" s="651"/>
      <c r="Q3003" s="651"/>
      <c r="R3003" s="651"/>
      <c r="S3003" s="651"/>
    </row>
    <row r="3004" spans="12:19" ht="15.75" customHeight="1" x14ac:dyDescent="0.35">
      <c r="L3004" s="2"/>
      <c r="M3004" s="2"/>
      <c r="N3004" s="650"/>
      <c r="O3004" s="650"/>
      <c r="P3004" s="651"/>
      <c r="Q3004" s="651"/>
      <c r="R3004" s="651"/>
      <c r="S3004" s="651"/>
    </row>
    <row r="3005" spans="12:19" ht="15.75" customHeight="1" x14ac:dyDescent="0.35">
      <c r="L3005" s="2"/>
      <c r="M3005" s="2"/>
      <c r="N3005" s="650"/>
      <c r="O3005" s="650"/>
      <c r="P3005" s="651"/>
      <c r="Q3005" s="651"/>
      <c r="R3005" s="651"/>
      <c r="S3005" s="651"/>
    </row>
    <row r="3006" spans="12:19" ht="15.75" customHeight="1" x14ac:dyDescent="0.35">
      <c r="L3006" s="2"/>
      <c r="M3006" s="2"/>
      <c r="N3006" s="650"/>
      <c r="O3006" s="650"/>
      <c r="P3006" s="651"/>
      <c r="Q3006" s="651"/>
      <c r="R3006" s="651"/>
      <c r="S3006" s="651"/>
    </row>
    <row r="3007" spans="12:19" ht="15.75" customHeight="1" x14ac:dyDescent="0.35">
      <c r="L3007" s="2"/>
      <c r="M3007" s="2"/>
      <c r="N3007" s="650"/>
      <c r="O3007" s="650"/>
      <c r="P3007" s="651"/>
      <c r="Q3007" s="651"/>
      <c r="R3007" s="651"/>
      <c r="S3007" s="651"/>
    </row>
    <row r="3008" spans="12:19" ht="15.75" customHeight="1" x14ac:dyDescent="0.35">
      <c r="L3008" s="2"/>
      <c r="M3008" s="2"/>
      <c r="N3008" s="650"/>
      <c r="O3008" s="650"/>
      <c r="P3008" s="651"/>
      <c r="Q3008" s="651"/>
      <c r="R3008" s="651"/>
      <c r="S3008" s="651"/>
    </row>
    <row r="3009" spans="12:19" ht="15.75" customHeight="1" x14ac:dyDescent="0.35">
      <c r="L3009" s="2"/>
      <c r="M3009" s="2"/>
      <c r="N3009" s="650"/>
      <c r="O3009" s="650"/>
      <c r="P3009" s="651"/>
      <c r="Q3009" s="651"/>
      <c r="R3009" s="651"/>
      <c r="S3009" s="651"/>
    </row>
    <row r="3010" spans="12:19" ht="15.75" customHeight="1" x14ac:dyDescent="0.35">
      <c r="L3010" s="2"/>
      <c r="M3010" s="2"/>
      <c r="N3010" s="650"/>
      <c r="O3010" s="650"/>
      <c r="P3010" s="651"/>
      <c r="Q3010" s="651"/>
      <c r="R3010" s="651"/>
      <c r="S3010" s="651"/>
    </row>
    <row r="3011" spans="12:19" ht="15.75" customHeight="1" x14ac:dyDescent="0.35">
      <c r="L3011" s="2"/>
      <c r="M3011" s="2"/>
      <c r="N3011" s="650"/>
      <c r="O3011" s="650"/>
      <c r="P3011" s="651"/>
      <c r="Q3011" s="651"/>
      <c r="R3011" s="651"/>
      <c r="S3011" s="651"/>
    </row>
    <row r="3012" spans="12:19" ht="15.75" customHeight="1" x14ac:dyDescent="0.35">
      <c r="L3012" s="2"/>
      <c r="M3012" s="2"/>
      <c r="N3012" s="650"/>
      <c r="O3012" s="650"/>
      <c r="P3012" s="651"/>
      <c r="Q3012" s="651"/>
      <c r="R3012" s="651"/>
      <c r="S3012" s="651"/>
    </row>
    <row r="3013" spans="12:19" ht="15.75" customHeight="1" x14ac:dyDescent="0.35">
      <c r="L3013" s="2"/>
      <c r="M3013" s="2"/>
      <c r="N3013" s="650"/>
      <c r="O3013" s="650"/>
      <c r="P3013" s="651"/>
      <c r="Q3013" s="651"/>
      <c r="R3013" s="651"/>
      <c r="S3013" s="651"/>
    </row>
    <row r="3014" spans="12:19" ht="15.75" customHeight="1" x14ac:dyDescent="0.35">
      <c r="L3014" s="2"/>
      <c r="M3014" s="2"/>
      <c r="N3014" s="650"/>
      <c r="O3014" s="650"/>
      <c r="P3014" s="651"/>
      <c r="Q3014" s="651"/>
      <c r="R3014" s="651"/>
      <c r="S3014" s="651"/>
    </row>
    <row r="3015" spans="12:19" ht="15.75" customHeight="1" x14ac:dyDescent="0.35">
      <c r="L3015" s="2"/>
      <c r="M3015" s="2"/>
      <c r="N3015" s="650"/>
      <c r="O3015" s="650"/>
      <c r="P3015" s="651"/>
      <c r="Q3015" s="651"/>
      <c r="R3015" s="651"/>
      <c r="S3015" s="651"/>
    </row>
    <row r="3016" spans="12:19" ht="15.75" customHeight="1" x14ac:dyDescent="0.35">
      <c r="L3016" s="2"/>
      <c r="M3016" s="2"/>
      <c r="N3016" s="650"/>
      <c r="O3016" s="650"/>
      <c r="P3016" s="651"/>
      <c r="Q3016" s="651"/>
      <c r="R3016" s="651"/>
      <c r="S3016" s="651"/>
    </row>
    <row r="3017" spans="12:19" ht="15.75" customHeight="1" x14ac:dyDescent="0.35">
      <c r="L3017" s="2"/>
      <c r="M3017" s="2"/>
      <c r="N3017" s="650"/>
      <c r="O3017" s="650"/>
      <c r="P3017" s="651"/>
      <c r="Q3017" s="651"/>
      <c r="R3017" s="651"/>
      <c r="S3017" s="651"/>
    </row>
    <row r="3018" spans="12:19" ht="15.75" customHeight="1" x14ac:dyDescent="0.35">
      <c r="L3018" s="2"/>
      <c r="M3018" s="2"/>
      <c r="N3018" s="650"/>
      <c r="O3018" s="650"/>
      <c r="P3018" s="651"/>
      <c r="Q3018" s="651"/>
      <c r="R3018" s="651"/>
      <c r="S3018" s="651"/>
    </row>
    <row r="3019" spans="12:19" ht="15.75" customHeight="1" x14ac:dyDescent="0.35">
      <c r="L3019" s="2"/>
      <c r="M3019" s="2"/>
      <c r="N3019" s="650"/>
      <c r="O3019" s="650"/>
      <c r="P3019" s="651"/>
      <c r="Q3019" s="651"/>
      <c r="R3019" s="651"/>
      <c r="S3019" s="651"/>
    </row>
    <row r="3020" spans="12:19" ht="15.75" customHeight="1" x14ac:dyDescent="0.35">
      <c r="L3020" s="2"/>
      <c r="M3020" s="2"/>
      <c r="N3020" s="650"/>
      <c r="O3020" s="650"/>
      <c r="P3020" s="651"/>
      <c r="Q3020" s="651"/>
      <c r="R3020" s="651"/>
      <c r="S3020" s="651"/>
    </row>
    <row r="3021" spans="12:19" ht="15.75" customHeight="1" x14ac:dyDescent="0.35">
      <c r="L3021" s="2"/>
      <c r="M3021" s="2"/>
      <c r="N3021" s="650"/>
      <c r="O3021" s="650"/>
      <c r="P3021" s="651"/>
      <c r="Q3021" s="651"/>
      <c r="R3021" s="651"/>
      <c r="S3021" s="651"/>
    </row>
    <row r="3022" spans="12:19" ht="15.75" customHeight="1" x14ac:dyDescent="0.35">
      <c r="L3022" s="2"/>
      <c r="M3022" s="2"/>
      <c r="N3022" s="650"/>
      <c r="O3022" s="650"/>
      <c r="P3022" s="651"/>
      <c r="Q3022" s="651"/>
      <c r="R3022" s="651"/>
      <c r="S3022" s="651"/>
    </row>
    <row r="3023" spans="12:19" ht="15.75" customHeight="1" x14ac:dyDescent="0.35">
      <c r="L3023" s="2"/>
      <c r="M3023" s="2"/>
      <c r="N3023" s="650"/>
      <c r="O3023" s="650"/>
      <c r="P3023" s="651"/>
      <c r="Q3023" s="651"/>
      <c r="R3023" s="651"/>
      <c r="S3023" s="651"/>
    </row>
    <row r="3024" spans="12:19" ht="15.75" customHeight="1" x14ac:dyDescent="0.35">
      <c r="L3024" s="2"/>
      <c r="M3024" s="2"/>
      <c r="N3024" s="650"/>
      <c r="O3024" s="650"/>
      <c r="P3024" s="651"/>
      <c r="Q3024" s="651"/>
      <c r="R3024" s="651"/>
      <c r="S3024" s="651"/>
    </row>
    <row r="3025" spans="12:19" ht="15.75" customHeight="1" x14ac:dyDescent="0.35">
      <c r="L3025" s="2"/>
      <c r="M3025" s="2"/>
      <c r="N3025" s="650"/>
      <c r="O3025" s="650"/>
      <c r="P3025" s="651"/>
      <c r="Q3025" s="651"/>
      <c r="R3025" s="651"/>
      <c r="S3025" s="651"/>
    </row>
    <row r="3026" spans="12:19" ht="15.75" customHeight="1" x14ac:dyDescent="0.35">
      <c r="L3026" s="2"/>
      <c r="M3026" s="2"/>
      <c r="N3026" s="650"/>
      <c r="O3026" s="650"/>
      <c r="P3026" s="651"/>
      <c r="Q3026" s="651"/>
      <c r="R3026" s="651"/>
      <c r="S3026" s="651"/>
    </row>
    <row r="3027" spans="12:19" ht="15.75" customHeight="1" x14ac:dyDescent="0.35">
      <c r="L3027" s="2"/>
      <c r="M3027" s="2"/>
      <c r="N3027" s="650"/>
      <c r="O3027" s="650"/>
      <c r="P3027" s="651"/>
      <c r="Q3027" s="651"/>
      <c r="R3027" s="651"/>
      <c r="S3027" s="651"/>
    </row>
    <row r="3028" spans="12:19" ht="15.75" customHeight="1" x14ac:dyDescent="0.35">
      <c r="L3028" s="2"/>
      <c r="M3028" s="2"/>
      <c r="N3028" s="650"/>
      <c r="O3028" s="650"/>
      <c r="P3028" s="651"/>
      <c r="Q3028" s="651"/>
      <c r="R3028" s="651"/>
      <c r="S3028" s="651"/>
    </row>
    <row r="3029" spans="12:19" ht="15.75" customHeight="1" x14ac:dyDescent="0.35">
      <c r="L3029" s="2"/>
      <c r="M3029" s="2"/>
      <c r="N3029" s="650"/>
      <c r="O3029" s="650"/>
      <c r="P3029" s="651"/>
      <c r="Q3029" s="651"/>
      <c r="R3029" s="651"/>
      <c r="S3029" s="651"/>
    </row>
    <row r="3030" spans="12:19" ht="15.75" customHeight="1" x14ac:dyDescent="0.35">
      <c r="L3030" s="2"/>
      <c r="M3030" s="2"/>
      <c r="N3030" s="650"/>
      <c r="O3030" s="650"/>
      <c r="P3030" s="651"/>
      <c r="Q3030" s="651"/>
      <c r="R3030" s="651"/>
      <c r="S3030" s="651"/>
    </row>
    <row r="3031" spans="12:19" ht="15.75" customHeight="1" x14ac:dyDescent="0.35">
      <c r="L3031" s="2"/>
      <c r="M3031" s="2"/>
      <c r="N3031" s="650"/>
      <c r="O3031" s="650"/>
      <c r="P3031" s="651"/>
      <c r="Q3031" s="651"/>
      <c r="R3031" s="651"/>
      <c r="S3031" s="651"/>
    </row>
    <row r="3032" spans="12:19" ht="15.75" customHeight="1" x14ac:dyDescent="0.35">
      <c r="L3032" s="2"/>
      <c r="M3032" s="2"/>
      <c r="N3032" s="650"/>
      <c r="O3032" s="650"/>
      <c r="P3032" s="651"/>
      <c r="Q3032" s="651"/>
      <c r="R3032" s="651"/>
      <c r="S3032" s="651"/>
    </row>
    <row r="3033" spans="12:19" ht="15.75" customHeight="1" x14ac:dyDescent="0.35">
      <c r="L3033" s="2"/>
      <c r="M3033" s="2"/>
      <c r="N3033" s="650"/>
      <c r="O3033" s="650"/>
      <c r="P3033" s="651"/>
      <c r="Q3033" s="651"/>
      <c r="R3033" s="651"/>
      <c r="S3033" s="651"/>
    </row>
    <row r="3034" spans="12:19" ht="15.75" customHeight="1" x14ac:dyDescent="0.35">
      <c r="L3034" s="2"/>
      <c r="M3034" s="2"/>
      <c r="N3034" s="650"/>
      <c r="O3034" s="650"/>
      <c r="P3034" s="651"/>
      <c r="Q3034" s="651"/>
      <c r="R3034" s="651"/>
      <c r="S3034" s="651"/>
    </row>
    <row r="3035" spans="12:19" ht="15.75" customHeight="1" x14ac:dyDescent="0.35">
      <c r="L3035" s="2"/>
      <c r="M3035" s="2"/>
      <c r="N3035" s="650"/>
      <c r="O3035" s="650"/>
      <c r="P3035" s="651"/>
      <c r="Q3035" s="651"/>
      <c r="R3035" s="651"/>
      <c r="S3035" s="651"/>
    </row>
    <row r="3036" spans="12:19" ht="15.75" customHeight="1" x14ac:dyDescent="0.35">
      <c r="L3036" s="2"/>
      <c r="M3036" s="2"/>
      <c r="N3036" s="650"/>
      <c r="O3036" s="650"/>
      <c r="P3036" s="651"/>
      <c r="Q3036" s="651"/>
      <c r="R3036" s="651"/>
      <c r="S3036" s="651"/>
    </row>
    <row r="3037" spans="12:19" ht="15.75" customHeight="1" x14ac:dyDescent="0.35">
      <c r="L3037" s="2"/>
      <c r="M3037" s="2"/>
      <c r="N3037" s="650"/>
      <c r="O3037" s="650"/>
      <c r="P3037" s="651"/>
      <c r="Q3037" s="651"/>
      <c r="R3037" s="651"/>
      <c r="S3037" s="651"/>
    </row>
    <row r="3038" spans="12:19" ht="15.75" customHeight="1" x14ac:dyDescent="0.35">
      <c r="L3038" s="2"/>
      <c r="M3038" s="2"/>
      <c r="N3038" s="650"/>
      <c r="O3038" s="650"/>
      <c r="P3038" s="651"/>
      <c r="Q3038" s="651"/>
      <c r="R3038" s="651"/>
      <c r="S3038" s="651"/>
    </row>
    <row r="3039" spans="12:19" ht="15.75" customHeight="1" x14ac:dyDescent="0.35">
      <c r="L3039" s="2"/>
      <c r="M3039" s="2"/>
      <c r="N3039" s="650"/>
      <c r="O3039" s="650"/>
      <c r="P3039" s="651"/>
      <c r="Q3039" s="651"/>
      <c r="R3039" s="651"/>
      <c r="S3039" s="651"/>
    </row>
    <row r="3040" spans="12:19" ht="15.75" customHeight="1" x14ac:dyDescent="0.35">
      <c r="L3040" s="2"/>
      <c r="M3040" s="2"/>
      <c r="N3040" s="650"/>
      <c r="O3040" s="650"/>
      <c r="P3040" s="651"/>
      <c r="Q3040" s="651"/>
      <c r="R3040" s="651"/>
      <c r="S3040" s="651"/>
    </row>
    <row r="3041" spans="12:19" ht="15.75" customHeight="1" x14ac:dyDescent="0.35">
      <c r="L3041" s="2"/>
      <c r="M3041" s="2"/>
      <c r="N3041" s="650"/>
      <c r="O3041" s="650"/>
      <c r="P3041" s="651"/>
      <c r="Q3041" s="651"/>
      <c r="R3041" s="651"/>
      <c r="S3041" s="651"/>
    </row>
    <row r="3042" spans="12:19" ht="15.75" customHeight="1" x14ac:dyDescent="0.35">
      <c r="L3042" s="2"/>
      <c r="M3042" s="2"/>
      <c r="N3042" s="650"/>
      <c r="O3042" s="650"/>
      <c r="P3042" s="651"/>
      <c r="Q3042" s="651"/>
      <c r="R3042" s="651"/>
      <c r="S3042" s="651"/>
    </row>
    <row r="3043" spans="12:19" ht="15.75" customHeight="1" x14ac:dyDescent="0.35">
      <c r="L3043" s="2"/>
      <c r="M3043" s="2"/>
      <c r="N3043" s="650"/>
      <c r="O3043" s="650"/>
      <c r="P3043" s="651"/>
      <c r="Q3043" s="651"/>
      <c r="R3043" s="651"/>
      <c r="S3043" s="651"/>
    </row>
    <row r="3044" spans="12:19" ht="15.75" customHeight="1" x14ac:dyDescent="0.35">
      <c r="L3044" s="2"/>
      <c r="M3044" s="2"/>
      <c r="N3044" s="650"/>
      <c r="O3044" s="650"/>
      <c r="P3044" s="651"/>
      <c r="Q3044" s="651"/>
      <c r="R3044" s="651"/>
      <c r="S3044" s="651"/>
    </row>
    <row r="3045" spans="12:19" ht="15.75" customHeight="1" x14ac:dyDescent="0.35">
      <c r="L3045" s="2"/>
      <c r="M3045" s="2"/>
      <c r="N3045" s="650"/>
      <c r="O3045" s="650"/>
      <c r="P3045" s="651"/>
      <c r="Q3045" s="651"/>
      <c r="R3045" s="651"/>
      <c r="S3045" s="651"/>
    </row>
    <row r="3046" spans="12:19" ht="15.75" customHeight="1" x14ac:dyDescent="0.35">
      <c r="L3046" s="2"/>
      <c r="M3046" s="2"/>
      <c r="N3046" s="650"/>
      <c r="O3046" s="650"/>
      <c r="P3046" s="651"/>
      <c r="Q3046" s="651"/>
      <c r="R3046" s="651"/>
      <c r="S3046" s="651"/>
    </row>
    <row r="3047" spans="12:19" ht="15.75" customHeight="1" x14ac:dyDescent="0.35">
      <c r="L3047" s="2"/>
      <c r="M3047" s="2"/>
      <c r="N3047" s="650"/>
      <c r="O3047" s="650"/>
      <c r="P3047" s="651"/>
      <c r="Q3047" s="651"/>
      <c r="R3047" s="651"/>
      <c r="S3047" s="651"/>
    </row>
    <row r="3048" spans="12:19" ht="15.75" customHeight="1" x14ac:dyDescent="0.35">
      <c r="L3048" s="2"/>
      <c r="M3048" s="2"/>
      <c r="N3048" s="650"/>
      <c r="O3048" s="650"/>
      <c r="P3048" s="651"/>
      <c r="Q3048" s="651"/>
      <c r="R3048" s="651"/>
      <c r="S3048" s="651"/>
    </row>
    <row r="3049" spans="12:19" ht="15.75" customHeight="1" x14ac:dyDescent="0.35">
      <c r="L3049" s="2"/>
      <c r="M3049" s="2"/>
      <c r="N3049" s="650"/>
      <c r="O3049" s="650"/>
      <c r="P3049" s="651"/>
      <c r="Q3049" s="651"/>
      <c r="R3049" s="651"/>
      <c r="S3049" s="651"/>
    </row>
    <row r="3050" spans="12:19" ht="15.75" customHeight="1" x14ac:dyDescent="0.35">
      <c r="L3050" s="2"/>
      <c r="M3050" s="2"/>
      <c r="N3050" s="650"/>
      <c r="O3050" s="650"/>
      <c r="P3050" s="651"/>
      <c r="Q3050" s="651"/>
      <c r="R3050" s="651"/>
      <c r="S3050" s="651"/>
    </row>
    <row r="3051" spans="12:19" ht="15.75" customHeight="1" x14ac:dyDescent="0.35">
      <c r="L3051" s="2"/>
      <c r="M3051" s="2"/>
      <c r="N3051" s="650"/>
      <c r="O3051" s="650"/>
      <c r="P3051" s="651"/>
      <c r="Q3051" s="651"/>
      <c r="R3051" s="651"/>
      <c r="S3051" s="651"/>
    </row>
    <row r="3052" spans="12:19" ht="15.75" customHeight="1" x14ac:dyDescent="0.35">
      <c r="L3052" s="2"/>
      <c r="M3052" s="2"/>
      <c r="N3052" s="650"/>
      <c r="O3052" s="650"/>
      <c r="P3052" s="651"/>
      <c r="Q3052" s="651"/>
      <c r="R3052" s="651"/>
      <c r="S3052" s="651"/>
    </row>
    <row r="3053" spans="12:19" ht="15.75" customHeight="1" x14ac:dyDescent="0.35">
      <c r="L3053" s="2"/>
      <c r="M3053" s="2"/>
      <c r="N3053" s="650"/>
      <c r="O3053" s="650"/>
      <c r="P3053" s="651"/>
      <c r="Q3053" s="651"/>
      <c r="R3053" s="651"/>
      <c r="S3053" s="651"/>
    </row>
    <row r="3054" spans="12:19" ht="15.75" customHeight="1" x14ac:dyDescent="0.35">
      <c r="L3054" s="2"/>
      <c r="M3054" s="2"/>
      <c r="N3054" s="650"/>
      <c r="O3054" s="650"/>
      <c r="P3054" s="651"/>
      <c r="Q3054" s="651"/>
      <c r="R3054" s="651"/>
      <c r="S3054" s="651"/>
    </row>
    <row r="3055" spans="12:19" ht="15.75" customHeight="1" x14ac:dyDescent="0.35">
      <c r="L3055" s="2"/>
      <c r="M3055" s="2"/>
      <c r="N3055" s="650"/>
      <c r="O3055" s="650"/>
      <c r="P3055" s="651"/>
      <c r="Q3055" s="651"/>
      <c r="R3055" s="651"/>
      <c r="S3055" s="651"/>
    </row>
    <row r="3056" spans="12:19" ht="15.75" customHeight="1" x14ac:dyDescent="0.35">
      <c r="L3056" s="2"/>
      <c r="M3056" s="2"/>
      <c r="N3056" s="650"/>
      <c r="O3056" s="650"/>
      <c r="P3056" s="651"/>
      <c r="Q3056" s="651"/>
      <c r="R3056" s="651"/>
      <c r="S3056" s="651"/>
    </row>
    <row r="3057" spans="12:19" ht="15.75" customHeight="1" x14ac:dyDescent="0.35">
      <c r="L3057" s="2"/>
      <c r="M3057" s="2"/>
      <c r="N3057" s="650"/>
      <c r="O3057" s="650"/>
      <c r="P3057" s="651"/>
      <c r="Q3057" s="651"/>
      <c r="R3057" s="651"/>
      <c r="S3057" s="651"/>
    </row>
    <row r="3058" spans="12:19" ht="15.75" customHeight="1" x14ac:dyDescent="0.35">
      <c r="L3058" s="2"/>
      <c r="M3058" s="2"/>
      <c r="N3058" s="650"/>
      <c r="O3058" s="650"/>
      <c r="P3058" s="651"/>
      <c r="Q3058" s="651"/>
      <c r="R3058" s="651"/>
      <c r="S3058" s="651"/>
    </row>
    <row r="3059" spans="12:19" ht="15.75" customHeight="1" x14ac:dyDescent="0.35">
      <c r="L3059" s="2"/>
      <c r="M3059" s="2"/>
      <c r="N3059" s="650"/>
      <c r="O3059" s="650"/>
      <c r="P3059" s="651"/>
      <c r="Q3059" s="651"/>
      <c r="R3059" s="651"/>
      <c r="S3059" s="651"/>
    </row>
    <row r="3060" spans="12:19" ht="15.75" customHeight="1" x14ac:dyDescent="0.35">
      <c r="L3060" s="2"/>
      <c r="M3060" s="2"/>
      <c r="N3060" s="650"/>
      <c r="O3060" s="650"/>
      <c r="P3060" s="651"/>
      <c r="Q3060" s="651"/>
      <c r="R3060" s="651"/>
      <c r="S3060" s="651"/>
    </row>
    <row r="3061" spans="12:19" ht="15.75" customHeight="1" x14ac:dyDescent="0.35">
      <c r="L3061" s="2"/>
      <c r="M3061" s="2"/>
      <c r="N3061" s="650"/>
      <c r="O3061" s="650"/>
      <c r="P3061" s="651"/>
      <c r="Q3061" s="651"/>
      <c r="R3061" s="651"/>
      <c r="S3061" s="651"/>
    </row>
    <row r="3062" spans="12:19" ht="15.75" customHeight="1" x14ac:dyDescent="0.35">
      <c r="L3062" s="2"/>
      <c r="M3062" s="2"/>
      <c r="N3062" s="650"/>
      <c r="O3062" s="650"/>
      <c r="P3062" s="651"/>
      <c r="Q3062" s="651"/>
      <c r="R3062" s="651"/>
      <c r="S3062" s="651"/>
    </row>
    <row r="3063" spans="12:19" ht="15.75" customHeight="1" x14ac:dyDescent="0.35">
      <c r="L3063" s="2"/>
      <c r="M3063" s="2"/>
      <c r="N3063" s="650"/>
      <c r="O3063" s="650"/>
      <c r="P3063" s="651"/>
      <c r="Q3063" s="651"/>
      <c r="R3063" s="651"/>
      <c r="S3063" s="651"/>
    </row>
    <row r="3064" spans="12:19" ht="15.75" customHeight="1" x14ac:dyDescent="0.35">
      <c r="L3064" s="2"/>
      <c r="M3064" s="2"/>
      <c r="N3064" s="650"/>
      <c r="O3064" s="650"/>
      <c r="P3064" s="651"/>
      <c r="Q3064" s="651"/>
      <c r="R3064" s="651"/>
      <c r="S3064" s="651"/>
    </row>
    <row r="3065" spans="12:19" ht="15.75" customHeight="1" x14ac:dyDescent="0.35">
      <c r="L3065" s="2"/>
      <c r="M3065" s="2"/>
      <c r="N3065" s="650"/>
      <c r="O3065" s="650"/>
      <c r="P3065" s="651"/>
      <c r="Q3065" s="651"/>
      <c r="R3065" s="651"/>
      <c r="S3065" s="651"/>
    </row>
    <row r="3066" spans="12:19" ht="15.75" customHeight="1" x14ac:dyDescent="0.35">
      <c r="L3066" s="2"/>
      <c r="M3066" s="2"/>
      <c r="N3066" s="650"/>
      <c r="O3066" s="650"/>
      <c r="P3066" s="651"/>
      <c r="Q3066" s="651"/>
      <c r="R3066" s="651"/>
      <c r="S3066" s="651"/>
    </row>
    <row r="3067" spans="12:19" ht="15.75" customHeight="1" x14ac:dyDescent="0.35">
      <c r="L3067" s="2"/>
      <c r="M3067" s="2"/>
      <c r="N3067" s="650"/>
      <c r="O3067" s="650"/>
      <c r="P3067" s="651"/>
      <c r="Q3067" s="651"/>
      <c r="R3067" s="651"/>
      <c r="S3067" s="651"/>
    </row>
    <row r="3068" spans="12:19" ht="15.75" customHeight="1" x14ac:dyDescent="0.35">
      <c r="L3068" s="2"/>
      <c r="M3068" s="2"/>
      <c r="N3068" s="650"/>
      <c r="O3068" s="650"/>
      <c r="P3068" s="651"/>
      <c r="Q3068" s="651"/>
      <c r="R3068" s="651"/>
      <c r="S3068" s="651"/>
    </row>
    <row r="3069" spans="12:19" ht="15.75" customHeight="1" x14ac:dyDescent="0.35">
      <c r="L3069" s="2"/>
      <c r="M3069" s="2"/>
      <c r="N3069" s="650"/>
      <c r="O3069" s="650"/>
      <c r="P3069" s="651"/>
      <c r="Q3069" s="651"/>
      <c r="R3069" s="651"/>
      <c r="S3069" s="651"/>
    </row>
    <row r="3070" spans="12:19" ht="15.75" customHeight="1" x14ac:dyDescent="0.35">
      <c r="L3070" s="2"/>
      <c r="M3070" s="2"/>
      <c r="N3070" s="650"/>
      <c r="O3070" s="650"/>
      <c r="P3070" s="651"/>
      <c r="Q3070" s="651"/>
      <c r="R3070" s="651"/>
      <c r="S3070" s="651"/>
    </row>
    <row r="3071" spans="12:19" ht="15.75" customHeight="1" x14ac:dyDescent="0.35">
      <c r="L3071" s="2"/>
      <c r="M3071" s="2"/>
      <c r="N3071" s="650"/>
      <c r="O3071" s="650"/>
      <c r="P3071" s="651"/>
      <c r="Q3071" s="651"/>
      <c r="R3071" s="651"/>
      <c r="S3071" s="651"/>
    </row>
    <row r="3072" spans="12:19" ht="15.75" customHeight="1" x14ac:dyDescent="0.35">
      <c r="L3072" s="2"/>
      <c r="M3072" s="2"/>
      <c r="N3072" s="650"/>
      <c r="O3072" s="650"/>
      <c r="P3072" s="651"/>
      <c r="Q3072" s="651"/>
      <c r="R3072" s="651"/>
      <c r="S3072" s="651"/>
    </row>
    <row r="3073" spans="12:19" ht="15.75" customHeight="1" x14ac:dyDescent="0.35">
      <c r="L3073" s="2"/>
      <c r="M3073" s="2"/>
      <c r="N3073" s="650"/>
      <c r="O3073" s="650"/>
      <c r="P3073" s="651"/>
      <c r="Q3073" s="651"/>
      <c r="R3073" s="651"/>
      <c r="S3073" s="651"/>
    </row>
    <row r="3074" spans="12:19" ht="15.75" customHeight="1" x14ac:dyDescent="0.35">
      <c r="L3074" s="2"/>
      <c r="M3074" s="2"/>
      <c r="N3074" s="650"/>
      <c r="O3074" s="650"/>
      <c r="P3074" s="651"/>
      <c r="Q3074" s="651"/>
      <c r="R3074" s="651"/>
      <c r="S3074" s="651"/>
    </row>
    <row r="3075" spans="12:19" ht="15.75" customHeight="1" x14ac:dyDescent="0.35">
      <c r="L3075" s="2"/>
      <c r="M3075" s="2"/>
      <c r="N3075" s="650"/>
      <c r="O3075" s="650"/>
      <c r="P3075" s="651"/>
      <c r="Q3075" s="651"/>
      <c r="R3075" s="651"/>
      <c r="S3075" s="651"/>
    </row>
    <row r="3076" spans="12:19" ht="15.75" customHeight="1" x14ac:dyDescent="0.35">
      <c r="L3076" s="2"/>
      <c r="M3076" s="2"/>
      <c r="N3076" s="650"/>
      <c r="O3076" s="650"/>
      <c r="P3076" s="651"/>
      <c r="Q3076" s="651"/>
      <c r="R3076" s="651"/>
      <c r="S3076" s="651"/>
    </row>
    <row r="3077" spans="12:19" ht="15.75" customHeight="1" x14ac:dyDescent="0.35">
      <c r="L3077" s="2"/>
      <c r="M3077" s="2"/>
      <c r="N3077" s="650"/>
      <c r="O3077" s="650"/>
      <c r="P3077" s="651"/>
      <c r="Q3077" s="651"/>
      <c r="R3077" s="651"/>
      <c r="S3077" s="651"/>
    </row>
    <row r="3078" spans="12:19" ht="15.75" customHeight="1" x14ac:dyDescent="0.35">
      <c r="L3078" s="2"/>
      <c r="M3078" s="2"/>
      <c r="N3078" s="650"/>
      <c r="O3078" s="650"/>
      <c r="P3078" s="651"/>
      <c r="Q3078" s="651"/>
      <c r="R3078" s="651"/>
      <c r="S3078" s="651"/>
    </row>
    <row r="3079" spans="12:19" ht="15.75" customHeight="1" x14ac:dyDescent="0.35">
      <c r="L3079" s="2"/>
      <c r="M3079" s="2"/>
      <c r="N3079" s="650"/>
      <c r="O3079" s="650"/>
      <c r="P3079" s="651"/>
      <c r="Q3079" s="651"/>
      <c r="R3079" s="651"/>
      <c r="S3079" s="651"/>
    </row>
    <row r="3080" spans="12:19" ht="15.75" customHeight="1" x14ac:dyDescent="0.35">
      <c r="L3080" s="2"/>
      <c r="M3080" s="2"/>
      <c r="N3080" s="650"/>
      <c r="O3080" s="650"/>
      <c r="P3080" s="651"/>
      <c r="Q3080" s="651"/>
      <c r="R3080" s="651"/>
      <c r="S3080" s="651"/>
    </row>
    <row r="3081" spans="12:19" ht="15.75" customHeight="1" x14ac:dyDescent="0.35">
      <c r="L3081" s="2"/>
      <c r="M3081" s="2"/>
      <c r="N3081" s="650"/>
      <c r="O3081" s="650"/>
      <c r="P3081" s="651"/>
      <c r="Q3081" s="651"/>
      <c r="R3081" s="651"/>
      <c r="S3081" s="651"/>
    </row>
    <row r="3082" spans="12:19" ht="15.75" customHeight="1" x14ac:dyDescent="0.35">
      <c r="L3082" s="2"/>
      <c r="M3082" s="2"/>
      <c r="N3082" s="650"/>
      <c r="O3082" s="650"/>
      <c r="P3082" s="651"/>
      <c r="Q3082" s="651"/>
      <c r="R3082" s="651"/>
      <c r="S3082" s="651"/>
    </row>
    <row r="3083" spans="12:19" ht="15.75" customHeight="1" x14ac:dyDescent="0.35">
      <c r="L3083" s="2"/>
      <c r="M3083" s="2"/>
      <c r="N3083" s="650"/>
      <c r="O3083" s="650"/>
      <c r="P3083" s="651"/>
      <c r="Q3083" s="651"/>
      <c r="R3083" s="651"/>
      <c r="S3083" s="651"/>
    </row>
    <row r="3084" spans="12:19" ht="15.75" customHeight="1" x14ac:dyDescent="0.35">
      <c r="L3084" s="2"/>
      <c r="M3084" s="2"/>
      <c r="N3084" s="650"/>
      <c r="O3084" s="650"/>
      <c r="P3084" s="651"/>
      <c r="Q3084" s="651"/>
      <c r="R3084" s="651"/>
      <c r="S3084" s="651"/>
    </row>
    <row r="3085" spans="12:19" ht="15.75" customHeight="1" x14ac:dyDescent="0.35">
      <c r="L3085" s="2"/>
      <c r="M3085" s="2"/>
      <c r="N3085" s="650"/>
      <c r="O3085" s="650"/>
      <c r="P3085" s="651"/>
      <c r="Q3085" s="651"/>
      <c r="R3085" s="651"/>
      <c r="S3085" s="651"/>
    </row>
    <row r="3086" spans="12:19" ht="15.75" customHeight="1" x14ac:dyDescent="0.35">
      <c r="L3086" s="2"/>
      <c r="M3086" s="2"/>
      <c r="N3086" s="650"/>
      <c r="O3086" s="650"/>
      <c r="P3086" s="651"/>
      <c r="Q3086" s="651"/>
      <c r="R3086" s="651"/>
      <c r="S3086" s="651"/>
    </row>
    <row r="3087" spans="12:19" ht="15.75" customHeight="1" x14ac:dyDescent="0.35">
      <c r="L3087" s="2"/>
      <c r="M3087" s="2"/>
      <c r="N3087" s="650"/>
      <c r="O3087" s="650"/>
      <c r="P3087" s="651"/>
      <c r="Q3087" s="651"/>
      <c r="R3087" s="651"/>
      <c r="S3087" s="651"/>
    </row>
    <row r="3088" spans="12:19" ht="15.75" customHeight="1" x14ac:dyDescent="0.35">
      <c r="L3088" s="2"/>
      <c r="M3088" s="2"/>
      <c r="N3088" s="650"/>
      <c r="O3088" s="650"/>
      <c r="P3088" s="651"/>
      <c r="Q3088" s="651"/>
      <c r="R3088" s="651"/>
      <c r="S3088" s="651"/>
    </row>
    <row r="3089" spans="12:19" ht="15.75" customHeight="1" x14ac:dyDescent="0.35">
      <c r="L3089" s="2"/>
      <c r="M3089" s="2"/>
      <c r="N3089" s="650"/>
      <c r="O3089" s="650"/>
      <c r="P3089" s="651"/>
      <c r="Q3089" s="651"/>
      <c r="R3089" s="651"/>
      <c r="S3089" s="651"/>
    </row>
    <row r="3090" spans="12:19" ht="15.75" customHeight="1" x14ac:dyDescent="0.35">
      <c r="L3090" s="2"/>
      <c r="M3090" s="2"/>
      <c r="N3090" s="650"/>
      <c r="O3090" s="650"/>
      <c r="P3090" s="651"/>
      <c r="Q3090" s="651"/>
      <c r="R3090" s="651"/>
      <c r="S3090" s="651"/>
    </row>
    <row r="3091" spans="12:19" ht="15.75" customHeight="1" x14ac:dyDescent="0.35">
      <c r="L3091" s="2"/>
      <c r="M3091" s="2"/>
      <c r="N3091" s="650"/>
      <c r="O3091" s="650"/>
      <c r="P3091" s="651"/>
      <c r="Q3091" s="651"/>
      <c r="R3091" s="651"/>
      <c r="S3091" s="651"/>
    </row>
    <row r="3092" spans="12:19" ht="15.75" customHeight="1" x14ac:dyDescent="0.35">
      <c r="L3092" s="2"/>
      <c r="M3092" s="2"/>
      <c r="N3092" s="650"/>
      <c r="O3092" s="650"/>
      <c r="P3092" s="651"/>
      <c r="Q3092" s="651"/>
      <c r="R3092" s="651"/>
      <c r="S3092" s="651"/>
    </row>
    <row r="3093" spans="12:19" ht="15.75" customHeight="1" x14ac:dyDescent="0.35">
      <c r="L3093" s="2"/>
      <c r="M3093" s="2"/>
      <c r="N3093" s="650"/>
      <c r="O3093" s="650"/>
      <c r="P3093" s="651"/>
      <c r="Q3093" s="651"/>
      <c r="R3093" s="651"/>
      <c r="S3093" s="651"/>
    </row>
    <row r="3094" spans="12:19" ht="15.75" customHeight="1" x14ac:dyDescent="0.35">
      <c r="L3094" s="2"/>
      <c r="M3094" s="2"/>
      <c r="N3094" s="650"/>
      <c r="O3094" s="650"/>
      <c r="P3094" s="651"/>
      <c r="Q3094" s="651"/>
      <c r="R3094" s="651"/>
      <c r="S3094" s="651"/>
    </row>
    <row r="3095" spans="12:19" ht="15.75" customHeight="1" x14ac:dyDescent="0.35">
      <c r="L3095" s="2"/>
      <c r="M3095" s="2"/>
      <c r="N3095" s="650"/>
      <c r="O3095" s="650"/>
      <c r="P3095" s="651"/>
      <c r="Q3095" s="651"/>
      <c r="R3095" s="651"/>
      <c r="S3095" s="651"/>
    </row>
    <row r="3096" spans="12:19" ht="15.75" customHeight="1" x14ac:dyDescent="0.35">
      <c r="L3096" s="2"/>
      <c r="M3096" s="2"/>
      <c r="N3096" s="650"/>
      <c r="O3096" s="650"/>
      <c r="P3096" s="651"/>
      <c r="Q3096" s="651"/>
      <c r="R3096" s="651"/>
      <c r="S3096" s="651"/>
    </row>
    <row r="3097" spans="12:19" ht="15.75" customHeight="1" x14ac:dyDescent="0.35">
      <c r="L3097" s="2"/>
      <c r="M3097" s="2"/>
      <c r="N3097" s="650"/>
      <c r="O3097" s="650"/>
      <c r="P3097" s="651"/>
      <c r="Q3097" s="651"/>
      <c r="R3097" s="651"/>
      <c r="S3097" s="651"/>
    </row>
    <row r="3098" spans="12:19" ht="15.75" customHeight="1" x14ac:dyDescent="0.35">
      <c r="L3098" s="2"/>
      <c r="M3098" s="2"/>
      <c r="N3098" s="650"/>
      <c r="O3098" s="650"/>
      <c r="P3098" s="651"/>
      <c r="Q3098" s="651"/>
      <c r="R3098" s="651"/>
      <c r="S3098" s="651"/>
    </row>
    <row r="3099" spans="12:19" ht="15.75" customHeight="1" x14ac:dyDescent="0.35">
      <c r="L3099" s="2"/>
      <c r="M3099" s="2"/>
      <c r="N3099" s="650"/>
      <c r="O3099" s="650"/>
      <c r="P3099" s="651"/>
      <c r="Q3099" s="651"/>
      <c r="R3099" s="651"/>
      <c r="S3099" s="651"/>
    </row>
    <row r="3100" spans="12:19" ht="15.75" customHeight="1" x14ac:dyDescent="0.35">
      <c r="L3100" s="2"/>
      <c r="M3100" s="2"/>
      <c r="N3100" s="650"/>
      <c r="O3100" s="650"/>
      <c r="P3100" s="651"/>
      <c r="Q3100" s="651"/>
      <c r="R3100" s="651"/>
      <c r="S3100" s="651"/>
    </row>
    <row r="3101" spans="12:19" ht="15.75" customHeight="1" x14ac:dyDescent="0.35">
      <c r="L3101" s="2"/>
      <c r="M3101" s="2"/>
      <c r="N3101" s="650"/>
      <c r="O3101" s="650"/>
      <c r="P3101" s="651"/>
      <c r="Q3101" s="651"/>
      <c r="R3101" s="651"/>
      <c r="S3101" s="651"/>
    </row>
    <row r="3102" spans="12:19" ht="15.75" customHeight="1" x14ac:dyDescent="0.35">
      <c r="L3102" s="2"/>
      <c r="M3102" s="2"/>
      <c r="N3102" s="650"/>
      <c r="O3102" s="650"/>
      <c r="P3102" s="651"/>
      <c r="Q3102" s="651"/>
      <c r="R3102" s="651"/>
      <c r="S3102" s="651"/>
    </row>
    <row r="3103" spans="12:19" ht="15.75" customHeight="1" x14ac:dyDescent="0.35">
      <c r="L3103" s="2"/>
      <c r="M3103" s="2"/>
      <c r="N3103" s="650"/>
      <c r="O3103" s="650"/>
      <c r="P3103" s="651"/>
      <c r="Q3103" s="651"/>
      <c r="R3103" s="651"/>
      <c r="S3103" s="651"/>
    </row>
    <row r="3104" spans="12:19" ht="15.75" customHeight="1" x14ac:dyDescent="0.35">
      <c r="L3104" s="2"/>
      <c r="M3104" s="2"/>
      <c r="N3104" s="650"/>
      <c r="O3104" s="650"/>
      <c r="P3104" s="651"/>
      <c r="Q3104" s="651"/>
      <c r="R3104" s="651"/>
      <c r="S3104" s="651"/>
    </row>
    <row r="3105" spans="12:19" ht="15.75" customHeight="1" x14ac:dyDescent="0.35">
      <c r="L3105" s="2"/>
      <c r="M3105" s="2"/>
      <c r="N3105" s="650"/>
      <c r="O3105" s="650"/>
      <c r="P3105" s="651"/>
      <c r="Q3105" s="651"/>
      <c r="R3105" s="651"/>
      <c r="S3105" s="651"/>
    </row>
    <row r="3106" spans="12:19" ht="15.75" customHeight="1" x14ac:dyDescent="0.35">
      <c r="L3106" s="2"/>
      <c r="M3106" s="2"/>
      <c r="N3106" s="650"/>
      <c r="O3106" s="650"/>
      <c r="P3106" s="651"/>
      <c r="Q3106" s="651"/>
      <c r="R3106" s="651"/>
      <c r="S3106" s="651"/>
    </row>
    <row r="3107" spans="12:19" ht="15.75" customHeight="1" x14ac:dyDescent="0.35">
      <c r="L3107" s="2"/>
      <c r="M3107" s="2"/>
      <c r="N3107" s="650"/>
      <c r="O3107" s="650"/>
      <c r="P3107" s="651"/>
      <c r="Q3107" s="651"/>
      <c r="R3107" s="651"/>
      <c r="S3107" s="651"/>
    </row>
    <row r="3108" spans="12:19" ht="15.75" customHeight="1" x14ac:dyDescent="0.35">
      <c r="L3108" s="2"/>
      <c r="M3108" s="2"/>
      <c r="N3108" s="650"/>
      <c r="O3108" s="650"/>
      <c r="P3108" s="651"/>
      <c r="Q3108" s="651"/>
      <c r="R3108" s="651"/>
      <c r="S3108" s="651"/>
    </row>
    <row r="3109" spans="12:19" ht="15.75" customHeight="1" x14ac:dyDescent="0.35">
      <c r="L3109" s="2"/>
      <c r="M3109" s="2"/>
      <c r="N3109" s="650"/>
      <c r="O3109" s="650"/>
      <c r="P3109" s="651"/>
      <c r="Q3109" s="651"/>
      <c r="R3109" s="651"/>
      <c r="S3109" s="651"/>
    </row>
    <row r="3110" spans="12:19" ht="15.75" customHeight="1" x14ac:dyDescent="0.35">
      <c r="L3110" s="2"/>
      <c r="M3110" s="2"/>
      <c r="N3110" s="650"/>
      <c r="O3110" s="650"/>
      <c r="P3110" s="651"/>
      <c r="Q3110" s="651"/>
      <c r="R3110" s="651"/>
      <c r="S3110" s="651"/>
    </row>
    <row r="3111" spans="12:19" ht="15.75" customHeight="1" x14ac:dyDescent="0.35">
      <c r="L3111" s="2"/>
      <c r="M3111" s="2"/>
      <c r="N3111" s="650"/>
      <c r="O3111" s="650"/>
      <c r="P3111" s="651"/>
      <c r="Q3111" s="651"/>
      <c r="R3111" s="651"/>
      <c r="S3111" s="651"/>
    </row>
    <row r="3112" spans="12:19" ht="15.75" customHeight="1" x14ac:dyDescent="0.35">
      <c r="L3112" s="2"/>
      <c r="M3112" s="2"/>
      <c r="N3112" s="650"/>
      <c r="O3112" s="650"/>
      <c r="P3112" s="651"/>
      <c r="Q3112" s="651"/>
      <c r="R3112" s="651"/>
      <c r="S3112" s="651"/>
    </row>
    <row r="3113" spans="12:19" ht="15.75" customHeight="1" x14ac:dyDescent="0.35">
      <c r="L3113" s="2"/>
      <c r="M3113" s="2"/>
      <c r="N3113" s="650"/>
      <c r="O3113" s="650"/>
      <c r="P3113" s="651"/>
      <c r="Q3113" s="651"/>
      <c r="R3113" s="651"/>
      <c r="S3113" s="651"/>
    </row>
    <row r="3114" spans="12:19" ht="15.75" customHeight="1" x14ac:dyDescent="0.35">
      <c r="L3114" s="2"/>
      <c r="M3114" s="2"/>
      <c r="N3114" s="650"/>
      <c r="O3114" s="650"/>
      <c r="P3114" s="651"/>
      <c r="Q3114" s="651"/>
      <c r="R3114" s="651"/>
      <c r="S3114" s="651"/>
    </row>
    <row r="3115" spans="12:19" ht="15.75" customHeight="1" x14ac:dyDescent="0.35">
      <c r="L3115" s="2"/>
      <c r="M3115" s="2"/>
      <c r="N3115" s="650"/>
      <c r="O3115" s="650"/>
      <c r="P3115" s="651"/>
      <c r="Q3115" s="651"/>
      <c r="R3115" s="651"/>
      <c r="S3115" s="651"/>
    </row>
    <row r="3116" spans="12:19" ht="15.75" customHeight="1" x14ac:dyDescent="0.35">
      <c r="L3116" s="2"/>
      <c r="M3116" s="2"/>
      <c r="N3116" s="650"/>
      <c r="O3116" s="650"/>
      <c r="P3116" s="651"/>
      <c r="Q3116" s="651"/>
      <c r="R3116" s="651"/>
      <c r="S3116" s="651"/>
    </row>
    <row r="3117" spans="12:19" ht="15.75" customHeight="1" x14ac:dyDescent="0.35">
      <c r="L3117" s="2"/>
      <c r="M3117" s="2"/>
      <c r="N3117" s="650"/>
      <c r="O3117" s="650"/>
      <c r="P3117" s="651"/>
      <c r="Q3117" s="651"/>
      <c r="R3117" s="651"/>
      <c r="S3117" s="651"/>
    </row>
    <row r="3118" spans="12:19" ht="15.75" customHeight="1" x14ac:dyDescent="0.35">
      <c r="L3118" s="2"/>
      <c r="M3118" s="2"/>
      <c r="N3118" s="650"/>
      <c r="O3118" s="650"/>
      <c r="P3118" s="651"/>
      <c r="Q3118" s="651"/>
      <c r="R3118" s="651"/>
      <c r="S3118" s="651"/>
    </row>
    <row r="3119" spans="12:19" ht="15.75" customHeight="1" x14ac:dyDescent="0.35">
      <c r="L3119" s="2"/>
      <c r="M3119" s="2"/>
      <c r="N3119" s="650"/>
      <c r="O3119" s="650"/>
      <c r="P3119" s="651"/>
      <c r="Q3119" s="651"/>
      <c r="R3119" s="651"/>
      <c r="S3119" s="651"/>
    </row>
    <row r="3120" spans="12:19" ht="15.75" customHeight="1" x14ac:dyDescent="0.35">
      <c r="L3120" s="2"/>
      <c r="M3120" s="2"/>
      <c r="N3120" s="650"/>
      <c r="O3120" s="650"/>
      <c r="P3120" s="651"/>
      <c r="Q3120" s="651"/>
      <c r="R3120" s="651"/>
      <c r="S3120" s="651"/>
    </row>
    <row r="3121" spans="12:19" ht="15.75" customHeight="1" x14ac:dyDescent="0.35">
      <c r="L3121" s="2"/>
      <c r="M3121" s="2"/>
      <c r="N3121" s="650"/>
      <c r="O3121" s="650"/>
      <c r="P3121" s="651"/>
      <c r="Q3121" s="651"/>
      <c r="R3121" s="651"/>
      <c r="S3121" s="651"/>
    </row>
    <row r="3122" spans="12:19" ht="15.75" customHeight="1" x14ac:dyDescent="0.35">
      <c r="L3122" s="2"/>
      <c r="M3122" s="2"/>
      <c r="N3122" s="650"/>
      <c r="O3122" s="650"/>
      <c r="P3122" s="651"/>
      <c r="Q3122" s="651"/>
      <c r="R3122" s="651"/>
      <c r="S3122" s="651"/>
    </row>
    <row r="3123" spans="12:19" ht="15.75" customHeight="1" x14ac:dyDescent="0.35">
      <c r="L3123" s="2"/>
      <c r="M3123" s="2"/>
      <c r="N3123" s="650"/>
      <c r="O3123" s="650"/>
      <c r="P3123" s="651"/>
      <c r="Q3123" s="651"/>
      <c r="R3123" s="651"/>
      <c r="S3123" s="651"/>
    </row>
    <row r="3124" spans="12:19" ht="15.75" customHeight="1" x14ac:dyDescent="0.35">
      <c r="L3124" s="2"/>
      <c r="M3124" s="2"/>
      <c r="N3124" s="650"/>
      <c r="O3124" s="650"/>
      <c r="P3124" s="651"/>
      <c r="Q3124" s="651"/>
      <c r="R3124" s="651"/>
      <c r="S3124" s="651"/>
    </row>
    <row r="3125" spans="12:19" ht="15.75" customHeight="1" x14ac:dyDescent="0.35">
      <c r="L3125" s="2"/>
      <c r="M3125" s="2"/>
      <c r="N3125" s="650"/>
      <c r="O3125" s="650"/>
      <c r="P3125" s="651"/>
      <c r="Q3125" s="651"/>
      <c r="R3125" s="651"/>
      <c r="S3125" s="651"/>
    </row>
    <row r="3126" spans="12:19" ht="15.75" customHeight="1" x14ac:dyDescent="0.35">
      <c r="L3126" s="2"/>
      <c r="M3126" s="2"/>
      <c r="N3126" s="650"/>
      <c r="O3126" s="650"/>
      <c r="P3126" s="651"/>
      <c r="Q3126" s="651"/>
      <c r="R3126" s="651"/>
      <c r="S3126" s="651"/>
    </row>
    <row r="3127" spans="12:19" ht="15.75" customHeight="1" x14ac:dyDescent="0.35">
      <c r="L3127" s="2"/>
      <c r="M3127" s="2"/>
      <c r="N3127" s="650"/>
      <c r="O3127" s="650"/>
      <c r="P3127" s="651"/>
      <c r="Q3127" s="651"/>
      <c r="R3127" s="651"/>
      <c r="S3127" s="651"/>
    </row>
    <row r="3128" spans="12:19" ht="15.75" customHeight="1" x14ac:dyDescent="0.35">
      <c r="L3128" s="2"/>
      <c r="M3128" s="2"/>
      <c r="N3128" s="650"/>
      <c r="O3128" s="650"/>
      <c r="P3128" s="651"/>
      <c r="Q3128" s="651"/>
      <c r="R3128" s="651"/>
      <c r="S3128" s="651"/>
    </row>
    <row r="3129" spans="12:19" ht="15.75" customHeight="1" x14ac:dyDescent="0.35">
      <c r="L3129" s="2"/>
      <c r="M3129" s="2"/>
      <c r="N3129" s="650"/>
      <c r="O3129" s="650"/>
      <c r="P3129" s="651"/>
      <c r="Q3129" s="651"/>
      <c r="R3129" s="651"/>
      <c r="S3129" s="651"/>
    </row>
    <row r="3130" spans="12:19" ht="15.75" customHeight="1" x14ac:dyDescent="0.35">
      <c r="L3130" s="2"/>
      <c r="M3130" s="2"/>
      <c r="N3130" s="650"/>
      <c r="O3130" s="650"/>
      <c r="P3130" s="651"/>
      <c r="Q3130" s="651"/>
      <c r="R3130" s="651"/>
      <c r="S3130" s="651"/>
    </row>
    <row r="3131" spans="12:19" ht="15.75" customHeight="1" x14ac:dyDescent="0.35">
      <c r="L3131" s="2"/>
      <c r="M3131" s="2"/>
      <c r="N3131" s="650"/>
      <c r="O3131" s="650"/>
      <c r="P3131" s="651"/>
      <c r="Q3131" s="651"/>
      <c r="R3131" s="651"/>
      <c r="S3131" s="651"/>
    </row>
    <row r="3132" spans="12:19" ht="15.75" customHeight="1" x14ac:dyDescent="0.35">
      <c r="L3132" s="2"/>
      <c r="M3132" s="2"/>
      <c r="N3132" s="650"/>
      <c r="O3132" s="650"/>
      <c r="P3132" s="651"/>
      <c r="Q3132" s="651"/>
      <c r="R3132" s="651"/>
      <c r="S3132" s="651"/>
    </row>
    <row r="3133" spans="12:19" ht="15.75" customHeight="1" x14ac:dyDescent="0.35">
      <c r="L3133" s="2"/>
      <c r="M3133" s="2"/>
      <c r="N3133" s="650"/>
      <c r="O3133" s="650"/>
      <c r="P3133" s="651"/>
      <c r="Q3133" s="651"/>
      <c r="R3133" s="651"/>
      <c r="S3133" s="651"/>
    </row>
    <row r="3134" spans="12:19" ht="15.75" customHeight="1" x14ac:dyDescent="0.35">
      <c r="L3134" s="2"/>
      <c r="M3134" s="2"/>
      <c r="N3134" s="650"/>
      <c r="O3134" s="650"/>
      <c r="P3134" s="651"/>
      <c r="Q3134" s="651"/>
      <c r="R3134" s="651"/>
      <c r="S3134" s="651"/>
    </row>
    <row r="3135" spans="12:19" ht="15.75" customHeight="1" x14ac:dyDescent="0.35">
      <c r="L3135" s="2"/>
      <c r="M3135" s="2"/>
      <c r="N3135" s="650"/>
      <c r="O3135" s="650"/>
      <c r="P3135" s="651"/>
      <c r="Q3135" s="651"/>
      <c r="R3135" s="651"/>
      <c r="S3135" s="651"/>
    </row>
    <row r="3136" spans="12:19" ht="15.75" customHeight="1" x14ac:dyDescent="0.35">
      <c r="L3136" s="2"/>
      <c r="M3136" s="2"/>
      <c r="N3136" s="650"/>
      <c r="O3136" s="650"/>
      <c r="P3136" s="651"/>
      <c r="Q3136" s="651"/>
      <c r="R3136" s="651"/>
      <c r="S3136" s="651"/>
    </row>
    <row r="3137" spans="12:19" ht="15.75" customHeight="1" x14ac:dyDescent="0.35">
      <c r="L3137" s="2"/>
      <c r="M3137" s="2"/>
      <c r="N3137" s="650"/>
      <c r="O3137" s="650"/>
      <c r="P3137" s="651"/>
      <c r="Q3137" s="651"/>
      <c r="R3137" s="651"/>
      <c r="S3137" s="651"/>
    </row>
    <row r="3138" spans="12:19" ht="15.75" customHeight="1" x14ac:dyDescent="0.35">
      <c r="L3138" s="2"/>
      <c r="M3138" s="2"/>
      <c r="N3138" s="650"/>
      <c r="O3138" s="650"/>
      <c r="P3138" s="651"/>
      <c r="Q3138" s="651"/>
      <c r="R3138" s="651"/>
      <c r="S3138" s="651"/>
    </row>
    <row r="3139" spans="12:19" ht="15.75" customHeight="1" x14ac:dyDescent="0.35">
      <c r="L3139" s="2"/>
      <c r="M3139" s="2"/>
      <c r="N3139" s="650"/>
      <c r="O3139" s="650"/>
      <c r="P3139" s="651"/>
      <c r="Q3139" s="651"/>
      <c r="R3139" s="651"/>
      <c r="S3139" s="651"/>
    </row>
    <row r="3140" spans="12:19" ht="15.75" customHeight="1" x14ac:dyDescent="0.35">
      <c r="L3140" s="2"/>
      <c r="M3140" s="2"/>
      <c r="N3140" s="650"/>
      <c r="O3140" s="650"/>
      <c r="P3140" s="651"/>
      <c r="Q3140" s="651"/>
      <c r="R3140" s="651"/>
      <c r="S3140" s="651"/>
    </row>
    <row r="3141" spans="12:19" ht="15.75" customHeight="1" x14ac:dyDescent="0.35">
      <c r="L3141" s="2"/>
      <c r="M3141" s="2"/>
      <c r="N3141" s="650"/>
      <c r="O3141" s="650"/>
      <c r="P3141" s="651"/>
      <c r="Q3141" s="651"/>
      <c r="R3141" s="651"/>
      <c r="S3141" s="651"/>
    </row>
    <row r="3142" spans="12:19" ht="15.75" customHeight="1" x14ac:dyDescent="0.35">
      <c r="L3142" s="2"/>
      <c r="M3142" s="2"/>
      <c r="N3142" s="650"/>
      <c r="O3142" s="650"/>
      <c r="P3142" s="651"/>
      <c r="Q3142" s="651"/>
      <c r="R3142" s="651"/>
      <c r="S3142" s="651"/>
    </row>
    <row r="3143" spans="12:19" ht="15.75" customHeight="1" x14ac:dyDescent="0.35">
      <c r="L3143" s="2"/>
      <c r="M3143" s="2"/>
      <c r="N3143" s="650"/>
      <c r="O3143" s="650"/>
      <c r="P3143" s="651"/>
      <c r="Q3143" s="651"/>
      <c r="R3143" s="651"/>
      <c r="S3143" s="651"/>
    </row>
    <row r="3144" spans="12:19" ht="15.75" customHeight="1" x14ac:dyDescent="0.35">
      <c r="L3144" s="2"/>
      <c r="M3144" s="2"/>
      <c r="N3144" s="650"/>
      <c r="O3144" s="650"/>
      <c r="P3144" s="651"/>
      <c r="Q3144" s="651"/>
      <c r="R3144" s="651"/>
      <c r="S3144" s="651"/>
    </row>
    <row r="3145" spans="12:19" ht="15.75" customHeight="1" x14ac:dyDescent="0.35">
      <c r="L3145" s="2"/>
      <c r="M3145" s="2"/>
      <c r="N3145" s="650"/>
      <c r="O3145" s="650"/>
      <c r="P3145" s="651"/>
      <c r="Q3145" s="651"/>
      <c r="R3145" s="651"/>
      <c r="S3145" s="651"/>
    </row>
    <row r="3146" spans="12:19" ht="15.75" customHeight="1" x14ac:dyDescent="0.35">
      <c r="L3146" s="2"/>
      <c r="M3146" s="2"/>
      <c r="N3146" s="650"/>
      <c r="O3146" s="650"/>
      <c r="P3146" s="651"/>
      <c r="Q3146" s="651"/>
      <c r="R3146" s="651"/>
      <c r="S3146" s="651"/>
    </row>
    <row r="3147" spans="12:19" ht="15.75" customHeight="1" x14ac:dyDescent="0.35">
      <c r="L3147" s="2"/>
      <c r="M3147" s="2"/>
      <c r="N3147" s="650"/>
      <c r="O3147" s="650"/>
      <c r="P3147" s="651"/>
      <c r="Q3147" s="651"/>
      <c r="R3147" s="651"/>
      <c r="S3147" s="651"/>
    </row>
    <row r="3148" spans="12:19" ht="15.75" customHeight="1" x14ac:dyDescent="0.35">
      <c r="L3148" s="2"/>
      <c r="M3148" s="2"/>
      <c r="N3148" s="650"/>
      <c r="O3148" s="650"/>
      <c r="P3148" s="651"/>
      <c r="Q3148" s="651"/>
      <c r="R3148" s="651"/>
      <c r="S3148" s="651"/>
    </row>
    <row r="3149" spans="12:19" ht="15.75" customHeight="1" x14ac:dyDescent="0.35">
      <c r="L3149" s="2"/>
      <c r="M3149" s="2"/>
      <c r="N3149" s="650"/>
      <c r="O3149" s="650"/>
      <c r="P3149" s="651"/>
      <c r="Q3149" s="651"/>
      <c r="R3149" s="651"/>
      <c r="S3149" s="651"/>
    </row>
    <row r="3150" spans="12:19" ht="15.75" customHeight="1" x14ac:dyDescent="0.35">
      <c r="L3150" s="2"/>
      <c r="M3150" s="2"/>
      <c r="N3150" s="650"/>
      <c r="O3150" s="650"/>
      <c r="P3150" s="651"/>
      <c r="Q3150" s="651"/>
      <c r="R3150" s="651"/>
      <c r="S3150" s="651"/>
    </row>
    <row r="3151" spans="12:19" ht="15.75" customHeight="1" x14ac:dyDescent="0.35">
      <c r="L3151" s="2"/>
      <c r="M3151" s="2"/>
      <c r="N3151" s="650"/>
      <c r="O3151" s="650"/>
      <c r="P3151" s="651"/>
      <c r="Q3151" s="651"/>
      <c r="R3151" s="651"/>
      <c r="S3151" s="651"/>
    </row>
    <row r="3152" spans="12:19" ht="15.75" customHeight="1" x14ac:dyDescent="0.35">
      <c r="L3152" s="2"/>
      <c r="M3152" s="2"/>
      <c r="N3152" s="650"/>
      <c r="O3152" s="650"/>
      <c r="P3152" s="651"/>
      <c r="Q3152" s="651"/>
      <c r="R3152" s="651"/>
      <c r="S3152" s="651"/>
    </row>
    <row r="3153" spans="12:19" ht="15.75" customHeight="1" x14ac:dyDescent="0.35">
      <c r="L3153" s="2"/>
      <c r="M3153" s="2"/>
      <c r="N3153" s="650"/>
      <c r="O3153" s="650"/>
      <c r="P3153" s="651"/>
      <c r="Q3153" s="651"/>
      <c r="R3153" s="651"/>
      <c r="S3153" s="651"/>
    </row>
    <row r="3154" spans="12:19" ht="15.75" customHeight="1" x14ac:dyDescent="0.35">
      <c r="L3154" s="2"/>
      <c r="M3154" s="2"/>
      <c r="N3154" s="650"/>
      <c r="O3154" s="650"/>
      <c r="P3154" s="651"/>
      <c r="Q3154" s="651"/>
      <c r="R3154" s="651"/>
      <c r="S3154" s="651"/>
    </row>
    <row r="3155" spans="12:19" ht="15.75" customHeight="1" x14ac:dyDescent="0.35">
      <c r="L3155" s="2"/>
      <c r="M3155" s="2"/>
      <c r="N3155" s="650"/>
      <c r="O3155" s="650"/>
      <c r="P3155" s="651"/>
      <c r="Q3155" s="651"/>
      <c r="R3155" s="651"/>
      <c r="S3155" s="651"/>
    </row>
    <row r="3156" spans="12:19" ht="15.75" customHeight="1" x14ac:dyDescent="0.35">
      <c r="L3156" s="2"/>
      <c r="M3156" s="2"/>
      <c r="N3156" s="650"/>
      <c r="O3156" s="650"/>
      <c r="P3156" s="651"/>
      <c r="Q3156" s="651"/>
      <c r="R3156" s="651"/>
      <c r="S3156" s="651"/>
    </row>
    <row r="3157" spans="12:19" ht="15.75" customHeight="1" x14ac:dyDescent="0.35">
      <c r="L3157" s="2"/>
      <c r="M3157" s="2"/>
      <c r="N3157" s="650"/>
      <c r="O3157" s="650"/>
      <c r="P3157" s="651"/>
      <c r="Q3157" s="651"/>
      <c r="R3157" s="651"/>
      <c r="S3157" s="651"/>
    </row>
    <row r="3158" spans="12:19" ht="15.75" customHeight="1" x14ac:dyDescent="0.35">
      <c r="L3158" s="2"/>
      <c r="M3158" s="2"/>
      <c r="N3158" s="650"/>
      <c r="O3158" s="650"/>
      <c r="P3158" s="651"/>
      <c r="Q3158" s="651"/>
      <c r="R3158" s="651"/>
      <c r="S3158" s="651"/>
    </row>
    <row r="3159" spans="12:19" ht="15.75" customHeight="1" x14ac:dyDescent="0.35">
      <c r="L3159" s="2"/>
      <c r="M3159" s="2"/>
      <c r="N3159" s="650"/>
      <c r="O3159" s="650"/>
      <c r="P3159" s="651"/>
      <c r="Q3159" s="651"/>
      <c r="R3159" s="651"/>
      <c r="S3159" s="651"/>
    </row>
    <row r="3160" spans="12:19" ht="15.75" customHeight="1" x14ac:dyDescent="0.35">
      <c r="L3160" s="2"/>
      <c r="M3160" s="2"/>
      <c r="N3160" s="650"/>
      <c r="O3160" s="650"/>
      <c r="P3160" s="651"/>
      <c r="Q3160" s="651"/>
      <c r="R3160" s="651"/>
      <c r="S3160" s="651"/>
    </row>
    <row r="3161" spans="12:19" ht="15.75" customHeight="1" x14ac:dyDescent="0.35">
      <c r="L3161" s="2"/>
      <c r="M3161" s="2"/>
      <c r="N3161" s="650"/>
      <c r="O3161" s="650"/>
      <c r="P3161" s="651"/>
      <c r="Q3161" s="651"/>
      <c r="R3161" s="651"/>
      <c r="S3161" s="651"/>
    </row>
    <row r="3162" spans="12:19" ht="15.75" customHeight="1" x14ac:dyDescent="0.35">
      <c r="L3162" s="2"/>
      <c r="M3162" s="2"/>
      <c r="N3162" s="650"/>
      <c r="O3162" s="650"/>
      <c r="P3162" s="651"/>
      <c r="Q3162" s="651"/>
      <c r="R3162" s="651"/>
      <c r="S3162" s="651"/>
    </row>
    <row r="3163" spans="12:19" ht="15.75" customHeight="1" x14ac:dyDescent="0.35">
      <c r="L3163" s="2"/>
      <c r="M3163" s="2"/>
      <c r="N3163" s="650"/>
      <c r="O3163" s="650"/>
      <c r="P3163" s="651"/>
      <c r="Q3163" s="651"/>
      <c r="R3163" s="651"/>
      <c r="S3163" s="651"/>
    </row>
    <row r="3164" spans="12:19" ht="15.75" customHeight="1" x14ac:dyDescent="0.35">
      <c r="L3164" s="2"/>
      <c r="M3164" s="2"/>
      <c r="N3164" s="650"/>
      <c r="O3164" s="650"/>
      <c r="P3164" s="651"/>
      <c r="Q3164" s="651"/>
      <c r="R3164" s="651"/>
      <c r="S3164" s="651"/>
    </row>
    <row r="3165" spans="12:19" ht="15.75" customHeight="1" x14ac:dyDescent="0.35">
      <c r="L3165" s="2"/>
      <c r="M3165" s="2"/>
      <c r="N3165" s="650"/>
      <c r="O3165" s="650"/>
      <c r="P3165" s="651"/>
      <c r="Q3165" s="651"/>
      <c r="R3165" s="651"/>
      <c r="S3165" s="651"/>
    </row>
    <row r="3166" spans="12:19" ht="15.75" customHeight="1" x14ac:dyDescent="0.35">
      <c r="L3166" s="2"/>
      <c r="M3166" s="2"/>
      <c r="N3166" s="650"/>
      <c r="O3166" s="650"/>
      <c r="P3166" s="651"/>
      <c r="Q3166" s="651"/>
      <c r="R3166" s="651"/>
      <c r="S3166" s="651"/>
    </row>
    <row r="3167" spans="12:19" ht="15.75" customHeight="1" x14ac:dyDescent="0.35">
      <c r="L3167" s="2"/>
      <c r="M3167" s="2"/>
      <c r="N3167" s="650"/>
      <c r="O3167" s="650"/>
      <c r="P3167" s="651"/>
      <c r="Q3167" s="651"/>
      <c r="R3167" s="651"/>
      <c r="S3167" s="651"/>
    </row>
    <row r="3168" spans="12:19" ht="15.75" customHeight="1" x14ac:dyDescent="0.35">
      <c r="L3168" s="2"/>
      <c r="M3168" s="2"/>
      <c r="N3168" s="650"/>
      <c r="O3168" s="650"/>
      <c r="P3168" s="651"/>
      <c r="Q3168" s="651"/>
      <c r="R3168" s="651"/>
      <c r="S3168" s="651"/>
    </row>
    <row r="3169" spans="12:19" ht="15.75" customHeight="1" x14ac:dyDescent="0.35">
      <c r="L3169" s="2"/>
      <c r="M3169" s="2"/>
      <c r="N3169" s="650"/>
      <c r="O3169" s="650"/>
      <c r="P3169" s="651"/>
      <c r="Q3169" s="651"/>
      <c r="R3169" s="651"/>
      <c r="S3169" s="651"/>
    </row>
    <row r="3170" spans="12:19" ht="15.75" customHeight="1" x14ac:dyDescent="0.35">
      <c r="L3170" s="2"/>
      <c r="M3170" s="2"/>
      <c r="N3170" s="650"/>
      <c r="O3170" s="650"/>
      <c r="P3170" s="651"/>
      <c r="Q3170" s="651"/>
      <c r="R3170" s="651"/>
      <c r="S3170" s="651"/>
    </row>
    <row r="3171" spans="12:19" ht="15.75" customHeight="1" x14ac:dyDescent="0.35">
      <c r="L3171" s="2"/>
      <c r="M3171" s="2"/>
      <c r="N3171" s="650"/>
      <c r="O3171" s="650"/>
      <c r="P3171" s="651"/>
      <c r="Q3171" s="651"/>
      <c r="R3171" s="651"/>
      <c r="S3171" s="651"/>
    </row>
    <row r="3172" spans="12:19" ht="15.75" customHeight="1" x14ac:dyDescent="0.35">
      <c r="L3172" s="2"/>
      <c r="M3172" s="2"/>
      <c r="N3172" s="650"/>
      <c r="O3172" s="650"/>
      <c r="P3172" s="651"/>
      <c r="Q3172" s="651"/>
      <c r="R3172" s="651"/>
      <c r="S3172" s="651"/>
    </row>
    <row r="3173" spans="12:19" ht="15.75" customHeight="1" x14ac:dyDescent="0.35">
      <c r="L3173" s="2"/>
      <c r="M3173" s="2"/>
      <c r="N3173" s="650"/>
      <c r="O3173" s="650"/>
      <c r="P3173" s="651"/>
      <c r="Q3173" s="651"/>
      <c r="R3173" s="651"/>
      <c r="S3173" s="651"/>
    </row>
    <row r="3174" spans="12:19" ht="15.75" customHeight="1" x14ac:dyDescent="0.35">
      <c r="L3174" s="2"/>
      <c r="M3174" s="2"/>
      <c r="N3174" s="650"/>
      <c r="O3174" s="650"/>
      <c r="P3174" s="651"/>
      <c r="Q3174" s="651"/>
      <c r="R3174" s="651"/>
      <c r="S3174" s="651"/>
    </row>
    <row r="3175" spans="12:19" ht="15.75" customHeight="1" x14ac:dyDescent="0.35">
      <c r="L3175" s="2"/>
      <c r="M3175" s="2"/>
      <c r="N3175" s="650"/>
      <c r="O3175" s="650"/>
      <c r="P3175" s="651"/>
      <c r="Q3175" s="651"/>
      <c r="R3175" s="651"/>
      <c r="S3175" s="651"/>
    </row>
    <row r="3176" spans="12:19" ht="15.75" customHeight="1" x14ac:dyDescent="0.35">
      <c r="L3176" s="2"/>
      <c r="M3176" s="2"/>
      <c r="N3176" s="650"/>
      <c r="O3176" s="650"/>
      <c r="P3176" s="651"/>
      <c r="Q3176" s="651"/>
      <c r="R3176" s="651"/>
      <c r="S3176" s="651"/>
    </row>
    <row r="3177" spans="12:19" ht="15.75" customHeight="1" x14ac:dyDescent="0.35">
      <c r="L3177" s="2"/>
      <c r="M3177" s="2"/>
      <c r="N3177" s="650"/>
      <c r="O3177" s="650"/>
      <c r="P3177" s="651"/>
      <c r="Q3177" s="651"/>
      <c r="R3177" s="651"/>
      <c r="S3177" s="651"/>
    </row>
    <row r="3178" spans="12:19" ht="15.75" customHeight="1" x14ac:dyDescent="0.35">
      <c r="L3178" s="2"/>
      <c r="M3178" s="2"/>
      <c r="N3178" s="650"/>
      <c r="O3178" s="650"/>
      <c r="P3178" s="651"/>
      <c r="Q3178" s="651"/>
      <c r="R3178" s="651"/>
      <c r="S3178" s="651"/>
    </row>
    <row r="3179" spans="12:19" ht="15.75" customHeight="1" x14ac:dyDescent="0.35">
      <c r="L3179" s="2"/>
      <c r="M3179" s="2"/>
      <c r="N3179" s="650"/>
      <c r="O3179" s="650"/>
      <c r="P3179" s="651"/>
      <c r="Q3179" s="651"/>
      <c r="R3179" s="651"/>
      <c r="S3179" s="651"/>
    </row>
    <row r="3180" spans="12:19" ht="15.75" customHeight="1" x14ac:dyDescent="0.35">
      <c r="L3180" s="2"/>
      <c r="M3180" s="2"/>
      <c r="N3180" s="650"/>
      <c r="O3180" s="650"/>
      <c r="P3180" s="651"/>
      <c r="Q3180" s="651"/>
      <c r="R3180" s="651"/>
      <c r="S3180" s="651"/>
    </row>
    <row r="3181" spans="12:19" ht="15.75" customHeight="1" x14ac:dyDescent="0.35">
      <c r="L3181" s="2"/>
      <c r="M3181" s="2"/>
      <c r="N3181" s="650"/>
      <c r="O3181" s="650"/>
      <c r="P3181" s="651"/>
      <c r="Q3181" s="651"/>
      <c r="R3181" s="651"/>
      <c r="S3181" s="651"/>
    </row>
    <row r="3182" spans="12:19" ht="15.75" customHeight="1" x14ac:dyDescent="0.35">
      <c r="L3182" s="2"/>
      <c r="M3182" s="2"/>
      <c r="N3182" s="650"/>
      <c r="O3182" s="650"/>
      <c r="P3182" s="651"/>
      <c r="Q3182" s="651"/>
      <c r="R3182" s="651"/>
      <c r="S3182" s="651"/>
    </row>
    <row r="3183" spans="12:19" ht="15.75" customHeight="1" x14ac:dyDescent="0.35">
      <c r="L3183" s="2"/>
      <c r="M3183" s="2"/>
      <c r="N3183" s="650"/>
      <c r="O3183" s="650"/>
      <c r="P3183" s="651"/>
      <c r="Q3183" s="651"/>
      <c r="R3183" s="651"/>
      <c r="S3183" s="651"/>
    </row>
    <row r="3184" spans="12:19" ht="15.75" customHeight="1" x14ac:dyDescent="0.35">
      <c r="L3184" s="2"/>
      <c r="M3184" s="2"/>
      <c r="N3184" s="650"/>
      <c r="O3184" s="650"/>
      <c r="P3184" s="651"/>
      <c r="Q3184" s="651"/>
      <c r="R3184" s="651"/>
      <c r="S3184" s="651"/>
    </row>
    <row r="3185" spans="12:19" ht="15.75" customHeight="1" x14ac:dyDescent="0.35">
      <c r="L3185" s="2"/>
      <c r="M3185" s="2"/>
      <c r="N3185" s="650"/>
      <c r="O3185" s="650"/>
      <c r="P3185" s="651"/>
      <c r="Q3185" s="651"/>
      <c r="R3185" s="651"/>
      <c r="S3185" s="651"/>
    </row>
    <row r="3186" spans="12:19" ht="15.75" customHeight="1" x14ac:dyDescent="0.35">
      <c r="L3186" s="2"/>
      <c r="M3186" s="2"/>
      <c r="N3186" s="650"/>
      <c r="O3186" s="650"/>
      <c r="P3186" s="651"/>
      <c r="Q3186" s="651"/>
      <c r="R3186" s="651"/>
      <c r="S3186" s="651"/>
    </row>
    <row r="3187" spans="12:19" ht="15.75" customHeight="1" x14ac:dyDescent="0.35">
      <c r="L3187" s="2"/>
      <c r="M3187" s="2"/>
      <c r="N3187" s="650"/>
      <c r="O3187" s="650"/>
      <c r="P3187" s="651"/>
      <c r="Q3187" s="651"/>
      <c r="R3187" s="651"/>
      <c r="S3187" s="651"/>
    </row>
    <row r="3188" spans="12:19" ht="15.75" customHeight="1" x14ac:dyDescent="0.35">
      <c r="L3188" s="2"/>
      <c r="M3188" s="2"/>
      <c r="N3188" s="650"/>
      <c r="O3188" s="650"/>
      <c r="P3188" s="651"/>
      <c r="Q3188" s="651"/>
      <c r="R3188" s="651"/>
      <c r="S3188" s="651"/>
    </row>
    <row r="3189" spans="12:19" ht="15.75" customHeight="1" x14ac:dyDescent="0.35">
      <c r="L3189" s="2"/>
      <c r="M3189" s="2"/>
      <c r="N3189" s="650"/>
      <c r="O3189" s="650"/>
      <c r="P3189" s="651"/>
      <c r="Q3189" s="651"/>
      <c r="R3189" s="651"/>
      <c r="S3189" s="651"/>
    </row>
    <row r="3190" spans="12:19" ht="15.75" customHeight="1" x14ac:dyDescent="0.35">
      <c r="L3190" s="2"/>
      <c r="M3190" s="2"/>
      <c r="N3190" s="650"/>
      <c r="O3190" s="650"/>
      <c r="P3190" s="651"/>
      <c r="Q3190" s="651"/>
      <c r="R3190" s="651"/>
      <c r="S3190" s="651"/>
    </row>
    <row r="3191" spans="12:19" ht="15.75" customHeight="1" x14ac:dyDescent="0.35">
      <c r="L3191" s="2"/>
      <c r="M3191" s="2"/>
      <c r="N3191" s="650"/>
      <c r="O3191" s="650"/>
      <c r="P3191" s="651"/>
      <c r="Q3191" s="651"/>
      <c r="R3191" s="651"/>
      <c r="S3191" s="651"/>
    </row>
    <row r="3192" spans="12:19" ht="15.75" customHeight="1" x14ac:dyDescent="0.35">
      <c r="L3192" s="2"/>
      <c r="M3192" s="2"/>
      <c r="N3192" s="650"/>
      <c r="O3192" s="650"/>
      <c r="P3192" s="651"/>
      <c r="Q3192" s="651"/>
      <c r="R3192" s="651"/>
      <c r="S3192" s="651"/>
    </row>
    <row r="3193" spans="12:19" ht="15.75" customHeight="1" x14ac:dyDescent="0.35">
      <c r="L3193" s="2"/>
      <c r="M3193" s="2"/>
      <c r="N3193" s="650"/>
      <c r="O3193" s="650"/>
      <c r="P3193" s="651"/>
      <c r="Q3193" s="651"/>
      <c r="R3193" s="651"/>
      <c r="S3193" s="651"/>
    </row>
    <row r="3194" spans="12:19" ht="15.75" customHeight="1" x14ac:dyDescent="0.35">
      <c r="L3194" s="2"/>
      <c r="M3194" s="2"/>
      <c r="N3194" s="650"/>
      <c r="O3194" s="650"/>
      <c r="P3194" s="651"/>
      <c r="Q3194" s="651"/>
      <c r="R3194" s="651"/>
      <c r="S3194" s="651"/>
    </row>
    <row r="3195" spans="12:19" ht="15.75" customHeight="1" x14ac:dyDescent="0.35">
      <c r="L3195" s="2"/>
      <c r="M3195" s="2"/>
      <c r="N3195" s="650"/>
      <c r="O3195" s="650"/>
      <c r="P3195" s="651"/>
      <c r="Q3195" s="651"/>
      <c r="R3195" s="651"/>
      <c r="S3195" s="651"/>
    </row>
    <row r="3196" spans="12:19" ht="15.75" customHeight="1" x14ac:dyDescent="0.35">
      <c r="L3196" s="2"/>
      <c r="M3196" s="2"/>
      <c r="N3196" s="650"/>
      <c r="O3196" s="650"/>
      <c r="P3196" s="651"/>
      <c r="Q3196" s="651"/>
      <c r="R3196" s="651"/>
      <c r="S3196" s="651"/>
    </row>
    <row r="3197" spans="12:19" ht="15.75" customHeight="1" x14ac:dyDescent="0.35">
      <c r="L3197" s="2"/>
      <c r="M3197" s="2"/>
      <c r="N3197" s="650"/>
      <c r="O3197" s="650"/>
      <c r="P3197" s="651"/>
      <c r="Q3197" s="651"/>
      <c r="R3197" s="651"/>
      <c r="S3197" s="651"/>
    </row>
    <row r="3198" spans="12:19" ht="15.75" customHeight="1" x14ac:dyDescent="0.35">
      <c r="L3198" s="2"/>
      <c r="M3198" s="2"/>
      <c r="N3198" s="650"/>
      <c r="O3198" s="650"/>
      <c r="P3198" s="651"/>
      <c r="Q3198" s="651"/>
      <c r="R3198" s="651"/>
      <c r="S3198" s="651"/>
    </row>
    <row r="3199" spans="12:19" ht="15.75" customHeight="1" x14ac:dyDescent="0.35">
      <c r="L3199" s="2"/>
      <c r="M3199" s="2"/>
      <c r="N3199" s="650"/>
      <c r="O3199" s="650"/>
      <c r="P3199" s="651"/>
      <c r="Q3199" s="651"/>
      <c r="R3199" s="651"/>
      <c r="S3199" s="651"/>
    </row>
    <row r="3200" spans="12:19" ht="15.75" customHeight="1" x14ac:dyDescent="0.35">
      <c r="L3200" s="2"/>
      <c r="M3200" s="2"/>
      <c r="N3200" s="650"/>
      <c r="O3200" s="650"/>
      <c r="P3200" s="651"/>
      <c r="Q3200" s="651"/>
      <c r="R3200" s="651"/>
      <c r="S3200" s="651"/>
    </row>
    <row r="3201" spans="12:19" ht="15.75" customHeight="1" x14ac:dyDescent="0.35">
      <c r="L3201" s="2"/>
      <c r="M3201" s="2"/>
      <c r="N3201" s="650"/>
      <c r="O3201" s="650"/>
      <c r="P3201" s="651"/>
      <c r="Q3201" s="651"/>
      <c r="R3201" s="651"/>
      <c r="S3201" s="651"/>
    </row>
    <row r="3202" spans="12:19" ht="15.75" customHeight="1" x14ac:dyDescent="0.35">
      <c r="L3202" s="2"/>
      <c r="M3202" s="2"/>
      <c r="N3202" s="650"/>
      <c r="O3202" s="650"/>
      <c r="P3202" s="651"/>
      <c r="Q3202" s="651"/>
      <c r="R3202" s="651"/>
      <c r="S3202" s="651"/>
    </row>
    <row r="3203" spans="12:19" ht="15.75" customHeight="1" x14ac:dyDescent="0.35">
      <c r="L3203" s="2"/>
      <c r="M3203" s="2"/>
      <c r="N3203" s="650"/>
      <c r="O3203" s="650"/>
      <c r="P3203" s="651"/>
      <c r="Q3203" s="651"/>
      <c r="R3203" s="651"/>
      <c r="S3203" s="651"/>
    </row>
    <row r="3204" spans="12:19" ht="15.75" customHeight="1" x14ac:dyDescent="0.35">
      <c r="L3204" s="2"/>
      <c r="M3204" s="2"/>
      <c r="N3204" s="650"/>
      <c r="O3204" s="650"/>
      <c r="P3204" s="651"/>
      <c r="Q3204" s="651"/>
      <c r="R3204" s="651"/>
      <c r="S3204" s="651"/>
    </row>
    <row r="3205" spans="12:19" ht="15.75" customHeight="1" x14ac:dyDescent="0.35">
      <c r="L3205" s="2"/>
      <c r="M3205" s="2"/>
      <c r="N3205" s="650"/>
      <c r="O3205" s="650"/>
      <c r="P3205" s="651"/>
      <c r="Q3205" s="651"/>
      <c r="R3205" s="651"/>
      <c r="S3205" s="651"/>
    </row>
    <row r="3206" spans="12:19" ht="15.75" customHeight="1" x14ac:dyDescent="0.35">
      <c r="L3206" s="2"/>
      <c r="M3206" s="2"/>
      <c r="N3206" s="650"/>
      <c r="O3206" s="650"/>
      <c r="P3206" s="651"/>
      <c r="Q3206" s="651"/>
      <c r="R3206" s="651"/>
      <c r="S3206" s="651"/>
    </row>
    <row r="3207" spans="12:19" ht="15.75" customHeight="1" x14ac:dyDescent="0.35">
      <c r="L3207" s="2"/>
      <c r="M3207" s="2"/>
      <c r="N3207" s="650"/>
      <c r="O3207" s="650"/>
      <c r="P3207" s="651"/>
      <c r="Q3207" s="651"/>
      <c r="R3207" s="651"/>
      <c r="S3207" s="651"/>
    </row>
    <row r="3208" spans="12:19" ht="15.75" customHeight="1" x14ac:dyDescent="0.35">
      <c r="L3208" s="2"/>
      <c r="M3208" s="2"/>
      <c r="N3208" s="650"/>
      <c r="O3208" s="650"/>
      <c r="P3208" s="651"/>
      <c r="Q3208" s="651"/>
      <c r="R3208" s="651"/>
      <c r="S3208" s="651"/>
    </row>
    <row r="3209" spans="12:19" ht="15.75" customHeight="1" x14ac:dyDescent="0.35">
      <c r="L3209" s="2"/>
      <c r="M3209" s="2"/>
      <c r="N3209" s="650"/>
      <c r="O3209" s="650"/>
      <c r="P3209" s="651"/>
      <c r="Q3209" s="651"/>
      <c r="R3209" s="651"/>
      <c r="S3209" s="651"/>
    </row>
    <row r="3210" spans="12:19" ht="15.75" customHeight="1" x14ac:dyDescent="0.35">
      <c r="L3210" s="2"/>
      <c r="M3210" s="2"/>
      <c r="N3210" s="650"/>
      <c r="O3210" s="650"/>
      <c r="P3210" s="651"/>
      <c r="Q3210" s="651"/>
      <c r="R3210" s="651"/>
      <c r="S3210" s="651"/>
    </row>
    <row r="3211" spans="12:19" ht="15.75" customHeight="1" x14ac:dyDescent="0.35">
      <c r="L3211" s="2"/>
      <c r="M3211" s="2"/>
      <c r="N3211" s="650"/>
      <c r="O3211" s="650"/>
      <c r="P3211" s="651"/>
      <c r="Q3211" s="651"/>
      <c r="R3211" s="651"/>
      <c r="S3211" s="651"/>
    </row>
    <row r="3212" spans="12:19" ht="15.75" customHeight="1" x14ac:dyDescent="0.35">
      <c r="L3212" s="2"/>
      <c r="M3212" s="2"/>
      <c r="N3212" s="650"/>
      <c r="O3212" s="650"/>
      <c r="P3212" s="651"/>
      <c r="Q3212" s="651"/>
      <c r="R3212" s="651"/>
      <c r="S3212" s="651"/>
    </row>
    <row r="3213" spans="12:19" ht="15.75" customHeight="1" x14ac:dyDescent="0.35">
      <c r="L3213" s="2"/>
      <c r="M3213" s="2"/>
      <c r="N3213" s="650"/>
      <c r="O3213" s="650"/>
      <c r="P3213" s="651"/>
      <c r="Q3213" s="651"/>
      <c r="R3213" s="651"/>
      <c r="S3213" s="651"/>
    </row>
    <row r="3214" spans="12:19" ht="15.75" customHeight="1" x14ac:dyDescent="0.35">
      <c r="L3214" s="2"/>
      <c r="M3214" s="2"/>
      <c r="N3214" s="650"/>
      <c r="O3214" s="650"/>
      <c r="P3214" s="651"/>
      <c r="Q3214" s="651"/>
      <c r="R3214" s="651"/>
      <c r="S3214" s="651"/>
    </row>
    <row r="3215" spans="12:19" ht="15.75" customHeight="1" x14ac:dyDescent="0.35">
      <c r="L3215" s="2"/>
      <c r="M3215" s="2"/>
      <c r="N3215" s="650"/>
      <c r="O3215" s="650"/>
      <c r="P3215" s="651"/>
      <c r="Q3215" s="651"/>
      <c r="R3215" s="651"/>
      <c r="S3215" s="651"/>
    </row>
    <row r="3216" spans="12:19" ht="15.75" customHeight="1" x14ac:dyDescent="0.35">
      <c r="L3216" s="2"/>
      <c r="M3216" s="2"/>
      <c r="N3216" s="650"/>
      <c r="O3216" s="650"/>
      <c r="P3216" s="651"/>
      <c r="Q3216" s="651"/>
      <c r="R3216" s="651"/>
      <c r="S3216" s="651"/>
    </row>
    <row r="3217" spans="12:19" ht="15.75" customHeight="1" x14ac:dyDescent="0.35">
      <c r="L3217" s="2"/>
      <c r="M3217" s="2"/>
      <c r="N3217" s="650"/>
      <c r="O3217" s="650"/>
      <c r="P3217" s="651"/>
      <c r="Q3217" s="651"/>
      <c r="R3217" s="651"/>
      <c r="S3217" s="651"/>
    </row>
    <row r="3218" spans="12:19" ht="15.75" customHeight="1" x14ac:dyDescent="0.35">
      <c r="L3218" s="2"/>
      <c r="M3218" s="2"/>
      <c r="N3218" s="650"/>
      <c r="O3218" s="650"/>
      <c r="P3218" s="651"/>
      <c r="Q3218" s="651"/>
      <c r="R3218" s="651"/>
      <c r="S3218" s="651"/>
    </row>
    <row r="3219" spans="12:19" ht="15.75" customHeight="1" x14ac:dyDescent="0.35">
      <c r="L3219" s="2"/>
      <c r="M3219" s="2"/>
      <c r="N3219" s="650"/>
      <c r="O3219" s="650"/>
      <c r="P3219" s="651"/>
      <c r="Q3219" s="651"/>
      <c r="R3219" s="651"/>
      <c r="S3219" s="651"/>
    </row>
    <row r="3220" spans="12:19" ht="15.75" customHeight="1" x14ac:dyDescent="0.35">
      <c r="L3220" s="2"/>
      <c r="M3220" s="2"/>
      <c r="N3220" s="650"/>
      <c r="O3220" s="650"/>
      <c r="P3220" s="651"/>
      <c r="Q3220" s="651"/>
      <c r="R3220" s="651"/>
      <c r="S3220" s="651"/>
    </row>
    <row r="3221" spans="12:19" ht="15.75" customHeight="1" x14ac:dyDescent="0.35">
      <c r="L3221" s="2"/>
      <c r="M3221" s="2"/>
      <c r="N3221" s="650"/>
      <c r="O3221" s="650"/>
      <c r="P3221" s="651"/>
      <c r="Q3221" s="651"/>
      <c r="R3221" s="651"/>
      <c r="S3221" s="651"/>
    </row>
    <row r="3222" spans="12:19" ht="15.75" customHeight="1" x14ac:dyDescent="0.35">
      <c r="L3222" s="2"/>
      <c r="M3222" s="2"/>
      <c r="N3222" s="650"/>
      <c r="O3222" s="650"/>
      <c r="P3222" s="651"/>
      <c r="Q3222" s="651"/>
      <c r="R3222" s="651"/>
      <c r="S3222" s="651"/>
    </row>
    <row r="3223" spans="12:19" ht="15.75" customHeight="1" x14ac:dyDescent="0.35">
      <c r="L3223" s="2"/>
      <c r="M3223" s="2"/>
      <c r="N3223" s="650"/>
      <c r="O3223" s="650"/>
      <c r="P3223" s="651"/>
      <c r="Q3223" s="651"/>
      <c r="R3223" s="651"/>
      <c r="S3223" s="651"/>
    </row>
    <row r="3224" spans="12:19" ht="15.75" customHeight="1" x14ac:dyDescent="0.35">
      <c r="L3224" s="2"/>
      <c r="M3224" s="2"/>
      <c r="N3224" s="650"/>
      <c r="O3224" s="650"/>
      <c r="P3224" s="651"/>
      <c r="Q3224" s="651"/>
      <c r="R3224" s="651"/>
      <c r="S3224" s="651"/>
    </row>
    <row r="3225" spans="12:19" ht="15.75" customHeight="1" x14ac:dyDescent="0.35">
      <c r="L3225" s="2"/>
      <c r="M3225" s="2"/>
      <c r="N3225" s="650"/>
      <c r="O3225" s="650"/>
      <c r="P3225" s="651"/>
      <c r="Q3225" s="651"/>
      <c r="R3225" s="651"/>
      <c r="S3225" s="651"/>
    </row>
    <row r="3226" spans="12:19" ht="15.75" customHeight="1" x14ac:dyDescent="0.35">
      <c r="L3226" s="2"/>
      <c r="M3226" s="2"/>
      <c r="N3226" s="650"/>
      <c r="O3226" s="650"/>
      <c r="P3226" s="651"/>
      <c r="Q3226" s="651"/>
      <c r="R3226" s="651"/>
      <c r="S3226" s="651"/>
    </row>
    <row r="3227" spans="12:19" ht="15.75" customHeight="1" x14ac:dyDescent="0.35">
      <c r="L3227" s="2"/>
      <c r="M3227" s="2"/>
      <c r="N3227" s="650"/>
      <c r="O3227" s="650"/>
      <c r="P3227" s="651"/>
      <c r="Q3227" s="651"/>
      <c r="R3227" s="651"/>
      <c r="S3227" s="651"/>
    </row>
    <row r="3228" spans="12:19" ht="15.75" customHeight="1" x14ac:dyDescent="0.35">
      <c r="L3228" s="2"/>
      <c r="M3228" s="2"/>
      <c r="N3228" s="650"/>
      <c r="O3228" s="650"/>
      <c r="P3228" s="651"/>
      <c r="Q3228" s="651"/>
      <c r="R3228" s="651"/>
      <c r="S3228" s="651"/>
    </row>
    <row r="3229" spans="12:19" ht="15.75" customHeight="1" x14ac:dyDescent="0.35">
      <c r="L3229" s="2"/>
      <c r="M3229" s="2"/>
      <c r="N3229" s="650"/>
      <c r="O3229" s="650"/>
      <c r="P3229" s="651"/>
      <c r="Q3229" s="651"/>
      <c r="R3229" s="651"/>
      <c r="S3229" s="651"/>
    </row>
    <row r="3230" spans="12:19" ht="15.75" customHeight="1" x14ac:dyDescent="0.35">
      <c r="L3230" s="2"/>
      <c r="M3230" s="2"/>
      <c r="N3230" s="650"/>
      <c r="O3230" s="650"/>
      <c r="P3230" s="651"/>
      <c r="Q3230" s="651"/>
      <c r="R3230" s="651"/>
      <c r="S3230" s="651"/>
    </row>
    <row r="3231" spans="12:19" ht="15.75" customHeight="1" x14ac:dyDescent="0.35">
      <c r="L3231" s="2"/>
      <c r="M3231" s="2"/>
      <c r="N3231" s="650"/>
      <c r="O3231" s="650"/>
      <c r="P3231" s="651"/>
      <c r="Q3231" s="651"/>
      <c r="R3231" s="651"/>
      <c r="S3231" s="651"/>
    </row>
    <row r="3232" spans="12:19" ht="15.75" customHeight="1" x14ac:dyDescent="0.35">
      <c r="L3232" s="2"/>
      <c r="M3232" s="2"/>
      <c r="N3232" s="650"/>
      <c r="O3232" s="650"/>
      <c r="P3232" s="651"/>
      <c r="Q3232" s="651"/>
      <c r="R3232" s="651"/>
      <c r="S3232" s="651"/>
    </row>
    <row r="3233" spans="12:19" ht="15.75" customHeight="1" x14ac:dyDescent="0.35">
      <c r="L3233" s="2"/>
      <c r="M3233" s="2"/>
      <c r="N3233" s="650"/>
      <c r="O3233" s="650"/>
      <c r="P3233" s="651"/>
      <c r="Q3233" s="651"/>
      <c r="R3233" s="651"/>
      <c r="S3233" s="651"/>
    </row>
    <row r="3234" spans="12:19" ht="15.75" customHeight="1" x14ac:dyDescent="0.35">
      <c r="L3234" s="2"/>
      <c r="M3234" s="2"/>
      <c r="N3234" s="650"/>
      <c r="O3234" s="650"/>
      <c r="P3234" s="651"/>
      <c r="Q3234" s="651"/>
      <c r="R3234" s="651"/>
      <c r="S3234" s="651"/>
    </row>
    <row r="3235" spans="12:19" ht="15.75" customHeight="1" x14ac:dyDescent="0.35">
      <c r="L3235" s="2"/>
      <c r="M3235" s="2"/>
      <c r="N3235" s="650"/>
      <c r="O3235" s="650"/>
      <c r="P3235" s="651"/>
      <c r="Q3235" s="651"/>
      <c r="R3235" s="651"/>
      <c r="S3235" s="651"/>
    </row>
    <row r="3236" spans="12:19" ht="15.75" customHeight="1" x14ac:dyDescent="0.35">
      <c r="L3236" s="2"/>
      <c r="M3236" s="2"/>
      <c r="N3236" s="650"/>
      <c r="O3236" s="650"/>
      <c r="P3236" s="651"/>
      <c r="Q3236" s="651"/>
      <c r="R3236" s="651"/>
      <c r="S3236" s="651"/>
    </row>
    <row r="3237" spans="12:19" ht="15.75" customHeight="1" x14ac:dyDescent="0.35">
      <c r="L3237" s="2"/>
      <c r="M3237" s="2"/>
      <c r="N3237" s="650"/>
      <c r="O3237" s="650"/>
      <c r="P3237" s="651"/>
      <c r="Q3237" s="651"/>
      <c r="R3237" s="651"/>
      <c r="S3237" s="651"/>
    </row>
    <row r="3238" spans="12:19" ht="15.75" customHeight="1" x14ac:dyDescent="0.35">
      <c r="L3238" s="2"/>
      <c r="M3238" s="2"/>
      <c r="N3238" s="650"/>
      <c r="O3238" s="650"/>
      <c r="P3238" s="651"/>
      <c r="Q3238" s="651"/>
      <c r="R3238" s="651"/>
      <c r="S3238" s="651"/>
    </row>
    <row r="3239" spans="12:19" ht="15.75" customHeight="1" x14ac:dyDescent="0.35">
      <c r="L3239" s="2"/>
      <c r="M3239" s="2"/>
      <c r="N3239" s="650"/>
      <c r="O3239" s="650"/>
      <c r="P3239" s="651"/>
      <c r="Q3239" s="651"/>
      <c r="R3239" s="651"/>
      <c r="S3239" s="651"/>
    </row>
    <row r="3240" spans="12:19" ht="15.75" customHeight="1" x14ac:dyDescent="0.35">
      <c r="L3240" s="2"/>
      <c r="M3240" s="2"/>
      <c r="N3240" s="650"/>
      <c r="O3240" s="650"/>
      <c r="P3240" s="651"/>
      <c r="Q3240" s="651"/>
      <c r="R3240" s="651"/>
      <c r="S3240" s="651"/>
    </row>
    <row r="3241" spans="12:19" ht="15.75" customHeight="1" x14ac:dyDescent="0.35">
      <c r="L3241" s="2"/>
      <c r="M3241" s="2"/>
      <c r="N3241" s="650"/>
      <c r="O3241" s="650"/>
      <c r="P3241" s="651"/>
      <c r="Q3241" s="651"/>
      <c r="R3241" s="651"/>
      <c r="S3241" s="651"/>
    </row>
    <row r="3242" spans="12:19" ht="15.75" customHeight="1" x14ac:dyDescent="0.35">
      <c r="L3242" s="2"/>
      <c r="M3242" s="2"/>
      <c r="N3242" s="650"/>
      <c r="O3242" s="650"/>
      <c r="P3242" s="651"/>
      <c r="Q3242" s="651"/>
      <c r="R3242" s="651"/>
      <c r="S3242" s="651"/>
    </row>
    <row r="3243" spans="12:19" ht="15.75" customHeight="1" x14ac:dyDescent="0.35">
      <c r="L3243" s="2"/>
      <c r="M3243" s="2"/>
      <c r="N3243" s="650"/>
      <c r="O3243" s="650"/>
      <c r="P3243" s="651"/>
      <c r="Q3243" s="651"/>
      <c r="R3243" s="651"/>
      <c r="S3243" s="651"/>
    </row>
    <row r="3244" spans="12:19" ht="15.75" customHeight="1" x14ac:dyDescent="0.35">
      <c r="L3244" s="2"/>
      <c r="M3244" s="2"/>
      <c r="N3244" s="650"/>
      <c r="O3244" s="650"/>
      <c r="P3244" s="651"/>
      <c r="Q3244" s="651"/>
      <c r="R3244" s="651"/>
      <c r="S3244" s="651"/>
    </row>
    <row r="3245" spans="12:19" ht="15.75" customHeight="1" x14ac:dyDescent="0.35">
      <c r="L3245" s="2"/>
      <c r="M3245" s="2"/>
      <c r="N3245" s="650"/>
      <c r="O3245" s="650"/>
      <c r="P3245" s="651"/>
      <c r="Q3245" s="651"/>
      <c r="R3245" s="651"/>
      <c r="S3245" s="651"/>
    </row>
    <row r="3246" spans="12:19" ht="15.75" customHeight="1" x14ac:dyDescent="0.35">
      <c r="L3246" s="2"/>
      <c r="M3246" s="2"/>
      <c r="N3246" s="650"/>
      <c r="O3246" s="650"/>
      <c r="P3246" s="651"/>
      <c r="Q3246" s="651"/>
      <c r="R3246" s="651"/>
      <c r="S3246" s="651"/>
    </row>
    <row r="3247" spans="12:19" ht="15.75" customHeight="1" x14ac:dyDescent="0.35">
      <c r="L3247" s="2"/>
      <c r="M3247" s="2"/>
      <c r="N3247" s="650"/>
      <c r="O3247" s="650"/>
      <c r="P3247" s="651"/>
      <c r="Q3247" s="651"/>
      <c r="R3247" s="651"/>
      <c r="S3247" s="651"/>
    </row>
    <row r="3248" spans="12:19" ht="15.75" customHeight="1" x14ac:dyDescent="0.35">
      <c r="L3248" s="2"/>
      <c r="M3248" s="2"/>
      <c r="N3248" s="650"/>
      <c r="O3248" s="650"/>
      <c r="P3248" s="651"/>
      <c r="Q3248" s="651"/>
      <c r="R3248" s="651"/>
      <c r="S3248" s="651"/>
    </row>
    <row r="3249" spans="12:19" ht="15.75" customHeight="1" x14ac:dyDescent="0.35">
      <c r="L3249" s="2"/>
      <c r="M3249" s="2"/>
      <c r="N3249" s="650"/>
      <c r="O3249" s="650"/>
      <c r="P3249" s="651"/>
      <c r="Q3249" s="651"/>
      <c r="R3249" s="651"/>
      <c r="S3249" s="651"/>
    </row>
    <row r="3250" spans="12:19" ht="15.75" customHeight="1" x14ac:dyDescent="0.35">
      <c r="L3250" s="2"/>
      <c r="M3250" s="2"/>
      <c r="N3250" s="650"/>
      <c r="O3250" s="650"/>
      <c r="P3250" s="651"/>
      <c r="Q3250" s="651"/>
      <c r="R3250" s="651"/>
      <c r="S3250" s="651"/>
    </row>
    <row r="3251" spans="12:19" ht="15.75" customHeight="1" x14ac:dyDescent="0.35">
      <c r="L3251" s="2"/>
      <c r="M3251" s="2"/>
      <c r="N3251" s="650"/>
      <c r="O3251" s="650"/>
      <c r="P3251" s="651"/>
      <c r="Q3251" s="651"/>
      <c r="R3251" s="651"/>
      <c r="S3251" s="651"/>
    </row>
    <row r="3252" spans="12:19" ht="15.75" customHeight="1" x14ac:dyDescent="0.35">
      <c r="L3252" s="2"/>
      <c r="M3252" s="2"/>
      <c r="N3252" s="650"/>
      <c r="O3252" s="650"/>
      <c r="P3252" s="651"/>
      <c r="Q3252" s="651"/>
      <c r="R3252" s="651"/>
      <c r="S3252" s="651"/>
    </row>
    <row r="3253" spans="12:19" ht="15.75" customHeight="1" x14ac:dyDescent="0.35">
      <c r="L3253" s="2"/>
      <c r="M3253" s="2"/>
      <c r="N3253" s="650"/>
      <c r="O3253" s="650"/>
      <c r="P3253" s="651"/>
      <c r="Q3253" s="651"/>
      <c r="R3253" s="651"/>
      <c r="S3253" s="651"/>
    </row>
    <row r="3254" spans="12:19" ht="15.75" customHeight="1" x14ac:dyDescent="0.35">
      <c r="L3254" s="2"/>
      <c r="M3254" s="2"/>
      <c r="N3254" s="650"/>
      <c r="O3254" s="650"/>
      <c r="P3254" s="651"/>
      <c r="Q3254" s="651"/>
      <c r="R3254" s="651"/>
      <c r="S3254" s="651"/>
    </row>
    <row r="3255" spans="12:19" ht="15.75" customHeight="1" x14ac:dyDescent="0.35">
      <c r="L3255" s="2"/>
      <c r="M3255" s="2"/>
      <c r="N3255" s="650"/>
      <c r="O3255" s="650"/>
      <c r="P3255" s="651"/>
      <c r="Q3255" s="651"/>
      <c r="R3255" s="651"/>
      <c r="S3255" s="651"/>
    </row>
    <row r="3256" spans="12:19" ht="15.75" customHeight="1" x14ac:dyDescent="0.35">
      <c r="L3256" s="2"/>
      <c r="M3256" s="2"/>
      <c r="N3256" s="650"/>
      <c r="O3256" s="650"/>
      <c r="P3256" s="651"/>
      <c r="Q3256" s="651"/>
      <c r="R3256" s="651"/>
      <c r="S3256" s="651"/>
    </row>
    <row r="3257" spans="12:19" ht="15.75" customHeight="1" x14ac:dyDescent="0.35">
      <c r="L3257" s="2"/>
      <c r="M3257" s="2"/>
      <c r="N3257" s="650"/>
      <c r="O3257" s="650"/>
      <c r="P3257" s="651"/>
      <c r="Q3257" s="651"/>
      <c r="R3257" s="651"/>
      <c r="S3257" s="651"/>
    </row>
    <row r="3258" spans="12:19" ht="15.75" customHeight="1" x14ac:dyDescent="0.35">
      <c r="L3258" s="2"/>
      <c r="M3258" s="2"/>
      <c r="N3258" s="650"/>
      <c r="O3258" s="650"/>
      <c r="P3258" s="651"/>
      <c r="Q3258" s="651"/>
      <c r="R3258" s="651"/>
      <c r="S3258" s="651"/>
    </row>
    <row r="3259" spans="12:19" ht="15.75" customHeight="1" x14ac:dyDescent="0.35">
      <c r="L3259" s="2"/>
      <c r="M3259" s="2"/>
      <c r="N3259" s="650"/>
      <c r="O3259" s="650"/>
      <c r="P3259" s="651"/>
      <c r="Q3259" s="651"/>
      <c r="R3259" s="651"/>
      <c r="S3259" s="651"/>
    </row>
    <row r="3260" spans="12:19" ht="15.75" customHeight="1" x14ac:dyDescent="0.35">
      <c r="L3260" s="2"/>
      <c r="M3260" s="2"/>
      <c r="N3260" s="650"/>
      <c r="O3260" s="650"/>
      <c r="P3260" s="651"/>
      <c r="Q3260" s="651"/>
      <c r="R3260" s="651"/>
      <c r="S3260" s="651"/>
    </row>
    <row r="3261" spans="12:19" ht="15.75" customHeight="1" x14ac:dyDescent="0.35">
      <c r="L3261" s="2"/>
      <c r="M3261" s="2"/>
      <c r="N3261" s="650"/>
      <c r="O3261" s="650"/>
      <c r="P3261" s="651"/>
      <c r="Q3261" s="651"/>
      <c r="R3261" s="651"/>
      <c r="S3261" s="651"/>
    </row>
    <row r="3262" spans="12:19" ht="15.75" customHeight="1" x14ac:dyDescent="0.35">
      <c r="L3262" s="2"/>
      <c r="M3262" s="2"/>
      <c r="N3262" s="650"/>
      <c r="O3262" s="650"/>
      <c r="P3262" s="651"/>
      <c r="Q3262" s="651"/>
      <c r="R3262" s="651"/>
      <c r="S3262" s="651"/>
    </row>
    <row r="3263" spans="12:19" ht="15.75" customHeight="1" x14ac:dyDescent="0.35">
      <c r="L3263" s="2"/>
      <c r="M3263" s="2"/>
      <c r="N3263" s="650"/>
      <c r="O3263" s="650"/>
      <c r="P3263" s="651"/>
      <c r="Q3263" s="651"/>
      <c r="R3263" s="651"/>
      <c r="S3263" s="651"/>
    </row>
    <row r="3264" spans="12:19" ht="15.75" customHeight="1" x14ac:dyDescent="0.35">
      <c r="L3264" s="2"/>
      <c r="M3264" s="2"/>
      <c r="N3264" s="650"/>
      <c r="O3264" s="650"/>
      <c r="P3264" s="651"/>
      <c r="Q3264" s="651"/>
      <c r="R3264" s="651"/>
      <c r="S3264" s="651"/>
    </row>
    <row r="3265" spans="12:19" ht="15.75" customHeight="1" x14ac:dyDescent="0.35">
      <c r="L3265" s="2"/>
      <c r="M3265" s="2"/>
      <c r="N3265" s="650"/>
      <c r="O3265" s="650"/>
      <c r="P3265" s="651"/>
      <c r="Q3265" s="651"/>
      <c r="R3265" s="651"/>
      <c r="S3265" s="651"/>
    </row>
    <row r="3266" spans="12:19" ht="15.75" customHeight="1" x14ac:dyDescent="0.35">
      <c r="L3266" s="2"/>
      <c r="M3266" s="2"/>
      <c r="N3266" s="650"/>
      <c r="O3266" s="650"/>
      <c r="P3266" s="651"/>
      <c r="Q3266" s="651"/>
      <c r="R3266" s="651"/>
      <c r="S3266" s="651"/>
    </row>
    <row r="3267" spans="12:19" ht="15.75" customHeight="1" x14ac:dyDescent="0.35">
      <c r="L3267" s="2"/>
      <c r="M3267" s="2"/>
      <c r="N3267" s="650"/>
      <c r="O3267" s="650"/>
      <c r="P3267" s="651"/>
      <c r="Q3267" s="651"/>
      <c r="R3267" s="651"/>
      <c r="S3267" s="651"/>
    </row>
    <row r="3268" spans="12:19" ht="15.75" customHeight="1" x14ac:dyDescent="0.35">
      <c r="L3268" s="2"/>
      <c r="M3268" s="2"/>
      <c r="N3268" s="650"/>
      <c r="O3268" s="650"/>
      <c r="P3268" s="651"/>
      <c r="Q3268" s="651"/>
      <c r="R3268" s="651"/>
      <c r="S3268" s="651"/>
    </row>
    <row r="3269" spans="12:19" ht="15.75" customHeight="1" x14ac:dyDescent="0.35">
      <c r="L3269" s="2"/>
      <c r="M3269" s="2"/>
      <c r="N3269" s="650"/>
      <c r="O3269" s="650"/>
      <c r="P3269" s="651"/>
      <c r="Q3269" s="651"/>
      <c r="R3269" s="651"/>
      <c r="S3269" s="651"/>
    </row>
    <row r="3270" spans="12:19" ht="15.75" customHeight="1" x14ac:dyDescent="0.35">
      <c r="L3270" s="2"/>
      <c r="M3270" s="2"/>
      <c r="N3270" s="650"/>
      <c r="O3270" s="650"/>
      <c r="P3270" s="651"/>
      <c r="Q3270" s="651"/>
      <c r="R3270" s="651"/>
      <c r="S3270" s="651"/>
    </row>
    <row r="3271" spans="12:19" ht="15.75" customHeight="1" x14ac:dyDescent="0.35">
      <c r="L3271" s="2"/>
      <c r="M3271" s="2"/>
      <c r="N3271" s="650"/>
      <c r="O3271" s="650"/>
      <c r="P3271" s="651"/>
      <c r="Q3271" s="651"/>
      <c r="R3271" s="651"/>
      <c r="S3271" s="651"/>
    </row>
    <row r="3272" spans="12:19" ht="15.75" customHeight="1" x14ac:dyDescent="0.35">
      <c r="L3272" s="2"/>
      <c r="M3272" s="2"/>
      <c r="N3272" s="650"/>
      <c r="O3272" s="650"/>
      <c r="P3272" s="651"/>
      <c r="Q3272" s="651"/>
      <c r="R3272" s="651"/>
      <c r="S3272" s="651"/>
    </row>
    <row r="3273" spans="12:19" ht="15.75" customHeight="1" x14ac:dyDescent="0.35">
      <c r="L3273" s="2"/>
      <c r="M3273" s="2"/>
      <c r="N3273" s="650"/>
      <c r="O3273" s="650"/>
      <c r="P3273" s="651"/>
      <c r="Q3273" s="651"/>
      <c r="R3273" s="651"/>
      <c r="S3273" s="651"/>
    </row>
    <row r="3274" spans="12:19" ht="15.75" customHeight="1" x14ac:dyDescent="0.35">
      <c r="L3274" s="2"/>
      <c r="M3274" s="2"/>
      <c r="N3274" s="650"/>
      <c r="O3274" s="650"/>
      <c r="P3274" s="651"/>
      <c r="Q3274" s="651"/>
      <c r="R3274" s="651"/>
      <c r="S3274" s="651"/>
    </row>
    <row r="3275" spans="12:19" ht="15.75" customHeight="1" x14ac:dyDescent="0.35">
      <c r="L3275" s="2"/>
      <c r="M3275" s="2"/>
      <c r="N3275" s="650"/>
      <c r="O3275" s="650"/>
      <c r="P3275" s="651"/>
      <c r="Q3275" s="651"/>
      <c r="R3275" s="651"/>
      <c r="S3275" s="651"/>
    </row>
    <row r="3276" spans="12:19" ht="15.75" customHeight="1" x14ac:dyDescent="0.35">
      <c r="L3276" s="2"/>
      <c r="M3276" s="2"/>
      <c r="N3276" s="650"/>
      <c r="O3276" s="650"/>
      <c r="P3276" s="651"/>
      <c r="Q3276" s="651"/>
      <c r="R3276" s="651"/>
      <c r="S3276" s="651"/>
    </row>
    <row r="3277" spans="12:19" ht="15.75" customHeight="1" x14ac:dyDescent="0.35">
      <c r="L3277" s="2"/>
      <c r="M3277" s="2"/>
      <c r="N3277" s="650"/>
      <c r="O3277" s="650"/>
      <c r="P3277" s="651"/>
      <c r="Q3277" s="651"/>
      <c r="R3277" s="651"/>
      <c r="S3277" s="651"/>
    </row>
    <row r="3278" spans="12:19" ht="15.75" customHeight="1" x14ac:dyDescent="0.35">
      <c r="L3278" s="2"/>
      <c r="M3278" s="2"/>
      <c r="N3278" s="650"/>
      <c r="O3278" s="650"/>
      <c r="P3278" s="651"/>
      <c r="Q3278" s="651"/>
      <c r="R3278" s="651"/>
      <c r="S3278" s="651"/>
    </row>
    <row r="3279" spans="12:19" ht="15.75" customHeight="1" x14ac:dyDescent="0.35">
      <c r="L3279" s="2"/>
      <c r="M3279" s="2"/>
      <c r="N3279" s="650"/>
      <c r="O3279" s="650"/>
      <c r="P3279" s="651"/>
      <c r="Q3279" s="651"/>
      <c r="R3279" s="651"/>
      <c r="S3279" s="651"/>
    </row>
    <row r="3280" spans="12:19" ht="15.75" customHeight="1" x14ac:dyDescent="0.35">
      <c r="L3280" s="2"/>
      <c r="M3280" s="2"/>
      <c r="N3280" s="650"/>
      <c r="O3280" s="650"/>
      <c r="P3280" s="651"/>
      <c r="Q3280" s="651"/>
      <c r="R3280" s="651"/>
      <c r="S3280" s="651"/>
    </row>
    <row r="3281" spans="12:19" ht="15.75" customHeight="1" x14ac:dyDescent="0.35">
      <c r="L3281" s="2"/>
      <c r="M3281" s="2"/>
      <c r="N3281" s="650"/>
      <c r="O3281" s="650"/>
      <c r="P3281" s="651"/>
      <c r="Q3281" s="651"/>
      <c r="R3281" s="651"/>
      <c r="S3281" s="651"/>
    </row>
    <row r="3282" spans="12:19" ht="15.75" customHeight="1" x14ac:dyDescent="0.35">
      <c r="L3282" s="2"/>
      <c r="M3282" s="2"/>
      <c r="N3282" s="650"/>
      <c r="O3282" s="650"/>
      <c r="P3282" s="651"/>
      <c r="Q3282" s="651"/>
      <c r="R3282" s="651"/>
      <c r="S3282" s="651"/>
    </row>
    <row r="3283" spans="12:19" ht="15.75" customHeight="1" x14ac:dyDescent="0.35">
      <c r="L3283" s="2"/>
      <c r="M3283" s="2"/>
      <c r="N3283" s="650"/>
      <c r="O3283" s="650"/>
      <c r="P3283" s="651"/>
      <c r="Q3283" s="651"/>
      <c r="R3283" s="651"/>
      <c r="S3283" s="651"/>
    </row>
    <row r="3284" spans="12:19" ht="15.75" customHeight="1" x14ac:dyDescent="0.35">
      <c r="L3284" s="2"/>
      <c r="M3284" s="2"/>
      <c r="N3284" s="650"/>
      <c r="O3284" s="650"/>
      <c r="P3284" s="651"/>
      <c r="Q3284" s="651"/>
      <c r="R3284" s="651"/>
      <c r="S3284" s="651"/>
    </row>
    <row r="3285" spans="12:19" ht="15.75" customHeight="1" x14ac:dyDescent="0.35">
      <c r="L3285" s="2"/>
      <c r="M3285" s="2"/>
      <c r="N3285" s="650"/>
      <c r="O3285" s="650"/>
      <c r="P3285" s="651"/>
      <c r="Q3285" s="651"/>
      <c r="R3285" s="651"/>
      <c r="S3285" s="651"/>
    </row>
    <row r="3286" spans="12:19" ht="15.75" customHeight="1" x14ac:dyDescent="0.35">
      <c r="L3286" s="2"/>
      <c r="M3286" s="2"/>
      <c r="N3286" s="650"/>
      <c r="O3286" s="650"/>
      <c r="P3286" s="651"/>
      <c r="Q3286" s="651"/>
      <c r="R3286" s="651"/>
      <c r="S3286" s="651"/>
    </row>
    <row r="3287" spans="12:19" ht="15.75" customHeight="1" x14ac:dyDescent="0.35">
      <c r="L3287" s="2"/>
      <c r="M3287" s="2"/>
      <c r="N3287" s="650"/>
      <c r="O3287" s="650"/>
      <c r="P3287" s="651"/>
      <c r="Q3287" s="651"/>
      <c r="R3287" s="651"/>
      <c r="S3287" s="651"/>
    </row>
    <row r="3288" spans="12:19" ht="15.75" customHeight="1" x14ac:dyDescent="0.35">
      <c r="L3288" s="2"/>
      <c r="M3288" s="2"/>
      <c r="N3288" s="650"/>
      <c r="O3288" s="650"/>
      <c r="P3288" s="651"/>
      <c r="Q3288" s="651"/>
      <c r="R3288" s="651"/>
      <c r="S3288" s="651"/>
    </row>
    <row r="3289" spans="12:19" ht="15.75" customHeight="1" x14ac:dyDescent="0.35">
      <c r="L3289" s="2"/>
      <c r="M3289" s="2"/>
      <c r="N3289" s="650"/>
      <c r="O3289" s="650"/>
      <c r="P3289" s="651"/>
      <c r="Q3289" s="651"/>
      <c r="R3289" s="651"/>
      <c r="S3289" s="651"/>
    </row>
    <row r="3290" spans="12:19" ht="15.75" customHeight="1" x14ac:dyDescent="0.35">
      <c r="L3290" s="2"/>
      <c r="M3290" s="2"/>
      <c r="N3290" s="650"/>
      <c r="O3290" s="650"/>
      <c r="P3290" s="651"/>
      <c r="Q3290" s="651"/>
      <c r="R3290" s="651"/>
      <c r="S3290" s="651"/>
    </row>
    <row r="3291" spans="12:19" ht="15.75" customHeight="1" x14ac:dyDescent="0.35">
      <c r="L3291" s="2"/>
      <c r="M3291" s="2"/>
      <c r="N3291" s="650"/>
      <c r="O3291" s="650"/>
      <c r="P3291" s="651"/>
      <c r="Q3291" s="651"/>
      <c r="R3291" s="651"/>
      <c r="S3291" s="651"/>
    </row>
    <row r="3292" spans="12:19" ht="15.75" customHeight="1" x14ac:dyDescent="0.35">
      <c r="L3292" s="2"/>
      <c r="M3292" s="2"/>
      <c r="N3292" s="650"/>
      <c r="O3292" s="650"/>
      <c r="P3292" s="651"/>
      <c r="Q3292" s="651"/>
      <c r="R3292" s="651"/>
      <c r="S3292" s="651"/>
    </row>
    <row r="3293" spans="12:19" ht="15.75" customHeight="1" x14ac:dyDescent="0.35">
      <c r="L3293" s="2"/>
      <c r="M3293" s="2"/>
      <c r="N3293" s="650"/>
      <c r="O3293" s="650"/>
      <c r="P3293" s="651"/>
      <c r="Q3293" s="651"/>
      <c r="R3293" s="651"/>
      <c r="S3293" s="651"/>
    </row>
    <row r="3294" spans="12:19" ht="15.75" customHeight="1" x14ac:dyDescent="0.35">
      <c r="L3294" s="2"/>
      <c r="M3294" s="2"/>
      <c r="N3294" s="650"/>
      <c r="O3294" s="650"/>
      <c r="P3294" s="651"/>
      <c r="Q3294" s="651"/>
      <c r="R3294" s="651"/>
      <c r="S3294" s="651"/>
    </row>
    <row r="3295" spans="12:19" ht="15.75" customHeight="1" x14ac:dyDescent="0.35">
      <c r="L3295" s="2"/>
      <c r="M3295" s="2"/>
      <c r="N3295" s="650"/>
      <c r="O3295" s="650"/>
      <c r="P3295" s="651"/>
      <c r="Q3295" s="651"/>
      <c r="R3295" s="651"/>
      <c r="S3295" s="651"/>
    </row>
    <row r="3296" spans="12:19" ht="15.75" customHeight="1" x14ac:dyDescent="0.35">
      <c r="L3296" s="2"/>
      <c r="M3296" s="2"/>
      <c r="N3296" s="650"/>
      <c r="O3296" s="650"/>
      <c r="P3296" s="651"/>
      <c r="Q3296" s="651"/>
      <c r="R3296" s="651"/>
      <c r="S3296" s="651"/>
    </row>
    <row r="3297" spans="12:19" ht="15.75" customHeight="1" x14ac:dyDescent="0.35">
      <c r="L3297" s="2"/>
      <c r="M3297" s="2"/>
      <c r="N3297" s="650"/>
      <c r="O3297" s="650"/>
      <c r="P3297" s="651"/>
      <c r="Q3297" s="651"/>
      <c r="R3297" s="651"/>
      <c r="S3297" s="651"/>
    </row>
    <row r="3298" spans="12:19" ht="15.75" customHeight="1" x14ac:dyDescent="0.35">
      <c r="L3298" s="2"/>
      <c r="M3298" s="2"/>
      <c r="N3298" s="650"/>
      <c r="O3298" s="650"/>
      <c r="P3298" s="651"/>
      <c r="Q3298" s="651"/>
      <c r="R3298" s="651"/>
      <c r="S3298" s="651"/>
    </row>
    <row r="3299" spans="12:19" ht="15.75" customHeight="1" x14ac:dyDescent="0.35">
      <c r="L3299" s="2"/>
      <c r="M3299" s="2"/>
      <c r="N3299" s="650"/>
      <c r="O3299" s="650"/>
      <c r="P3299" s="651"/>
      <c r="Q3299" s="651"/>
      <c r="R3299" s="651"/>
      <c r="S3299" s="651"/>
    </row>
    <row r="3300" spans="12:19" ht="15.75" customHeight="1" x14ac:dyDescent="0.35">
      <c r="L3300" s="2"/>
      <c r="M3300" s="2"/>
      <c r="N3300" s="650"/>
      <c r="O3300" s="650"/>
      <c r="P3300" s="651"/>
      <c r="Q3300" s="651"/>
      <c r="R3300" s="651"/>
      <c r="S3300" s="651"/>
    </row>
    <row r="3301" spans="12:19" ht="15.75" customHeight="1" x14ac:dyDescent="0.35">
      <c r="L3301" s="2"/>
      <c r="M3301" s="2"/>
      <c r="N3301" s="650"/>
      <c r="O3301" s="650"/>
      <c r="P3301" s="651"/>
      <c r="Q3301" s="651"/>
      <c r="R3301" s="651"/>
      <c r="S3301" s="651"/>
    </row>
    <row r="3302" spans="12:19" ht="15.75" customHeight="1" x14ac:dyDescent="0.35">
      <c r="L3302" s="2"/>
      <c r="M3302" s="2"/>
      <c r="N3302" s="650"/>
      <c r="O3302" s="650"/>
      <c r="P3302" s="651"/>
      <c r="Q3302" s="651"/>
      <c r="R3302" s="651"/>
      <c r="S3302" s="651"/>
    </row>
    <row r="3303" spans="12:19" ht="15.75" customHeight="1" x14ac:dyDescent="0.35">
      <c r="L3303" s="2"/>
      <c r="M3303" s="2"/>
      <c r="N3303" s="650"/>
      <c r="O3303" s="650"/>
      <c r="P3303" s="651"/>
      <c r="Q3303" s="651"/>
      <c r="R3303" s="651"/>
      <c r="S3303" s="651"/>
    </row>
    <row r="3304" spans="12:19" ht="15.75" customHeight="1" x14ac:dyDescent="0.35">
      <c r="L3304" s="2"/>
      <c r="M3304" s="2"/>
      <c r="N3304" s="650"/>
      <c r="O3304" s="650"/>
      <c r="P3304" s="651"/>
      <c r="Q3304" s="651"/>
      <c r="R3304" s="651"/>
      <c r="S3304" s="651"/>
    </row>
    <row r="3305" spans="12:19" ht="15.75" customHeight="1" x14ac:dyDescent="0.35">
      <c r="L3305" s="2"/>
      <c r="M3305" s="2"/>
      <c r="N3305" s="650"/>
      <c r="O3305" s="650"/>
      <c r="P3305" s="651"/>
      <c r="Q3305" s="651"/>
      <c r="R3305" s="651"/>
      <c r="S3305" s="651"/>
    </row>
    <row r="3306" spans="12:19" ht="15.75" customHeight="1" x14ac:dyDescent="0.35">
      <c r="L3306" s="2"/>
      <c r="M3306" s="2"/>
      <c r="N3306" s="650"/>
      <c r="O3306" s="650"/>
      <c r="P3306" s="651"/>
      <c r="Q3306" s="651"/>
      <c r="R3306" s="651"/>
      <c r="S3306" s="651"/>
    </row>
    <row r="3307" spans="12:19" ht="15.75" customHeight="1" x14ac:dyDescent="0.35">
      <c r="L3307" s="2"/>
      <c r="M3307" s="2"/>
      <c r="N3307" s="650"/>
      <c r="O3307" s="650"/>
      <c r="P3307" s="651"/>
      <c r="Q3307" s="651"/>
      <c r="R3307" s="651"/>
      <c r="S3307" s="651"/>
    </row>
    <row r="3308" spans="12:19" ht="15.75" customHeight="1" x14ac:dyDescent="0.35">
      <c r="L3308" s="2"/>
      <c r="M3308" s="2"/>
      <c r="N3308" s="650"/>
      <c r="O3308" s="650"/>
      <c r="P3308" s="651"/>
      <c r="Q3308" s="651"/>
      <c r="R3308" s="651"/>
      <c r="S3308" s="651"/>
    </row>
    <row r="3309" spans="12:19" ht="15.75" customHeight="1" x14ac:dyDescent="0.35">
      <c r="L3309" s="2"/>
      <c r="M3309" s="2"/>
      <c r="N3309" s="650"/>
      <c r="O3309" s="650"/>
      <c r="P3309" s="651"/>
      <c r="Q3309" s="651"/>
      <c r="R3309" s="651"/>
      <c r="S3309" s="651"/>
    </row>
    <row r="3310" spans="12:19" ht="15.75" customHeight="1" x14ac:dyDescent="0.35">
      <c r="L3310" s="2"/>
      <c r="M3310" s="2"/>
      <c r="N3310" s="650"/>
      <c r="O3310" s="650"/>
      <c r="P3310" s="651"/>
      <c r="Q3310" s="651"/>
      <c r="R3310" s="651"/>
      <c r="S3310" s="651"/>
    </row>
    <row r="3311" spans="12:19" ht="15.75" customHeight="1" x14ac:dyDescent="0.35">
      <c r="L3311" s="2"/>
      <c r="M3311" s="2"/>
      <c r="N3311" s="650"/>
      <c r="O3311" s="650"/>
      <c r="P3311" s="651"/>
      <c r="Q3311" s="651"/>
      <c r="R3311" s="651"/>
      <c r="S3311" s="651"/>
    </row>
    <row r="3312" spans="12:19" ht="15.75" customHeight="1" x14ac:dyDescent="0.35">
      <c r="L3312" s="2"/>
      <c r="M3312" s="2"/>
      <c r="N3312" s="650"/>
      <c r="O3312" s="650"/>
      <c r="P3312" s="651"/>
      <c r="Q3312" s="651"/>
      <c r="R3312" s="651"/>
      <c r="S3312" s="651"/>
    </row>
    <row r="3313" spans="12:19" ht="15.75" customHeight="1" x14ac:dyDescent="0.35">
      <c r="L3313" s="2"/>
      <c r="M3313" s="2"/>
      <c r="N3313" s="650"/>
      <c r="O3313" s="650"/>
      <c r="P3313" s="651"/>
      <c r="Q3313" s="651"/>
      <c r="R3313" s="651"/>
      <c r="S3313" s="651"/>
    </row>
    <row r="3314" spans="12:19" ht="15.75" customHeight="1" x14ac:dyDescent="0.35">
      <c r="L3314" s="2"/>
      <c r="M3314" s="2"/>
      <c r="N3314" s="650"/>
      <c r="O3314" s="650"/>
      <c r="P3314" s="651"/>
      <c r="Q3314" s="651"/>
      <c r="R3314" s="651"/>
      <c r="S3314" s="651"/>
    </row>
    <row r="3315" spans="12:19" ht="15.75" customHeight="1" x14ac:dyDescent="0.35">
      <c r="L3315" s="2"/>
      <c r="M3315" s="2"/>
      <c r="N3315" s="650"/>
      <c r="O3315" s="650"/>
      <c r="P3315" s="651"/>
      <c r="Q3315" s="651"/>
      <c r="R3315" s="651"/>
      <c r="S3315" s="651"/>
    </row>
    <row r="3316" spans="12:19" ht="15.75" customHeight="1" x14ac:dyDescent="0.35">
      <c r="L3316" s="2"/>
      <c r="M3316" s="2"/>
      <c r="N3316" s="650"/>
      <c r="O3316" s="650"/>
      <c r="P3316" s="651"/>
      <c r="Q3316" s="651"/>
      <c r="R3316" s="651"/>
      <c r="S3316" s="651"/>
    </row>
    <row r="3317" spans="12:19" ht="15.75" customHeight="1" x14ac:dyDescent="0.35">
      <c r="L3317" s="2"/>
      <c r="M3317" s="2"/>
      <c r="N3317" s="650"/>
      <c r="O3317" s="650"/>
      <c r="P3317" s="651"/>
      <c r="Q3317" s="651"/>
      <c r="R3317" s="651"/>
      <c r="S3317" s="651"/>
    </row>
    <row r="3318" spans="12:19" ht="15.75" customHeight="1" x14ac:dyDescent="0.35">
      <c r="L3318" s="2"/>
      <c r="M3318" s="2"/>
      <c r="N3318" s="650"/>
      <c r="O3318" s="650"/>
      <c r="P3318" s="651"/>
      <c r="Q3318" s="651"/>
      <c r="R3318" s="651"/>
      <c r="S3318" s="651"/>
    </row>
    <row r="3319" spans="12:19" ht="15.75" customHeight="1" x14ac:dyDescent="0.35">
      <c r="L3319" s="2"/>
      <c r="M3319" s="2"/>
      <c r="N3319" s="650"/>
      <c r="O3319" s="650"/>
      <c r="P3319" s="651"/>
      <c r="Q3319" s="651"/>
      <c r="R3319" s="651"/>
      <c r="S3319" s="651"/>
    </row>
    <row r="3320" spans="12:19" ht="15.75" customHeight="1" x14ac:dyDescent="0.35">
      <c r="L3320" s="2"/>
      <c r="M3320" s="2"/>
      <c r="N3320" s="650"/>
      <c r="O3320" s="650"/>
      <c r="P3320" s="651"/>
      <c r="Q3320" s="651"/>
      <c r="R3320" s="651"/>
      <c r="S3320" s="651"/>
    </row>
    <row r="3321" spans="12:19" ht="15.75" customHeight="1" x14ac:dyDescent="0.35">
      <c r="L3321" s="2"/>
      <c r="M3321" s="2"/>
      <c r="N3321" s="650"/>
      <c r="O3321" s="650"/>
      <c r="P3321" s="651"/>
      <c r="Q3321" s="651"/>
      <c r="R3321" s="651"/>
      <c r="S3321" s="651"/>
    </row>
    <row r="3322" spans="12:19" ht="15.75" customHeight="1" x14ac:dyDescent="0.35">
      <c r="L3322" s="2"/>
      <c r="M3322" s="2"/>
      <c r="N3322" s="650"/>
      <c r="O3322" s="650"/>
      <c r="P3322" s="651"/>
      <c r="Q3322" s="651"/>
      <c r="R3322" s="651"/>
      <c r="S3322" s="651"/>
    </row>
    <row r="3323" spans="12:19" ht="15.75" customHeight="1" x14ac:dyDescent="0.35">
      <c r="L3323" s="2"/>
      <c r="M3323" s="2"/>
      <c r="N3323" s="650"/>
      <c r="O3323" s="650"/>
      <c r="P3323" s="651"/>
      <c r="Q3323" s="651"/>
      <c r="R3323" s="651"/>
      <c r="S3323" s="651"/>
    </row>
    <row r="3324" spans="12:19" ht="15.75" customHeight="1" x14ac:dyDescent="0.35">
      <c r="L3324" s="2"/>
      <c r="M3324" s="2"/>
      <c r="N3324" s="650"/>
      <c r="O3324" s="650"/>
      <c r="P3324" s="651"/>
      <c r="Q3324" s="651"/>
      <c r="R3324" s="651"/>
      <c r="S3324" s="651"/>
    </row>
    <row r="3325" spans="12:19" ht="15.75" customHeight="1" x14ac:dyDescent="0.35">
      <c r="L3325" s="2"/>
      <c r="M3325" s="2"/>
      <c r="N3325" s="650"/>
      <c r="O3325" s="650"/>
      <c r="P3325" s="651"/>
      <c r="Q3325" s="651"/>
      <c r="R3325" s="651"/>
      <c r="S3325" s="651"/>
    </row>
    <row r="3326" spans="12:19" ht="15.75" customHeight="1" x14ac:dyDescent="0.35">
      <c r="L3326" s="2"/>
      <c r="M3326" s="2"/>
      <c r="N3326" s="650"/>
      <c r="O3326" s="650"/>
      <c r="P3326" s="651"/>
      <c r="Q3326" s="651"/>
      <c r="R3326" s="651"/>
      <c r="S3326" s="651"/>
    </row>
    <row r="3327" spans="12:19" ht="15.75" customHeight="1" x14ac:dyDescent="0.35">
      <c r="L3327" s="2"/>
      <c r="M3327" s="2"/>
      <c r="N3327" s="650"/>
      <c r="O3327" s="650"/>
      <c r="P3327" s="651"/>
      <c r="Q3327" s="651"/>
      <c r="R3327" s="651"/>
      <c r="S3327" s="651"/>
    </row>
    <row r="3328" spans="12:19" ht="15.75" customHeight="1" x14ac:dyDescent="0.35">
      <c r="L3328" s="2"/>
      <c r="M3328" s="2"/>
      <c r="N3328" s="650"/>
      <c r="O3328" s="650"/>
      <c r="P3328" s="651"/>
      <c r="Q3328" s="651"/>
      <c r="R3328" s="651"/>
      <c r="S3328" s="651"/>
    </row>
    <row r="3329" spans="12:19" ht="15.75" customHeight="1" x14ac:dyDescent="0.35">
      <c r="L3329" s="2"/>
      <c r="M3329" s="2"/>
      <c r="N3329" s="650"/>
      <c r="O3329" s="650"/>
      <c r="P3329" s="651"/>
      <c r="Q3329" s="651"/>
      <c r="R3329" s="651"/>
      <c r="S3329" s="651"/>
    </row>
    <row r="3330" spans="12:19" ht="15.75" customHeight="1" x14ac:dyDescent="0.35">
      <c r="L3330" s="2"/>
      <c r="M3330" s="2"/>
      <c r="N3330" s="650"/>
      <c r="O3330" s="650"/>
      <c r="P3330" s="651"/>
      <c r="Q3330" s="651"/>
      <c r="R3330" s="651"/>
      <c r="S3330" s="651"/>
    </row>
    <row r="3331" spans="12:19" ht="15.75" customHeight="1" x14ac:dyDescent="0.35">
      <c r="L3331" s="2"/>
      <c r="M3331" s="2"/>
      <c r="N3331" s="650"/>
      <c r="O3331" s="650"/>
      <c r="P3331" s="651"/>
      <c r="Q3331" s="651"/>
      <c r="R3331" s="651"/>
      <c r="S3331" s="651"/>
    </row>
    <row r="3332" spans="12:19" ht="15.75" customHeight="1" x14ac:dyDescent="0.35">
      <c r="L3332" s="2"/>
      <c r="M3332" s="2"/>
      <c r="N3332" s="650"/>
      <c r="O3332" s="650"/>
      <c r="P3332" s="651"/>
      <c r="Q3332" s="651"/>
      <c r="R3332" s="651"/>
      <c r="S3332" s="651"/>
    </row>
    <row r="3333" spans="12:19" ht="15.75" customHeight="1" x14ac:dyDescent="0.35">
      <c r="L3333" s="2"/>
      <c r="M3333" s="2"/>
      <c r="N3333" s="650"/>
      <c r="O3333" s="650"/>
      <c r="P3333" s="651"/>
      <c r="Q3333" s="651"/>
      <c r="R3333" s="651"/>
      <c r="S3333" s="651"/>
    </row>
    <row r="3334" spans="12:19" ht="15.75" customHeight="1" x14ac:dyDescent="0.35">
      <c r="L3334" s="2"/>
      <c r="M3334" s="2"/>
      <c r="N3334" s="650"/>
      <c r="O3334" s="650"/>
      <c r="P3334" s="651"/>
      <c r="Q3334" s="651"/>
      <c r="R3334" s="651"/>
      <c r="S3334" s="651"/>
    </row>
    <row r="3335" spans="12:19" ht="15.75" customHeight="1" x14ac:dyDescent="0.35">
      <c r="L3335" s="2"/>
      <c r="M3335" s="2"/>
      <c r="N3335" s="650"/>
      <c r="O3335" s="650"/>
      <c r="P3335" s="651"/>
      <c r="Q3335" s="651"/>
      <c r="R3335" s="651"/>
      <c r="S3335" s="651"/>
    </row>
    <row r="3336" spans="12:19" ht="15.75" customHeight="1" x14ac:dyDescent="0.35">
      <c r="L3336" s="2"/>
      <c r="M3336" s="2"/>
      <c r="N3336" s="650"/>
      <c r="O3336" s="650"/>
      <c r="P3336" s="651"/>
      <c r="Q3336" s="651"/>
      <c r="R3336" s="651"/>
      <c r="S3336" s="651"/>
    </row>
    <row r="3337" spans="12:19" ht="15.75" customHeight="1" x14ac:dyDescent="0.35">
      <c r="L3337" s="2"/>
      <c r="M3337" s="2"/>
      <c r="N3337" s="650"/>
      <c r="O3337" s="650"/>
      <c r="P3337" s="651"/>
      <c r="Q3337" s="651"/>
      <c r="R3337" s="651"/>
      <c r="S3337" s="651"/>
    </row>
    <row r="3338" spans="12:19" ht="15.75" customHeight="1" x14ac:dyDescent="0.35">
      <c r="L3338" s="2"/>
      <c r="M3338" s="2"/>
      <c r="N3338" s="650"/>
      <c r="O3338" s="650"/>
      <c r="P3338" s="651"/>
      <c r="Q3338" s="651"/>
      <c r="R3338" s="651"/>
      <c r="S3338" s="651"/>
    </row>
    <row r="3339" spans="12:19" ht="15.75" customHeight="1" x14ac:dyDescent="0.35">
      <c r="L3339" s="2"/>
      <c r="M3339" s="2"/>
      <c r="N3339" s="650"/>
      <c r="O3339" s="650"/>
      <c r="P3339" s="651"/>
      <c r="Q3339" s="651"/>
      <c r="R3339" s="651"/>
      <c r="S3339" s="651"/>
    </row>
    <row r="3340" spans="12:19" ht="15.75" customHeight="1" x14ac:dyDescent="0.35">
      <c r="L3340" s="2"/>
      <c r="M3340" s="2"/>
      <c r="N3340" s="650"/>
      <c r="O3340" s="650"/>
      <c r="P3340" s="651"/>
      <c r="Q3340" s="651"/>
      <c r="R3340" s="651"/>
      <c r="S3340" s="651"/>
    </row>
    <row r="3341" spans="12:19" ht="15.75" customHeight="1" x14ac:dyDescent="0.35">
      <c r="L3341" s="2"/>
      <c r="M3341" s="2"/>
      <c r="N3341" s="650"/>
      <c r="O3341" s="650"/>
      <c r="P3341" s="651"/>
      <c r="Q3341" s="651"/>
      <c r="R3341" s="651"/>
      <c r="S3341" s="651"/>
    </row>
    <row r="3342" spans="12:19" ht="15.75" customHeight="1" x14ac:dyDescent="0.35">
      <c r="L3342" s="2"/>
      <c r="M3342" s="2"/>
      <c r="N3342" s="650"/>
      <c r="O3342" s="650"/>
      <c r="P3342" s="651"/>
      <c r="Q3342" s="651"/>
      <c r="R3342" s="651"/>
      <c r="S3342" s="651"/>
    </row>
    <row r="3343" spans="12:19" ht="15.75" customHeight="1" x14ac:dyDescent="0.35">
      <c r="L3343" s="2"/>
      <c r="M3343" s="2"/>
      <c r="N3343" s="650"/>
      <c r="O3343" s="650"/>
      <c r="P3343" s="651"/>
      <c r="Q3343" s="651"/>
      <c r="R3343" s="651"/>
      <c r="S3343" s="651"/>
    </row>
    <row r="3344" spans="12:19" ht="15.75" customHeight="1" x14ac:dyDescent="0.35">
      <c r="L3344" s="2"/>
      <c r="M3344" s="2"/>
      <c r="N3344" s="650"/>
      <c r="O3344" s="650"/>
      <c r="P3344" s="651"/>
      <c r="Q3344" s="651"/>
      <c r="R3344" s="651"/>
      <c r="S3344" s="651"/>
    </row>
    <row r="3345" spans="12:19" ht="15.75" customHeight="1" x14ac:dyDescent="0.35">
      <c r="L3345" s="2"/>
      <c r="M3345" s="2"/>
      <c r="N3345" s="650"/>
      <c r="O3345" s="650"/>
      <c r="P3345" s="651"/>
      <c r="Q3345" s="651"/>
      <c r="R3345" s="651"/>
      <c r="S3345" s="651"/>
    </row>
    <row r="3346" spans="12:19" ht="15.75" customHeight="1" x14ac:dyDescent="0.35">
      <c r="L3346" s="2"/>
      <c r="M3346" s="2"/>
      <c r="N3346" s="650"/>
      <c r="O3346" s="650"/>
      <c r="P3346" s="651"/>
      <c r="Q3346" s="651"/>
      <c r="R3346" s="651"/>
      <c r="S3346" s="651"/>
    </row>
    <row r="3347" spans="12:19" ht="15.75" customHeight="1" x14ac:dyDescent="0.35">
      <c r="L3347" s="2"/>
      <c r="M3347" s="2"/>
      <c r="N3347" s="650"/>
      <c r="O3347" s="650"/>
      <c r="P3347" s="651"/>
      <c r="Q3347" s="651"/>
      <c r="R3347" s="651"/>
      <c r="S3347" s="651"/>
    </row>
    <row r="3348" spans="12:19" ht="15.75" customHeight="1" x14ac:dyDescent="0.35">
      <c r="L3348" s="2"/>
      <c r="M3348" s="2"/>
      <c r="N3348" s="650"/>
      <c r="O3348" s="650"/>
      <c r="P3348" s="651"/>
      <c r="Q3348" s="651"/>
      <c r="R3348" s="651"/>
      <c r="S3348" s="651"/>
    </row>
    <row r="3349" spans="12:19" ht="15.75" customHeight="1" x14ac:dyDescent="0.35">
      <c r="L3349" s="2"/>
      <c r="M3349" s="2"/>
      <c r="N3349" s="650"/>
      <c r="O3349" s="650"/>
      <c r="P3349" s="651"/>
      <c r="Q3349" s="651"/>
      <c r="R3349" s="651"/>
      <c r="S3349" s="651"/>
    </row>
    <row r="3350" spans="12:19" ht="15.75" customHeight="1" x14ac:dyDescent="0.35">
      <c r="L3350" s="2"/>
      <c r="M3350" s="2"/>
      <c r="N3350" s="650"/>
      <c r="O3350" s="650"/>
      <c r="P3350" s="651"/>
      <c r="Q3350" s="651"/>
      <c r="R3350" s="651"/>
      <c r="S3350" s="651"/>
    </row>
    <row r="3351" spans="12:19" ht="15.75" customHeight="1" x14ac:dyDescent="0.35">
      <c r="L3351" s="2"/>
      <c r="M3351" s="2"/>
      <c r="N3351" s="650"/>
      <c r="O3351" s="650"/>
      <c r="P3351" s="651"/>
      <c r="Q3351" s="651"/>
      <c r="R3351" s="651"/>
      <c r="S3351" s="651"/>
    </row>
    <row r="3352" spans="12:19" ht="15.75" customHeight="1" x14ac:dyDescent="0.35">
      <c r="L3352" s="2"/>
      <c r="M3352" s="2"/>
      <c r="N3352" s="650"/>
      <c r="O3352" s="650"/>
      <c r="P3352" s="651"/>
      <c r="Q3352" s="651"/>
      <c r="R3352" s="651"/>
      <c r="S3352" s="651"/>
    </row>
    <row r="3353" spans="12:19" ht="15.75" customHeight="1" x14ac:dyDescent="0.35">
      <c r="L3353" s="2"/>
      <c r="M3353" s="2"/>
      <c r="N3353" s="650"/>
      <c r="O3353" s="650"/>
      <c r="P3353" s="651"/>
      <c r="Q3353" s="651"/>
      <c r="R3353" s="651"/>
      <c r="S3353" s="651"/>
    </row>
    <row r="3354" spans="12:19" ht="15.75" customHeight="1" x14ac:dyDescent="0.35">
      <c r="L3354" s="2"/>
      <c r="M3354" s="2"/>
      <c r="N3354" s="650"/>
      <c r="O3354" s="650"/>
      <c r="P3354" s="651"/>
      <c r="Q3354" s="651"/>
      <c r="R3354" s="651"/>
      <c r="S3354" s="651"/>
    </row>
    <row r="3355" spans="12:19" ht="15.75" customHeight="1" x14ac:dyDescent="0.35">
      <c r="L3355" s="2"/>
      <c r="M3355" s="2"/>
      <c r="N3355" s="650"/>
      <c r="O3355" s="650"/>
      <c r="P3355" s="651"/>
      <c r="Q3355" s="651"/>
      <c r="R3355" s="651"/>
      <c r="S3355" s="651"/>
    </row>
    <row r="3356" spans="12:19" ht="15.75" customHeight="1" x14ac:dyDescent="0.35">
      <c r="L3356" s="2"/>
      <c r="M3356" s="2"/>
      <c r="N3356" s="650"/>
      <c r="O3356" s="650"/>
      <c r="P3356" s="651"/>
      <c r="Q3356" s="651"/>
      <c r="R3356" s="651"/>
      <c r="S3356" s="651"/>
    </row>
    <row r="3357" spans="12:19" ht="15.75" customHeight="1" x14ac:dyDescent="0.35">
      <c r="L3357" s="2"/>
      <c r="M3357" s="2"/>
      <c r="N3357" s="650"/>
      <c r="O3357" s="650"/>
      <c r="P3357" s="651"/>
      <c r="Q3357" s="651"/>
      <c r="R3357" s="651"/>
      <c r="S3357" s="651"/>
    </row>
    <row r="3358" spans="12:19" ht="15.75" customHeight="1" x14ac:dyDescent="0.35">
      <c r="L3358" s="2"/>
      <c r="M3358" s="2"/>
      <c r="N3358" s="650"/>
      <c r="O3358" s="650"/>
      <c r="P3358" s="651"/>
      <c r="Q3358" s="651"/>
      <c r="R3358" s="651"/>
      <c r="S3358" s="651"/>
    </row>
    <row r="3359" spans="12:19" ht="15.75" customHeight="1" x14ac:dyDescent="0.35">
      <c r="L3359" s="2"/>
      <c r="M3359" s="2"/>
      <c r="N3359" s="650"/>
      <c r="O3359" s="650"/>
      <c r="P3359" s="651"/>
      <c r="Q3359" s="651"/>
      <c r="R3359" s="651"/>
      <c r="S3359" s="651"/>
    </row>
    <row r="3360" spans="12:19" ht="15.75" customHeight="1" x14ac:dyDescent="0.35">
      <c r="L3360" s="2"/>
      <c r="M3360" s="2"/>
      <c r="N3360" s="650"/>
      <c r="O3360" s="650"/>
      <c r="P3360" s="651"/>
      <c r="Q3360" s="651"/>
      <c r="R3360" s="651"/>
      <c r="S3360" s="651"/>
    </row>
    <row r="3361" spans="12:19" ht="15.75" customHeight="1" x14ac:dyDescent="0.35">
      <c r="L3361" s="2"/>
      <c r="M3361" s="2"/>
      <c r="N3361" s="650"/>
      <c r="O3361" s="650"/>
      <c r="P3361" s="651"/>
      <c r="Q3361" s="651"/>
      <c r="R3361" s="651"/>
      <c r="S3361" s="651"/>
    </row>
    <row r="3362" spans="12:19" ht="15.75" customHeight="1" x14ac:dyDescent="0.35">
      <c r="L3362" s="2"/>
      <c r="M3362" s="2"/>
      <c r="N3362" s="650"/>
      <c r="O3362" s="650"/>
      <c r="P3362" s="651"/>
      <c r="Q3362" s="651"/>
      <c r="R3362" s="651"/>
      <c r="S3362" s="651"/>
    </row>
    <row r="3363" spans="12:19" ht="15.75" customHeight="1" x14ac:dyDescent="0.35">
      <c r="L3363" s="2"/>
      <c r="M3363" s="2"/>
      <c r="N3363" s="650"/>
      <c r="O3363" s="650"/>
      <c r="P3363" s="651"/>
      <c r="Q3363" s="651"/>
      <c r="R3363" s="651"/>
      <c r="S3363" s="651"/>
    </row>
    <row r="3364" spans="12:19" ht="15.75" customHeight="1" x14ac:dyDescent="0.35">
      <c r="L3364" s="2"/>
      <c r="M3364" s="2"/>
      <c r="N3364" s="650"/>
      <c r="O3364" s="650"/>
      <c r="P3364" s="651"/>
      <c r="Q3364" s="651"/>
      <c r="R3364" s="651"/>
      <c r="S3364" s="651"/>
    </row>
    <row r="3365" spans="12:19" ht="15.75" customHeight="1" x14ac:dyDescent="0.35">
      <c r="L3365" s="2"/>
      <c r="M3365" s="2"/>
      <c r="N3365" s="650"/>
      <c r="O3365" s="650"/>
      <c r="P3365" s="651"/>
      <c r="Q3365" s="651"/>
      <c r="R3365" s="651"/>
      <c r="S3365" s="651"/>
    </row>
    <row r="3366" spans="12:19" ht="15.75" customHeight="1" x14ac:dyDescent="0.35">
      <c r="L3366" s="2"/>
      <c r="M3366" s="2"/>
      <c r="N3366" s="650"/>
      <c r="O3366" s="650"/>
      <c r="P3366" s="651"/>
      <c r="Q3366" s="651"/>
      <c r="R3366" s="651"/>
      <c r="S3366" s="651"/>
    </row>
    <row r="3367" spans="12:19" ht="15.75" customHeight="1" x14ac:dyDescent="0.35">
      <c r="L3367" s="2"/>
      <c r="M3367" s="2"/>
      <c r="N3367" s="650"/>
      <c r="O3367" s="650"/>
      <c r="P3367" s="651"/>
      <c r="Q3367" s="651"/>
      <c r="R3367" s="651"/>
      <c r="S3367" s="651"/>
    </row>
    <row r="3368" spans="12:19" ht="15.75" customHeight="1" x14ac:dyDescent="0.35">
      <c r="L3368" s="2"/>
      <c r="M3368" s="2"/>
      <c r="N3368" s="650"/>
      <c r="O3368" s="650"/>
      <c r="P3368" s="651"/>
      <c r="Q3368" s="651"/>
      <c r="R3368" s="651"/>
      <c r="S3368" s="651"/>
    </row>
    <row r="3369" spans="12:19" ht="15.75" customHeight="1" x14ac:dyDescent="0.35">
      <c r="L3369" s="2"/>
      <c r="M3369" s="2"/>
      <c r="N3369" s="650"/>
      <c r="O3369" s="650"/>
      <c r="P3369" s="651"/>
      <c r="Q3369" s="651"/>
      <c r="R3369" s="651"/>
      <c r="S3369" s="651"/>
    </row>
    <row r="3370" spans="12:19" ht="15.75" customHeight="1" x14ac:dyDescent="0.35">
      <c r="L3370" s="2"/>
      <c r="M3370" s="2"/>
      <c r="N3370" s="650"/>
      <c r="O3370" s="650"/>
      <c r="P3370" s="651"/>
      <c r="Q3370" s="651"/>
      <c r="R3370" s="651"/>
      <c r="S3370" s="651"/>
    </row>
    <row r="3371" spans="12:19" ht="15.75" customHeight="1" x14ac:dyDescent="0.35">
      <c r="L3371" s="2"/>
      <c r="M3371" s="2"/>
      <c r="N3371" s="650"/>
      <c r="O3371" s="650"/>
      <c r="P3371" s="651"/>
      <c r="Q3371" s="651"/>
      <c r="R3371" s="651"/>
      <c r="S3371" s="651"/>
    </row>
    <row r="3372" spans="12:19" ht="15.75" customHeight="1" x14ac:dyDescent="0.35">
      <c r="L3372" s="2"/>
      <c r="M3372" s="2"/>
      <c r="N3372" s="650"/>
      <c r="O3372" s="650"/>
      <c r="P3372" s="651"/>
      <c r="Q3372" s="651"/>
      <c r="R3372" s="651"/>
      <c r="S3372" s="651"/>
    </row>
    <row r="3373" spans="12:19" ht="15.75" customHeight="1" x14ac:dyDescent="0.35">
      <c r="L3373" s="2"/>
      <c r="M3373" s="2"/>
      <c r="N3373" s="650"/>
      <c r="O3373" s="650"/>
      <c r="P3373" s="651"/>
      <c r="Q3373" s="651"/>
      <c r="R3373" s="651"/>
      <c r="S3373" s="651"/>
    </row>
    <row r="3374" spans="12:19" ht="15.75" customHeight="1" x14ac:dyDescent="0.35">
      <c r="L3374" s="2"/>
      <c r="M3374" s="2"/>
      <c r="N3374" s="650"/>
      <c r="O3374" s="650"/>
      <c r="P3374" s="651"/>
      <c r="Q3374" s="651"/>
      <c r="R3374" s="651"/>
      <c r="S3374" s="651"/>
    </row>
    <row r="3375" spans="12:19" ht="15.75" customHeight="1" x14ac:dyDescent="0.35">
      <c r="L3375" s="2"/>
      <c r="M3375" s="2"/>
      <c r="N3375" s="650"/>
      <c r="O3375" s="650"/>
      <c r="P3375" s="651"/>
      <c r="Q3375" s="651"/>
      <c r="R3375" s="651"/>
      <c r="S3375" s="651"/>
    </row>
    <row r="3376" spans="12:19" ht="15.75" customHeight="1" x14ac:dyDescent="0.35">
      <c r="L3376" s="2"/>
      <c r="M3376" s="2"/>
      <c r="N3376" s="650"/>
      <c r="O3376" s="650"/>
      <c r="P3376" s="651"/>
      <c r="Q3376" s="651"/>
      <c r="R3376" s="651"/>
      <c r="S3376" s="651"/>
    </row>
    <row r="3377" spans="12:19" ht="15.75" customHeight="1" x14ac:dyDescent="0.35">
      <c r="L3377" s="2"/>
      <c r="M3377" s="2"/>
      <c r="N3377" s="650"/>
      <c r="O3377" s="650"/>
      <c r="P3377" s="651"/>
      <c r="Q3377" s="651"/>
      <c r="R3377" s="651"/>
      <c r="S3377" s="651"/>
    </row>
    <row r="3378" spans="12:19" ht="15.75" customHeight="1" x14ac:dyDescent="0.35">
      <c r="L3378" s="2"/>
      <c r="M3378" s="2"/>
      <c r="N3378" s="650"/>
      <c r="O3378" s="650"/>
      <c r="P3378" s="651"/>
      <c r="Q3378" s="651"/>
      <c r="R3378" s="651"/>
      <c r="S3378" s="651"/>
    </row>
    <row r="3379" spans="12:19" ht="15.75" customHeight="1" x14ac:dyDescent="0.35">
      <c r="L3379" s="2"/>
      <c r="M3379" s="2"/>
      <c r="N3379" s="650"/>
      <c r="O3379" s="650"/>
      <c r="P3379" s="651"/>
      <c r="Q3379" s="651"/>
      <c r="R3379" s="651"/>
      <c r="S3379" s="651"/>
    </row>
    <row r="3380" spans="12:19" ht="15.75" customHeight="1" x14ac:dyDescent="0.35">
      <c r="L3380" s="2"/>
      <c r="M3380" s="2"/>
      <c r="N3380" s="650"/>
      <c r="O3380" s="650"/>
      <c r="P3380" s="651"/>
      <c r="Q3380" s="651"/>
      <c r="R3380" s="651"/>
      <c r="S3380" s="651"/>
    </row>
    <row r="3381" spans="12:19" ht="15.75" customHeight="1" x14ac:dyDescent="0.35">
      <c r="L3381" s="2"/>
      <c r="M3381" s="2"/>
      <c r="N3381" s="650"/>
      <c r="O3381" s="650"/>
      <c r="P3381" s="651"/>
      <c r="Q3381" s="651"/>
      <c r="R3381" s="651"/>
      <c r="S3381" s="651"/>
    </row>
    <row r="3382" spans="12:19" ht="15.75" customHeight="1" x14ac:dyDescent="0.35">
      <c r="L3382" s="2"/>
      <c r="M3382" s="2"/>
      <c r="N3382" s="650"/>
      <c r="O3382" s="650"/>
      <c r="P3382" s="651"/>
      <c r="Q3382" s="651"/>
      <c r="R3382" s="651"/>
      <c r="S3382" s="651"/>
    </row>
    <row r="3383" spans="12:19" ht="15.75" customHeight="1" x14ac:dyDescent="0.35">
      <c r="L3383" s="2"/>
      <c r="M3383" s="2"/>
      <c r="N3383" s="650"/>
      <c r="O3383" s="650"/>
      <c r="P3383" s="651"/>
      <c r="Q3383" s="651"/>
      <c r="R3383" s="651"/>
      <c r="S3383" s="651"/>
    </row>
    <row r="3384" spans="12:19" ht="15.75" customHeight="1" x14ac:dyDescent="0.35">
      <c r="L3384" s="2"/>
      <c r="M3384" s="2"/>
      <c r="N3384" s="650"/>
      <c r="O3384" s="650"/>
      <c r="P3384" s="651"/>
      <c r="Q3384" s="651"/>
      <c r="R3384" s="651"/>
      <c r="S3384" s="651"/>
    </row>
    <row r="3385" spans="12:19" ht="15.75" customHeight="1" x14ac:dyDescent="0.35">
      <c r="L3385" s="2"/>
      <c r="M3385" s="2"/>
      <c r="N3385" s="650"/>
      <c r="O3385" s="650"/>
      <c r="P3385" s="651"/>
      <c r="Q3385" s="651"/>
      <c r="R3385" s="651"/>
      <c r="S3385" s="651"/>
    </row>
    <row r="3386" spans="12:19" ht="15.75" customHeight="1" x14ac:dyDescent="0.35">
      <c r="L3386" s="2"/>
      <c r="M3386" s="2"/>
      <c r="N3386" s="650"/>
      <c r="O3386" s="650"/>
      <c r="P3386" s="651"/>
      <c r="Q3386" s="651"/>
      <c r="R3386" s="651"/>
      <c r="S3386" s="651"/>
    </row>
    <row r="3387" spans="12:19" ht="15.75" customHeight="1" x14ac:dyDescent="0.35">
      <c r="L3387" s="2"/>
      <c r="M3387" s="2"/>
      <c r="N3387" s="650"/>
      <c r="O3387" s="650"/>
      <c r="P3387" s="651"/>
      <c r="Q3387" s="651"/>
      <c r="R3387" s="651"/>
      <c r="S3387" s="651"/>
    </row>
    <row r="3388" spans="12:19" ht="15.75" customHeight="1" x14ac:dyDescent="0.35">
      <c r="L3388" s="2"/>
      <c r="M3388" s="2"/>
      <c r="N3388" s="650"/>
      <c r="O3388" s="650"/>
      <c r="P3388" s="651"/>
      <c r="Q3388" s="651"/>
      <c r="R3388" s="651"/>
      <c r="S3388" s="651"/>
    </row>
    <row r="3389" spans="12:19" ht="15.75" customHeight="1" x14ac:dyDescent="0.35">
      <c r="L3389" s="2"/>
      <c r="M3389" s="2"/>
      <c r="N3389" s="650"/>
      <c r="O3389" s="650"/>
      <c r="P3389" s="651"/>
      <c r="Q3389" s="651"/>
      <c r="R3389" s="651"/>
      <c r="S3389" s="651"/>
    </row>
    <row r="3390" spans="12:19" ht="15.75" customHeight="1" x14ac:dyDescent="0.35">
      <c r="L3390" s="2"/>
      <c r="M3390" s="2"/>
      <c r="N3390" s="650"/>
      <c r="O3390" s="650"/>
      <c r="P3390" s="651"/>
      <c r="Q3390" s="651"/>
      <c r="R3390" s="651"/>
      <c r="S3390" s="651"/>
    </row>
    <row r="3391" spans="12:19" ht="15.75" customHeight="1" x14ac:dyDescent="0.35">
      <c r="L3391" s="2"/>
      <c r="M3391" s="2"/>
      <c r="N3391" s="650"/>
      <c r="O3391" s="650"/>
      <c r="P3391" s="651"/>
      <c r="Q3391" s="651"/>
      <c r="R3391" s="651"/>
      <c r="S3391" s="651"/>
    </row>
    <row r="3392" spans="12:19" ht="15.75" customHeight="1" x14ac:dyDescent="0.35">
      <c r="L3392" s="2"/>
      <c r="M3392" s="2"/>
      <c r="N3392" s="650"/>
      <c r="O3392" s="650"/>
      <c r="P3392" s="651"/>
      <c r="Q3392" s="651"/>
      <c r="R3392" s="651"/>
      <c r="S3392" s="651"/>
    </row>
    <row r="3393" spans="12:19" ht="15.75" customHeight="1" x14ac:dyDescent="0.35">
      <c r="L3393" s="2"/>
      <c r="M3393" s="2"/>
      <c r="N3393" s="650"/>
      <c r="O3393" s="650"/>
      <c r="P3393" s="651"/>
      <c r="Q3393" s="651"/>
      <c r="R3393" s="651"/>
      <c r="S3393" s="651"/>
    </row>
    <row r="3394" spans="12:19" ht="15.75" customHeight="1" x14ac:dyDescent="0.35">
      <c r="L3394" s="2"/>
      <c r="M3394" s="2"/>
      <c r="N3394" s="650"/>
      <c r="O3394" s="650"/>
      <c r="P3394" s="651"/>
      <c r="Q3394" s="651"/>
      <c r="R3394" s="651"/>
      <c r="S3394" s="651"/>
    </row>
    <row r="3395" spans="12:19" ht="15.75" customHeight="1" x14ac:dyDescent="0.35">
      <c r="L3395" s="2"/>
      <c r="M3395" s="2"/>
      <c r="N3395" s="650"/>
      <c r="O3395" s="650"/>
      <c r="P3395" s="651"/>
      <c r="Q3395" s="651"/>
      <c r="R3395" s="651"/>
      <c r="S3395" s="651"/>
    </row>
    <row r="3396" spans="12:19" ht="15.75" customHeight="1" x14ac:dyDescent="0.35">
      <c r="L3396" s="2"/>
      <c r="M3396" s="2"/>
      <c r="N3396" s="650"/>
      <c r="O3396" s="650"/>
      <c r="P3396" s="651"/>
      <c r="Q3396" s="651"/>
      <c r="R3396" s="651"/>
      <c r="S3396" s="651"/>
    </row>
    <row r="3397" spans="12:19" ht="15.75" customHeight="1" x14ac:dyDescent="0.35">
      <c r="L3397" s="2"/>
      <c r="M3397" s="2"/>
      <c r="N3397" s="650"/>
      <c r="O3397" s="650"/>
      <c r="P3397" s="651"/>
      <c r="Q3397" s="651"/>
      <c r="R3397" s="651"/>
      <c r="S3397" s="651"/>
    </row>
    <row r="3398" spans="12:19" ht="15.75" customHeight="1" x14ac:dyDescent="0.35">
      <c r="L3398" s="2"/>
      <c r="M3398" s="2"/>
      <c r="N3398" s="650"/>
      <c r="O3398" s="650"/>
      <c r="P3398" s="651"/>
      <c r="Q3398" s="651"/>
      <c r="R3398" s="651"/>
      <c r="S3398" s="651"/>
    </row>
    <row r="3399" spans="12:19" ht="15.75" customHeight="1" x14ac:dyDescent="0.35">
      <c r="L3399" s="2"/>
      <c r="M3399" s="2"/>
      <c r="N3399" s="650"/>
      <c r="O3399" s="650"/>
      <c r="P3399" s="651"/>
      <c r="Q3399" s="651"/>
      <c r="R3399" s="651"/>
      <c r="S3399" s="651"/>
    </row>
    <row r="3400" spans="12:19" ht="15.75" customHeight="1" x14ac:dyDescent="0.35">
      <c r="L3400" s="2"/>
      <c r="M3400" s="2"/>
      <c r="N3400" s="650"/>
      <c r="O3400" s="650"/>
      <c r="P3400" s="651"/>
      <c r="Q3400" s="651"/>
      <c r="R3400" s="651"/>
      <c r="S3400" s="651"/>
    </row>
    <row r="3401" spans="12:19" ht="15.75" customHeight="1" x14ac:dyDescent="0.35">
      <c r="L3401" s="2"/>
      <c r="M3401" s="2"/>
      <c r="N3401" s="650"/>
      <c r="O3401" s="650"/>
      <c r="P3401" s="651"/>
      <c r="Q3401" s="651"/>
      <c r="R3401" s="651"/>
      <c r="S3401" s="651"/>
    </row>
    <row r="3402" spans="12:19" ht="15.75" customHeight="1" x14ac:dyDescent="0.35">
      <c r="L3402" s="2"/>
      <c r="M3402" s="2"/>
      <c r="N3402" s="650"/>
      <c r="O3402" s="650"/>
      <c r="P3402" s="651"/>
      <c r="Q3402" s="651"/>
      <c r="R3402" s="651"/>
      <c r="S3402" s="651"/>
    </row>
    <row r="3403" spans="12:19" ht="15.75" customHeight="1" x14ac:dyDescent="0.35">
      <c r="L3403" s="2"/>
      <c r="M3403" s="2"/>
      <c r="N3403" s="650"/>
      <c r="O3403" s="650"/>
      <c r="P3403" s="651"/>
      <c r="Q3403" s="651"/>
      <c r="R3403" s="651"/>
      <c r="S3403" s="651"/>
    </row>
    <row r="3404" spans="12:19" ht="15.75" customHeight="1" x14ac:dyDescent="0.35">
      <c r="L3404" s="2"/>
      <c r="M3404" s="2"/>
      <c r="N3404" s="650"/>
      <c r="O3404" s="650"/>
      <c r="P3404" s="651"/>
      <c r="Q3404" s="651"/>
      <c r="R3404" s="651"/>
      <c r="S3404" s="651"/>
    </row>
    <row r="3405" spans="12:19" ht="15.75" customHeight="1" x14ac:dyDescent="0.35">
      <c r="L3405" s="2"/>
      <c r="M3405" s="2"/>
      <c r="N3405" s="650"/>
      <c r="O3405" s="650"/>
      <c r="P3405" s="651"/>
      <c r="Q3405" s="651"/>
      <c r="R3405" s="651"/>
      <c r="S3405" s="651"/>
    </row>
    <row r="3406" spans="12:19" ht="15.75" customHeight="1" x14ac:dyDescent="0.35">
      <c r="L3406" s="2"/>
      <c r="M3406" s="2"/>
      <c r="N3406" s="650"/>
      <c r="O3406" s="650"/>
      <c r="P3406" s="651"/>
      <c r="Q3406" s="651"/>
      <c r="R3406" s="651"/>
      <c r="S3406" s="651"/>
    </row>
    <row r="3407" spans="12:19" ht="15.75" customHeight="1" x14ac:dyDescent="0.35">
      <c r="L3407" s="2"/>
      <c r="M3407" s="2"/>
      <c r="N3407" s="650"/>
      <c r="O3407" s="650"/>
      <c r="P3407" s="651"/>
      <c r="Q3407" s="651"/>
      <c r="R3407" s="651"/>
      <c r="S3407" s="651"/>
    </row>
    <row r="3408" spans="12:19" ht="15.75" customHeight="1" x14ac:dyDescent="0.35">
      <c r="L3408" s="2"/>
      <c r="M3408" s="2"/>
      <c r="N3408" s="650"/>
      <c r="O3408" s="650"/>
      <c r="P3408" s="651"/>
      <c r="Q3408" s="651"/>
      <c r="R3408" s="651"/>
      <c r="S3408" s="651"/>
    </row>
    <row r="3409" spans="12:19" ht="15.75" customHeight="1" x14ac:dyDescent="0.35">
      <c r="L3409" s="2"/>
      <c r="M3409" s="2"/>
      <c r="N3409" s="650"/>
      <c r="O3409" s="650"/>
      <c r="P3409" s="651"/>
      <c r="Q3409" s="651"/>
      <c r="R3409" s="651"/>
      <c r="S3409" s="651"/>
    </row>
    <row r="3410" spans="12:19" ht="15.75" customHeight="1" x14ac:dyDescent="0.35">
      <c r="L3410" s="2"/>
      <c r="M3410" s="2"/>
      <c r="N3410" s="650"/>
      <c r="O3410" s="650"/>
      <c r="P3410" s="651"/>
      <c r="Q3410" s="651"/>
      <c r="R3410" s="651"/>
      <c r="S3410" s="651"/>
    </row>
    <row r="3411" spans="12:19" ht="15.75" customHeight="1" x14ac:dyDescent="0.35">
      <c r="L3411" s="2"/>
      <c r="M3411" s="2"/>
      <c r="N3411" s="650"/>
      <c r="O3411" s="650"/>
      <c r="P3411" s="651"/>
      <c r="Q3411" s="651"/>
      <c r="R3411" s="651"/>
      <c r="S3411" s="651"/>
    </row>
    <row r="3412" spans="12:19" ht="15.75" customHeight="1" x14ac:dyDescent="0.35">
      <c r="L3412" s="2"/>
      <c r="M3412" s="2"/>
      <c r="N3412" s="650"/>
      <c r="O3412" s="650"/>
      <c r="P3412" s="651"/>
      <c r="Q3412" s="651"/>
      <c r="R3412" s="651"/>
      <c r="S3412" s="651"/>
    </row>
    <row r="3413" spans="12:19" ht="15.75" customHeight="1" x14ac:dyDescent="0.35">
      <c r="L3413" s="2"/>
      <c r="M3413" s="2"/>
      <c r="N3413" s="650"/>
      <c r="O3413" s="650"/>
      <c r="P3413" s="651"/>
      <c r="Q3413" s="651"/>
      <c r="R3413" s="651"/>
      <c r="S3413" s="651"/>
    </row>
    <row r="3414" spans="12:19" ht="15.75" customHeight="1" x14ac:dyDescent="0.35">
      <c r="L3414" s="2"/>
      <c r="M3414" s="2"/>
      <c r="N3414" s="650"/>
      <c r="O3414" s="650"/>
      <c r="P3414" s="651"/>
      <c r="Q3414" s="651"/>
      <c r="R3414" s="651"/>
      <c r="S3414" s="651"/>
    </row>
    <row r="3415" spans="12:19" ht="15.75" customHeight="1" x14ac:dyDescent="0.35">
      <c r="L3415" s="2"/>
      <c r="M3415" s="2"/>
      <c r="N3415" s="650"/>
      <c r="O3415" s="650"/>
      <c r="P3415" s="651"/>
      <c r="Q3415" s="651"/>
      <c r="R3415" s="651"/>
      <c r="S3415" s="651"/>
    </row>
    <row r="3416" spans="12:19" ht="15.75" customHeight="1" x14ac:dyDescent="0.35">
      <c r="L3416" s="2"/>
      <c r="M3416" s="2"/>
      <c r="N3416" s="650"/>
      <c r="O3416" s="650"/>
      <c r="P3416" s="651"/>
      <c r="Q3416" s="651"/>
      <c r="R3416" s="651"/>
      <c r="S3416" s="651"/>
    </row>
    <row r="3417" spans="12:19" ht="15.75" customHeight="1" x14ac:dyDescent="0.35">
      <c r="L3417" s="2"/>
      <c r="M3417" s="2"/>
      <c r="N3417" s="650"/>
      <c r="O3417" s="650"/>
      <c r="P3417" s="651"/>
      <c r="Q3417" s="651"/>
      <c r="R3417" s="651"/>
      <c r="S3417" s="651"/>
    </row>
    <row r="3418" spans="12:19" ht="15.75" customHeight="1" x14ac:dyDescent="0.35">
      <c r="L3418" s="2"/>
      <c r="M3418" s="2"/>
      <c r="N3418" s="650"/>
      <c r="O3418" s="650"/>
      <c r="P3418" s="651"/>
      <c r="Q3418" s="651"/>
      <c r="R3418" s="651"/>
      <c r="S3418" s="651"/>
    </row>
    <row r="3419" spans="12:19" ht="15.75" customHeight="1" x14ac:dyDescent="0.35">
      <c r="L3419" s="2"/>
      <c r="M3419" s="2"/>
      <c r="N3419" s="650"/>
      <c r="O3419" s="650"/>
      <c r="P3419" s="651"/>
      <c r="Q3419" s="651"/>
      <c r="R3419" s="651"/>
      <c r="S3419" s="651"/>
    </row>
    <row r="3420" spans="12:19" ht="15.75" customHeight="1" x14ac:dyDescent="0.35">
      <c r="L3420" s="2"/>
      <c r="M3420" s="2"/>
      <c r="N3420" s="650"/>
      <c r="O3420" s="650"/>
      <c r="P3420" s="651"/>
      <c r="Q3420" s="651"/>
      <c r="R3420" s="651"/>
      <c r="S3420" s="651"/>
    </row>
    <row r="3421" spans="12:19" ht="15.75" customHeight="1" x14ac:dyDescent="0.35">
      <c r="L3421" s="2"/>
      <c r="M3421" s="2"/>
      <c r="N3421" s="650"/>
      <c r="O3421" s="650"/>
      <c r="P3421" s="651"/>
      <c r="Q3421" s="651"/>
      <c r="R3421" s="651"/>
      <c r="S3421" s="651"/>
    </row>
    <row r="3422" spans="12:19" ht="15.75" customHeight="1" x14ac:dyDescent="0.35">
      <c r="L3422" s="2"/>
      <c r="M3422" s="2"/>
      <c r="N3422" s="650"/>
      <c r="O3422" s="650"/>
      <c r="P3422" s="651"/>
      <c r="Q3422" s="651"/>
      <c r="R3422" s="651"/>
      <c r="S3422" s="651"/>
    </row>
    <row r="3423" spans="12:19" ht="15.75" customHeight="1" x14ac:dyDescent="0.35">
      <c r="L3423" s="2"/>
      <c r="M3423" s="2"/>
      <c r="N3423" s="650"/>
      <c r="O3423" s="650"/>
      <c r="P3423" s="651"/>
      <c r="Q3423" s="651"/>
      <c r="R3423" s="651"/>
      <c r="S3423" s="651"/>
    </row>
    <row r="3424" spans="12:19" ht="15.75" customHeight="1" x14ac:dyDescent="0.35">
      <c r="L3424" s="2"/>
      <c r="M3424" s="2"/>
      <c r="N3424" s="650"/>
      <c r="O3424" s="650"/>
      <c r="P3424" s="651"/>
      <c r="Q3424" s="651"/>
      <c r="R3424" s="651"/>
      <c r="S3424" s="651"/>
    </row>
    <row r="3425" spans="12:19" ht="15.75" customHeight="1" x14ac:dyDescent="0.35">
      <c r="L3425" s="2"/>
      <c r="M3425" s="2"/>
      <c r="N3425" s="650"/>
      <c r="O3425" s="650"/>
      <c r="P3425" s="651"/>
      <c r="Q3425" s="651"/>
      <c r="R3425" s="651"/>
      <c r="S3425" s="651"/>
    </row>
    <row r="3426" spans="12:19" ht="15.75" customHeight="1" x14ac:dyDescent="0.35">
      <c r="L3426" s="2"/>
      <c r="M3426" s="2"/>
      <c r="N3426" s="650"/>
      <c r="O3426" s="650"/>
      <c r="P3426" s="651"/>
      <c r="Q3426" s="651"/>
      <c r="R3426" s="651"/>
      <c r="S3426" s="651"/>
    </row>
    <row r="3427" spans="12:19" ht="15.75" customHeight="1" x14ac:dyDescent="0.35">
      <c r="L3427" s="2"/>
      <c r="M3427" s="2"/>
      <c r="N3427" s="650"/>
      <c r="O3427" s="650"/>
      <c r="P3427" s="651"/>
      <c r="Q3427" s="651"/>
      <c r="R3427" s="651"/>
      <c r="S3427" s="651"/>
    </row>
    <row r="3428" spans="12:19" ht="15.75" customHeight="1" x14ac:dyDescent="0.35">
      <c r="L3428" s="2"/>
      <c r="M3428" s="2"/>
      <c r="N3428" s="650"/>
      <c r="O3428" s="650"/>
      <c r="P3428" s="651"/>
      <c r="Q3428" s="651"/>
      <c r="R3428" s="651"/>
      <c r="S3428" s="651"/>
    </row>
    <row r="3429" spans="12:19" ht="15.75" customHeight="1" x14ac:dyDescent="0.35">
      <c r="L3429" s="2"/>
      <c r="M3429" s="2"/>
      <c r="N3429" s="650"/>
      <c r="O3429" s="650"/>
      <c r="P3429" s="651"/>
      <c r="Q3429" s="651"/>
      <c r="R3429" s="651"/>
      <c r="S3429" s="651"/>
    </row>
    <row r="3430" spans="12:19" ht="15.75" customHeight="1" x14ac:dyDescent="0.35">
      <c r="L3430" s="2"/>
      <c r="M3430" s="2"/>
      <c r="N3430" s="650"/>
      <c r="O3430" s="650"/>
      <c r="P3430" s="651"/>
      <c r="Q3430" s="651"/>
      <c r="R3430" s="651"/>
      <c r="S3430" s="651"/>
    </row>
    <row r="3431" spans="12:19" ht="15.75" customHeight="1" x14ac:dyDescent="0.35">
      <c r="L3431" s="2"/>
      <c r="M3431" s="2"/>
      <c r="N3431" s="650"/>
      <c r="O3431" s="650"/>
      <c r="P3431" s="651"/>
      <c r="Q3431" s="651"/>
      <c r="R3431" s="651"/>
      <c r="S3431" s="651"/>
    </row>
    <row r="3432" spans="12:19" ht="15.75" customHeight="1" x14ac:dyDescent="0.35">
      <c r="L3432" s="2"/>
      <c r="M3432" s="2"/>
      <c r="N3432" s="650"/>
      <c r="O3432" s="650"/>
      <c r="P3432" s="651"/>
      <c r="Q3432" s="651"/>
      <c r="R3432" s="651"/>
      <c r="S3432" s="651"/>
    </row>
    <row r="3433" spans="12:19" ht="15.75" customHeight="1" x14ac:dyDescent="0.35">
      <c r="L3433" s="2"/>
      <c r="M3433" s="2"/>
      <c r="N3433" s="650"/>
      <c r="O3433" s="650"/>
      <c r="P3433" s="651"/>
      <c r="Q3433" s="651"/>
      <c r="R3433" s="651"/>
      <c r="S3433" s="651"/>
    </row>
    <row r="3434" spans="12:19" ht="15.75" customHeight="1" x14ac:dyDescent="0.35">
      <c r="L3434" s="2"/>
      <c r="M3434" s="2"/>
      <c r="N3434" s="650"/>
      <c r="O3434" s="650"/>
      <c r="P3434" s="651"/>
      <c r="Q3434" s="651"/>
      <c r="R3434" s="651"/>
      <c r="S3434" s="651"/>
    </row>
    <row r="3435" spans="12:19" ht="15.75" customHeight="1" x14ac:dyDescent="0.35">
      <c r="L3435" s="2"/>
      <c r="M3435" s="2"/>
      <c r="N3435" s="650"/>
      <c r="O3435" s="650"/>
      <c r="P3435" s="651"/>
      <c r="Q3435" s="651"/>
      <c r="R3435" s="651"/>
      <c r="S3435" s="651"/>
    </row>
    <row r="3436" spans="12:19" ht="15.75" customHeight="1" x14ac:dyDescent="0.35">
      <c r="L3436" s="2"/>
      <c r="M3436" s="2"/>
      <c r="N3436" s="650"/>
      <c r="O3436" s="650"/>
      <c r="P3436" s="651"/>
      <c r="Q3436" s="651"/>
      <c r="R3436" s="651"/>
      <c r="S3436" s="651"/>
    </row>
    <row r="3437" spans="12:19" ht="15.75" customHeight="1" x14ac:dyDescent="0.35">
      <c r="L3437" s="2"/>
      <c r="M3437" s="2"/>
      <c r="N3437" s="650"/>
      <c r="O3437" s="650"/>
      <c r="P3437" s="651"/>
      <c r="Q3437" s="651"/>
      <c r="R3437" s="651"/>
      <c r="S3437" s="651"/>
    </row>
    <row r="3438" spans="12:19" ht="15.75" customHeight="1" x14ac:dyDescent="0.35">
      <c r="L3438" s="2"/>
      <c r="M3438" s="2"/>
      <c r="N3438" s="650"/>
      <c r="O3438" s="650"/>
      <c r="P3438" s="651"/>
      <c r="Q3438" s="651"/>
      <c r="R3438" s="651"/>
      <c r="S3438" s="651"/>
    </row>
    <row r="3439" spans="12:19" ht="15.75" customHeight="1" x14ac:dyDescent="0.35">
      <c r="L3439" s="2"/>
      <c r="M3439" s="2"/>
      <c r="N3439" s="650"/>
      <c r="O3439" s="650"/>
      <c r="P3439" s="651"/>
      <c r="Q3439" s="651"/>
      <c r="R3439" s="651"/>
      <c r="S3439" s="651"/>
    </row>
    <row r="3440" spans="12:19" ht="15.75" customHeight="1" x14ac:dyDescent="0.35">
      <c r="L3440" s="2"/>
      <c r="M3440" s="2"/>
      <c r="N3440" s="650"/>
      <c r="O3440" s="650"/>
      <c r="P3440" s="651"/>
      <c r="Q3440" s="651"/>
      <c r="R3440" s="651"/>
      <c r="S3440" s="651"/>
    </row>
    <row r="3441" spans="12:19" ht="15.75" customHeight="1" x14ac:dyDescent="0.35">
      <c r="L3441" s="2"/>
      <c r="M3441" s="2"/>
      <c r="N3441" s="650"/>
      <c r="O3441" s="650"/>
      <c r="P3441" s="651"/>
      <c r="Q3441" s="651"/>
      <c r="R3441" s="651"/>
      <c r="S3441" s="651"/>
    </row>
    <row r="3442" spans="12:19" ht="15.75" customHeight="1" x14ac:dyDescent="0.35">
      <c r="L3442" s="2"/>
      <c r="M3442" s="2"/>
      <c r="N3442" s="650"/>
      <c r="O3442" s="650"/>
      <c r="P3442" s="651"/>
      <c r="Q3442" s="651"/>
      <c r="R3442" s="651"/>
      <c r="S3442" s="651"/>
    </row>
    <row r="3443" spans="12:19" ht="15.75" customHeight="1" x14ac:dyDescent="0.35">
      <c r="L3443" s="2"/>
      <c r="M3443" s="2"/>
      <c r="N3443" s="650"/>
      <c r="O3443" s="650"/>
      <c r="P3443" s="651"/>
      <c r="Q3443" s="651"/>
      <c r="R3443" s="651"/>
      <c r="S3443" s="651"/>
    </row>
    <row r="3444" spans="12:19" ht="15.75" customHeight="1" x14ac:dyDescent="0.35">
      <c r="L3444" s="2"/>
      <c r="M3444" s="2"/>
      <c r="N3444" s="650"/>
      <c r="O3444" s="650"/>
      <c r="P3444" s="651"/>
      <c r="Q3444" s="651"/>
      <c r="R3444" s="651"/>
      <c r="S3444" s="651"/>
    </row>
    <row r="3445" spans="12:19" ht="15.75" customHeight="1" x14ac:dyDescent="0.35">
      <c r="L3445" s="2"/>
      <c r="M3445" s="2"/>
      <c r="N3445" s="650"/>
      <c r="O3445" s="650"/>
      <c r="P3445" s="651"/>
      <c r="Q3445" s="651"/>
      <c r="R3445" s="651"/>
      <c r="S3445" s="651"/>
    </row>
    <row r="3446" spans="12:19" ht="15.75" customHeight="1" x14ac:dyDescent="0.35">
      <c r="L3446" s="2"/>
      <c r="M3446" s="2"/>
      <c r="N3446" s="650"/>
      <c r="O3446" s="650"/>
      <c r="P3446" s="651"/>
      <c r="Q3446" s="651"/>
      <c r="R3446" s="651"/>
      <c r="S3446" s="651"/>
    </row>
    <row r="3447" spans="12:19" ht="15.75" customHeight="1" x14ac:dyDescent="0.35">
      <c r="L3447" s="2"/>
      <c r="M3447" s="2"/>
      <c r="N3447" s="650"/>
      <c r="O3447" s="650"/>
      <c r="P3447" s="651"/>
      <c r="Q3447" s="651"/>
      <c r="R3447" s="651"/>
      <c r="S3447" s="651"/>
    </row>
    <row r="3448" spans="12:19" ht="15.75" customHeight="1" x14ac:dyDescent="0.35">
      <c r="L3448" s="2"/>
      <c r="M3448" s="2"/>
      <c r="N3448" s="650"/>
      <c r="O3448" s="650"/>
      <c r="P3448" s="651"/>
      <c r="Q3448" s="651"/>
      <c r="R3448" s="651"/>
      <c r="S3448" s="651"/>
    </row>
    <row r="3449" spans="12:19" ht="15.75" customHeight="1" x14ac:dyDescent="0.35">
      <c r="L3449" s="2"/>
      <c r="M3449" s="2"/>
      <c r="N3449" s="650"/>
      <c r="O3449" s="650"/>
      <c r="P3449" s="651"/>
      <c r="Q3449" s="651"/>
      <c r="R3449" s="651"/>
      <c r="S3449" s="651"/>
    </row>
    <row r="3450" spans="12:19" ht="15.75" customHeight="1" x14ac:dyDescent="0.35">
      <c r="L3450" s="2"/>
      <c r="M3450" s="2"/>
      <c r="N3450" s="650"/>
      <c r="O3450" s="650"/>
      <c r="P3450" s="651"/>
      <c r="Q3450" s="651"/>
      <c r="R3450" s="651"/>
      <c r="S3450" s="651"/>
    </row>
    <row r="3451" spans="12:19" ht="15.75" customHeight="1" x14ac:dyDescent="0.35">
      <c r="L3451" s="2"/>
      <c r="M3451" s="2"/>
      <c r="N3451" s="650"/>
      <c r="O3451" s="650"/>
      <c r="P3451" s="651"/>
      <c r="Q3451" s="651"/>
      <c r="R3451" s="651"/>
      <c r="S3451" s="651"/>
    </row>
    <row r="3452" spans="12:19" ht="15.75" customHeight="1" x14ac:dyDescent="0.35">
      <c r="L3452" s="2"/>
      <c r="M3452" s="2"/>
      <c r="N3452" s="650"/>
      <c r="O3452" s="650"/>
      <c r="P3452" s="651"/>
      <c r="Q3452" s="651"/>
      <c r="R3452" s="651"/>
      <c r="S3452" s="651"/>
    </row>
    <row r="3453" spans="12:19" ht="15.75" customHeight="1" x14ac:dyDescent="0.35">
      <c r="L3453" s="2"/>
      <c r="M3453" s="2"/>
      <c r="N3453" s="650"/>
      <c r="O3453" s="650"/>
      <c r="P3453" s="651"/>
      <c r="Q3453" s="651"/>
      <c r="R3453" s="651"/>
      <c r="S3453" s="651"/>
    </row>
    <row r="3454" spans="12:19" ht="15.75" customHeight="1" x14ac:dyDescent="0.35">
      <c r="L3454" s="2"/>
      <c r="M3454" s="2"/>
      <c r="N3454" s="650"/>
      <c r="O3454" s="650"/>
      <c r="P3454" s="651"/>
      <c r="Q3454" s="651"/>
      <c r="R3454" s="651"/>
      <c r="S3454" s="651"/>
    </row>
    <row r="3455" spans="12:19" ht="15.75" customHeight="1" x14ac:dyDescent="0.35">
      <c r="L3455" s="2"/>
      <c r="M3455" s="2"/>
      <c r="N3455" s="650"/>
      <c r="O3455" s="650"/>
      <c r="P3455" s="651"/>
      <c r="Q3455" s="651"/>
      <c r="R3455" s="651"/>
      <c r="S3455" s="651"/>
    </row>
    <row r="3456" spans="12:19" ht="15.75" customHeight="1" x14ac:dyDescent="0.35">
      <c r="L3456" s="2"/>
      <c r="M3456" s="2"/>
      <c r="N3456" s="650"/>
      <c r="O3456" s="650"/>
      <c r="P3456" s="651"/>
      <c r="Q3456" s="651"/>
      <c r="R3456" s="651"/>
      <c r="S3456" s="651"/>
    </row>
    <row r="3457" spans="12:19" ht="15.75" customHeight="1" x14ac:dyDescent="0.35">
      <c r="L3457" s="2"/>
      <c r="M3457" s="2"/>
      <c r="N3457" s="650"/>
      <c r="O3457" s="650"/>
      <c r="P3457" s="651"/>
      <c r="Q3457" s="651"/>
      <c r="R3457" s="651"/>
      <c r="S3457" s="651"/>
    </row>
    <row r="3458" spans="12:19" ht="15.75" customHeight="1" x14ac:dyDescent="0.35">
      <c r="L3458" s="2"/>
      <c r="M3458" s="2"/>
      <c r="N3458" s="650"/>
      <c r="O3458" s="650"/>
      <c r="P3458" s="651"/>
      <c r="Q3458" s="651"/>
      <c r="R3458" s="651"/>
      <c r="S3458" s="651"/>
    </row>
    <row r="3459" spans="12:19" ht="15.75" customHeight="1" x14ac:dyDescent="0.35">
      <c r="L3459" s="2"/>
      <c r="M3459" s="2"/>
      <c r="N3459" s="650"/>
      <c r="O3459" s="650"/>
      <c r="P3459" s="651"/>
      <c r="Q3459" s="651"/>
      <c r="R3459" s="651"/>
      <c r="S3459" s="651"/>
    </row>
    <row r="3460" spans="12:19" ht="15.75" customHeight="1" x14ac:dyDescent="0.35">
      <c r="L3460" s="2"/>
      <c r="M3460" s="2"/>
      <c r="N3460" s="650"/>
      <c r="O3460" s="650"/>
      <c r="P3460" s="651"/>
      <c r="Q3460" s="651"/>
      <c r="R3460" s="651"/>
      <c r="S3460" s="651"/>
    </row>
    <row r="3461" spans="12:19" ht="15.75" customHeight="1" x14ac:dyDescent="0.35">
      <c r="L3461" s="2"/>
      <c r="M3461" s="2"/>
      <c r="N3461" s="650"/>
      <c r="O3461" s="650"/>
      <c r="P3461" s="651"/>
      <c r="Q3461" s="651"/>
      <c r="R3461" s="651"/>
      <c r="S3461" s="651"/>
    </row>
    <row r="3462" spans="12:19" ht="15.75" customHeight="1" x14ac:dyDescent="0.35">
      <c r="L3462" s="2"/>
      <c r="M3462" s="2"/>
      <c r="N3462" s="650"/>
      <c r="O3462" s="650"/>
      <c r="P3462" s="651"/>
      <c r="Q3462" s="651"/>
      <c r="R3462" s="651"/>
      <c r="S3462" s="651"/>
    </row>
    <row r="3463" spans="12:19" ht="15.75" customHeight="1" x14ac:dyDescent="0.35">
      <c r="L3463" s="2"/>
      <c r="M3463" s="2"/>
      <c r="N3463" s="650"/>
      <c r="O3463" s="650"/>
      <c r="P3463" s="651"/>
      <c r="Q3463" s="651"/>
      <c r="R3463" s="651"/>
      <c r="S3463" s="651"/>
    </row>
    <row r="3464" spans="12:19" ht="15.75" customHeight="1" x14ac:dyDescent="0.35">
      <c r="L3464" s="2"/>
      <c r="M3464" s="2"/>
      <c r="N3464" s="650"/>
      <c r="O3464" s="650"/>
      <c r="P3464" s="651"/>
      <c r="Q3464" s="651"/>
      <c r="R3464" s="651"/>
      <c r="S3464" s="651"/>
    </row>
    <row r="3465" spans="12:19" ht="15.75" customHeight="1" x14ac:dyDescent="0.35">
      <c r="L3465" s="2"/>
      <c r="M3465" s="2"/>
      <c r="N3465" s="650"/>
      <c r="O3465" s="650"/>
      <c r="P3465" s="651"/>
      <c r="Q3465" s="651"/>
      <c r="R3465" s="651"/>
      <c r="S3465" s="651"/>
    </row>
    <row r="3466" spans="12:19" ht="15.75" customHeight="1" x14ac:dyDescent="0.35">
      <c r="L3466" s="2"/>
      <c r="M3466" s="2"/>
      <c r="N3466" s="650"/>
      <c r="O3466" s="650"/>
      <c r="P3466" s="651"/>
      <c r="Q3466" s="651"/>
      <c r="R3466" s="651"/>
      <c r="S3466" s="651"/>
    </row>
    <row r="3467" spans="12:19" ht="15.75" customHeight="1" x14ac:dyDescent="0.35">
      <c r="L3467" s="2"/>
      <c r="M3467" s="2"/>
      <c r="N3467" s="650"/>
      <c r="O3467" s="650"/>
      <c r="P3467" s="651"/>
      <c r="Q3467" s="651"/>
      <c r="R3467" s="651"/>
      <c r="S3467" s="651"/>
    </row>
    <row r="3468" spans="12:19" ht="15.75" customHeight="1" x14ac:dyDescent="0.35">
      <c r="L3468" s="2"/>
      <c r="M3468" s="2"/>
      <c r="N3468" s="650"/>
      <c r="O3468" s="650"/>
      <c r="P3468" s="651"/>
      <c r="Q3468" s="651"/>
      <c r="R3468" s="651"/>
      <c r="S3468" s="651"/>
    </row>
    <row r="3469" spans="12:19" ht="15.75" customHeight="1" x14ac:dyDescent="0.35">
      <c r="L3469" s="2"/>
      <c r="M3469" s="2"/>
      <c r="N3469" s="650"/>
      <c r="O3469" s="650"/>
      <c r="P3469" s="651"/>
      <c r="Q3469" s="651"/>
      <c r="R3469" s="651"/>
      <c r="S3469" s="651"/>
    </row>
    <row r="3470" spans="12:19" ht="15.75" customHeight="1" x14ac:dyDescent="0.35">
      <c r="L3470" s="2"/>
      <c r="M3470" s="2"/>
      <c r="N3470" s="650"/>
      <c r="O3470" s="650"/>
      <c r="P3470" s="651"/>
      <c r="Q3470" s="651"/>
      <c r="R3470" s="651"/>
      <c r="S3470" s="651"/>
    </row>
    <row r="3471" spans="12:19" ht="15.75" customHeight="1" x14ac:dyDescent="0.35">
      <c r="L3471" s="2"/>
      <c r="M3471" s="2"/>
      <c r="N3471" s="650"/>
      <c r="O3471" s="650"/>
      <c r="P3471" s="651"/>
      <c r="Q3471" s="651"/>
      <c r="R3471" s="651"/>
      <c r="S3471" s="651"/>
    </row>
    <row r="3472" spans="12:19" ht="15.75" customHeight="1" x14ac:dyDescent="0.35">
      <c r="L3472" s="2"/>
      <c r="M3472" s="2"/>
      <c r="N3472" s="650"/>
      <c r="O3472" s="650"/>
      <c r="P3472" s="651"/>
      <c r="Q3472" s="651"/>
      <c r="R3472" s="651"/>
      <c r="S3472" s="651"/>
    </row>
    <row r="3473" spans="12:19" ht="15.75" customHeight="1" x14ac:dyDescent="0.35">
      <c r="L3473" s="2"/>
      <c r="M3473" s="2"/>
      <c r="N3473" s="650"/>
      <c r="O3473" s="650"/>
      <c r="P3473" s="651"/>
      <c r="Q3473" s="651"/>
      <c r="R3473" s="651"/>
      <c r="S3473" s="651"/>
    </row>
    <row r="3474" spans="12:19" ht="15.75" customHeight="1" x14ac:dyDescent="0.35">
      <c r="L3474" s="2"/>
      <c r="M3474" s="2"/>
      <c r="N3474" s="650"/>
      <c r="O3474" s="650"/>
      <c r="P3474" s="651"/>
      <c r="Q3474" s="651"/>
      <c r="R3474" s="651"/>
      <c r="S3474" s="651"/>
    </row>
    <row r="3475" spans="12:19" ht="15.75" customHeight="1" x14ac:dyDescent="0.35">
      <c r="L3475" s="2"/>
      <c r="M3475" s="2"/>
      <c r="N3475" s="650"/>
      <c r="O3475" s="650"/>
      <c r="P3475" s="651"/>
      <c r="Q3475" s="651"/>
      <c r="R3475" s="651"/>
      <c r="S3475" s="651"/>
    </row>
    <row r="3476" spans="12:19" ht="15.75" customHeight="1" x14ac:dyDescent="0.35">
      <c r="L3476" s="2"/>
      <c r="M3476" s="2"/>
      <c r="N3476" s="650"/>
      <c r="O3476" s="650"/>
      <c r="P3476" s="651"/>
      <c r="Q3476" s="651"/>
      <c r="R3476" s="651"/>
      <c r="S3476" s="651"/>
    </row>
    <row r="3477" spans="12:19" ht="15.75" customHeight="1" x14ac:dyDescent="0.35">
      <c r="L3477" s="2"/>
      <c r="M3477" s="2"/>
      <c r="N3477" s="650"/>
      <c r="O3477" s="650"/>
      <c r="P3477" s="651"/>
      <c r="Q3477" s="651"/>
      <c r="R3477" s="651"/>
      <c r="S3477" s="651"/>
    </row>
    <row r="3478" spans="12:19" ht="15.75" customHeight="1" x14ac:dyDescent="0.35">
      <c r="L3478" s="2"/>
      <c r="M3478" s="2"/>
      <c r="N3478" s="650"/>
      <c r="O3478" s="650"/>
      <c r="P3478" s="651"/>
      <c r="Q3478" s="651"/>
      <c r="R3478" s="651"/>
      <c r="S3478" s="651"/>
    </row>
    <row r="3479" spans="12:19" ht="15.75" customHeight="1" x14ac:dyDescent="0.35">
      <c r="L3479" s="2"/>
      <c r="M3479" s="2"/>
      <c r="N3479" s="650"/>
      <c r="O3479" s="650"/>
      <c r="P3479" s="651"/>
      <c r="Q3479" s="651"/>
      <c r="R3479" s="651"/>
      <c r="S3479" s="651"/>
    </row>
    <row r="3480" spans="12:19" ht="15.75" customHeight="1" x14ac:dyDescent="0.35">
      <c r="L3480" s="2"/>
      <c r="M3480" s="2"/>
      <c r="N3480" s="650"/>
      <c r="O3480" s="650"/>
      <c r="P3480" s="651"/>
      <c r="Q3480" s="651"/>
      <c r="R3480" s="651"/>
      <c r="S3480" s="651"/>
    </row>
    <row r="3481" spans="12:19" ht="15.75" customHeight="1" x14ac:dyDescent="0.35">
      <c r="L3481" s="2"/>
      <c r="M3481" s="2"/>
      <c r="N3481" s="650"/>
      <c r="O3481" s="650"/>
      <c r="P3481" s="651"/>
      <c r="Q3481" s="651"/>
      <c r="R3481" s="651"/>
      <c r="S3481" s="651"/>
    </row>
    <row r="3482" spans="12:19" ht="15.75" customHeight="1" x14ac:dyDescent="0.35">
      <c r="L3482" s="2"/>
      <c r="M3482" s="2"/>
      <c r="N3482" s="650"/>
      <c r="O3482" s="650"/>
      <c r="P3482" s="651"/>
      <c r="Q3482" s="651"/>
      <c r="R3482" s="651"/>
      <c r="S3482" s="651"/>
    </row>
    <row r="3483" spans="12:19" ht="15.75" customHeight="1" x14ac:dyDescent="0.35">
      <c r="L3483" s="2"/>
      <c r="M3483" s="2"/>
      <c r="N3483" s="650"/>
      <c r="O3483" s="650"/>
      <c r="P3483" s="651"/>
      <c r="Q3483" s="651"/>
      <c r="R3483" s="651"/>
      <c r="S3483" s="651"/>
    </row>
    <row r="3484" spans="12:19" ht="15.75" customHeight="1" x14ac:dyDescent="0.35">
      <c r="L3484" s="2"/>
      <c r="M3484" s="2"/>
      <c r="N3484" s="650"/>
      <c r="O3484" s="650"/>
      <c r="P3484" s="651"/>
      <c r="Q3484" s="651"/>
      <c r="R3484" s="651"/>
      <c r="S3484" s="651"/>
    </row>
    <row r="3485" spans="12:19" ht="15.75" customHeight="1" x14ac:dyDescent="0.35">
      <c r="L3485" s="2"/>
      <c r="M3485" s="2"/>
      <c r="N3485" s="650"/>
      <c r="O3485" s="650"/>
      <c r="P3485" s="651"/>
      <c r="Q3485" s="651"/>
      <c r="R3485" s="651"/>
      <c r="S3485" s="651"/>
    </row>
    <row r="3486" spans="12:19" ht="15.75" customHeight="1" x14ac:dyDescent="0.35">
      <c r="L3486" s="2"/>
      <c r="M3486" s="2"/>
      <c r="N3486" s="650"/>
      <c r="O3486" s="650"/>
      <c r="P3486" s="651"/>
      <c r="Q3486" s="651"/>
      <c r="R3486" s="651"/>
      <c r="S3486" s="651"/>
    </row>
    <row r="3487" spans="12:19" ht="15.75" customHeight="1" x14ac:dyDescent="0.35">
      <c r="L3487" s="2"/>
      <c r="M3487" s="2"/>
      <c r="N3487" s="650"/>
      <c r="O3487" s="650"/>
      <c r="P3487" s="651"/>
      <c r="Q3487" s="651"/>
      <c r="R3487" s="651"/>
      <c r="S3487" s="651"/>
    </row>
    <row r="3488" spans="12:19" ht="15.75" customHeight="1" x14ac:dyDescent="0.35">
      <c r="L3488" s="2"/>
      <c r="M3488" s="2"/>
      <c r="N3488" s="650"/>
      <c r="O3488" s="650"/>
      <c r="P3488" s="651"/>
      <c r="Q3488" s="651"/>
      <c r="R3488" s="651"/>
      <c r="S3488" s="651"/>
    </row>
    <row r="3489" spans="12:19" ht="15.75" customHeight="1" x14ac:dyDescent="0.35">
      <c r="L3489" s="2"/>
      <c r="M3489" s="2"/>
      <c r="N3489" s="650"/>
      <c r="O3489" s="650"/>
      <c r="P3489" s="651"/>
      <c r="Q3489" s="651"/>
      <c r="R3489" s="651"/>
      <c r="S3489" s="651"/>
    </row>
    <row r="3490" spans="12:19" ht="15.75" customHeight="1" x14ac:dyDescent="0.35">
      <c r="L3490" s="2"/>
      <c r="M3490" s="2"/>
      <c r="N3490" s="650"/>
      <c r="O3490" s="650"/>
      <c r="P3490" s="651"/>
      <c r="Q3490" s="651"/>
      <c r="R3490" s="651"/>
      <c r="S3490" s="651"/>
    </row>
    <row r="3491" spans="12:19" ht="15.75" customHeight="1" x14ac:dyDescent="0.35">
      <c r="L3491" s="2"/>
      <c r="M3491" s="2"/>
      <c r="N3491" s="650"/>
      <c r="O3491" s="650"/>
      <c r="P3491" s="651"/>
      <c r="Q3491" s="651"/>
      <c r="R3491" s="651"/>
      <c r="S3491" s="651"/>
    </row>
    <row r="3492" spans="12:19" ht="15.75" customHeight="1" x14ac:dyDescent="0.35">
      <c r="L3492" s="2"/>
      <c r="M3492" s="2"/>
      <c r="N3492" s="650"/>
      <c r="O3492" s="650"/>
      <c r="P3492" s="651"/>
      <c r="Q3492" s="651"/>
      <c r="R3492" s="651"/>
      <c r="S3492" s="651"/>
    </row>
    <row r="3493" spans="12:19" ht="15.75" customHeight="1" x14ac:dyDescent="0.35">
      <c r="L3493" s="2"/>
      <c r="M3493" s="2"/>
      <c r="N3493" s="650"/>
      <c r="O3493" s="650"/>
      <c r="P3493" s="651"/>
      <c r="Q3493" s="651"/>
      <c r="R3493" s="651"/>
      <c r="S3493" s="651"/>
    </row>
    <row r="3494" spans="12:19" ht="15.75" customHeight="1" x14ac:dyDescent="0.35">
      <c r="L3494" s="2"/>
      <c r="M3494" s="2"/>
      <c r="N3494" s="650"/>
      <c r="O3494" s="650"/>
      <c r="P3494" s="651"/>
      <c r="Q3494" s="651"/>
      <c r="R3494" s="651"/>
      <c r="S3494" s="651"/>
    </row>
    <row r="3495" spans="12:19" ht="15.75" customHeight="1" x14ac:dyDescent="0.35">
      <c r="L3495" s="2"/>
      <c r="M3495" s="2"/>
      <c r="N3495" s="650"/>
      <c r="O3495" s="650"/>
      <c r="P3495" s="651"/>
      <c r="Q3495" s="651"/>
      <c r="R3495" s="651"/>
      <c r="S3495" s="651"/>
    </row>
    <row r="3496" spans="12:19" ht="15.75" customHeight="1" x14ac:dyDescent="0.35">
      <c r="L3496" s="2"/>
      <c r="M3496" s="2"/>
      <c r="N3496" s="650"/>
      <c r="O3496" s="650"/>
      <c r="P3496" s="651"/>
      <c r="Q3496" s="651"/>
      <c r="R3496" s="651"/>
      <c r="S3496" s="651"/>
    </row>
    <row r="3497" spans="12:19" ht="15.75" customHeight="1" x14ac:dyDescent="0.35">
      <c r="L3497" s="2"/>
      <c r="M3497" s="2"/>
      <c r="N3497" s="650"/>
      <c r="O3497" s="650"/>
      <c r="P3497" s="651"/>
      <c r="Q3497" s="651"/>
      <c r="R3497" s="651"/>
      <c r="S3497" s="651"/>
    </row>
    <row r="3498" spans="12:19" ht="15.75" customHeight="1" x14ac:dyDescent="0.35">
      <c r="L3498" s="2"/>
      <c r="M3498" s="2"/>
      <c r="N3498" s="650"/>
      <c r="O3498" s="650"/>
      <c r="P3498" s="651"/>
      <c r="Q3498" s="651"/>
      <c r="R3498" s="651"/>
      <c r="S3498" s="651"/>
    </row>
    <row r="3499" spans="12:19" ht="15.75" customHeight="1" x14ac:dyDescent="0.35">
      <c r="L3499" s="2"/>
      <c r="M3499" s="2"/>
      <c r="N3499" s="650"/>
      <c r="O3499" s="650"/>
      <c r="P3499" s="651"/>
      <c r="Q3499" s="651"/>
      <c r="R3499" s="651"/>
      <c r="S3499" s="651"/>
    </row>
    <row r="3500" spans="12:19" ht="15.75" customHeight="1" x14ac:dyDescent="0.35">
      <c r="L3500" s="2"/>
      <c r="M3500" s="2"/>
      <c r="N3500" s="650"/>
      <c r="O3500" s="650"/>
      <c r="P3500" s="651"/>
      <c r="Q3500" s="651"/>
      <c r="R3500" s="651"/>
      <c r="S3500" s="651"/>
    </row>
    <row r="3501" spans="12:19" ht="15.75" customHeight="1" x14ac:dyDescent="0.35">
      <c r="L3501" s="2"/>
      <c r="M3501" s="2"/>
      <c r="N3501" s="650"/>
      <c r="O3501" s="650"/>
      <c r="P3501" s="651"/>
      <c r="Q3501" s="651"/>
      <c r="R3501" s="651"/>
      <c r="S3501" s="651"/>
    </row>
    <row r="3502" spans="12:19" ht="15.75" customHeight="1" x14ac:dyDescent="0.35">
      <c r="L3502" s="2"/>
      <c r="M3502" s="2"/>
      <c r="N3502" s="650"/>
      <c r="O3502" s="650"/>
      <c r="P3502" s="651"/>
      <c r="Q3502" s="651"/>
      <c r="R3502" s="651"/>
      <c r="S3502" s="651"/>
    </row>
    <row r="3503" spans="12:19" ht="15.75" customHeight="1" x14ac:dyDescent="0.35">
      <c r="L3503" s="2"/>
      <c r="M3503" s="2"/>
      <c r="N3503" s="650"/>
      <c r="O3503" s="650"/>
      <c r="P3503" s="651"/>
      <c r="Q3503" s="651"/>
      <c r="R3503" s="651"/>
      <c r="S3503" s="651"/>
    </row>
    <row r="3504" spans="12:19" ht="15.75" customHeight="1" x14ac:dyDescent="0.35">
      <c r="L3504" s="2"/>
      <c r="M3504" s="2"/>
      <c r="N3504" s="650"/>
      <c r="O3504" s="650"/>
      <c r="P3504" s="651"/>
      <c r="Q3504" s="651"/>
      <c r="R3504" s="651"/>
      <c r="S3504" s="651"/>
    </row>
    <row r="3505" spans="12:19" ht="15.75" customHeight="1" x14ac:dyDescent="0.35">
      <c r="L3505" s="2"/>
      <c r="M3505" s="2"/>
      <c r="N3505" s="650"/>
      <c r="O3505" s="650"/>
      <c r="P3505" s="651"/>
      <c r="Q3505" s="651"/>
      <c r="R3505" s="651"/>
      <c r="S3505" s="651"/>
    </row>
    <row r="3506" spans="12:19" ht="15.75" customHeight="1" x14ac:dyDescent="0.35">
      <c r="L3506" s="2"/>
      <c r="M3506" s="2"/>
      <c r="N3506" s="650"/>
      <c r="O3506" s="650"/>
      <c r="P3506" s="651"/>
      <c r="Q3506" s="651"/>
      <c r="R3506" s="651"/>
      <c r="S3506" s="651"/>
    </row>
    <row r="3507" spans="12:19" ht="15.75" customHeight="1" x14ac:dyDescent="0.35">
      <c r="L3507" s="2"/>
      <c r="M3507" s="2"/>
      <c r="N3507" s="650"/>
      <c r="O3507" s="650"/>
      <c r="P3507" s="651"/>
      <c r="Q3507" s="651"/>
      <c r="R3507" s="651"/>
      <c r="S3507" s="651"/>
    </row>
    <row r="3508" spans="12:19" ht="15.75" customHeight="1" x14ac:dyDescent="0.35">
      <c r="L3508" s="2"/>
      <c r="M3508" s="2"/>
      <c r="N3508" s="650"/>
      <c r="O3508" s="650"/>
      <c r="P3508" s="651"/>
      <c r="Q3508" s="651"/>
      <c r="R3508" s="651"/>
      <c r="S3508" s="651"/>
    </row>
    <row r="3509" spans="12:19" ht="15.75" customHeight="1" x14ac:dyDescent="0.35">
      <c r="L3509" s="2"/>
      <c r="M3509" s="2"/>
      <c r="N3509" s="650"/>
      <c r="O3509" s="650"/>
      <c r="P3509" s="651"/>
      <c r="Q3509" s="651"/>
      <c r="R3509" s="651"/>
      <c r="S3509" s="651"/>
    </row>
    <row r="3510" spans="12:19" ht="15.75" customHeight="1" x14ac:dyDescent="0.35">
      <c r="L3510" s="2"/>
      <c r="M3510" s="2"/>
      <c r="N3510" s="650"/>
      <c r="O3510" s="650"/>
      <c r="P3510" s="651"/>
      <c r="Q3510" s="651"/>
      <c r="R3510" s="651"/>
      <c r="S3510" s="651"/>
    </row>
    <row r="3511" spans="12:19" ht="15.75" customHeight="1" x14ac:dyDescent="0.35">
      <c r="L3511" s="2"/>
      <c r="M3511" s="2"/>
      <c r="N3511" s="650"/>
      <c r="O3511" s="650"/>
      <c r="P3511" s="651"/>
      <c r="Q3511" s="651"/>
      <c r="R3511" s="651"/>
      <c r="S3511" s="651"/>
    </row>
    <row r="3512" spans="12:19" ht="15.75" customHeight="1" x14ac:dyDescent="0.35">
      <c r="L3512" s="2"/>
      <c r="M3512" s="2"/>
      <c r="N3512" s="650"/>
      <c r="O3512" s="650"/>
      <c r="P3512" s="651"/>
      <c r="Q3512" s="651"/>
      <c r="R3512" s="651"/>
      <c r="S3512" s="651"/>
    </row>
    <row r="3513" spans="12:19" ht="15.75" customHeight="1" x14ac:dyDescent="0.35">
      <c r="L3513" s="2"/>
      <c r="M3513" s="2"/>
      <c r="N3513" s="650"/>
      <c r="O3513" s="650"/>
      <c r="P3513" s="651"/>
      <c r="Q3513" s="651"/>
      <c r="R3513" s="651"/>
      <c r="S3513" s="651"/>
    </row>
    <row r="3514" spans="12:19" ht="15.75" customHeight="1" x14ac:dyDescent="0.35">
      <c r="L3514" s="2"/>
      <c r="M3514" s="2"/>
      <c r="N3514" s="650"/>
      <c r="O3514" s="650"/>
      <c r="P3514" s="651"/>
      <c r="Q3514" s="651"/>
      <c r="R3514" s="651"/>
      <c r="S3514" s="651"/>
    </row>
    <row r="3515" spans="12:19" ht="15.75" customHeight="1" x14ac:dyDescent="0.35">
      <c r="L3515" s="2"/>
      <c r="M3515" s="2"/>
      <c r="N3515" s="650"/>
      <c r="O3515" s="650"/>
      <c r="P3515" s="651"/>
      <c r="Q3515" s="651"/>
      <c r="R3515" s="651"/>
      <c r="S3515" s="651"/>
    </row>
    <row r="3516" spans="12:19" ht="15.75" customHeight="1" x14ac:dyDescent="0.35">
      <c r="L3516" s="2"/>
      <c r="M3516" s="2"/>
      <c r="N3516" s="650"/>
      <c r="O3516" s="650"/>
      <c r="P3516" s="651"/>
      <c r="Q3516" s="651"/>
      <c r="R3516" s="651"/>
      <c r="S3516" s="651"/>
    </row>
    <row r="3517" spans="12:19" ht="15.75" customHeight="1" x14ac:dyDescent="0.35">
      <c r="L3517" s="2"/>
      <c r="M3517" s="2"/>
      <c r="N3517" s="650"/>
      <c r="O3517" s="650"/>
      <c r="P3517" s="651"/>
      <c r="Q3517" s="651"/>
      <c r="R3517" s="651"/>
      <c r="S3517" s="651"/>
    </row>
    <row r="3518" spans="12:19" ht="15.75" customHeight="1" x14ac:dyDescent="0.35">
      <c r="L3518" s="2"/>
      <c r="M3518" s="2"/>
      <c r="N3518" s="650"/>
      <c r="O3518" s="650"/>
      <c r="P3518" s="651"/>
      <c r="Q3518" s="651"/>
      <c r="R3518" s="651"/>
      <c r="S3518" s="651"/>
    </row>
    <row r="3519" spans="12:19" ht="15.75" customHeight="1" x14ac:dyDescent="0.35">
      <c r="L3519" s="2"/>
      <c r="M3519" s="2"/>
      <c r="N3519" s="650"/>
      <c r="O3519" s="650"/>
      <c r="P3519" s="651"/>
      <c r="Q3519" s="651"/>
      <c r="R3519" s="651"/>
      <c r="S3519" s="651"/>
    </row>
    <row r="3520" spans="12:19" ht="15.75" customHeight="1" x14ac:dyDescent="0.35">
      <c r="L3520" s="2"/>
      <c r="M3520" s="2"/>
      <c r="N3520" s="650"/>
      <c r="O3520" s="650"/>
      <c r="P3520" s="651"/>
      <c r="Q3520" s="651"/>
      <c r="R3520" s="651"/>
      <c r="S3520" s="651"/>
    </row>
    <row r="3521" spans="12:19" ht="15.75" customHeight="1" x14ac:dyDescent="0.35">
      <c r="L3521" s="2"/>
      <c r="M3521" s="2"/>
      <c r="N3521" s="650"/>
      <c r="O3521" s="650"/>
      <c r="P3521" s="651"/>
      <c r="Q3521" s="651"/>
      <c r="R3521" s="651"/>
      <c r="S3521" s="651"/>
    </row>
    <row r="3522" spans="12:19" ht="15.75" customHeight="1" x14ac:dyDescent="0.35">
      <c r="L3522" s="2"/>
      <c r="M3522" s="2"/>
      <c r="N3522" s="650"/>
      <c r="O3522" s="650"/>
      <c r="P3522" s="651"/>
      <c r="Q3522" s="651"/>
      <c r="R3522" s="651"/>
      <c r="S3522" s="651"/>
    </row>
    <row r="3523" spans="12:19" ht="15.75" customHeight="1" x14ac:dyDescent="0.35">
      <c r="L3523" s="2"/>
      <c r="M3523" s="2"/>
      <c r="N3523" s="650"/>
      <c r="O3523" s="650"/>
      <c r="P3523" s="651"/>
      <c r="Q3523" s="651"/>
      <c r="R3523" s="651"/>
      <c r="S3523" s="651"/>
    </row>
    <row r="3524" spans="12:19" ht="15.75" customHeight="1" x14ac:dyDescent="0.35">
      <c r="L3524" s="2"/>
      <c r="M3524" s="2"/>
      <c r="N3524" s="650"/>
      <c r="O3524" s="650"/>
      <c r="P3524" s="651"/>
      <c r="Q3524" s="651"/>
      <c r="R3524" s="651"/>
      <c r="S3524" s="651"/>
    </row>
    <row r="3525" spans="12:19" ht="15.75" customHeight="1" x14ac:dyDescent="0.35">
      <c r="L3525" s="2"/>
      <c r="M3525" s="2"/>
      <c r="N3525" s="650"/>
      <c r="O3525" s="650"/>
      <c r="P3525" s="651"/>
      <c r="Q3525" s="651"/>
      <c r="R3525" s="651"/>
      <c r="S3525" s="651"/>
    </row>
    <row r="3526" spans="12:19" ht="15.75" customHeight="1" x14ac:dyDescent="0.35">
      <c r="L3526" s="2"/>
      <c r="M3526" s="2"/>
      <c r="N3526" s="650"/>
      <c r="O3526" s="650"/>
      <c r="P3526" s="651"/>
      <c r="Q3526" s="651"/>
      <c r="R3526" s="651"/>
      <c r="S3526" s="651"/>
    </row>
    <row r="3527" spans="12:19" ht="15.75" customHeight="1" x14ac:dyDescent="0.35">
      <c r="L3527" s="2"/>
      <c r="M3527" s="2"/>
      <c r="N3527" s="650"/>
      <c r="O3527" s="650"/>
      <c r="P3527" s="651"/>
      <c r="Q3527" s="651"/>
      <c r="R3527" s="651"/>
      <c r="S3527" s="651"/>
    </row>
    <row r="3528" spans="12:19" ht="15.75" customHeight="1" x14ac:dyDescent="0.35">
      <c r="L3528" s="2"/>
      <c r="M3528" s="2"/>
      <c r="N3528" s="650"/>
      <c r="O3528" s="650"/>
      <c r="P3528" s="651"/>
      <c r="Q3528" s="651"/>
      <c r="R3528" s="651"/>
      <c r="S3528" s="651"/>
    </row>
    <row r="3529" spans="12:19" ht="15.75" customHeight="1" x14ac:dyDescent="0.35">
      <c r="L3529" s="2"/>
      <c r="M3529" s="2"/>
      <c r="N3529" s="650"/>
      <c r="O3529" s="650"/>
      <c r="P3529" s="651"/>
      <c r="Q3529" s="651"/>
      <c r="R3529" s="651"/>
      <c r="S3529" s="651"/>
    </row>
    <row r="3530" spans="12:19" ht="15.75" customHeight="1" x14ac:dyDescent="0.35">
      <c r="L3530" s="2"/>
      <c r="M3530" s="2"/>
      <c r="N3530" s="650"/>
      <c r="O3530" s="650"/>
      <c r="P3530" s="651"/>
      <c r="Q3530" s="651"/>
      <c r="R3530" s="651"/>
      <c r="S3530" s="651"/>
    </row>
    <row r="3531" spans="12:19" ht="15.75" customHeight="1" x14ac:dyDescent="0.35">
      <c r="L3531" s="2"/>
      <c r="M3531" s="2"/>
      <c r="N3531" s="650"/>
      <c r="O3531" s="650"/>
      <c r="P3531" s="651"/>
      <c r="Q3531" s="651"/>
      <c r="R3531" s="651"/>
      <c r="S3531" s="651"/>
    </row>
    <row r="3532" spans="12:19" ht="15.75" customHeight="1" x14ac:dyDescent="0.35">
      <c r="L3532" s="2"/>
      <c r="M3532" s="2"/>
      <c r="N3532" s="650"/>
      <c r="O3532" s="650"/>
      <c r="P3532" s="651"/>
      <c r="Q3532" s="651"/>
      <c r="R3532" s="651"/>
      <c r="S3532" s="651"/>
    </row>
    <row r="3533" spans="12:19" ht="15.75" customHeight="1" x14ac:dyDescent="0.35">
      <c r="L3533" s="2"/>
      <c r="M3533" s="2"/>
      <c r="N3533" s="650"/>
      <c r="O3533" s="650"/>
      <c r="P3533" s="651"/>
      <c r="Q3533" s="651"/>
      <c r="R3533" s="651"/>
      <c r="S3533" s="651"/>
    </row>
    <row r="3534" spans="12:19" ht="15.75" customHeight="1" x14ac:dyDescent="0.35">
      <c r="L3534" s="2"/>
      <c r="M3534" s="2"/>
      <c r="N3534" s="650"/>
      <c r="O3534" s="650"/>
      <c r="P3534" s="651"/>
      <c r="Q3534" s="651"/>
      <c r="R3534" s="651"/>
      <c r="S3534" s="651"/>
    </row>
    <row r="3535" spans="12:19" ht="15.75" customHeight="1" x14ac:dyDescent="0.35">
      <c r="L3535" s="2"/>
      <c r="M3535" s="2"/>
      <c r="N3535" s="650"/>
      <c r="O3535" s="650"/>
      <c r="P3535" s="651"/>
      <c r="Q3535" s="651"/>
      <c r="R3535" s="651"/>
      <c r="S3535" s="651"/>
    </row>
    <row r="3536" spans="12:19" ht="15.75" customHeight="1" x14ac:dyDescent="0.35">
      <c r="L3536" s="2"/>
      <c r="M3536" s="2"/>
      <c r="N3536" s="650"/>
      <c r="O3536" s="650"/>
      <c r="P3536" s="651"/>
      <c r="Q3536" s="651"/>
      <c r="R3536" s="651"/>
      <c r="S3536" s="651"/>
    </row>
    <row r="3537" spans="12:19" ht="15.75" customHeight="1" x14ac:dyDescent="0.35">
      <c r="L3537" s="2"/>
      <c r="M3537" s="2"/>
      <c r="N3537" s="650"/>
      <c r="O3537" s="650"/>
      <c r="P3537" s="651"/>
      <c r="Q3537" s="651"/>
      <c r="R3537" s="651"/>
      <c r="S3537" s="651"/>
    </row>
    <row r="3538" spans="12:19" ht="15.75" customHeight="1" x14ac:dyDescent="0.35">
      <c r="L3538" s="2"/>
      <c r="M3538" s="2"/>
      <c r="N3538" s="650"/>
      <c r="O3538" s="650"/>
      <c r="P3538" s="651"/>
      <c r="Q3538" s="651"/>
      <c r="R3538" s="651"/>
      <c r="S3538" s="651"/>
    </row>
    <row r="3539" spans="12:19" ht="15.75" customHeight="1" x14ac:dyDescent="0.35">
      <c r="L3539" s="2"/>
      <c r="M3539" s="2"/>
      <c r="N3539" s="650"/>
      <c r="O3539" s="650"/>
      <c r="P3539" s="651"/>
      <c r="Q3539" s="651"/>
      <c r="R3539" s="651"/>
      <c r="S3539" s="651"/>
    </row>
    <row r="3540" spans="12:19" ht="15.75" customHeight="1" x14ac:dyDescent="0.35">
      <c r="L3540" s="2"/>
      <c r="M3540" s="2"/>
      <c r="N3540" s="650"/>
      <c r="O3540" s="650"/>
      <c r="P3540" s="651"/>
      <c r="Q3540" s="651"/>
      <c r="R3540" s="651"/>
      <c r="S3540" s="651"/>
    </row>
    <row r="3541" spans="12:19" ht="15.75" customHeight="1" x14ac:dyDescent="0.35">
      <c r="L3541" s="2"/>
      <c r="M3541" s="2"/>
      <c r="N3541" s="650"/>
      <c r="O3541" s="650"/>
      <c r="P3541" s="651"/>
      <c r="Q3541" s="651"/>
      <c r="R3541" s="651"/>
      <c r="S3541" s="651"/>
    </row>
    <row r="3542" spans="12:19" ht="15.75" customHeight="1" x14ac:dyDescent="0.35">
      <c r="L3542" s="2"/>
      <c r="M3542" s="2"/>
      <c r="N3542" s="650"/>
      <c r="O3542" s="650"/>
      <c r="P3542" s="651"/>
      <c r="Q3542" s="651"/>
      <c r="R3542" s="651"/>
      <c r="S3542" s="651"/>
    </row>
    <row r="3543" spans="12:19" ht="15.75" customHeight="1" x14ac:dyDescent="0.35">
      <c r="L3543" s="2"/>
      <c r="M3543" s="2"/>
      <c r="N3543" s="650"/>
      <c r="O3543" s="650"/>
      <c r="P3543" s="651"/>
      <c r="Q3543" s="651"/>
      <c r="R3543" s="651"/>
      <c r="S3543" s="651"/>
    </row>
    <row r="3544" spans="12:19" ht="15.75" customHeight="1" x14ac:dyDescent="0.35">
      <c r="L3544" s="2"/>
      <c r="M3544" s="2"/>
      <c r="N3544" s="650"/>
      <c r="O3544" s="650"/>
      <c r="P3544" s="651"/>
      <c r="Q3544" s="651"/>
      <c r="R3544" s="651"/>
      <c r="S3544" s="651"/>
    </row>
    <row r="3545" spans="12:19" ht="15.75" customHeight="1" x14ac:dyDescent="0.35">
      <c r="L3545" s="2"/>
      <c r="M3545" s="2"/>
      <c r="N3545" s="650"/>
      <c r="O3545" s="650"/>
      <c r="P3545" s="651"/>
      <c r="Q3545" s="651"/>
      <c r="R3545" s="651"/>
      <c r="S3545" s="651"/>
    </row>
    <row r="3546" spans="12:19" ht="15.75" customHeight="1" x14ac:dyDescent="0.35">
      <c r="L3546" s="2"/>
      <c r="M3546" s="2"/>
      <c r="N3546" s="650"/>
      <c r="O3546" s="650"/>
      <c r="P3546" s="651"/>
      <c r="Q3546" s="651"/>
      <c r="R3546" s="651"/>
      <c r="S3546" s="651"/>
    </row>
    <row r="3547" spans="12:19" ht="15.75" customHeight="1" x14ac:dyDescent="0.35">
      <c r="L3547" s="2"/>
      <c r="M3547" s="2"/>
      <c r="N3547" s="650"/>
      <c r="O3547" s="650"/>
      <c r="P3547" s="651"/>
      <c r="Q3547" s="651"/>
      <c r="R3547" s="651"/>
      <c r="S3547" s="651"/>
    </row>
    <row r="3548" spans="12:19" ht="15.75" customHeight="1" x14ac:dyDescent="0.35">
      <c r="L3548" s="2"/>
      <c r="M3548" s="2"/>
      <c r="N3548" s="650"/>
      <c r="O3548" s="650"/>
      <c r="P3548" s="651"/>
      <c r="Q3548" s="651"/>
      <c r="R3548" s="651"/>
      <c r="S3548" s="651"/>
    </row>
    <row r="3549" spans="12:19" ht="15.75" customHeight="1" x14ac:dyDescent="0.35">
      <c r="L3549" s="2"/>
      <c r="M3549" s="2"/>
      <c r="N3549" s="650"/>
      <c r="O3549" s="650"/>
      <c r="P3549" s="651"/>
      <c r="Q3549" s="651"/>
      <c r="R3549" s="651"/>
      <c r="S3549" s="651"/>
    </row>
    <row r="3550" spans="12:19" ht="15.75" customHeight="1" x14ac:dyDescent="0.35">
      <c r="L3550" s="2"/>
      <c r="M3550" s="2"/>
      <c r="N3550" s="650"/>
      <c r="O3550" s="650"/>
      <c r="P3550" s="651"/>
      <c r="Q3550" s="651"/>
      <c r="R3550" s="651"/>
      <c r="S3550" s="651"/>
    </row>
    <row r="3551" spans="12:19" ht="15.75" customHeight="1" x14ac:dyDescent="0.35">
      <c r="L3551" s="2"/>
      <c r="M3551" s="2"/>
      <c r="N3551" s="650"/>
      <c r="O3551" s="650"/>
      <c r="P3551" s="651"/>
      <c r="Q3551" s="651"/>
      <c r="R3551" s="651"/>
      <c r="S3551" s="651"/>
    </row>
    <row r="3552" spans="12:19" ht="15.75" customHeight="1" x14ac:dyDescent="0.35">
      <c r="L3552" s="2"/>
      <c r="M3552" s="2"/>
      <c r="N3552" s="650"/>
      <c r="O3552" s="650"/>
      <c r="P3552" s="651"/>
      <c r="Q3552" s="651"/>
      <c r="R3552" s="651"/>
      <c r="S3552" s="651"/>
    </row>
    <row r="3553" spans="12:19" ht="15.75" customHeight="1" x14ac:dyDescent="0.35">
      <c r="L3553" s="2"/>
      <c r="M3553" s="2"/>
      <c r="N3553" s="650"/>
      <c r="O3553" s="650"/>
      <c r="P3553" s="651"/>
      <c r="Q3553" s="651"/>
      <c r="R3553" s="651"/>
      <c r="S3553" s="651"/>
    </row>
    <row r="3554" spans="12:19" ht="15.75" customHeight="1" x14ac:dyDescent="0.35">
      <c r="L3554" s="2"/>
      <c r="M3554" s="2"/>
      <c r="N3554" s="650"/>
      <c r="O3554" s="650"/>
      <c r="P3554" s="651"/>
      <c r="Q3554" s="651"/>
      <c r="R3554" s="651"/>
      <c r="S3554" s="651"/>
    </row>
    <row r="3555" spans="12:19" ht="15.75" customHeight="1" x14ac:dyDescent="0.35">
      <c r="L3555" s="2"/>
      <c r="M3555" s="2"/>
      <c r="N3555" s="650"/>
      <c r="O3555" s="650"/>
      <c r="P3555" s="651"/>
      <c r="Q3555" s="651"/>
      <c r="R3555" s="651"/>
      <c r="S3555" s="651"/>
    </row>
    <row r="3556" spans="12:19" ht="15.75" customHeight="1" x14ac:dyDescent="0.35">
      <c r="L3556" s="2"/>
      <c r="M3556" s="2"/>
      <c r="N3556" s="650"/>
      <c r="O3556" s="650"/>
      <c r="P3556" s="651"/>
      <c r="Q3556" s="651"/>
      <c r="R3556" s="651"/>
      <c r="S3556" s="651"/>
    </row>
    <row r="3557" spans="12:19" ht="15.75" customHeight="1" x14ac:dyDescent="0.35">
      <c r="L3557" s="2"/>
      <c r="M3557" s="2"/>
      <c r="N3557" s="650"/>
      <c r="O3557" s="650"/>
      <c r="P3557" s="651"/>
      <c r="Q3557" s="651"/>
      <c r="R3557" s="651"/>
      <c r="S3557" s="651"/>
    </row>
    <row r="3558" spans="12:19" ht="15.75" customHeight="1" x14ac:dyDescent="0.35">
      <c r="L3558" s="2"/>
      <c r="M3558" s="2"/>
      <c r="N3558" s="650"/>
      <c r="O3558" s="650"/>
      <c r="P3558" s="651"/>
      <c r="Q3558" s="651"/>
      <c r="R3558" s="651"/>
      <c r="S3558" s="651"/>
    </row>
    <row r="3559" spans="12:19" ht="15.75" customHeight="1" x14ac:dyDescent="0.35">
      <c r="L3559" s="2"/>
      <c r="M3559" s="2"/>
      <c r="N3559" s="650"/>
      <c r="O3559" s="650"/>
      <c r="P3559" s="651"/>
      <c r="Q3559" s="651"/>
      <c r="R3559" s="651"/>
      <c r="S3559" s="651"/>
    </row>
    <row r="3560" spans="12:19" ht="15.75" customHeight="1" x14ac:dyDescent="0.35">
      <c r="L3560" s="2"/>
      <c r="M3560" s="2"/>
      <c r="N3560" s="650"/>
      <c r="O3560" s="650"/>
      <c r="P3560" s="651"/>
      <c r="Q3560" s="651"/>
      <c r="R3560" s="651"/>
      <c r="S3560" s="651"/>
    </row>
    <row r="3561" spans="12:19" ht="15.75" customHeight="1" x14ac:dyDescent="0.35">
      <c r="L3561" s="2"/>
      <c r="M3561" s="2"/>
      <c r="N3561" s="650"/>
      <c r="O3561" s="650"/>
      <c r="P3561" s="651"/>
      <c r="Q3561" s="651"/>
      <c r="R3561" s="651"/>
      <c r="S3561" s="651"/>
    </row>
    <row r="3562" spans="12:19" ht="15.75" customHeight="1" x14ac:dyDescent="0.35">
      <c r="L3562" s="2"/>
      <c r="M3562" s="2"/>
      <c r="N3562" s="650"/>
      <c r="O3562" s="650"/>
      <c r="P3562" s="651"/>
      <c r="Q3562" s="651"/>
      <c r="R3562" s="651"/>
      <c r="S3562" s="651"/>
    </row>
    <row r="3563" spans="12:19" ht="15.75" customHeight="1" x14ac:dyDescent="0.35">
      <c r="L3563" s="2"/>
      <c r="M3563" s="2"/>
      <c r="N3563" s="650"/>
      <c r="O3563" s="650"/>
      <c r="P3563" s="651"/>
      <c r="Q3563" s="651"/>
      <c r="R3563" s="651"/>
      <c r="S3563" s="651"/>
    </row>
    <row r="3564" spans="12:19" ht="15.75" customHeight="1" x14ac:dyDescent="0.35">
      <c r="L3564" s="2"/>
      <c r="M3564" s="2"/>
      <c r="N3564" s="650"/>
      <c r="O3564" s="650"/>
      <c r="P3564" s="651"/>
      <c r="Q3564" s="651"/>
      <c r="R3564" s="651"/>
      <c r="S3564" s="651"/>
    </row>
    <row r="3565" spans="12:19" ht="15.75" customHeight="1" x14ac:dyDescent="0.35">
      <c r="L3565" s="2"/>
      <c r="M3565" s="2"/>
      <c r="N3565" s="650"/>
      <c r="O3565" s="650"/>
      <c r="P3565" s="651"/>
      <c r="Q3565" s="651"/>
      <c r="R3565" s="651"/>
      <c r="S3565" s="651"/>
    </row>
    <row r="3566" spans="12:19" ht="15.75" customHeight="1" x14ac:dyDescent="0.35">
      <c r="L3566" s="2"/>
      <c r="M3566" s="2"/>
      <c r="N3566" s="650"/>
      <c r="O3566" s="650"/>
      <c r="P3566" s="651"/>
      <c r="Q3566" s="651"/>
      <c r="R3566" s="651"/>
      <c r="S3566" s="651"/>
    </row>
    <row r="3567" spans="12:19" ht="15.75" customHeight="1" x14ac:dyDescent="0.35">
      <c r="L3567" s="2"/>
      <c r="M3567" s="2"/>
      <c r="N3567" s="650"/>
      <c r="O3567" s="650"/>
      <c r="P3567" s="651"/>
      <c r="Q3567" s="651"/>
      <c r="R3567" s="651"/>
      <c r="S3567" s="651"/>
    </row>
    <row r="3568" spans="12:19" ht="15.75" customHeight="1" x14ac:dyDescent="0.35">
      <c r="L3568" s="2"/>
      <c r="M3568" s="2"/>
      <c r="N3568" s="650"/>
      <c r="O3568" s="650"/>
      <c r="P3568" s="651"/>
      <c r="Q3568" s="651"/>
      <c r="R3568" s="651"/>
      <c r="S3568" s="651"/>
    </row>
    <row r="3569" spans="12:19" ht="15.75" customHeight="1" x14ac:dyDescent="0.35">
      <c r="L3569" s="2"/>
      <c r="M3569" s="2"/>
      <c r="N3569" s="650"/>
      <c r="O3569" s="650"/>
      <c r="P3569" s="651"/>
      <c r="Q3569" s="651"/>
      <c r="R3569" s="651"/>
      <c r="S3569" s="651"/>
    </row>
    <row r="3570" spans="12:19" ht="15.75" customHeight="1" x14ac:dyDescent="0.35">
      <c r="L3570" s="2"/>
      <c r="M3570" s="2"/>
      <c r="N3570" s="650"/>
      <c r="O3570" s="650"/>
      <c r="P3570" s="651"/>
      <c r="Q3570" s="651"/>
      <c r="R3570" s="651"/>
      <c r="S3570" s="651"/>
    </row>
    <row r="3571" spans="12:19" ht="15.75" customHeight="1" x14ac:dyDescent="0.35">
      <c r="L3571" s="2"/>
      <c r="M3571" s="2"/>
      <c r="N3571" s="650"/>
      <c r="O3571" s="650"/>
      <c r="P3571" s="651"/>
      <c r="Q3571" s="651"/>
      <c r="R3571" s="651"/>
      <c r="S3571" s="651"/>
    </row>
    <row r="3572" spans="12:19" ht="15.75" customHeight="1" x14ac:dyDescent="0.35">
      <c r="L3572" s="2"/>
      <c r="M3572" s="2"/>
      <c r="N3572" s="650"/>
      <c r="O3572" s="650"/>
      <c r="P3572" s="651"/>
      <c r="Q3572" s="651"/>
      <c r="R3572" s="651"/>
      <c r="S3572" s="651"/>
    </row>
    <row r="3573" spans="12:19" ht="15.75" customHeight="1" x14ac:dyDescent="0.35">
      <c r="L3573" s="2"/>
      <c r="M3573" s="2"/>
      <c r="N3573" s="650"/>
      <c r="O3573" s="650"/>
      <c r="P3573" s="651"/>
      <c r="Q3573" s="651"/>
      <c r="R3573" s="651"/>
      <c r="S3573" s="651"/>
    </row>
    <row r="3574" spans="12:19" ht="15.75" customHeight="1" x14ac:dyDescent="0.35">
      <c r="L3574" s="2"/>
      <c r="M3574" s="2"/>
      <c r="N3574" s="650"/>
      <c r="O3574" s="650"/>
      <c r="P3574" s="651"/>
      <c r="Q3574" s="651"/>
      <c r="R3574" s="651"/>
      <c r="S3574" s="651"/>
    </row>
    <row r="3575" spans="12:19" ht="15.75" customHeight="1" x14ac:dyDescent="0.35">
      <c r="L3575" s="2"/>
      <c r="M3575" s="2"/>
      <c r="N3575" s="650"/>
      <c r="O3575" s="650"/>
      <c r="P3575" s="651"/>
      <c r="Q3575" s="651"/>
      <c r="R3575" s="651"/>
      <c r="S3575" s="651"/>
    </row>
    <row r="3576" spans="12:19" ht="15.75" customHeight="1" x14ac:dyDescent="0.35">
      <c r="L3576" s="2"/>
      <c r="M3576" s="2"/>
      <c r="N3576" s="650"/>
      <c r="O3576" s="650"/>
      <c r="P3576" s="651"/>
      <c r="Q3576" s="651"/>
      <c r="R3576" s="651"/>
      <c r="S3576" s="651"/>
    </row>
    <row r="3577" spans="12:19" ht="15.75" customHeight="1" x14ac:dyDescent="0.35">
      <c r="L3577" s="2"/>
      <c r="M3577" s="2"/>
      <c r="N3577" s="650"/>
      <c r="O3577" s="650"/>
      <c r="P3577" s="651"/>
      <c r="Q3577" s="651"/>
      <c r="R3577" s="651"/>
      <c r="S3577" s="651"/>
    </row>
    <row r="3578" spans="12:19" ht="15.75" customHeight="1" x14ac:dyDescent="0.35">
      <c r="L3578" s="2"/>
      <c r="M3578" s="2"/>
      <c r="N3578" s="650"/>
      <c r="O3578" s="650"/>
      <c r="P3578" s="651"/>
      <c r="Q3578" s="651"/>
      <c r="R3578" s="651"/>
      <c r="S3578" s="651"/>
    </row>
    <row r="3579" spans="12:19" ht="15.75" customHeight="1" x14ac:dyDescent="0.35">
      <c r="L3579" s="2"/>
      <c r="M3579" s="2"/>
      <c r="N3579" s="650"/>
      <c r="O3579" s="650"/>
      <c r="P3579" s="651"/>
      <c r="Q3579" s="651"/>
      <c r="R3579" s="651"/>
      <c r="S3579" s="651"/>
    </row>
    <row r="3580" spans="12:19" ht="15.75" customHeight="1" x14ac:dyDescent="0.35">
      <c r="L3580" s="2"/>
      <c r="M3580" s="2"/>
      <c r="N3580" s="650"/>
      <c r="O3580" s="650"/>
      <c r="P3580" s="651"/>
      <c r="Q3580" s="651"/>
      <c r="R3580" s="651"/>
      <c r="S3580" s="651"/>
    </row>
    <row r="3581" spans="12:19" ht="15.75" customHeight="1" x14ac:dyDescent="0.35">
      <c r="L3581" s="2"/>
      <c r="M3581" s="2"/>
      <c r="N3581" s="650"/>
      <c r="O3581" s="650"/>
      <c r="P3581" s="651"/>
      <c r="Q3581" s="651"/>
      <c r="R3581" s="651"/>
      <c r="S3581" s="651"/>
    </row>
    <row r="3582" spans="12:19" ht="15.75" customHeight="1" x14ac:dyDescent="0.35">
      <c r="L3582" s="2"/>
      <c r="M3582" s="2"/>
      <c r="N3582" s="650"/>
      <c r="O3582" s="650"/>
      <c r="P3582" s="651"/>
      <c r="Q3582" s="651"/>
      <c r="R3582" s="651"/>
      <c r="S3582" s="651"/>
    </row>
    <row r="3583" spans="12:19" ht="15.75" customHeight="1" x14ac:dyDescent="0.35">
      <c r="L3583" s="2"/>
      <c r="M3583" s="2"/>
      <c r="N3583" s="650"/>
      <c r="O3583" s="650"/>
      <c r="P3583" s="651"/>
      <c r="Q3583" s="651"/>
      <c r="R3583" s="651"/>
      <c r="S3583" s="651"/>
    </row>
    <row r="3584" spans="12:19" ht="15.75" customHeight="1" x14ac:dyDescent="0.35">
      <c r="L3584" s="2"/>
      <c r="M3584" s="2"/>
      <c r="N3584" s="650"/>
      <c r="O3584" s="650"/>
      <c r="P3584" s="651"/>
      <c r="Q3584" s="651"/>
      <c r="R3584" s="651"/>
      <c r="S3584" s="651"/>
    </row>
    <row r="3585" spans="12:19" ht="15.75" customHeight="1" x14ac:dyDescent="0.35">
      <c r="L3585" s="2"/>
      <c r="M3585" s="2"/>
      <c r="N3585" s="650"/>
      <c r="O3585" s="650"/>
      <c r="P3585" s="651"/>
      <c r="Q3585" s="651"/>
      <c r="R3585" s="651"/>
      <c r="S3585" s="651"/>
    </row>
    <row r="3586" spans="12:19" ht="15.75" customHeight="1" x14ac:dyDescent="0.35">
      <c r="L3586" s="2"/>
      <c r="M3586" s="2"/>
      <c r="N3586" s="650"/>
      <c r="O3586" s="650"/>
      <c r="P3586" s="651"/>
      <c r="Q3586" s="651"/>
      <c r="R3586" s="651"/>
      <c r="S3586" s="651"/>
    </row>
    <row r="3587" spans="12:19" ht="15.75" customHeight="1" x14ac:dyDescent="0.35">
      <c r="L3587" s="2"/>
      <c r="M3587" s="2"/>
      <c r="N3587" s="650"/>
      <c r="O3587" s="650"/>
      <c r="P3587" s="651"/>
      <c r="Q3587" s="651"/>
      <c r="R3587" s="651"/>
      <c r="S3587" s="651"/>
    </row>
    <row r="3588" spans="12:19" ht="15.75" customHeight="1" x14ac:dyDescent="0.35">
      <c r="L3588" s="2"/>
      <c r="M3588" s="2"/>
      <c r="N3588" s="650"/>
      <c r="O3588" s="650"/>
      <c r="P3588" s="651"/>
      <c r="Q3588" s="651"/>
      <c r="R3588" s="651"/>
      <c r="S3588" s="651"/>
    </row>
    <row r="3589" spans="12:19" ht="15.75" customHeight="1" x14ac:dyDescent="0.35">
      <c r="L3589" s="2"/>
      <c r="M3589" s="2"/>
      <c r="N3589" s="650"/>
      <c r="O3589" s="650"/>
      <c r="P3589" s="651"/>
      <c r="Q3589" s="651"/>
      <c r="R3589" s="651"/>
      <c r="S3589" s="651"/>
    </row>
    <row r="3590" spans="12:19" ht="15.75" customHeight="1" x14ac:dyDescent="0.35">
      <c r="L3590" s="2"/>
      <c r="M3590" s="2"/>
      <c r="N3590" s="650"/>
      <c r="O3590" s="650"/>
      <c r="P3590" s="651"/>
      <c r="Q3590" s="651"/>
      <c r="R3590" s="651"/>
      <c r="S3590" s="651"/>
    </row>
    <row r="3591" spans="12:19" ht="15.75" customHeight="1" x14ac:dyDescent="0.35">
      <c r="L3591" s="2"/>
      <c r="M3591" s="2"/>
      <c r="N3591" s="650"/>
      <c r="O3591" s="650"/>
      <c r="P3591" s="651"/>
      <c r="Q3591" s="651"/>
      <c r="R3591" s="651"/>
      <c r="S3591" s="651"/>
    </row>
    <row r="3592" spans="12:19" ht="15.75" customHeight="1" x14ac:dyDescent="0.35">
      <c r="L3592" s="2"/>
      <c r="M3592" s="2"/>
      <c r="N3592" s="650"/>
      <c r="O3592" s="650"/>
      <c r="P3592" s="651"/>
      <c r="Q3592" s="651"/>
      <c r="R3592" s="651"/>
      <c r="S3592" s="651"/>
    </row>
    <row r="3593" spans="12:19" ht="15.75" customHeight="1" x14ac:dyDescent="0.35">
      <c r="L3593" s="2"/>
      <c r="M3593" s="2"/>
      <c r="N3593" s="650"/>
      <c r="O3593" s="650"/>
      <c r="P3593" s="651"/>
      <c r="Q3593" s="651"/>
      <c r="R3593" s="651"/>
      <c r="S3593" s="651"/>
    </row>
    <row r="3594" spans="12:19" ht="15.75" customHeight="1" x14ac:dyDescent="0.35">
      <c r="L3594" s="2"/>
      <c r="M3594" s="2"/>
      <c r="N3594" s="650"/>
      <c r="O3594" s="650"/>
      <c r="P3594" s="651"/>
      <c r="Q3594" s="651"/>
      <c r="R3594" s="651"/>
      <c r="S3594" s="651"/>
    </row>
    <row r="3595" spans="12:19" ht="15.75" customHeight="1" x14ac:dyDescent="0.35">
      <c r="L3595" s="2"/>
      <c r="M3595" s="2"/>
      <c r="N3595" s="650"/>
      <c r="O3595" s="650"/>
      <c r="P3595" s="651"/>
      <c r="Q3595" s="651"/>
      <c r="R3595" s="651"/>
      <c r="S3595" s="651"/>
    </row>
    <row r="3596" spans="12:19" ht="15.75" customHeight="1" x14ac:dyDescent="0.35">
      <c r="L3596" s="2"/>
      <c r="M3596" s="2"/>
      <c r="N3596" s="650"/>
      <c r="O3596" s="650"/>
      <c r="P3596" s="651"/>
      <c r="Q3596" s="651"/>
      <c r="R3596" s="651"/>
      <c r="S3596" s="651"/>
    </row>
    <row r="3597" spans="12:19" ht="15.75" customHeight="1" x14ac:dyDescent="0.35">
      <c r="L3597" s="2"/>
      <c r="M3597" s="2"/>
      <c r="N3597" s="650"/>
      <c r="O3597" s="650"/>
      <c r="P3597" s="651"/>
      <c r="Q3597" s="651"/>
      <c r="R3597" s="651"/>
      <c r="S3597" s="651"/>
    </row>
    <row r="3598" spans="12:19" ht="15.75" customHeight="1" x14ac:dyDescent="0.35">
      <c r="L3598" s="2"/>
      <c r="M3598" s="2"/>
      <c r="N3598" s="650"/>
      <c r="O3598" s="650"/>
      <c r="P3598" s="651"/>
      <c r="Q3598" s="651"/>
      <c r="R3598" s="651"/>
      <c r="S3598" s="651"/>
    </row>
    <row r="3599" spans="12:19" ht="15.75" customHeight="1" x14ac:dyDescent="0.35">
      <c r="L3599" s="2"/>
      <c r="M3599" s="2"/>
      <c r="N3599" s="650"/>
      <c r="O3599" s="650"/>
      <c r="P3599" s="651"/>
      <c r="Q3599" s="651"/>
      <c r="R3599" s="651"/>
      <c r="S3599" s="651"/>
    </row>
    <row r="3600" spans="12:19" ht="15.75" customHeight="1" x14ac:dyDescent="0.35">
      <c r="L3600" s="2"/>
      <c r="M3600" s="2"/>
      <c r="N3600" s="650"/>
      <c r="O3600" s="650"/>
      <c r="P3600" s="651"/>
      <c r="Q3600" s="651"/>
      <c r="R3600" s="651"/>
      <c r="S3600" s="651"/>
    </row>
    <row r="3601" spans="12:19" ht="15.75" customHeight="1" x14ac:dyDescent="0.35">
      <c r="L3601" s="2"/>
      <c r="M3601" s="2"/>
      <c r="N3601" s="650"/>
      <c r="O3601" s="650"/>
      <c r="P3601" s="651"/>
      <c r="Q3601" s="651"/>
      <c r="R3601" s="651"/>
      <c r="S3601" s="651"/>
    </row>
    <row r="3602" spans="12:19" ht="15.75" customHeight="1" x14ac:dyDescent="0.35">
      <c r="L3602" s="2"/>
      <c r="M3602" s="2"/>
      <c r="N3602" s="650"/>
      <c r="O3602" s="650"/>
      <c r="P3602" s="651"/>
      <c r="Q3602" s="651"/>
      <c r="R3602" s="651"/>
      <c r="S3602" s="651"/>
    </row>
    <row r="3603" spans="12:19" ht="15.75" customHeight="1" x14ac:dyDescent="0.35">
      <c r="L3603" s="2"/>
      <c r="M3603" s="2"/>
      <c r="N3603" s="650"/>
      <c r="O3603" s="650"/>
      <c r="P3603" s="651"/>
      <c r="Q3603" s="651"/>
      <c r="R3603" s="651"/>
      <c r="S3603" s="651"/>
    </row>
    <row r="3604" spans="12:19" ht="15.75" customHeight="1" x14ac:dyDescent="0.35">
      <c r="L3604" s="2"/>
      <c r="M3604" s="2"/>
      <c r="N3604" s="650"/>
      <c r="O3604" s="650"/>
      <c r="P3604" s="651"/>
      <c r="Q3604" s="651"/>
      <c r="R3604" s="651"/>
      <c r="S3604" s="651"/>
    </row>
    <row r="3605" spans="12:19" ht="15.75" customHeight="1" x14ac:dyDescent="0.35">
      <c r="L3605" s="2"/>
      <c r="M3605" s="2"/>
      <c r="N3605" s="650"/>
      <c r="O3605" s="650"/>
      <c r="P3605" s="651"/>
      <c r="Q3605" s="651"/>
      <c r="R3605" s="651"/>
      <c r="S3605" s="651"/>
    </row>
    <row r="3606" spans="12:19" ht="15.75" customHeight="1" x14ac:dyDescent="0.35">
      <c r="L3606" s="2"/>
      <c r="M3606" s="2"/>
      <c r="N3606" s="650"/>
      <c r="O3606" s="650"/>
      <c r="P3606" s="651"/>
      <c r="Q3606" s="651"/>
      <c r="R3606" s="651"/>
      <c r="S3606" s="651"/>
    </row>
    <row r="3607" spans="12:19" ht="15.75" customHeight="1" x14ac:dyDescent="0.35">
      <c r="L3607" s="2"/>
      <c r="M3607" s="2"/>
      <c r="N3607" s="650"/>
      <c r="O3607" s="650"/>
      <c r="P3607" s="651"/>
      <c r="Q3607" s="651"/>
      <c r="R3607" s="651"/>
      <c r="S3607" s="651"/>
    </row>
    <row r="3608" spans="12:19" ht="15.75" customHeight="1" x14ac:dyDescent="0.35">
      <c r="L3608" s="2"/>
      <c r="M3608" s="2"/>
      <c r="N3608" s="650"/>
      <c r="O3608" s="650"/>
      <c r="P3608" s="651"/>
      <c r="Q3608" s="651"/>
      <c r="R3608" s="651"/>
      <c r="S3608" s="651"/>
    </row>
    <row r="3609" spans="12:19" ht="15.75" customHeight="1" x14ac:dyDescent="0.35">
      <c r="L3609" s="2"/>
      <c r="M3609" s="2"/>
      <c r="N3609" s="650"/>
      <c r="O3609" s="650"/>
      <c r="P3609" s="651"/>
      <c r="Q3609" s="651"/>
      <c r="R3609" s="651"/>
      <c r="S3609" s="651"/>
    </row>
    <row r="3610" spans="12:19" ht="15.75" customHeight="1" x14ac:dyDescent="0.35">
      <c r="L3610" s="2"/>
      <c r="M3610" s="2"/>
      <c r="N3610" s="650"/>
      <c r="O3610" s="650"/>
      <c r="P3610" s="651"/>
      <c r="Q3610" s="651"/>
      <c r="R3610" s="651"/>
      <c r="S3610" s="651"/>
    </row>
    <row r="3611" spans="12:19" ht="15.75" customHeight="1" x14ac:dyDescent="0.35">
      <c r="L3611" s="2"/>
      <c r="M3611" s="2"/>
      <c r="N3611" s="650"/>
      <c r="O3611" s="650"/>
      <c r="P3611" s="651"/>
      <c r="Q3611" s="651"/>
      <c r="R3611" s="651"/>
      <c r="S3611" s="651"/>
    </row>
    <row r="3612" spans="12:19" ht="15.75" customHeight="1" x14ac:dyDescent="0.35">
      <c r="L3612" s="2"/>
      <c r="M3612" s="2"/>
      <c r="N3612" s="650"/>
      <c r="O3612" s="650"/>
      <c r="P3612" s="651"/>
      <c r="Q3612" s="651"/>
      <c r="R3612" s="651"/>
      <c r="S3612" s="651"/>
    </row>
    <row r="3613" spans="12:19" ht="15.75" customHeight="1" x14ac:dyDescent="0.35">
      <c r="L3613" s="2"/>
      <c r="M3613" s="2"/>
      <c r="N3613" s="650"/>
      <c r="O3613" s="650"/>
      <c r="P3613" s="651"/>
      <c r="Q3613" s="651"/>
      <c r="R3613" s="651"/>
      <c r="S3613" s="651"/>
    </row>
    <row r="3614" spans="12:19" ht="15.75" customHeight="1" x14ac:dyDescent="0.35">
      <c r="L3614" s="2"/>
      <c r="M3614" s="2"/>
      <c r="N3614" s="650"/>
      <c r="O3614" s="650"/>
      <c r="P3614" s="651"/>
      <c r="Q3614" s="651"/>
      <c r="R3614" s="651"/>
      <c r="S3614" s="651"/>
    </row>
    <row r="3615" spans="12:19" ht="15.75" customHeight="1" x14ac:dyDescent="0.35">
      <c r="L3615" s="2"/>
      <c r="M3615" s="2"/>
      <c r="N3615" s="650"/>
      <c r="O3615" s="650"/>
      <c r="P3615" s="651"/>
      <c r="Q3615" s="651"/>
      <c r="R3615" s="651"/>
      <c r="S3615" s="651"/>
    </row>
    <row r="3616" spans="12:19" ht="15.75" customHeight="1" x14ac:dyDescent="0.35">
      <c r="L3616" s="2"/>
      <c r="M3616" s="2"/>
      <c r="N3616" s="650"/>
      <c r="O3616" s="650"/>
      <c r="P3616" s="651"/>
      <c r="Q3616" s="651"/>
      <c r="R3616" s="651"/>
      <c r="S3616" s="651"/>
    </row>
    <row r="3617" spans="12:19" ht="15.75" customHeight="1" x14ac:dyDescent="0.35">
      <c r="L3617" s="2"/>
      <c r="M3617" s="2"/>
      <c r="N3617" s="650"/>
      <c r="O3617" s="650"/>
      <c r="P3617" s="651"/>
      <c r="Q3617" s="651"/>
      <c r="R3617" s="651"/>
      <c r="S3617" s="651"/>
    </row>
    <row r="3618" spans="12:19" ht="15.75" customHeight="1" x14ac:dyDescent="0.35">
      <c r="L3618" s="2"/>
      <c r="M3618" s="2"/>
      <c r="N3618" s="650"/>
      <c r="O3618" s="650"/>
      <c r="P3618" s="651"/>
      <c r="Q3618" s="651"/>
      <c r="R3618" s="651"/>
      <c r="S3618" s="651"/>
    </row>
    <row r="3619" spans="12:19" ht="15.75" customHeight="1" x14ac:dyDescent="0.35">
      <c r="L3619" s="2"/>
      <c r="M3619" s="2"/>
      <c r="N3619" s="650"/>
      <c r="O3619" s="650"/>
      <c r="P3619" s="651"/>
      <c r="Q3619" s="651"/>
      <c r="R3619" s="651"/>
      <c r="S3619" s="651"/>
    </row>
    <row r="3620" spans="12:19" ht="15.75" customHeight="1" x14ac:dyDescent="0.35">
      <c r="L3620" s="2"/>
      <c r="M3620" s="2"/>
      <c r="N3620" s="650"/>
      <c r="O3620" s="650"/>
      <c r="P3620" s="651"/>
      <c r="Q3620" s="651"/>
      <c r="R3620" s="651"/>
      <c r="S3620" s="651"/>
    </row>
    <row r="3621" spans="12:19" ht="15.75" customHeight="1" x14ac:dyDescent="0.35">
      <c r="L3621" s="2"/>
      <c r="M3621" s="2"/>
      <c r="N3621" s="650"/>
      <c r="O3621" s="650"/>
      <c r="P3621" s="651"/>
      <c r="Q3621" s="651"/>
      <c r="R3621" s="651"/>
      <c r="S3621" s="651"/>
    </row>
    <row r="3622" spans="12:19" ht="15.75" customHeight="1" x14ac:dyDescent="0.35">
      <c r="L3622" s="2"/>
      <c r="M3622" s="2"/>
      <c r="N3622" s="650"/>
      <c r="O3622" s="650"/>
      <c r="P3622" s="651"/>
      <c r="Q3622" s="651"/>
      <c r="R3622" s="651"/>
      <c r="S3622" s="651"/>
    </row>
    <row r="3623" spans="12:19" ht="15.75" customHeight="1" x14ac:dyDescent="0.35">
      <c r="L3623" s="2"/>
      <c r="M3623" s="2"/>
      <c r="N3623" s="650"/>
      <c r="O3623" s="650"/>
      <c r="P3623" s="651"/>
      <c r="Q3623" s="651"/>
      <c r="R3623" s="651"/>
      <c r="S3623" s="651"/>
    </row>
    <row r="3624" spans="12:19" ht="15.75" customHeight="1" x14ac:dyDescent="0.35">
      <c r="L3624" s="2"/>
      <c r="M3624" s="2"/>
      <c r="N3624" s="650"/>
      <c r="O3624" s="650"/>
      <c r="P3624" s="651"/>
      <c r="Q3624" s="651"/>
      <c r="R3624" s="651"/>
      <c r="S3624" s="651"/>
    </row>
    <row r="3625" spans="12:19" ht="15.75" customHeight="1" x14ac:dyDescent="0.35">
      <c r="L3625" s="2"/>
      <c r="M3625" s="2"/>
      <c r="N3625" s="650"/>
      <c r="O3625" s="650"/>
      <c r="P3625" s="651"/>
      <c r="Q3625" s="651"/>
      <c r="R3625" s="651"/>
      <c r="S3625" s="651"/>
    </row>
    <row r="3626" spans="12:19" ht="15.75" customHeight="1" x14ac:dyDescent="0.35">
      <c r="L3626" s="2"/>
      <c r="M3626" s="2"/>
      <c r="N3626" s="650"/>
      <c r="O3626" s="650"/>
      <c r="P3626" s="651"/>
      <c r="Q3626" s="651"/>
      <c r="R3626" s="651"/>
      <c r="S3626" s="651"/>
    </row>
    <row r="3627" spans="12:19" ht="15.75" customHeight="1" x14ac:dyDescent="0.35">
      <c r="L3627" s="2"/>
      <c r="M3627" s="2"/>
      <c r="N3627" s="650"/>
      <c r="O3627" s="650"/>
      <c r="P3627" s="651"/>
      <c r="Q3627" s="651"/>
      <c r="R3627" s="651"/>
      <c r="S3627" s="651"/>
    </row>
    <row r="3628" spans="12:19" ht="15.75" customHeight="1" x14ac:dyDescent="0.35">
      <c r="L3628" s="2"/>
      <c r="M3628" s="2"/>
      <c r="N3628" s="650"/>
      <c r="O3628" s="650"/>
      <c r="P3628" s="651"/>
      <c r="Q3628" s="651"/>
      <c r="R3628" s="651"/>
      <c r="S3628" s="651"/>
    </row>
    <row r="3629" spans="12:19" ht="15.75" customHeight="1" x14ac:dyDescent="0.35">
      <c r="L3629" s="2"/>
      <c r="M3629" s="2"/>
      <c r="N3629" s="650"/>
      <c r="O3629" s="650"/>
      <c r="P3629" s="651"/>
      <c r="Q3629" s="651"/>
      <c r="R3629" s="651"/>
      <c r="S3629" s="651"/>
    </row>
    <row r="3630" spans="12:19" ht="15.75" customHeight="1" x14ac:dyDescent="0.35">
      <c r="L3630" s="2"/>
      <c r="M3630" s="2"/>
      <c r="N3630" s="650"/>
      <c r="O3630" s="650"/>
      <c r="P3630" s="651"/>
      <c r="Q3630" s="651"/>
      <c r="R3630" s="651"/>
      <c r="S3630" s="651"/>
    </row>
    <row r="3631" spans="12:19" ht="15.75" customHeight="1" x14ac:dyDescent="0.35">
      <c r="L3631" s="2"/>
      <c r="M3631" s="2"/>
      <c r="N3631" s="650"/>
      <c r="O3631" s="650"/>
      <c r="P3631" s="651"/>
      <c r="Q3631" s="651"/>
      <c r="R3631" s="651"/>
      <c r="S3631" s="651"/>
    </row>
    <row r="3632" spans="12:19" ht="15.75" customHeight="1" x14ac:dyDescent="0.35">
      <c r="L3632" s="2"/>
      <c r="M3632" s="2"/>
      <c r="N3632" s="650"/>
      <c r="O3632" s="650"/>
      <c r="P3632" s="651"/>
      <c r="Q3632" s="651"/>
      <c r="R3632" s="651"/>
      <c r="S3632" s="651"/>
    </row>
    <row r="3633" spans="12:19" ht="15.75" customHeight="1" x14ac:dyDescent="0.35">
      <c r="L3633" s="2"/>
      <c r="M3633" s="2"/>
      <c r="N3633" s="650"/>
      <c r="O3633" s="650"/>
      <c r="P3633" s="651"/>
      <c r="Q3633" s="651"/>
      <c r="R3633" s="651"/>
      <c r="S3633" s="651"/>
    </row>
    <row r="3634" spans="12:19" ht="15.75" customHeight="1" x14ac:dyDescent="0.35">
      <c r="L3634" s="2"/>
      <c r="M3634" s="2"/>
      <c r="N3634" s="650"/>
      <c r="O3634" s="650"/>
      <c r="P3634" s="651"/>
      <c r="Q3634" s="651"/>
      <c r="R3634" s="651"/>
      <c r="S3634" s="651"/>
    </row>
    <row r="3635" spans="12:19" ht="15.75" customHeight="1" x14ac:dyDescent="0.35">
      <c r="L3635" s="2"/>
      <c r="M3635" s="2"/>
      <c r="N3635" s="650"/>
      <c r="O3635" s="650"/>
      <c r="P3635" s="651"/>
      <c r="Q3635" s="651"/>
      <c r="R3635" s="651"/>
      <c r="S3635" s="651"/>
    </row>
    <row r="3636" spans="12:19" ht="15.75" customHeight="1" x14ac:dyDescent="0.35">
      <c r="L3636" s="2"/>
      <c r="M3636" s="2"/>
      <c r="N3636" s="650"/>
      <c r="O3636" s="650"/>
      <c r="P3636" s="651"/>
      <c r="Q3636" s="651"/>
      <c r="R3636" s="651"/>
      <c r="S3636" s="651"/>
    </row>
    <row r="3637" spans="12:19" ht="15.75" customHeight="1" x14ac:dyDescent="0.35">
      <c r="L3637" s="2"/>
      <c r="M3637" s="2"/>
      <c r="N3637" s="650"/>
      <c r="O3637" s="650"/>
      <c r="P3637" s="651"/>
      <c r="Q3637" s="651"/>
      <c r="R3637" s="651"/>
      <c r="S3637" s="651"/>
    </row>
    <row r="3638" spans="12:19" ht="15.75" customHeight="1" x14ac:dyDescent="0.35">
      <c r="L3638" s="2"/>
      <c r="M3638" s="2"/>
      <c r="N3638" s="650"/>
      <c r="O3638" s="650"/>
      <c r="P3638" s="651"/>
      <c r="Q3638" s="651"/>
      <c r="R3638" s="651"/>
      <c r="S3638" s="651"/>
    </row>
    <row r="3639" spans="12:19" ht="15.75" customHeight="1" x14ac:dyDescent="0.35">
      <c r="L3639" s="2"/>
      <c r="M3639" s="2"/>
      <c r="N3639" s="650"/>
      <c r="O3639" s="650"/>
      <c r="P3639" s="651"/>
      <c r="Q3639" s="651"/>
      <c r="R3639" s="651"/>
      <c r="S3639" s="651"/>
    </row>
    <row r="3640" spans="12:19" ht="15.75" customHeight="1" x14ac:dyDescent="0.35">
      <c r="L3640" s="2"/>
      <c r="M3640" s="2"/>
      <c r="N3640" s="650"/>
      <c r="O3640" s="650"/>
      <c r="P3640" s="651"/>
      <c r="Q3640" s="651"/>
      <c r="R3640" s="651"/>
      <c r="S3640" s="651"/>
    </row>
    <row r="3641" spans="12:19" ht="15.75" customHeight="1" x14ac:dyDescent="0.35">
      <c r="L3641" s="2"/>
      <c r="M3641" s="2"/>
      <c r="N3641" s="650"/>
      <c r="O3641" s="650"/>
      <c r="P3641" s="651"/>
      <c r="Q3641" s="651"/>
      <c r="R3641" s="651"/>
      <c r="S3641" s="651"/>
    </row>
    <row r="3642" spans="12:19" ht="15.75" customHeight="1" x14ac:dyDescent="0.35">
      <c r="L3642" s="2"/>
      <c r="M3642" s="2"/>
      <c r="N3642" s="650"/>
      <c r="O3642" s="650"/>
      <c r="P3642" s="651"/>
      <c r="Q3642" s="651"/>
      <c r="R3642" s="651"/>
      <c r="S3642" s="651"/>
    </row>
    <row r="3643" spans="12:19" ht="15.75" customHeight="1" x14ac:dyDescent="0.35">
      <c r="L3643" s="2"/>
      <c r="M3643" s="2"/>
      <c r="N3643" s="650"/>
      <c r="O3643" s="650"/>
      <c r="P3643" s="651"/>
      <c r="Q3643" s="651"/>
      <c r="R3643" s="651"/>
      <c r="S3643" s="651"/>
    </row>
    <row r="3644" spans="12:19" ht="15.75" customHeight="1" x14ac:dyDescent="0.35">
      <c r="L3644" s="2"/>
      <c r="M3644" s="2"/>
      <c r="N3644" s="650"/>
      <c r="O3644" s="650"/>
      <c r="P3644" s="651"/>
      <c r="Q3644" s="651"/>
      <c r="R3644" s="651"/>
      <c r="S3644" s="651"/>
    </row>
    <row r="3645" spans="12:19" ht="15.75" customHeight="1" x14ac:dyDescent="0.35">
      <c r="L3645" s="2"/>
      <c r="M3645" s="2"/>
      <c r="N3645" s="650"/>
      <c r="O3645" s="650"/>
      <c r="P3645" s="651"/>
      <c r="Q3645" s="651"/>
      <c r="R3645" s="651"/>
      <c r="S3645" s="651"/>
    </row>
    <row r="3646" spans="12:19" ht="15.75" customHeight="1" x14ac:dyDescent="0.35">
      <c r="L3646" s="2"/>
      <c r="M3646" s="2"/>
      <c r="N3646" s="650"/>
      <c r="O3646" s="650"/>
      <c r="P3646" s="651"/>
      <c r="Q3646" s="651"/>
      <c r="R3646" s="651"/>
      <c r="S3646" s="651"/>
    </row>
    <row r="3647" spans="12:19" ht="15.75" customHeight="1" x14ac:dyDescent="0.35">
      <c r="L3647" s="2"/>
      <c r="M3647" s="2"/>
      <c r="N3647" s="650"/>
      <c r="O3647" s="650"/>
      <c r="P3647" s="651"/>
      <c r="Q3647" s="651"/>
      <c r="R3647" s="651"/>
      <c r="S3647" s="651"/>
    </row>
    <row r="3648" spans="12:19" ht="15.75" customHeight="1" x14ac:dyDescent="0.35">
      <c r="L3648" s="2"/>
      <c r="M3648" s="2"/>
      <c r="N3648" s="650"/>
      <c r="O3648" s="650"/>
      <c r="P3648" s="651"/>
      <c r="Q3648" s="651"/>
      <c r="R3648" s="651"/>
      <c r="S3648" s="651"/>
    </row>
    <row r="3649" spans="12:19" ht="15.75" customHeight="1" x14ac:dyDescent="0.35">
      <c r="L3649" s="2"/>
      <c r="M3649" s="2"/>
      <c r="N3649" s="650"/>
      <c r="O3649" s="650"/>
      <c r="P3649" s="651"/>
      <c r="Q3649" s="651"/>
      <c r="R3649" s="651"/>
      <c r="S3649" s="651"/>
    </row>
    <row r="3650" spans="12:19" ht="15.75" customHeight="1" x14ac:dyDescent="0.35">
      <c r="L3650" s="2"/>
      <c r="M3650" s="2"/>
      <c r="N3650" s="650"/>
      <c r="O3650" s="650"/>
      <c r="P3650" s="651"/>
      <c r="Q3650" s="651"/>
      <c r="R3650" s="651"/>
      <c r="S3650" s="651"/>
    </row>
    <row r="3651" spans="12:19" ht="15.75" customHeight="1" x14ac:dyDescent="0.35">
      <c r="L3651" s="2"/>
      <c r="M3651" s="2"/>
      <c r="N3651" s="650"/>
      <c r="O3651" s="650"/>
      <c r="P3651" s="651"/>
      <c r="Q3651" s="651"/>
      <c r="R3651" s="651"/>
      <c r="S3651" s="651"/>
    </row>
    <row r="3652" spans="12:19" ht="15.75" customHeight="1" x14ac:dyDescent="0.35">
      <c r="L3652" s="2"/>
      <c r="M3652" s="2"/>
      <c r="N3652" s="650"/>
      <c r="O3652" s="650"/>
      <c r="P3652" s="651"/>
      <c r="Q3652" s="651"/>
      <c r="R3652" s="651"/>
      <c r="S3652" s="651"/>
    </row>
    <row r="3653" spans="12:19" ht="15.75" customHeight="1" x14ac:dyDescent="0.35">
      <c r="L3653" s="2"/>
      <c r="M3653" s="2"/>
      <c r="N3653" s="650"/>
      <c r="O3653" s="650"/>
      <c r="P3653" s="651"/>
      <c r="Q3653" s="651"/>
      <c r="R3653" s="651"/>
      <c r="S3653" s="651"/>
    </row>
    <row r="3654" spans="12:19" ht="15.75" customHeight="1" x14ac:dyDescent="0.35">
      <c r="L3654" s="2"/>
      <c r="M3654" s="2"/>
      <c r="N3654" s="650"/>
      <c r="O3654" s="650"/>
      <c r="P3654" s="651"/>
      <c r="Q3654" s="651"/>
      <c r="R3654" s="651"/>
      <c r="S3654" s="651"/>
    </row>
    <row r="3655" spans="12:19" ht="15.75" customHeight="1" x14ac:dyDescent="0.35">
      <c r="L3655" s="2"/>
      <c r="M3655" s="2"/>
      <c r="N3655" s="650"/>
      <c r="O3655" s="650"/>
      <c r="P3655" s="651"/>
      <c r="Q3655" s="651"/>
      <c r="R3655" s="651"/>
      <c r="S3655" s="651"/>
    </row>
    <row r="3656" spans="12:19" ht="15.75" customHeight="1" x14ac:dyDescent="0.35">
      <c r="L3656" s="2"/>
      <c r="M3656" s="2"/>
      <c r="N3656" s="650"/>
      <c r="O3656" s="650"/>
      <c r="P3656" s="651"/>
      <c r="Q3656" s="651"/>
      <c r="R3656" s="651"/>
      <c r="S3656" s="651"/>
    </row>
    <row r="3657" spans="12:19" ht="15.75" customHeight="1" x14ac:dyDescent="0.35">
      <c r="L3657" s="2"/>
      <c r="M3657" s="2"/>
      <c r="N3657" s="650"/>
      <c r="O3657" s="650"/>
      <c r="P3657" s="651"/>
      <c r="Q3657" s="651"/>
      <c r="R3657" s="651"/>
      <c r="S3657" s="651"/>
    </row>
    <row r="3658" spans="12:19" ht="15.75" customHeight="1" x14ac:dyDescent="0.35">
      <c r="L3658" s="2"/>
      <c r="M3658" s="2"/>
      <c r="N3658" s="650"/>
      <c r="O3658" s="650"/>
      <c r="P3658" s="651"/>
      <c r="Q3658" s="651"/>
      <c r="R3658" s="651"/>
      <c r="S3658" s="651"/>
    </row>
    <row r="3659" spans="12:19" ht="15.75" customHeight="1" x14ac:dyDescent="0.35">
      <c r="L3659" s="2"/>
      <c r="M3659" s="2"/>
      <c r="N3659" s="650"/>
      <c r="O3659" s="650"/>
      <c r="P3659" s="651"/>
      <c r="Q3659" s="651"/>
      <c r="R3659" s="651"/>
      <c r="S3659" s="651"/>
    </row>
    <row r="3660" spans="12:19" ht="15.75" customHeight="1" x14ac:dyDescent="0.35">
      <c r="L3660" s="2"/>
      <c r="M3660" s="2"/>
      <c r="N3660" s="650"/>
      <c r="O3660" s="650"/>
      <c r="P3660" s="651"/>
      <c r="Q3660" s="651"/>
      <c r="R3660" s="651"/>
      <c r="S3660" s="651"/>
    </row>
    <row r="3661" spans="12:19" ht="15.75" customHeight="1" x14ac:dyDescent="0.35">
      <c r="L3661" s="2"/>
      <c r="M3661" s="2"/>
      <c r="N3661" s="650"/>
      <c r="O3661" s="650"/>
      <c r="P3661" s="651"/>
      <c r="Q3661" s="651"/>
      <c r="R3661" s="651"/>
      <c r="S3661" s="651"/>
    </row>
    <row r="3662" spans="12:19" ht="15.75" customHeight="1" x14ac:dyDescent="0.35">
      <c r="L3662" s="2"/>
      <c r="M3662" s="2"/>
      <c r="N3662" s="650"/>
      <c r="O3662" s="650"/>
      <c r="P3662" s="651"/>
      <c r="Q3662" s="651"/>
      <c r="R3662" s="651"/>
      <c r="S3662" s="651"/>
    </row>
    <row r="3663" spans="12:19" ht="15.75" customHeight="1" x14ac:dyDescent="0.35">
      <c r="L3663" s="2"/>
      <c r="M3663" s="2"/>
      <c r="N3663" s="650"/>
      <c r="O3663" s="650"/>
      <c r="P3663" s="651"/>
      <c r="Q3663" s="651"/>
      <c r="R3663" s="651"/>
      <c r="S3663" s="651"/>
    </row>
    <row r="3664" spans="12:19" ht="15.75" customHeight="1" x14ac:dyDescent="0.35">
      <c r="L3664" s="2"/>
      <c r="M3664" s="2"/>
      <c r="N3664" s="650"/>
      <c r="O3664" s="650"/>
      <c r="P3664" s="651"/>
      <c r="Q3664" s="651"/>
      <c r="R3664" s="651"/>
      <c r="S3664" s="651"/>
    </row>
    <row r="3665" spans="12:19" ht="15.75" customHeight="1" x14ac:dyDescent="0.35">
      <c r="L3665" s="2"/>
      <c r="M3665" s="2"/>
      <c r="N3665" s="650"/>
      <c r="O3665" s="650"/>
      <c r="P3665" s="651"/>
      <c r="Q3665" s="651"/>
      <c r="R3665" s="651"/>
      <c r="S3665" s="651"/>
    </row>
    <row r="3666" spans="12:19" ht="15.75" customHeight="1" x14ac:dyDescent="0.35">
      <c r="L3666" s="2"/>
      <c r="M3666" s="2"/>
      <c r="N3666" s="650"/>
      <c r="O3666" s="650"/>
      <c r="P3666" s="651"/>
      <c r="Q3666" s="651"/>
      <c r="R3666" s="651"/>
      <c r="S3666" s="651"/>
    </row>
    <row r="3667" spans="12:19" ht="15.75" customHeight="1" x14ac:dyDescent="0.35">
      <c r="L3667" s="2"/>
      <c r="M3667" s="2"/>
      <c r="N3667" s="650"/>
      <c r="O3667" s="650"/>
      <c r="P3667" s="651"/>
      <c r="Q3667" s="651"/>
      <c r="R3667" s="651"/>
      <c r="S3667" s="651"/>
    </row>
    <row r="3668" spans="12:19" ht="15.75" customHeight="1" x14ac:dyDescent="0.35">
      <c r="L3668" s="2"/>
      <c r="M3668" s="2"/>
      <c r="N3668" s="650"/>
      <c r="O3668" s="650"/>
      <c r="P3668" s="651"/>
      <c r="Q3668" s="651"/>
      <c r="R3668" s="651"/>
      <c r="S3668" s="651"/>
    </row>
    <row r="3669" spans="12:19" ht="15.75" customHeight="1" x14ac:dyDescent="0.35">
      <c r="L3669" s="2"/>
      <c r="M3669" s="2"/>
      <c r="N3669" s="650"/>
      <c r="O3669" s="650"/>
      <c r="P3669" s="651"/>
      <c r="Q3669" s="651"/>
      <c r="R3669" s="651"/>
      <c r="S3669" s="651"/>
    </row>
    <row r="3670" spans="12:19" ht="15.75" customHeight="1" x14ac:dyDescent="0.35">
      <c r="L3670" s="2"/>
      <c r="M3670" s="2"/>
      <c r="N3670" s="650"/>
      <c r="O3670" s="650"/>
      <c r="P3670" s="651"/>
      <c r="Q3670" s="651"/>
      <c r="R3670" s="651"/>
      <c r="S3670" s="651"/>
    </row>
    <row r="3671" spans="12:19" ht="15.75" customHeight="1" x14ac:dyDescent="0.35">
      <c r="L3671" s="2"/>
      <c r="M3671" s="2"/>
      <c r="N3671" s="650"/>
      <c r="O3671" s="650"/>
      <c r="P3671" s="651"/>
      <c r="Q3671" s="651"/>
      <c r="R3671" s="651"/>
      <c r="S3671" s="651"/>
    </row>
    <row r="3672" spans="12:19" ht="15.75" customHeight="1" x14ac:dyDescent="0.35">
      <c r="L3672" s="2"/>
      <c r="M3672" s="2"/>
      <c r="N3672" s="650"/>
      <c r="O3672" s="650"/>
      <c r="P3672" s="651"/>
      <c r="Q3672" s="651"/>
      <c r="R3672" s="651"/>
      <c r="S3672" s="651"/>
    </row>
    <row r="3673" spans="12:19" ht="15.75" customHeight="1" x14ac:dyDescent="0.35">
      <c r="L3673" s="2"/>
      <c r="M3673" s="2"/>
      <c r="N3673" s="650"/>
      <c r="O3673" s="650"/>
      <c r="P3673" s="651"/>
      <c r="Q3673" s="651"/>
      <c r="R3673" s="651"/>
      <c r="S3673" s="651"/>
    </row>
    <row r="3674" spans="12:19" ht="15.75" customHeight="1" x14ac:dyDescent="0.35">
      <c r="L3674" s="2"/>
      <c r="M3674" s="2"/>
      <c r="N3674" s="650"/>
      <c r="O3674" s="650"/>
      <c r="P3674" s="651"/>
      <c r="Q3674" s="651"/>
      <c r="R3674" s="651"/>
      <c r="S3674" s="651"/>
    </row>
    <row r="3675" spans="12:19" ht="15.75" customHeight="1" x14ac:dyDescent="0.35">
      <c r="L3675" s="2"/>
      <c r="M3675" s="2"/>
      <c r="N3675" s="650"/>
      <c r="O3675" s="650"/>
      <c r="P3675" s="651"/>
      <c r="Q3675" s="651"/>
      <c r="R3675" s="651"/>
      <c r="S3675" s="651"/>
    </row>
    <row r="3676" spans="12:19" ht="15.75" customHeight="1" x14ac:dyDescent="0.35">
      <c r="L3676" s="2"/>
      <c r="M3676" s="2"/>
      <c r="N3676" s="650"/>
      <c r="O3676" s="650"/>
      <c r="P3676" s="651"/>
      <c r="Q3676" s="651"/>
      <c r="R3676" s="651"/>
      <c r="S3676" s="651"/>
    </row>
    <row r="3677" spans="12:19" ht="15.75" customHeight="1" x14ac:dyDescent="0.35">
      <c r="L3677" s="2"/>
      <c r="M3677" s="2"/>
      <c r="N3677" s="650"/>
      <c r="O3677" s="650"/>
      <c r="P3677" s="651"/>
      <c r="Q3677" s="651"/>
      <c r="R3677" s="651"/>
      <c r="S3677" s="651"/>
    </row>
    <row r="3678" spans="12:19" ht="15.75" customHeight="1" x14ac:dyDescent="0.35">
      <c r="L3678" s="2"/>
      <c r="M3678" s="2"/>
      <c r="N3678" s="650"/>
      <c r="O3678" s="650"/>
      <c r="P3678" s="651"/>
      <c r="Q3678" s="651"/>
      <c r="R3678" s="651"/>
      <c r="S3678" s="651"/>
    </row>
    <row r="3679" spans="12:19" ht="15.75" customHeight="1" x14ac:dyDescent="0.35">
      <c r="L3679" s="2"/>
      <c r="M3679" s="2"/>
      <c r="N3679" s="650"/>
      <c r="O3679" s="650"/>
      <c r="P3679" s="651"/>
      <c r="Q3679" s="651"/>
      <c r="R3679" s="651"/>
      <c r="S3679" s="651"/>
    </row>
    <row r="3680" spans="12:19" ht="15.75" customHeight="1" x14ac:dyDescent="0.35">
      <c r="L3680" s="2"/>
      <c r="M3680" s="2"/>
      <c r="N3680" s="650"/>
      <c r="O3680" s="650"/>
      <c r="P3680" s="651"/>
      <c r="Q3680" s="651"/>
      <c r="R3680" s="651"/>
      <c r="S3680" s="651"/>
    </row>
    <row r="3681" spans="12:19" ht="15.75" customHeight="1" x14ac:dyDescent="0.35">
      <c r="L3681" s="2"/>
      <c r="M3681" s="2"/>
      <c r="N3681" s="650"/>
      <c r="O3681" s="650"/>
      <c r="P3681" s="651"/>
      <c r="Q3681" s="651"/>
      <c r="R3681" s="651"/>
      <c r="S3681" s="651"/>
    </row>
    <row r="3682" spans="12:19" ht="15.75" customHeight="1" x14ac:dyDescent="0.35">
      <c r="L3682" s="2"/>
      <c r="M3682" s="2"/>
      <c r="N3682" s="650"/>
      <c r="O3682" s="650"/>
      <c r="P3682" s="651"/>
      <c r="Q3682" s="651"/>
      <c r="R3682" s="651"/>
      <c r="S3682" s="651"/>
    </row>
    <row r="3683" spans="12:19" ht="15.75" customHeight="1" x14ac:dyDescent="0.35">
      <c r="L3683" s="2"/>
      <c r="M3683" s="2"/>
      <c r="N3683" s="650"/>
      <c r="O3683" s="650"/>
      <c r="P3683" s="651"/>
      <c r="Q3683" s="651"/>
      <c r="R3683" s="651"/>
      <c r="S3683" s="651"/>
    </row>
    <row r="3684" spans="12:19" ht="15.75" customHeight="1" x14ac:dyDescent="0.35">
      <c r="L3684" s="2"/>
      <c r="M3684" s="2"/>
      <c r="N3684" s="650"/>
      <c r="O3684" s="650"/>
      <c r="P3684" s="651"/>
      <c r="Q3684" s="651"/>
      <c r="R3684" s="651"/>
      <c r="S3684" s="651"/>
    </row>
    <row r="3685" spans="12:19" ht="15.75" customHeight="1" x14ac:dyDescent="0.35">
      <c r="L3685" s="2"/>
      <c r="M3685" s="2"/>
      <c r="N3685" s="650"/>
      <c r="O3685" s="650"/>
      <c r="P3685" s="651"/>
      <c r="Q3685" s="651"/>
      <c r="R3685" s="651"/>
      <c r="S3685" s="651"/>
    </row>
    <row r="3686" spans="12:19" ht="15.75" customHeight="1" x14ac:dyDescent="0.35">
      <c r="L3686" s="2"/>
      <c r="M3686" s="2"/>
      <c r="N3686" s="650"/>
      <c r="O3686" s="650"/>
      <c r="P3686" s="651"/>
      <c r="Q3686" s="651"/>
      <c r="R3686" s="651"/>
      <c r="S3686" s="651"/>
    </row>
    <row r="3687" spans="12:19" ht="15.75" customHeight="1" x14ac:dyDescent="0.35">
      <c r="L3687" s="2"/>
      <c r="M3687" s="2"/>
      <c r="N3687" s="650"/>
      <c r="O3687" s="650"/>
      <c r="P3687" s="651"/>
      <c r="Q3687" s="651"/>
      <c r="R3687" s="651"/>
      <c r="S3687" s="651"/>
    </row>
    <row r="3688" spans="12:19" ht="15.75" customHeight="1" x14ac:dyDescent="0.35">
      <c r="L3688" s="2"/>
      <c r="M3688" s="2"/>
      <c r="N3688" s="650"/>
      <c r="O3688" s="650"/>
      <c r="P3688" s="651"/>
      <c r="Q3688" s="651"/>
      <c r="R3688" s="651"/>
      <c r="S3688" s="651"/>
    </row>
    <row r="3689" spans="12:19" ht="15.75" customHeight="1" x14ac:dyDescent="0.35">
      <c r="L3689" s="2"/>
      <c r="M3689" s="2"/>
      <c r="N3689" s="650"/>
      <c r="O3689" s="650"/>
      <c r="P3689" s="651"/>
      <c r="Q3689" s="651"/>
      <c r="R3689" s="651"/>
      <c r="S3689" s="651"/>
    </row>
    <row r="3690" spans="12:19" ht="15.75" customHeight="1" x14ac:dyDescent="0.35">
      <c r="L3690" s="2"/>
      <c r="M3690" s="2"/>
      <c r="N3690" s="650"/>
      <c r="O3690" s="650"/>
      <c r="P3690" s="651"/>
      <c r="Q3690" s="651"/>
      <c r="R3690" s="651"/>
      <c r="S3690" s="651"/>
    </row>
    <row r="3691" spans="12:19" ht="15.75" customHeight="1" x14ac:dyDescent="0.35">
      <c r="L3691" s="2"/>
      <c r="M3691" s="2"/>
      <c r="N3691" s="650"/>
      <c r="O3691" s="650"/>
      <c r="P3691" s="651"/>
      <c r="Q3691" s="651"/>
      <c r="R3691" s="651"/>
      <c r="S3691" s="651"/>
    </row>
    <row r="3692" spans="12:19" ht="15.75" customHeight="1" x14ac:dyDescent="0.35">
      <c r="L3692" s="2"/>
      <c r="M3692" s="2"/>
      <c r="N3692" s="650"/>
      <c r="O3692" s="650"/>
      <c r="P3692" s="651"/>
      <c r="Q3692" s="651"/>
      <c r="R3692" s="651"/>
      <c r="S3692" s="651"/>
    </row>
    <row r="3693" spans="12:19" ht="15.75" customHeight="1" x14ac:dyDescent="0.35">
      <c r="L3693" s="2"/>
      <c r="M3693" s="2"/>
      <c r="N3693" s="650"/>
      <c r="O3693" s="650"/>
      <c r="P3693" s="651"/>
      <c r="Q3693" s="651"/>
      <c r="R3693" s="651"/>
      <c r="S3693" s="651"/>
    </row>
    <row r="3694" spans="12:19" ht="15.75" customHeight="1" x14ac:dyDescent="0.35">
      <c r="L3694" s="2"/>
      <c r="M3694" s="2"/>
      <c r="N3694" s="650"/>
      <c r="O3694" s="650"/>
      <c r="P3694" s="651"/>
      <c r="Q3694" s="651"/>
      <c r="R3694" s="651"/>
      <c r="S3694" s="651"/>
    </row>
    <row r="3695" spans="12:19" ht="15.75" customHeight="1" x14ac:dyDescent="0.35">
      <c r="L3695" s="2"/>
      <c r="M3695" s="2"/>
      <c r="N3695" s="650"/>
      <c r="O3695" s="650"/>
      <c r="P3695" s="651"/>
      <c r="Q3695" s="651"/>
      <c r="R3695" s="651"/>
      <c r="S3695" s="651"/>
    </row>
    <row r="3696" spans="12:19" ht="15.75" customHeight="1" x14ac:dyDescent="0.35">
      <c r="L3696" s="2"/>
      <c r="M3696" s="2"/>
      <c r="N3696" s="650"/>
      <c r="O3696" s="650"/>
      <c r="P3696" s="651"/>
      <c r="Q3696" s="651"/>
      <c r="R3696" s="651"/>
      <c r="S3696" s="651"/>
    </row>
    <row r="3697" spans="12:19" ht="15.75" customHeight="1" x14ac:dyDescent="0.35">
      <c r="L3697" s="2"/>
      <c r="M3697" s="2"/>
      <c r="N3697" s="650"/>
      <c r="O3697" s="650"/>
      <c r="P3697" s="651"/>
      <c r="Q3697" s="651"/>
      <c r="R3697" s="651"/>
      <c r="S3697" s="651"/>
    </row>
    <row r="3698" spans="12:19" ht="15.75" customHeight="1" x14ac:dyDescent="0.35">
      <c r="L3698" s="2"/>
      <c r="M3698" s="2"/>
      <c r="N3698" s="650"/>
      <c r="O3698" s="650"/>
      <c r="P3698" s="651"/>
      <c r="Q3698" s="651"/>
      <c r="R3698" s="651"/>
      <c r="S3698" s="651"/>
    </row>
    <row r="3699" spans="12:19" ht="15.75" customHeight="1" x14ac:dyDescent="0.35">
      <c r="L3699" s="2"/>
      <c r="M3699" s="2"/>
      <c r="N3699" s="650"/>
      <c r="O3699" s="650"/>
      <c r="P3699" s="651"/>
      <c r="Q3699" s="651"/>
      <c r="R3699" s="651"/>
      <c r="S3699" s="651"/>
    </row>
    <row r="3700" spans="12:19" ht="15.75" customHeight="1" x14ac:dyDescent="0.35">
      <c r="L3700" s="2"/>
      <c r="M3700" s="2"/>
      <c r="N3700" s="650"/>
      <c r="O3700" s="650"/>
      <c r="P3700" s="651"/>
      <c r="Q3700" s="651"/>
      <c r="R3700" s="651"/>
      <c r="S3700" s="651"/>
    </row>
    <row r="3701" spans="12:19" ht="15.75" customHeight="1" x14ac:dyDescent="0.35">
      <c r="L3701" s="2"/>
      <c r="M3701" s="2"/>
      <c r="N3701" s="650"/>
      <c r="O3701" s="650"/>
      <c r="P3701" s="651"/>
      <c r="Q3701" s="651"/>
      <c r="R3701" s="651"/>
      <c r="S3701" s="651"/>
    </row>
    <row r="3702" spans="12:19" ht="15.75" customHeight="1" x14ac:dyDescent="0.35">
      <c r="L3702" s="2"/>
      <c r="M3702" s="2"/>
      <c r="N3702" s="650"/>
      <c r="O3702" s="650"/>
      <c r="P3702" s="651"/>
      <c r="Q3702" s="651"/>
      <c r="R3702" s="651"/>
      <c r="S3702" s="651"/>
    </row>
    <row r="3703" spans="12:19" ht="15.75" customHeight="1" x14ac:dyDescent="0.35">
      <c r="L3703" s="2"/>
      <c r="M3703" s="2"/>
      <c r="N3703" s="650"/>
      <c r="O3703" s="650"/>
      <c r="P3703" s="651"/>
      <c r="Q3703" s="651"/>
      <c r="R3703" s="651"/>
      <c r="S3703" s="651"/>
    </row>
    <row r="3704" spans="12:19" ht="15.75" customHeight="1" x14ac:dyDescent="0.35">
      <c r="L3704" s="2"/>
      <c r="M3704" s="2"/>
      <c r="N3704" s="650"/>
      <c r="O3704" s="650"/>
      <c r="P3704" s="651"/>
      <c r="Q3704" s="651"/>
      <c r="R3704" s="651"/>
      <c r="S3704" s="651"/>
    </row>
    <row r="3705" spans="12:19" ht="15.75" customHeight="1" x14ac:dyDescent="0.35">
      <c r="L3705" s="2"/>
      <c r="M3705" s="2"/>
      <c r="N3705" s="650"/>
      <c r="O3705" s="650"/>
      <c r="P3705" s="651"/>
      <c r="Q3705" s="651"/>
      <c r="R3705" s="651"/>
      <c r="S3705" s="651"/>
    </row>
    <row r="3706" spans="12:19" ht="15.75" customHeight="1" x14ac:dyDescent="0.35">
      <c r="L3706" s="2"/>
      <c r="M3706" s="2"/>
      <c r="N3706" s="650"/>
      <c r="O3706" s="650"/>
      <c r="P3706" s="651"/>
      <c r="Q3706" s="651"/>
      <c r="R3706" s="651"/>
      <c r="S3706" s="651"/>
    </row>
    <row r="3707" spans="12:19" ht="15.75" customHeight="1" x14ac:dyDescent="0.35">
      <c r="L3707" s="2"/>
      <c r="M3707" s="2"/>
      <c r="N3707" s="650"/>
      <c r="O3707" s="650"/>
      <c r="P3707" s="651"/>
      <c r="Q3707" s="651"/>
      <c r="R3707" s="651"/>
      <c r="S3707" s="651"/>
    </row>
    <row r="3708" spans="12:19" ht="15.75" customHeight="1" x14ac:dyDescent="0.35">
      <c r="L3708" s="2"/>
      <c r="M3708" s="2"/>
      <c r="N3708" s="650"/>
      <c r="O3708" s="650"/>
      <c r="P3708" s="651"/>
      <c r="Q3708" s="651"/>
      <c r="R3708" s="651"/>
      <c r="S3708" s="651"/>
    </row>
    <row r="3709" spans="12:19" ht="15.75" customHeight="1" x14ac:dyDescent="0.35">
      <c r="L3709" s="2"/>
      <c r="M3709" s="2"/>
      <c r="N3709" s="650"/>
      <c r="O3709" s="650"/>
      <c r="P3709" s="651"/>
      <c r="Q3709" s="651"/>
      <c r="R3709" s="651"/>
      <c r="S3709" s="651"/>
    </row>
    <row r="3710" spans="12:19" ht="15.75" customHeight="1" x14ac:dyDescent="0.35">
      <c r="L3710" s="2"/>
      <c r="M3710" s="2"/>
      <c r="N3710" s="650"/>
      <c r="O3710" s="650"/>
      <c r="P3710" s="651"/>
      <c r="Q3710" s="651"/>
      <c r="R3710" s="651"/>
      <c r="S3710" s="651"/>
    </row>
    <row r="3711" spans="12:19" ht="15.75" customHeight="1" x14ac:dyDescent="0.35">
      <c r="L3711" s="2"/>
      <c r="M3711" s="2"/>
      <c r="N3711" s="650"/>
      <c r="O3711" s="650"/>
      <c r="P3711" s="651"/>
      <c r="Q3711" s="651"/>
      <c r="R3711" s="651"/>
      <c r="S3711" s="651"/>
    </row>
    <row r="3712" spans="12:19" ht="15.75" customHeight="1" x14ac:dyDescent="0.35">
      <c r="L3712" s="2"/>
      <c r="M3712" s="2"/>
      <c r="N3712" s="650"/>
      <c r="O3712" s="650"/>
      <c r="P3712" s="651"/>
      <c r="Q3712" s="651"/>
      <c r="R3712" s="651"/>
      <c r="S3712" s="651"/>
    </row>
    <row r="3713" spans="12:19" ht="15.75" customHeight="1" x14ac:dyDescent="0.35">
      <c r="L3713" s="2"/>
      <c r="M3713" s="2"/>
      <c r="N3713" s="650"/>
      <c r="O3713" s="650"/>
      <c r="P3713" s="651"/>
      <c r="Q3713" s="651"/>
      <c r="R3713" s="651"/>
      <c r="S3713" s="651"/>
    </row>
    <row r="3714" spans="12:19" ht="15.75" customHeight="1" x14ac:dyDescent="0.35">
      <c r="L3714" s="2"/>
      <c r="M3714" s="2"/>
      <c r="N3714" s="650"/>
      <c r="O3714" s="650"/>
      <c r="P3714" s="651"/>
      <c r="Q3714" s="651"/>
      <c r="R3714" s="651"/>
      <c r="S3714" s="651"/>
    </row>
    <row r="3715" spans="12:19" ht="15.75" customHeight="1" x14ac:dyDescent="0.35">
      <c r="L3715" s="2"/>
      <c r="M3715" s="2"/>
      <c r="N3715" s="650"/>
      <c r="O3715" s="650"/>
      <c r="P3715" s="651"/>
      <c r="Q3715" s="651"/>
      <c r="R3715" s="651"/>
      <c r="S3715" s="651"/>
    </row>
    <row r="3716" spans="12:19" ht="15.75" customHeight="1" x14ac:dyDescent="0.35">
      <c r="L3716" s="2"/>
      <c r="M3716" s="2"/>
      <c r="N3716" s="650"/>
      <c r="O3716" s="650"/>
      <c r="P3716" s="651"/>
      <c r="Q3716" s="651"/>
      <c r="R3716" s="651"/>
      <c r="S3716" s="651"/>
    </row>
    <row r="3717" spans="12:19" ht="15.75" customHeight="1" x14ac:dyDescent="0.35">
      <c r="L3717" s="2"/>
      <c r="M3717" s="2"/>
      <c r="N3717" s="650"/>
      <c r="O3717" s="650"/>
      <c r="P3717" s="651"/>
      <c r="Q3717" s="651"/>
      <c r="R3717" s="651"/>
      <c r="S3717" s="651"/>
    </row>
    <row r="3718" spans="12:19" ht="15.75" customHeight="1" x14ac:dyDescent="0.35">
      <c r="L3718" s="2"/>
      <c r="M3718" s="2"/>
      <c r="N3718" s="650"/>
      <c r="O3718" s="650"/>
      <c r="P3718" s="651"/>
      <c r="Q3718" s="651"/>
      <c r="R3718" s="651"/>
      <c r="S3718" s="651"/>
    </row>
    <row r="3719" spans="12:19" ht="15.75" customHeight="1" x14ac:dyDescent="0.35">
      <c r="L3719" s="2"/>
      <c r="M3719" s="2"/>
      <c r="N3719" s="650"/>
      <c r="O3719" s="650"/>
      <c r="P3719" s="651"/>
      <c r="Q3719" s="651"/>
      <c r="R3719" s="651"/>
      <c r="S3719" s="651"/>
    </row>
    <row r="3720" spans="12:19" ht="15.75" customHeight="1" x14ac:dyDescent="0.35">
      <c r="L3720" s="2"/>
      <c r="M3720" s="2"/>
      <c r="N3720" s="650"/>
      <c r="O3720" s="650"/>
      <c r="P3720" s="651"/>
      <c r="Q3720" s="651"/>
      <c r="R3720" s="651"/>
      <c r="S3720" s="651"/>
    </row>
    <row r="3721" spans="12:19" ht="15.75" customHeight="1" x14ac:dyDescent="0.35">
      <c r="L3721" s="2"/>
      <c r="M3721" s="2"/>
      <c r="N3721" s="650"/>
      <c r="O3721" s="650"/>
      <c r="P3721" s="651"/>
      <c r="Q3721" s="651"/>
      <c r="R3721" s="651"/>
      <c r="S3721" s="651"/>
    </row>
    <row r="3722" spans="12:19" ht="15.75" customHeight="1" x14ac:dyDescent="0.35">
      <c r="L3722" s="2"/>
      <c r="M3722" s="2"/>
      <c r="N3722" s="650"/>
      <c r="O3722" s="650"/>
      <c r="P3722" s="651"/>
      <c r="Q3722" s="651"/>
      <c r="R3722" s="651"/>
      <c r="S3722" s="651"/>
    </row>
    <row r="3723" spans="12:19" ht="15.75" customHeight="1" x14ac:dyDescent="0.35">
      <c r="L3723" s="2"/>
      <c r="M3723" s="2"/>
      <c r="N3723" s="650"/>
      <c r="O3723" s="650"/>
      <c r="P3723" s="651"/>
      <c r="Q3723" s="651"/>
      <c r="R3723" s="651"/>
      <c r="S3723" s="651"/>
    </row>
    <row r="3724" spans="12:19" ht="15.75" customHeight="1" x14ac:dyDescent="0.35">
      <c r="L3724" s="2"/>
      <c r="M3724" s="2"/>
      <c r="N3724" s="650"/>
      <c r="O3724" s="650"/>
      <c r="P3724" s="651"/>
      <c r="Q3724" s="651"/>
      <c r="R3724" s="651"/>
      <c r="S3724" s="651"/>
    </row>
    <row r="3725" spans="12:19" ht="15.75" customHeight="1" x14ac:dyDescent="0.35">
      <c r="L3725" s="2"/>
      <c r="M3725" s="2"/>
      <c r="N3725" s="650"/>
      <c r="O3725" s="650"/>
      <c r="P3725" s="651"/>
      <c r="Q3725" s="651"/>
      <c r="R3725" s="651"/>
      <c r="S3725" s="651"/>
    </row>
    <row r="3726" spans="12:19" ht="15.75" customHeight="1" x14ac:dyDescent="0.35">
      <c r="L3726" s="2"/>
      <c r="M3726" s="2"/>
      <c r="N3726" s="650"/>
      <c r="O3726" s="650"/>
      <c r="P3726" s="651"/>
      <c r="Q3726" s="651"/>
      <c r="R3726" s="651"/>
      <c r="S3726" s="651"/>
    </row>
    <row r="3727" spans="12:19" ht="15.75" customHeight="1" x14ac:dyDescent="0.35">
      <c r="L3727" s="2"/>
      <c r="M3727" s="2"/>
      <c r="N3727" s="650"/>
      <c r="O3727" s="650"/>
      <c r="P3727" s="651"/>
      <c r="Q3727" s="651"/>
      <c r="R3727" s="651"/>
      <c r="S3727" s="651"/>
    </row>
    <row r="3728" spans="12:19" ht="15.75" customHeight="1" x14ac:dyDescent="0.35">
      <c r="L3728" s="2"/>
      <c r="M3728" s="2"/>
      <c r="N3728" s="650"/>
      <c r="O3728" s="650"/>
      <c r="P3728" s="651"/>
      <c r="Q3728" s="651"/>
      <c r="R3728" s="651"/>
      <c r="S3728" s="651"/>
    </row>
    <row r="3729" spans="12:19" ht="15.75" customHeight="1" x14ac:dyDescent="0.35">
      <c r="L3729" s="2"/>
      <c r="M3729" s="2"/>
      <c r="N3729" s="650"/>
      <c r="O3729" s="650"/>
      <c r="P3729" s="651"/>
      <c r="Q3729" s="651"/>
      <c r="R3729" s="651"/>
      <c r="S3729" s="651"/>
    </row>
    <row r="3730" spans="12:19" ht="15.75" customHeight="1" x14ac:dyDescent="0.35">
      <c r="L3730" s="2"/>
      <c r="M3730" s="2"/>
      <c r="N3730" s="650"/>
      <c r="O3730" s="650"/>
      <c r="P3730" s="651"/>
      <c r="Q3730" s="651"/>
      <c r="R3730" s="651"/>
      <c r="S3730" s="651"/>
    </row>
    <row r="3731" spans="12:19" ht="15.75" customHeight="1" x14ac:dyDescent="0.35">
      <c r="L3731" s="2"/>
      <c r="M3731" s="2"/>
      <c r="N3731" s="650"/>
      <c r="O3731" s="650"/>
      <c r="P3731" s="651"/>
      <c r="Q3731" s="651"/>
      <c r="R3731" s="651"/>
      <c r="S3731" s="651"/>
    </row>
    <row r="3732" spans="12:19" ht="15.75" customHeight="1" x14ac:dyDescent="0.35">
      <c r="L3732" s="2"/>
      <c r="M3732" s="2"/>
      <c r="N3732" s="650"/>
      <c r="O3732" s="650"/>
      <c r="P3732" s="651"/>
      <c r="Q3732" s="651"/>
      <c r="R3732" s="651"/>
      <c r="S3732" s="651"/>
    </row>
    <row r="3733" spans="12:19" ht="15.75" customHeight="1" x14ac:dyDescent="0.35">
      <c r="L3733" s="2"/>
      <c r="M3733" s="2"/>
      <c r="N3733" s="650"/>
      <c r="O3733" s="650"/>
      <c r="P3733" s="651"/>
      <c r="Q3733" s="651"/>
      <c r="R3733" s="651"/>
      <c r="S3733" s="651"/>
    </row>
    <row r="3734" spans="12:19" ht="15.75" customHeight="1" x14ac:dyDescent="0.35">
      <c r="L3734" s="2"/>
      <c r="M3734" s="2"/>
      <c r="N3734" s="650"/>
      <c r="O3734" s="650"/>
      <c r="P3734" s="651"/>
      <c r="Q3734" s="651"/>
      <c r="R3734" s="651"/>
      <c r="S3734" s="651"/>
    </row>
    <row r="3735" spans="12:19" ht="15.75" customHeight="1" x14ac:dyDescent="0.35">
      <c r="L3735" s="2"/>
      <c r="M3735" s="2"/>
      <c r="N3735" s="650"/>
      <c r="O3735" s="650"/>
      <c r="P3735" s="651"/>
      <c r="Q3735" s="651"/>
      <c r="R3735" s="651"/>
      <c r="S3735" s="651"/>
    </row>
    <row r="3736" spans="12:19" ht="15.75" customHeight="1" x14ac:dyDescent="0.35">
      <c r="L3736" s="2"/>
      <c r="M3736" s="2"/>
      <c r="N3736" s="650"/>
      <c r="O3736" s="650"/>
      <c r="P3736" s="651"/>
      <c r="Q3736" s="651"/>
      <c r="R3736" s="651"/>
      <c r="S3736" s="651"/>
    </row>
    <row r="3737" spans="12:19" ht="15.75" customHeight="1" x14ac:dyDescent="0.35">
      <c r="L3737" s="2"/>
      <c r="M3737" s="2"/>
      <c r="N3737" s="650"/>
      <c r="O3737" s="650"/>
      <c r="P3737" s="651"/>
      <c r="Q3737" s="651"/>
      <c r="R3737" s="651"/>
      <c r="S3737" s="651"/>
    </row>
    <row r="3738" spans="12:19" ht="15.75" customHeight="1" x14ac:dyDescent="0.35">
      <c r="L3738" s="2"/>
      <c r="M3738" s="2"/>
      <c r="N3738" s="650"/>
      <c r="O3738" s="650"/>
      <c r="P3738" s="651"/>
      <c r="Q3738" s="651"/>
      <c r="R3738" s="651"/>
      <c r="S3738" s="651"/>
    </row>
    <row r="3739" spans="12:19" ht="15.75" customHeight="1" x14ac:dyDescent="0.35">
      <c r="L3739" s="2"/>
      <c r="M3739" s="2"/>
      <c r="N3739" s="650"/>
      <c r="O3739" s="650"/>
      <c r="P3739" s="651"/>
      <c r="Q3739" s="651"/>
      <c r="R3739" s="651"/>
      <c r="S3739" s="651"/>
    </row>
    <row r="3740" spans="12:19" ht="15.75" customHeight="1" x14ac:dyDescent="0.35">
      <c r="L3740" s="2"/>
      <c r="M3740" s="2"/>
      <c r="N3740" s="650"/>
      <c r="O3740" s="650"/>
      <c r="P3740" s="651"/>
      <c r="Q3740" s="651"/>
      <c r="R3740" s="651"/>
      <c r="S3740" s="651"/>
    </row>
    <row r="3741" spans="12:19" ht="15.75" customHeight="1" x14ac:dyDescent="0.35">
      <c r="L3741" s="2"/>
      <c r="M3741" s="2"/>
      <c r="N3741" s="650"/>
      <c r="O3741" s="650"/>
      <c r="P3741" s="651"/>
      <c r="Q3741" s="651"/>
      <c r="R3741" s="651"/>
      <c r="S3741" s="651"/>
    </row>
    <row r="3742" spans="12:19" ht="15.75" customHeight="1" x14ac:dyDescent="0.35">
      <c r="L3742" s="2"/>
      <c r="M3742" s="2"/>
      <c r="N3742" s="650"/>
      <c r="O3742" s="650"/>
      <c r="P3742" s="651"/>
      <c r="Q3742" s="651"/>
      <c r="R3742" s="651"/>
      <c r="S3742" s="651"/>
    </row>
    <row r="3743" spans="12:19" ht="15.75" customHeight="1" x14ac:dyDescent="0.35">
      <c r="L3743" s="2"/>
      <c r="M3743" s="2"/>
      <c r="N3743" s="650"/>
      <c r="O3743" s="650"/>
      <c r="P3743" s="651"/>
      <c r="Q3743" s="651"/>
      <c r="R3743" s="651"/>
      <c r="S3743" s="651"/>
    </row>
    <row r="3744" spans="12:19" ht="15.75" customHeight="1" x14ac:dyDescent="0.35">
      <c r="L3744" s="2"/>
      <c r="M3744" s="2"/>
      <c r="N3744" s="650"/>
      <c r="O3744" s="650"/>
      <c r="P3744" s="651"/>
      <c r="Q3744" s="651"/>
      <c r="R3744" s="651"/>
      <c r="S3744" s="651"/>
    </row>
    <row r="3745" spans="12:19" ht="15.75" customHeight="1" x14ac:dyDescent="0.35">
      <c r="L3745" s="2"/>
      <c r="M3745" s="2"/>
      <c r="N3745" s="650"/>
      <c r="O3745" s="650"/>
      <c r="P3745" s="651"/>
      <c r="Q3745" s="651"/>
      <c r="R3745" s="651"/>
      <c r="S3745" s="651"/>
    </row>
    <row r="3746" spans="12:19" ht="15.75" customHeight="1" x14ac:dyDescent="0.35">
      <c r="L3746" s="2"/>
      <c r="M3746" s="2"/>
      <c r="N3746" s="650"/>
      <c r="O3746" s="650"/>
      <c r="P3746" s="651"/>
      <c r="Q3746" s="651"/>
      <c r="R3746" s="651"/>
      <c r="S3746" s="651"/>
    </row>
    <row r="3747" spans="12:19" ht="15.75" customHeight="1" x14ac:dyDescent="0.35">
      <c r="L3747" s="2"/>
      <c r="M3747" s="2"/>
      <c r="N3747" s="650"/>
      <c r="O3747" s="650"/>
      <c r="P3747" s="651"/>
      <c r="Q3747" s="651"/>
      <c r="R3747" s="651"/>
      <c r="S3747" s="651"/>
    </row>
    <row r="3748" spans="12:19" ht="15.75" customHeight="1" x14ac:dyDescent="0.35">
      <c r="L3748" s="2"/>
      <c r="M3748" s="2"/>
      <c r="N3748" s="650"/>
      <c r="O3748" s="650"/>
      <c r="P3748" s="651"/>
      <c r="Q3748" s="651"/>
      <c r="R3748" s="651"/>
      <c r="S3748" s="651"/>
    </row>
    <row r="3749" spans="12:19" ht="15.75" customHeight="1" x14ac:dyDescent="0.35">
      <c r="L3749" s="2"/>
      <c r="M3749" s="2"/>
      <c r="N3749" s="650"/>
      <c r="O3749" s="650"/>
      <c r="P3749" s="651"/>
      <c r="Q3749" s="651"/>
      <c r="R3749" s="651"/>
      <c r="S3749" s="651"/>
    </row>
    <row r="3750" spans="12:19" ht="15.75" customHeight="1" x14ac:dyDescent="0.35">
      <c r="L3750" s="2"/>
      <c r="M3750" s="2"/>
      <c r="N3750" s="650"/>
      <c r="O3750" s="650"/>
      <c r="P3750" s="651"/>
      <c r="Q3750" s="651"/>
      <c r="R3750" s="651"/>
      <c r="S3750" s="651"/>
    </row>
    <row r="3751" spans="12:19" ht="15.75" customHeight="1" x14ac:dyDescent="0.35">
      <c r="L3751" s="2"/>
      <c r="M3751" s="2"/>
      <c r="N3751" s="650"/>
      <c r="O3751" s="650"/>
      <c r="P3751" s="651"/>
      <c r="Q3751" s="651"/>
      <c r="R3751" s="651"/>
      <c r="S3751" s="651"/>
    </row>
    <row r="3752" spans="12:19" ht="15.75" customHeight="1" x14ac:dyDescent="0.35">
      <c r="L3752" s="2"/>
      <c r="M3752" s="2"/>
      <c r="N3752" s="650"/>
      <c r="O3752" s="650"/>
      <c r="P3752" s="651"/>
      <c r="Q3752" s="651"/>
      <c r="R3752" s="651"/>
      <c r="S3752" s="651"/>
    </row>
    <row r="3753" spans="12:19" ht="15.75" customHeight="1" x14ac:dyDescent="0.35">
      <c r="L3753" s="2"/>
      <c r="M3753" s="2"/>
      <c r="N3753" s="650"/>
      <c r="O3753" s="650"/>
      <c r="P3753" s="651"/>
      <c r="Q3753" s="651"/>
      <c r="R3753" s="651"/>
      <c r="S3753" s="651"/>
    </row>
    <row r="3754" spans="12:19" ht="15.75" customHeight="1" x14ac:dyDescent="0.35">
      <c r="L3754" s="2"/>
      <c r="M3754" s="2"/>
      <c r="N3754" s="650"/>
      <c r="O3754" s="650"/>
      <c r="P3754" s="651"/>
      <c r="Q3754" s="651"/>
      <c r="R3754" s="651"/>
      <c r="S3754" s="651"/>
    </row>
    <row r="3755" spans="12:19" ht="15.75" customHeight="1" x14ac:dyDescent="0.35">
      <c r="L3755" s="2"/>
      <c r="M3755" s="2"/>
      <c r="N3755" s="650"/>
      <c r="O3755" s="650"/>
      <c r="P3755" s="651"/>
      <c r="Q3755" s="651"/>
      <c r="R3755" s="651"/>
      <c r="S3755" s="651"/>
    </row>
    <row r="3756" spans="12:19" ht="15.75" customHeight="1" x14ac:dyDescent="0.35">
      <c r="L3756" s="2"/>
      <c r="M3756" s="2"/>
      <c r="N3756" s="650"/>
      <c r="O3756" s="650"/>
      <c r="P3756" s="651"/>
      <c r="Q3756" s="651"/>
      <c r="R3756" s="651"/>
      <c r="S3756" s="651"/>
    </row>
    <row r="3757" spans="12:19" ht="15.75" customHeight="1" x14ac:dyDescent="0.35">
      <c r="L3757" s="2"/>
      <c r="M3757" s="2"/>
      <c r="N3757" s="650"/>
      <c r="O3757" s="650"/>
      <c r="P3757" s="651"/>
      <c r="Q3757" s="651"/>
      <c r="R3757" s="651"/>
      <c r="S3757" s="651"/>
    </row>
    <row r="3758" spans="12:19" ht="15.75" customHeight="1" x14ac:dyDescent="0.35">
      <c r="L3758" s="2"/>
      <c r="M3758" s="2"/>
      <c r="N3758" s="650"/>
      <c r="O3758" s="650"/>
      <c r="P3758" s="651"/>
      <c r="Q3758" s="651"/>
      <c r="R3758" s="651"/>
      <c r="S3758" s="651"/>
    </row>
    <row r="3759" spans="12:19" ht="15.75" customHeight="1" x14ac:dyDescent="0.35">
      <c r="L3759" s="2"/>
      <c r="M3759" s="2"/>
      <c r="N3759" s="650"/>
      <c r="O3759" s="650"/>
      <c r="P3759" s="651"/>
      <c r="Q3759" s="651"/>
      <c r="R3759" s="651"/>
      <c r="S3759" s="651"/>
    </row>
    <row r="3760" spans="12:19" ht="15.75" customHeight="1" x14ac:dyDescent="0.35">
      <c r="L3760" s="2"/>
      <c r="M3760" s="2"/>
      <c r="N3760" s="650"/>
      <c r="O3760" s="650"/>
      <c r="P3760" s="651"/>
      <c r="Q3760" s="651"/>
      <c r="R3760" s="651"/>
      <c r="S3760" s="651"/>
    </row>
    <row r="3761" spans="12:19" ht="15.75" customHeight="1" x14ac:dyDescent="0.35">
      <c r="L3761" s="2"/>
      <c r="M3761" s="2"/>
      <c r="N3761" s="650"/>
      <c r="O3761" s="650"/>
      <c r="P3761" s="651"/>
      <c r="Q3761" s="651"/>
      <c r="R3761" s="651"/>
      <c r="S3761" s="651"/>
    </row>
    <row r="3762" spans="12:19" ht="15.75" customHeight="1" x14ac:dyDescent="0.35">
      <c r="L3762" s="2"/>
      <c r="M3762" s="2"/>
      <c r="N3762" s="650"/>
      <c r="O3762" s="650"/>
      <c r="P3762" s="651"/>
      <c r="Q3762" s="651"/>
      <c r="R3762" s="651"/>
      <c r="S3762" s="651"/>
    </row>
    <row r="3763" spans="12:19" ht="15.75" customHeight="1" x14ac:dyDescent="0.35">
      <c r="L3763" s="2"/>
      <c r="M3763" s="2"/>
      <c r="N3763" s="650"/>
      <c r="O3763" s="650"/>
      <c r="P3763" s="651"/>
      <c r="Q3763" s="651"/>
      <c r="R3763" s="651"/>
      <c r="S3763" s="651"/>
    </row>
    <row r="3764" spans="12:19" ht="15.75" customHeight="1" x14ac:dyDescent="0.35">
      <c r="L3764" s="2"/>
      <c r="M3764" s="2"/>
      <c r="N3764" s="650"/>
      <c r="O3764" s="650"/>
      <c r="P3764" s="651"/>
      <c r="Q3764" s="651"/>
      <c r="R3764" s="651"/>
      <c r="S3764" s="651"/>
    </row>
    <row r="3765" spans="12:19" ht="15.75" customHeight="1" x14ac:dyDescent="0.35">
      <c r="L3765" s="2"/>
      <c r="M3765" s="2"/>
      <c r="N3765" s="650"/>
      <c r="O3765" s="650"/>
      <c r="P3765" s="651"/>
      <c r="Q3765" s="651"/>
      <c r="R3765" s="651"/>
      <c r="S3765" s="651"/>
    </row>
    <row r="3766" spans="12:19" ht="15.75" customHeight="1" x14ac:dyDescent="0.35">
      <c r="L3766" s="2"/>
      <c r="M3766" s="2"/>
      <c r="N3766" s="650"/>
      <c r="O3766" s="650"/>
      <c r="P3766" s="651"/>
      <c r="Q3766" s="651"/>
      <c r="R3766" s="651"/>
      <c r="S3766" s="651"/>
    </row>
    <row r="3767" spans="12:19" ht="15.75" customHeight="1" x14ac:dyDescent="0.35">
      <c r="L3767" s="2"/>
      <c r="M3767" s="2"/>
      <c r="N3767" s="650"/>
      <c r="O3767" s="650"/>
      <c r="P3767" s="651"/>
      <c r="Q3767" s="651"/>
      <c r="R3767" s="651"/>
      <c r="S3767" s="651"/>
    </row>
    <row r="3768" spans="12:19" ht="15.75" customHeight="1" x14ac:dyDescent="0.35">
      <c r="L3768" s="2"/>
      <c r="M3768" s="2"/>
      <c r="N3768" s="650"/>
      <c r="O3768" s="650"/>
      <c r="P3768" s="651"/>
      <c r="Q3768" s="651"/>
      <c r="R3768" s="651"/>
      <c r="S3768" s="651"/>
    </row>
    <row r="3769" spans="12:19" ht="15.75" customHeight="1" x14ac:dyDescent="0.35">
      <c r="L3769" s="2"/>
      <c r="M3769" s="2"/>
      <c r="N3769" s="650"/>
      <c r="O3769" s="650"/>
      <c r="P3769" s="651"/>
      <c r="Q3769" s="651"/>
      <c r="R3769" s="651"/>
      <c r="S3769" s="651"/>
    </row>
    <row r="3770" spans="12:19" ht="15.75" customHeight="1" x14ac:dyDescent="0.35">
      <c r="L3770" s="2"/>
      <c r="M3770" s="2"/>
      <c r="N3770" s="650"/>
      <c r="O3770" s="650"/>
      <c r="P3770" s="651"/>
      <c r="Q3770" s="651"/>
      <c r="R3770" s="651"/>
      <c r="S3770" s="651"/>
    </row>
    <row r="3771" spans="12:19" ht="15.75" customHeight="1" x14ac:dyDescent="0.35">
      <c r="L3771" s="2"/>
      <c r="M3771" s="2"/>
      <c r="N3771" s="650"/>
      <c r="O3771" s="650"/>
      <c r="P3771" s="651"/>
      <c r="Q3771" s="651"/>
      <c r="R3771" s="651"/>
      <c r="S3771" s="651"/>
    </row>
    <row r="3772" spans="12:19" ht="15.75" customHeight="1" x14ac:dyDescent="0.35">
      <c r="L3772" s="2"/>
      <c r="M3772" s="2"/>
      <c r="N3772" s="650"/>
      <c r="O3772" s="650"/>
      <c r="P3772" s="651"/>
      <c r="Q3772" s="651"/>
      <c r="R3772" s="651"/>
      <c r="S3772" s="651"/>
    </row>
    <row r="3773" spans="12:19" ht="15.75" customHeight="1" x14ac:dyDescent="0.35">
      <c r="L3773" s="2"/>
      <c r="M3773" s="2"/>
      <c r="N3773" s="650"/>
      <c r="O3773" s="650"/>
      <c r="P3773" s="651"/>
      <c r="Q3773" s="651"/>
      <c r="R3773" s="651"/>
      <c r="S3773" s="651"/>
    </row>
    <row r="3774" spans="12:19" ht="15.75" customHeight="1" x14ac:dyDescent="0.35">
      <c r="L3774" s="2"/>
      <c r="M3774" s="2"/>
      <c r="N3774" s="650"/>
      <c r="O3774" s="650"/>
      <c r="P3774" s="651"/>
      <c r="Q3774" s="651"/>
      <c r="R3774" s="651"/>
      <c r="S3774" s="651"/>
    </row>
    <row r="3775" spans="12:19" ht="15.75" customHeight="1" x14ac:dyDescent="0.35">
      <c r="L3775" s="2"/>
      <c r="M3775" s="2"/>
      <c r="N3775" s="650"/>
      <c r="O3775" s="650"/>
      <c r="P3775" s="651"/>
      <c r="Q3775" s="651"/>
      <c r="R3775" s="651"/>
      <c r="S3775" s="651"/>
    </row>
    <row r="3776" spans="12:19" ht="15.75" customHeight="1" x14ac:dyDescent="0.35">
      <c r="L3776" s="2"/>
      <c r="M3776" s="2"/>
      <c r="N3776" s="650"/>
      <c r="O3776" s="650"/>
      <c r="P3776" s="651"/>
      <c r="Q3776" s="651"/>
      <c r="R3776" s="651"/>
      <c r="S3776" s="651"/>
    </row>
    <row r="3777" spans="12:19" ht="15.75" customHeight="1" x14ac:dyDescent="0.35">
      <c r="L3777" s="2"/>
      <c r="M3777" s="2"/>
      <c r="N3777" s="650"/>
      <c r="O3777" s="650"/>
      <c r="P3777" s="651"/>
      <c r="Q3777" s="651"/>
      <c r="R3777" s="651"/>
      <c r="S3777" s="651"/>
    </row>
    <row r="3778" spans="12:19" ht="15.75" customHeight="1" x14ac:dyDescent="0.35">
      <c r="L3778" s="2"/>
      <c r="M3778" s="2"/>
      <c r="N3778" s="650"/>
      <c r="O3778" s="650"/>
      <c r="P3778" s="651"/>
      <c r="Q3778" s="651"/>
      <c r="R3778" s="651"/>
      <c r="S3778" s="651"/>
    </row>
    <row r="3779" spans="12:19" ht="15.75" customHeight="1" x14ac:dyDescent="0.35">
      <c r="L3779" s="2"/>
      <c r="M3779" s="2"/>
      <c r="N3779" s="650"/>
      <c r="O3779" s="650"/>
      <c r="P3779" s="651"/>
      <c r="Q3779" s="651"/>
      <c r="R3779" s="651"/>
      <c r="S3779" s="651"/>
    </row>
    <row r="3780" spans="12:19" ht="15.75" customHeight="1" x14ac:dyDescent="0.35">
      <c r="L3780" s="2"/>
      <c r="M3780" s="2"/>
      <c r="N3780" s="650"/>
      <c r="O3780" s="650"/>
      <c r="P3780" s="651"/>
      <c r="Q3780" s="651"/>
      <c r="R3780" s="651"/>
      <c r="S3780" s="651"/>
    </row>
    <row r="3781" spans="12:19" ht="15.75" customHeight="1" x14ac:dyDescent="0.35">
      <c r="L3781" s="2"/>
      <c r="M3781" s="2"/>
      <c r="N3781" s="650"/>
      <c r="O3781" s="650"/>
      <c r="P3781" s="651"/>
      <c r="Q3781" s="651"/>
      <c r="R3781" s="651"/>
      <c r="S3781" s="651"/>
    </row>
    <row r="3782" spans="12:19" ht="15.75" customHeight="1" x14ac:dyDescent="0.35">
      <c r="L3782" s="2"/>
      <c r="M3782" s="2"/>
      <c r="N3782" s="650"/>
      <c r="O3782" s="650"/>
      <c r="P3782" s="651"/>
      <c r="Q3782" s="651"/>
      <c r="R3782" s="651"/>
      <c r="S3782" s="651"/>
    </row>
    <row r="3783" spans="12:19" ht="15.75" customHeight="1" x14ac:dyDescent="0.35">
      <c r="L3783" s="2"/>
      <c r="M3783" s="2"/>
      <c r="N3783" s="650"/>
      <c r="O3783" s="650"/>
      <c r="P3783" s="651"/>
      <c r="Q3783" s="651"/>
      <c r="R3783" s="651"/>
      <c r="S3783" s="651"/>
    </row>
    <row r="3784" spans="12:19" ht="15.75" customHeight="1" x14ac:dyDescent="0.35">
      <c r="L3784" s="2"/>
      <c r="M3784" s="2"/>
      <c r="N3784" s="650"/>
      <c r="O3784" s="650"/>
      <c r="P3784" s="651"/>
      <c r="Q3784" s="651"/>
      <c r="R3784" s="651"/>
      <c r="S3784" s="651"/>
    </row>
    <row r="3785" spans="12:19" ht="15.75" customHeight="1" x14ac:dyDescent="0.35">
      <c r="L3785" s="2"/>
      <c r="M3785" s="2"/>
      <c r="N3785" s="650"/>
      <c r="O3785" s="650"/>
      <c r="P3785" s="651"/>
      <c r="Q3785" s="651"/>
      <c r="R3785" s="651"/>
      <c r="S3785" s="651"/>
    </row>
    <row r="3786" spans="12:19" ht="15.75" customHeight="1" x14ac:dyDescent="0.35">
      <c r="L3786" s="2"/>
      <c r="M3786" s="2"/>
      <c r="N3786" s="650"/>
      <c r="O3786" s="650"/>
      <c r="P3786" s="651"/>
      <c r="Q3786" s="651"/>
      <c r="R3786" s="651"/>
      <c r="S3786" s="651"/>
    </row>
    <row r="3787" spans="12:19" ht="15.75" customHeight="1" x14ac:dyDescent="0.35">
      <c r="L3787" s="2"/>
      <c r="M3787" s="2"/>
      <c r="N3787" s="650"/>
      <c r="O3787" s="650"/>
      <c r="P3787" s="651"/>
      <c r="Q3787" s="651"/>
      <c r="R3787" s="651"/>
      <c r="S3787" s="651"/>
    </row>
    <row r="3788" spans="12:19" ht="15.75" customHeight="1" x14ac:dyDescent="0.35">
      <c r="L3788" s="2"/>
      <c r="M3788" s="2"/>
      <c r="N3788" s="650"/>
      <c r="O3788" s="650"/>
      <c r="P3788" s="651"/>
      <c r="Q3788" s="651"/>
      <c r="R3788" s="651"/>
      <c r="S3788" s="651"/>
    </row>
    <row r="3789" spans="12:19" ht="15.75" customHeight="1" x14ac:dyDescent="0.35">
      <c r="L3789" s="2"/>
      <c r="M3789" s="2"/>
      <c r="N3789" s="650"/>
      <c r="O3789" s="650"/>
      <c r="P3789" s="651"/>
      <c r="Q3789" s="651"/>
      <c r="R3789" s="651"/>
      <c r="S3789" s="651"/>
    </row>
    <row r="3790" spans="12:19" ht="15.75" customHeight="1" x14ac:dyDescent="0.35">
      <c r="L3790" s="2"/>
      <c r="M3790" s="2"/>
      <c r="N3790" s="650"/>
      <c r="O3790" s="650"/>
      <c r="P3790" s="651"/>
      <c r="Q3790" s="651"/>
      <c r="R3790" s="651"/>
      <c r="S3790" s="651"/>
    </row>
    <row r="3791" spans="12:19" ht="15.75" customHeight="1" x14ac:dyDescent="0.35">
      <c r="L3791" s="2"/>
      <c r="M3791" s="2"/>
      <c r="N3791" s="650"/>
      <c r="O3791" s="650"/>
      <c r="P3791" s="651"/>
      <c r="Q3791" s="651"/>
      <c r="R3791" s="651"/>
      <c r="S3791" s="651"/>
    </row>
    <row r="3792" spans="12:19" ht="15.75" customHeight="1" x14ac:dyDescent="0.35">
      <c r="L3792" s="2"/>
      <c r="M3792" s="2"/>
      <c r="N3792" s="650"/>
      <c r="O3792" s="650"/>
      <c r="P3792" s="651"/>
      <c r="Q3792" s="651"/>
      <c r="R3792" s="651"/>
      <c r="S3792" s="651"/>
    </row>
    <row r="3793" spans="12:19" ht="15.75" customHeight="1" x14ac:dyDescent="0.35">
      <c r="L3793" s="2"/>
      <c r="M3793" s="2"/>
      <c r="N3793" s="650"/>
      <c r="O3793" s="650"/>
      <c r="P3793" s="651"/>
      <c r="Q3793" s="651"/>
      <c r="R3793" s="651"/>
      <c r="S3793" s="651"/>
    </row>
    <row r="3794" spans="12:19" ht="15.75" customHeight="1" x14ac:dyDescent="0.35">
      <c r="L3794" s="2"/>
      <c r="M3794" s="2"/>
      <c r="N3794" s="650"/>
      <c r="O3794" s="650"/>
      <c r="P3794" s="651"/>
      <c r="Q3794" s="651"/>
      <c r="R3794" s="651"/>
      <c r="S3794" s="651"/>
    </row>
    <row r="3795" spans="12:19" ht="15.75" customHeight="1" x14ac:dyDescent="0.35">
      <c r="L3795" s="2"/>
      <c r="M3795" s="2"/>
      <c r="N3795" s="650"/>
      <c r="O3795" s="650"/>
      <c r="P3795" s="651"/>
      <c r="Q3795" s="651"/>
      <c r="R3795" s="651"/>
      <c r="S3795" s="651"/>
    </row>
    <row r="3796" spans="12:19" ht="15.75" customHeight="1" x14ac:dyDescent="0.35">
      <c r="L3796" s="2"/>
      <c r="M3796" s="2"/>
      <c r="N3796" s="650"/>
      <c r="O3796" s="650"/>
      <c r="P3796" s="651"/>
      <c r="Q3796" s="651"/>
      <c r="R3796" s="651"/>
      <c r="S3796" s="651"/>
    </row>
    <row r="3797" spans="12:19" ht="15.75" customHeight="1" x14ac:dyDescent="0.35">
      <c r="L3797" s="2"/>
      <c r="M3797" s="2"/>
      <c r="N3797" s="650"/>
      <c r="O3797" s="650"/>
      <c r="P3797" s="651"/>
      <c r="Q3797" s="651"/>
      <c r="R3797" s="651"/>
      <c r="S3797" s="651"/>
    </row>
    <row r="3798" spans="12:19" ht="15.75" customHeight="1" x14ac:dyDescent="0.35">
      <c r="L3798" s="2"/>
      <c r="M3798" s="2"/>
      <c r="N3798" s="650"/>
      <c r="O3798" s="650"/>
      <c r="P3798" s="651"/>
      <c r="Q3798" s="651"/>
      <c r="R3798" s="651"/>
      <c r="S3798" s="651"/>
    </row>
    <row r="3799" spans="12:19" ht="15.75" customHeight="1" x14ac:dyDescent="0.35">
      <c r="L3799" s="2"/>
      <c r="M3799" s="2"/>
      <c r="N3799" s="650"/>
      <c r="O3799" s="650"/>
      <c r="P3799" s="651"/>
      <c r="Q3799" s="651"/>
      <c r="R3799" s="651"/>
      <c r="S3799" s="651"/>
    </row>
    <row r="3800" spans="12:19" ht="15.75" customHeight="1" x14ac:dyDescent="0.35">
      <c r="L3800" s="2"/>
      <c r="M3800" s="2"/>
      <c r="N3800" s="650"/>
      <c r="O3800" s="650"/>
      <c r="P3800" s="651"/>
      <c r="Q3800" s="651"/>
      <c r="R3800" s="651"/>
      <c r="S3800" s="651"/>
    </row>
    <row r="3801" spans="12:19" ht="15.75" customHeight="1" x14ac:dyDescent="0.35">
      <c r="L3801" s="2"/>
      <c r="M3801" s="2"/>
      <c r="N3801" s="650"/>
      <c r="O3801" s="650"/>
      <c r="P3801" s="651"/>
      <c r="Q3801" s="651"/>
      <c r="R3801" s="651"/>
      <c r="S3801" s="651"/>
    </row>
    <row r="3802" spans="12:19" ht="15.75" customHeight="1" x14ac:dyDescent="0.35">
      <c r="L3802" s="2"/>
      <c r="M3802" s="2"/>
      <c r="N3802" s="650"/>
      <c r="O3802" s="650"/>
      <c r="P3802" s="651"/>
      <c r="Q3802" s="651"/>
      <c r="R3802" s="651"/>
      <c r="S3802" s="651"/>
    </row>
    <row r="3803" spans="12:19" ht="15.75" customHeight="1" x14ac:dyDescent="0.35">
      <c r="L3803" s="2"/>
      <c r="M3803" s="2"/>
      <c r="N3803" s="650"/>
      <c r="O3803" s="650"/>
      <c r="P3803" s="651"/>
      <c r="Q3803" s="651"/>
      <c r="R3803" s="651"/>
      <c r="S3803" s="651"/>
    </row>
    <row r="3804" spans="12:19" ht="15.75" customHeight="1" x14ac:dyDescent="0.35">
      <c r="L3804" s="2"/>
      <c r="M3804" s="2"/>
      <c r="N3804" s="650"/>
      <c r="O3804" s="650"/>
      <c r="P3804" s="651"/>
      <c r="Q3804" s="651"/>
      <c r="R3804" s="651"/>
      <c r="S3804" s="651"/>
    </row>
    <row r="3805" spans="12:19" ht="15.75" customHeight="1" x14ac:dyDescent="0.35">
      <c r="L3805" s="2"/>
      <c r="M3805" s="2"/>
      <c r="N3805" s="650"/>
      <c r="O3805" s="650"/>
      <c r="P3805" s="651"/>
      <c r="Q3805" s="651"/>
      <c r="R3805" s="651"/>
      <c r="S3805" s="651"/>
    </row>
    <row r="3806" spans="12:19" ht="15.75" customHeight="1" x14ac:dyDescent="0.35">
      <c r="L3806" s="2"/>
      <c r="M3806" s="2"/>
      <c r="N3806" s="650"/>
      <c r="O3806" s="650"/>
      <c r="P3806" s="651"/>
      <c r="Q3806" s="651"/>
      <c r="R3806" s="651"/>
      <c r="S3806" s="651"/>
    </row>
    <row r="3807" spans="12:19" ht="15.75" customHeight="1" x14ac:dyDescent="0.35">
      <c r="L3807" s="2"/>
      <c r="M3807" s="2"/>
      <c r="N3807" s="650"/>
      <c r="O3807" s="650"/>
      <c r="P3807" s="651"/>
      <c r="Q3807" s="651"/>
      <c r="R3807" s="651"/>
      <c r="S3807" s="651"/>
    </row>
    <row r="3808" spans="12:19" ht="15.75" customHeight="1" x14ac:dyDescent="0.35">
      <c r="L3808" s="2"/>
      <c r="M3808" s="2"/>
      <c r="N3808" s="650"/>
      <c r="O3808" s="650"/>
      <c r="P3808" s="651"/>
      <c r="Q3808" s="651"/>
      <c r="R3808" s="651"/>
      <c r="S3808" s="651"/>
    </row>
    <row r="3809" spans="12:19" ht="15.75" customHeight="1" x14ac:dyDescent="0.35">
      <c r="L3809" s="2"/>
      <c r="M3809" s="2"/>
      <c r="N3809" s="650"/>
      <c r="O3809" s="650"/>
      <c r="P3809" s="651"/>
      <c r="Q3809" s="651"/>
      <c r="R3809" s="651"/>
      <c r="S3809" s="651"/>
    </row>
    <row r="3810" spans="12:19" ht="15.75" customHeight="1" x14ac:dyDescent="0.35">
      <c r="L3810" s="2"/>
      <c r="M3810" s="2"/>
      <c r="N3810" s="650"/>
      <c r="O3810" s="650"/>
      <c r="P3810" s="651"/>
      <c r="Q3810" s="651"/>
      <c r="R3810" s="651"/>
      <c r="S3810" s="651"/>
    </row>
    <row r="3811" spans="12:19" ht="15.75" customHeight="1" x14ac:dyDescent="0.35">
      <c r="L3811" s="2"/>
      <c r="M3811" s="2"/>
      <c r="N3811" s="650"/>
      <c r="O3811" s="650"/>
      <c r="P3811" s="651"/>
      <c r="Q3811" s="651"/>
      <c r="R3811" s="651"/>
      <c r="S3811" s="651"/>
    </row>
    <row r="3812" spans="12:19" ht="15.75" customHeight="1" x14ac:dyDescent="0.35">
      <c r="L3812" s="2"/>
      <c r="M3812" s="2"/>
      <c r="N3812" s="650"/>
      <c r="O3812" s="650"/>
      <c r="P3812" s="651"/>
      <c r="Q3812" s="651"/>
      <c r="R3812" s="651"/>
      <c r="S3812" s="651"/>
    </row>
    <row r="3813" spans="12:19" ht="15.75" customHeight="1" x14ac:dyDescent="0.35">
      <c r="L3813" s="2"/>
      <c r="M3813" s="2"/>
      <c r="N3813" s="650"/>
      <c r="O3813" s="650"/>
      <c r="P3813" s="651"/>
      <c r="Q3813" s="651"/>
      <c r="R3813" s="651"/>
      <c r="S3813" s="651"/>
    </row>
    <row r="3814" spans="12:19" ht="15.75" customHeight="1" x14ac:dyDescent="0.35">
      <c r="L3814" s="2"/>
      <c r="M3814" s="2"/>
      <c r="N3814" s="650"/>
      <c r="O3814" s="650"/>
      <c r="P3814" s="651"/>
      <c r="Q3814" s="651"/>
      <c r="R3814" s="651"/>
      <c r="S3814" s="651"/>
    </row>
    <row r="3815" spans="12:19" ht="15.75" customHeight="1" x14ac:dyDescent="0.35">
      <c r="L3815" s="2"/>
      <c r="M3815" s="2"/>
      <c r="N3815" s="650"/>
      <c r="O3815" s="650"/>
      <c r="P3815" s="651"/>
      <c r="Q3815" s="651"/>
      <c r="R3815" s="651"/>
      <c r="S3815" s="651"/>
    </row>
    <row r="3816" spans="12:19" ht="15.75" customHeight="1" x14ac:dyDescent="0.35">
      <c r="L3816" s="2"/>
      <c r="M3816" s="2"/>
      <c r="N3816" s="650"/>
      <c r="O3816" s="650"/>
      <c r="P3816" s="651"/>
      <c r="Q3816" s="651"/>
      <c r="R3816" s="651"/>
      <c r="S3816" s="651"/>
    </row>
    <row r="3817" spans="12:19" ht="15.75" customHeight="1" x14ac:dyDescent="0.35">
      <c r="L3817" s="2"/>
      <c r="M3817" s="2"/>
      <c r="N3817" s="650"/>
      <c r="O3817" s="650"/>
      <c r="P3817" s="651"/>
      <c r="Q3817" s="651"/>
      <c r="R3817" s="651"/>
      <c r="S3817" s="651"/>
    </row>
    <row r="3818" spans="12:19" ht="15.75" customHeight="1" x14ac:dyDescent="0.35">
      <c r="L3818" s="2"/>
      <c r="M3818" s="2"/>
      <c r="N3818" s="650"/>
      <c r="O3818" s="650"/>
      <c r="P3818" s="651"/>
      <c r="Q3818" s="651"/>
      <c r="R3818" s="651"/>
      <c r="S3818" s="651"/>
    </row>
    <row r="3819" spans="12:19" ht="15.75" customHeight="1" x14ac:dyDescent="0.35">
      <c r="L3819" s="2"/>
      <c r="M3819" s="2"/>
      <c r="N3819" s="650"/>
      <c r="O3819" s="650"/>
      <c r="P3819" s="651"/>
      <c r="Q3819" s="651"/>
      <c r="R3819" s="651"/>
      <c r="S3819" s="651"/>
    </row>
    <row r="3820" spans="12:19" ht="15.75" customHeight="1" x14ac:dyDescent="0.35">
      <c r="L3820" s="2"/>
      <c r="M3820" s="2"/>
      <c r="N3820" s="650"/>
      <c r="O3820" s="650"/>
      <c r="P3820" s="651"/>
      <c r="Q3820" s="651"/>
      <c r="R3820" s="651"/>
      <c r="S3820" s="651"/>
    </row>
    <row r="3821" spans="12:19" ht="15.75" customHeight="1" x14ac:dyDescent="0.35">
      <c r="L3821" s="2"/>
      <c r="M3821" s="2"/>
      <c r="N3821" s="650"/>
      <c r="O3821" s="650"/>
      <c r="P3821" s="651"/>
      <c r="Q3821" s="651"/>
      <c r="R3821" s="651"/>
      <c r="S3821" s="651"/>
    </row>
    <row r="3822" spans="12:19" ht="15.75" customHeight="1" x14ac:dyDescent="0.35">
      <c r="L3822" s="2"/>
      <c r="M3822" s="2"/>
      <c r="N3822" s="650"/>
      <c r="O3822" s="650"/>
      <c r="P3822" s="651"/>
      <c r="Q3822" s="651"/>
      <c r="R3822" s="651"/>
      <c r="S3822" s="651"/>
    </row>
    <row r="3823" spans="12:19" ht="15.75" customHeight="1" x14ac:dyDescent="0.35">
      <c r="L3823" s="2"/>
      <c r="M3823" s="2"/>
      <c r="N3823" s="650"/>
      <c r="O3823" s="650"/>
      <c r="P3823" s="651"/>
      <c r="Q3823" s="651"/>
      <c r="R3823" s="651"/>
      <c r="S3823" s="651"/>
    </row>
    <row r="3824" spans="12:19" ht="15.75" customHeight="1" x14ac:dyDescent="0.35">
      <c r="L3824" s="2"/>
      <c r="M3824" s="2"/>
      <c r="N3824" s="650"/>
      <c r="O3824" s="650"/>
      <c r="P3824" s="651"/>
      <c r="Q3824" s="651"/>
      <c r="R3824" s="651"/>
      <c r="S3824" s="651"/>
    </row>
    <row r="3825" spans="12:19" ht="15.75" customHeight="1" x14ac:dyDescent="0.35">
      <c r="L3825" s="2"/>
      <c r="M3825" s="2"/>
      <c r="N3825" s="650"/>
      <c r="O3825" s="650"/>
      <c r="P3825" s="651"/>
      <c r="Q3825" s="651"/>
      <c r="R3825" s="651"/>
      <c r="S3825" s="651"/>
    </row>
    <row r="3826" spans="12:19" ht="15.75" customHeight="1" x14ac:dyDescent="0.35">
      <c r="L3826" s="2"/>
      <c r="M3826" s="2"/>
      <c r="N3826" s="650"/>
      <c r="O3826" s="650"/>
      <c r="P3826" s="651"/>
      <c r="Q3826" s="651"/>
      <c r="R3826" s="651"/>
      <c r="S3826" s="651"/>
    </row>
    <row r="3827" spans="12:19" ht="15.75" customHeight="1" x14ac:dyDescent="0.35">
      <c r="L3827" s="2"/>
      <c r="M3827" s="2"/>
      <c r="N3827" s="650"/>
      <c r="O3827" s="650"/>
      <c r="P3827" s="651"/>
      <c r="Q3827" s="651"/>
      <c r="R3827" s="651"/>
      <c r="S3827" s="651"/>
    </row>
    <row r="3828" spans="12:19" ht="15.75" customHeight="1" x14ac:dyDescent="0.35">
      <c r="L3828" s="2"/>
      <c r="M3828" s="2"/>
      <c r="N3828" s="650"/>
      <c r="O3828" s="650"/>
      <c r="P3828" s="651"/>
      <c r="Q3828" s="651"/>
      <c r="R3828" s="651"/>
      <c r="S3828" s="651"/>
    </row>
    <row r="3829" spans="12:19" ht="15.75" customHeight="1" x14ac:dyDescent="0.35">
      <c r="L3829" s="2"/>
      <c r="M3829" s="2"/>
      <c r="N3829" s="650"/>
      <c r="O3829" s="650"/>
      <c r="P3829" s="651"/>
      <c r="Q3829" s="651"/>
      <c r="R3829" s="651"/>
      <c r="S3829" s="651"/>
    </row>
    <row r="3830" spans="12:19" ht="15.75" customHeight="1" x14ac:dyDescent="0.35">
      <c r="L3830" s="2"/>
      <c r="M3830" s="2"/>
      <c r="N3830" s="650"/>
      <c r="O3830" s="650"/>
      <c r="P3830" s="651"/>
      <c r="Q3830" s="651"/>
      <c r="R3830" s="651"/>
      <c r="S3830" s="651"/>
    </row>
    <row r="3831" spans="12:19" ht="15.75" customHeight="1" x14ac:dyDescent="0.35">
      <c r="L3831" s="2"/>
      <c r="M3831" s="2"/>
      <c r="N3831" s="650"/>
      <c r="O3831" s="650"/>
      <c r="P3831" s="651"/>
      <c r="Q3831" s="651"/>
      <c r="R3831" s="651"/>
      <c r="S3831" s="651"/>
    </row>
    <row r="3832" spans="12:19" ht="15.75" customHeight="1" x14ac:dyDescent="0.35">
      <c r="L3832" s="2"/>
      <c r="M3832" s="2"/>
      <c r="N3832" s="650"/>
      <c r="O3832" s="650"/>
      <c r="P3832" s="651"/>
      <c r="Q3832" s="651"/>
      <c r="R3832" s="651"/>
      <c r="S3832" s="651"/>
    </row>
    <row r="3833" spans="12:19" ht="15.75" customHeight="1" x14ac:dyDescent="0.35">
      <c r="L3833" s="2"/>
      <c r="M3833" s="2"/>
      <c r="N3833" s="650"/>
      <c r="O3833" s="650"/>
      <c r="P3833" s="651"/>
      <c r="Q3833" s="651"/>
      <c r="R3833" s="651"/>
      <c r="S3833" s="651"/>
    </row>
    <row r="3834" spans="12:19" ht="15.75" customHeight="1" x14ac:dyDescent="0.35">
      <c r="L3834" s="2"/>
      <c r="M3834" s="2"/>
      <c r="N3834" s="650"/>
      <c r="O3834" s="650"/>
      <c r="P3834" s="651"/>
      <c r="Q3834" s="651"/>
      <c r="R3834" s="651"/>
      <c r="S3834" s="651"/>
    </row>
    <row r="3835" spans="12:19" ht="15.75" customHeight="1" x14ac:dyDescent="0.35">
      <c r="L3835" s="2"/>
      <c r="M3835" s="2"/>
      <c r="N3835" s="650"/>
      <c r="O3835" s="650"/>
      <c r="P3835" s="651"/>
      <c r="Q3835" s="651"/>
      <c r="R3835" s="651"/>
      <c r="S3835" s="651"/>
    </row>
    <row r="3836" spans="12:19" ht="15.75" customHeight="1" x14ac:dyDescent="0.35">
      <c r="L3836" s="2"/>
      <c r="M3836" s="2"/>
      <c r="N3836" s="650"/>
      <c r="O3836" s="650"/>
      <c r="P3836" s="651"/>
      <c r="Q3836" s="651"/>
      <c r="R3836" s="651"/>
      <c r="S3836" s="651"/>
    </row>
    <row r="3837" spans="12:19" ht="15.75" customHeight="1" x14ac:dyDescent="0.35">
      <c r="L3837" s="2"/>
      <c r="M3837" s="2"/>
      <c r="N3837" s="650"/>
      <c r="O3837" s="650"/>
      <c r="P3837" s="651"/>
      <c r="Q3837" s="651"/>
      <c r="R3837" s="651"/>
      <c r="S3837" s="651"/>
    </row>
    <row r="3838" spans="12:19" ht="15.75" customHeight="1" x14ac:dyDescent="0.35">
      <c r="L3838" s="2"/>
      <c r="M3838" s="2"/>
      <c r="N3838" s="650"/>
      <c r="O3838" s="650"/>
      <c r="P3838" s="651"/>
      <c r="Q3838" s="651"/>
      <c r="R3838" s="651"/>
      <c r="S3838" s="651"/>
    </row>
    <row r="3839" spans="12:19" ht="15.75" customHeight="1" x14ac:dyDescent="0.35">
      <c r="L3839" s="2"/>
      <c r="M3839" s="2"/>
      <c r="N3839" s="650"/>
      <c r="O3839" s="650"/>
      <c r="P3839" s="651"/>
      <c r="Q3839" s="651"/>
      <c r="R3839" s="651"/>
      <c r="S3839" s="651"/>
    </row>
    <row r="3840" spans="12:19" ht="15.75" customHeight="1" x14ac:dyDescent="0.35">
      <c r="L3840" s="2"/>
      <c r="M3840" s="2"/>
      <c r="N3840" s="650"/>
      <c r="O3840" s="650"/>
      <c r="P3840" s="651"/>
      <c r="Q3840" s="651"/>
      <c r="R3840" s="651"/>
      <c r="S3840" s="651"/>
    </row>
    <row r="3841" spans="12:19" ht="15.75" customHeight="1" x14ac:dyDescent="0.35">
      <c r="L3841" s="2"/>
      <c r="M3841" s="2"/>
      <c r="N3841" s="650"/>
      <c r="O3841" s="650"/>
      <c r="P3841" s="651"/>
      <c r="Q3841" s="651"/>
      <c r="R3841" s="651"/>
      <c r="S3841" s="651"/>
    </row>
    <row r="3842" spans="12:19" ht="15.75" customHeight="1" x14ac:dyDescent="0.35">
      <c r="L3842" s="2"/>
      <c r="M3842" s="2"/>
      <c r="N3842" s="650"/>
      <c r="O3842" s="650"/>
      <c r="P3842" s="651"/>
      <c r="Q3842" s="651"/>
      <c r="R3842" s="651"/>
      <c r="S3842" s="651"/>
    </row>
    <row r="3843" spans="12:19" ht="15.75" customHeight="1" x14ac:dyDescent="0.35">
      <c r="L3843" s="2"/>
      <c r="M3843" s="2"/>
      <c r="N3843" s="650"/>
      <c r="O3843" s="650"/>
      <c r="P3843" s="651"/>
      <c r="Q3843" s="651"/>
      <c r="R3843" s="651"/>
      <c r="S3843" s="651"/>
    </row>
    <row r="3844" spans="12:19" ht="15.75" customHeight="1" x14ac:dyDescent="0.35">
      <c r="L3844" s="2"/>
      <c r="M3844" s="2"/>
      <c r="N3844" s="650"/>
      <c r="O3844" s="650"/>
      <c r="P3844" s="651"/>
      <c r="Q3844" s="651"/>
      <c r="R3844" s="651"/>
      <c r="S3844" s="651"/>
    </row>
    <row r="3845" spans="12:19" ht="15.75" customHeight="1" x14ac:dyDescent="0.35">
      <c r="L3845" s="2"/>
      <c r="M3845" s="2"/>
      <c r="N3845" s="650"/>
      <c r="O3845" s="650"/>
      <c r="P3845" s="651"/>
      <c r="Q3845" s="651"/>
      <c r="R3845" s="651"/>
      <c r="S3845" s="651"/>
    </row>
    <row r="3846" spans="12:19" ht="15.75" customHeight="1" x14ac:dyDescent="0.35">
      <c r="L3846" s="2"/>
      <c r="M3846" s="2"/>
      <c r="N3846" s="650"/>
      <c r="O3846" s="650"/>
      <c r="P3846" s="651"/>
      <c r="Q3846" s="651"/>
      <c r="R3846" s="651"/>
      <c r="S3846" s="651"/>
    </row>
    <row r="3847" spans="12:19" ht="15.75" customHeight="1" x14ac:dyDescent="0.35">
      <c r="L3847" s="2"/>
      <c r="M3847" s="2"/>
      <c r="N3847" s="650"/>
      <c r="O3847" s="650"/>
      <c r="P3847" s="651"/>
      <c r="Q3847" s="651"/>
      <c r="R3847" s="651"/>
      <c r="S3847" s="651"/>
    </row>
    <row r="3848" spans="12:19" ht="15.75" customHeight="1" x14ac:dyDescent="0.35">
      <c r="L3848" s="2"/>
      <c r="M3848" s="2"/>
      <c r="N3848" s="650"/>
      <c r="O3848" s="650"/>
      <c r="P3848" s="651"/>
      <c r="Q3848" s="651"/>
      <c r="R3848" s="651"/>
      <c r="S3848" s="651"/>
    </row>
    <row r="3849" spans="12:19" ht="15.75" customHeight="1" x14ac:dyDescent="0.35">
      <c r="L3849" s="2"/>
      <c r="M3849" s="2"/>
      <c r="N3849" s="650"/>
      <c r="O3849" s="650"/>
      <c r="P3849" s="651"/>
      <c r="Q3849" s="651"/>
      <c r="R3849" s="651"/>
      <c r="S3849" s="651"/>
    </row>
    <row r="3850" spans="12:19" ht="15.75" customHeight="1" x14ac:dyDescent="0.35">
      <c r="L3850" s="2"/>
      <c r="M3850" s="2"/>
      <c r="N3850" s="650"/>
      <c r="O3850" s="650"/>
      <c r="P3850" s="651"/>
      <c r="Q3850" s="651"/>
      <c r="R3850" s="651"/>
      <c r="S3850" s="651"/>
    </row>
    <row r="3851" spans="12:19" ht="15.75" customHeight="1" x14ac:dyDescent="0.35">
      <c r="L3851" s="2"/>
      <c r="M3851" s="2"/>
      <c r="N3851" s="650"/>
      <c r="O3851" s="650"/>
      <c r="P3851" s="651"/>
      <c r="Q3851" s="651"/>
      <c r="R3851" s="651"/>
      <c r="S3851" s="651"/>
    </row>
    <row r="3852" spans="12:19" ht="15.75" customHeight="1" x14ac:dyDescent="0.35">
      <c r="L3852" s="2"/>
      <c r="M3852" s="2"/>
      <c r="N3852" s="650"/>
      <c r="O3852" s="650"/>
      <c r="P3852" s="651"/>
      <c r="Q3852" s="651"/>
      <c r="R3852" s="651"/>
      <c r="S3852" s="651"/>
    </row>
    <row r="3853" spans="12:19" ht="15.75" customHeight="1" x14ac:dyDescent="0.35">
      <c r="L3853" s="2"/>
      <c r="M3853" s="2"/>
      <c r="N3853" s="650"/>
      <c r="O3853" s="650"/>
      <c r="P3853" s="651"/>
      <c r="Q3853" s="651"/>
      <c r="R3853" s="651"/>
      <c r="S3853" s="651"/>
    </row>
    <row r="3854" spans="12:19" ht="15.75" customHeight="1" x14ac:dyDescent="0.35">
      <c r="L3854" s="2"/>
      <c r="M3854" s="2"/>
      <c r="N3854" s="650"/>
      <c r="O3854" s="650"/>
      <c r="P3854" s="651"/>
      <c r="Q3854" s="651"/>
      <c r="R3854" s="651"/>
      <c r="S3854" s="651"/>
    </row>
    <row r="3855" spans="12:19" ht="15.75" customHeight="1" x14ac:dyDescent="0.35">
      <c r="L3855" s="2"/>
      <c r="M3855" s="2"/>
      <c r="N3855" s="650"/>
      <c r="O3855" s="650"/>
      <c r="P3855" s="651"/>
      <c r="Q3855" s="651"/>
      <c r="R3855" s="651"/>
      <c r="S3855" s="651"/>
    </row>
    <row r="3856" spans="12:19" ht="15.75" customHeight="1" x14ac:dyDescent="0.35">
      <c r="L3856" s="2"/>
      <c r="M3856" s="2"/>
      <c r="N3856" s="650"/>
      <c r="O3856" s="650"/>
      <c r="P3856" s="651"/>
      <c r="Q3856" s="651"/>
      <c r="R3856" s="651"/>
      <c r="S3856" s="651"/>
    </row>
    <row r="3857" spans="12:19" ht="15.75" customHeight="1" x14ac:dyDescent="0.35">
      <c r="L3857" s="2"/>
      <c r="M3857" s="2"/>
      <c r="N3857" s="650"/>
      <c r="O3857" s="650"/>
      <c r="P3857" s="651"/>
      <c r="Q3857" s="651"/>
      <c r="R3857" s="651"/>
      <c r="S3857" s="651"/>
    </row>
    <row r="3858" spans="12:19" ht="15.75" customHeight="1" x14ac:dyDescent="0.35">
      <c r="L3858" s="2"/>
      <c r="M3858" s="2"/>
      <c r="N3858" s="650"/>
      <c r="O3858" s="650"/>
      <c r="P3858" s="651"/>
      <c r="Q3858" s="651"/>
      <c r="R3858" s="651"/>
      <c r="S3858" s="651"/>
    </row>
    <row r="3859" spans="12:19" ht="15.75" customHeight="1" x14ac:dyDescent="0.35">
      <c r="L3859" s="2"/>
      <c r="M3859" s="2"/>
      <c r="N3859" s="650"/>
      <c r="O3859" s="650"/>
      <c r="P3859" s="651"/>
      <c r="Q3859" s="651"/>
      <c r="R3859" s="651"/>
      <c r="S3859" s="651"/>
    </row>
    <row r="3860" spans="12:19" ht="15.75" customHeight="1" x14ac:dyDescent="0.35">
      <c r="L3860" s="2"/>
      <c r="M3860" s="2"/>
      <c r="N3860" s="650"/>
      <c r="O3860" s="650"/>
      <c r="P3860" s="651"/>
      <c r="Q3860" s="651"/>
      <c r="R3860" s="651"/>
      <c r="S3860" s="651"/>
    </row>
    <row r="3861" spans="12:19" ht="15.75" customHeight="1" x14ac:dyDescent="0.35">
      <c r="L3861" s="2"/>
      <c r="M3861" s="2"/>
      <c r="N3861" s="650"/>
      <c r="O3861" s="650"/>
      <c r="P3861" s="651"/>
      <c r="Q3861" s="651"/>
      <c r="R3861" s="651"/>
      <c r="S3861" s="651"/>
    </row>
    <row r="3862" spans="12:19" ht="15.75" customHeight="1" x14ac:dyDescent="0.35">
      <c r="L3862" s="2"/>
      <c r="M3862" s="2"/>
      <c r="N3862" s="650"/>
      <c r="O3862" s="650"/>
      <c r="P3862" s="651"/>
      <c r="Q3862" s="651"/>
      <c r="R3862" s="651"/>
      <c r="S3862" s="651"/>
    </row>
    <row r="3863" spans="12:19" ht="15.75" customHeight="1" x14ac:dyDescent="0.35">
      <c r="L3863" s="2"/>
      <c r="M3863" s="2"/>
      <c r="N3863" s="650"/>
      <c r="O3863" s="650"/>
      <c r="P3863" s="651"/>
      <c r="Q3863" s="651"/>
      <c r="R3863" s="651"/>
      <c r="S3863" s="651"/>
    </row>
    <row r="3864" spans="12:19" ht="15.75" customHeight="1" x14ac:dyDescent="0.35">
      <c r="L3864" s="2"/>
      <c r="M3864" s="2"/>
      <c r="N3864" s="650"/>
      <c r="O3864" s="650"/>
      <c r="P3864" s="651"/>
      <c r="Q3864" s="651"/>
      <c r="R3864" s="651"/>
      <c r="S3864" s="651"/>
    </row>
    <row r="3865" spans="12:19" ht="15.75" customHeight="1" x14ac:dyDescent="0.35">
      <c r="L3865" s="2"/>
      <c r="M3865" s="2"/>
      <c r="N3865" s="650"/>
      <c r="O3865" s="650"/>
      <c r="P3865" s="651"/>
      <c r="Q3865" s="651"/>
      <c r="R3865" s="651"/>
      <c r="S3865" s="651"/>
    </row>
    <row r="3866" spans="12:19" ht="15.75" customHeight="1" x14ac:dyDescent="0.35">
      <c r="L3866" s="2"/>
      <c r="M3866" s="2"/>
      <c r="N3866" s="650"/>
      <c r="O3866" s="650"/>
      <c r="P3866" s="651"/>
      <c r="Q3866" s="651"/>
      <c r="R3866" s="651"/>
      <c r="S3866" s="651"/>
    </row>
    <row r="3867" spans="12:19" ht="15.75" customHeight="1" x14ac:dyDescent="0.35">
      <c r="L3867" s="2"/>
      <c r="M3867" s="2"/>
      <c r="N3867" s="650"/>
      <c r="O3867" s="650"/>
      <c r="P3867" s="651"/>
      <c r="Q3867" s="651"/>
      <c r="R3867" s="651"/>
      <c r="S3867" s="651"/>
    </row>
    <row r="3868" spans="12:19" ht="15.75" customHeight="1" x14ac:dyDescent="0.35">
      <c r="L3868" s="2"/>
      <c r="M3868" s="2"/>
      <c r="N3868" s="650"/>
      <c r="O3868" s="650"/>
      <c r="P3868" s="651"/>
      <c r="Q3868" s="651"/>
      <c r="R3868" s="651"/>
      <c r="S3868" s="651"/>
    </row>
    <row r="3869" spans="12:19" ht="15.75" customHeight="1" x14ac:dyDescent="0.35">
      <c r="L3869" s="2"/>
      <c r="M3869" s="2"/>
      <c r="N3869" s="650"/>
      <c r="O3869" s="650"/>
      <c r="P3869" s="651"/>
      <c r="Q3869" s="651"/>
      <c r="R3869" s="651"/>
      <c r="S3869" s="651"/>
    </row>
    <row r="3870" spans="12:19" ht="15.75" customHeight="1" x14ac:dyDescent="0.35">
      <c r="L3870" s="2"/>
      <c r="M3870" s="2"/>
      <c r="N3870" s="650"/>
      <c r="O3870" s="650"/>
      <c r="P3870" s="651"/>
      <c r="Q3870" s="651"/>
      <c r="R3870" s="651"/>
      <c r="S3870" s="651"/>
    </row>
    <row r="3871" spans="12:19" ht="15.75" customHeight="1" x14ac:dyDescent="0.35">
      <c r="L3871" s="2"/>
      <c r="M3871" s="2"/>
      <c r="N3871" s="650"/>
      <c r="O3871" s="650"/>
      <c r="P3871" s="651"/>
      <c r="Q3871" s="651"/>
      <c r="R3871" s="651"/>
      <c r="S3871" s="651"/>
    </row>
    <row r="3872" spans="12:19" ht="15.75" customHeight="1" x14ac:dyDescent="0.35">
      <c r="L3872" s="2"/>
      <c r="M3872" s="2"/>
      <c r="N3872" s="650"/>
      <c r="O3872" s="650"/>
      <c r="P3872" s="651"/>
      <c r="Q3872" s="651"/>
      <c r="R3872" s="651"/>
      <c r="S3872" s="651"/>
    </row>
    <row r="3873" spans="12:19" ht="15.75" customHeight="1" x14ac:dyDescent="0.35">
      <c r="L3873" s="2"/>
      <c r="M3873" s="2"/>
      <c r="N3873" s="650"/>
      <c r="O3873" s="650"/>
      <c r="P3873" s="651"/>
      <c r="Q3873" s="651"/>
      <c r="R3873" s="651"/>
      <c r="S3873" s="651"/>
    </row>
    <row r="3874" spans="12:19" ht="15.75" customHeight="1" x14ac:dyDescent="0.35">
      <c r="L3874" s="2"/>
      <c r="M3874" s="2"/>
      <c r="N3874" s="650"/>
      <c r="O3874" s="650"/>
      <c r="P3874" s="651"/>
      <c r="Q3874" s="651"/>
      <c r="R3874" s="651"/>
      <c r="S3874" s="651"/>
    </row>
    <row r="3875" spans="12:19" ht="15.75" customHeight="1" x14ac:dyDescent="0.35">
      <c r="L3875" s="2"/>
      <c r="M3875" s="2"/>
      <c r="N3875" s="650"/>
      <c r="O3875" s="650"/>
      <c r="P3875" s="651"/>
      <c r="Q3875" s="651"/>
      <c r="R3875" s="651"/>
      <c r="S3875" s="651"/>
    </row>
    <row r="3876" spans="12:19" ht="15.75" customHeight="1" x14ac:dyDescent="0.35">
      <c r="L3876" s="2"/>
      <c r="M3876" s="2"/>
      <c r="N3876" s="650"/>
      <c r="O3876" s="650"/>
      <c r="P3876" s="651"/>
      <c r="Q3876" s="651"/>
      <c r="R3876" s="651"/>
      <c r="S3876" s="651"/>
    </row>
    <row r="3877" spans="12:19" ht="15.75" customHeight="1" x14ac:dyDescent="0.35">
      <c r="L3877" s="2"/>
      <c r="M3877" s="2"/>
      <c r="N3877" s="650"/>
      <c r="O3877" s="650"/>
      <c r="P3877" s="651"/>
      <c r="Q3877" s="651"/>
      <c r="R3877" s="651"/>
      <c r="S3877" s="651"/>
    </row>
    <row r="3878" spans="12:19" ht="15.75" customHeight="1" x14ac:dyDescent="0.35">
      <c r="L3878" s="2"/>
      <c r="M3878" s="2"/>
      <c r="N3878" s="650"/>
      <c r="O3878" s="650"/>
      <c r="P3878" s="651"/>
      <c r="Q3878" s="651"/>
      <c r="R3878" s="651"/>
      <c r="S3878" s="651"/>
    </row>
    <row r="3879" spans="12:19" ht="15.75" customHeight="1" x14ac:dyDescent="0.35">
      <c r="L3879" s="2"/>
      <c r="M3879" s="2"/>
      <c r="N3879" s="650"/>
      <c r="O3879" s="650"/>
      <c r="P3879" s="651"/>
      <c r="Q3879" s="651"/>
      <c r="R3879" s="651"/>
      <c r="S3879" s="651"/>
    </row>
    <row r="3880" spans="12:19" ht="15.75" customHeight="1" x14ac:dyDescent="0.35">
      <c r="L3880" s="2"/>
      <c r="M3880" s="2"/>
      <c r="N3880" s="650"/>
      <c r="O3880" s="650"/>
      <c r="P3880" s="651"/>
      <c r="Q3880" s="651"/>
      <c r="R3880" s="651"/>
      <c r="S3880" s="651"/>
    </row>
    <row r="3881" spans="12:19" ht="15.75" customHeight="1" x14ac:dyDescent="0.35">
      <c r="L3881" s="2"/>
      <c r="M3881" s="2"/>
      <c r="N3881" s="650"/>
      <c r="O3881" s="650"/>
      <c r="P3881" s="651"/>
      <c r="Q3881" s="651"/>
      <c r="R3881" s="651"/>
      <c r="S3881" s="651"/>
    </row>
    <row r="3882" spans="12:19" ht="15.75" customHeight="1" x14ac:dyDescent="0.35">
      <c r="L3882" s="2"/>
      <c r="M3882" s="2"/>
      <c r="N3882" s="650"/>
      <c r="O3882" s="650"/>
      <c r="P3882" s="651"/>
      <c r="Q3882" s="651"/>
      <c r="R3882" s="651"/>
      <c r="S3882" s="651"/>
    </row>
    <row r="3883" spans="12:19" ht="15.75" customHeight="1" x14ac:dyDescent="0.35">
      <c r="L3883" s="2"/>
      <c r="M3883" s="2"/>
      <c r="N3883" s="650"/>
      <c r="O3883" s="650"/>
      <c r="P3883" s="651"/>
      <c r="Q3883" s="651"/>
      <c r="R3883" s="651"/>
      <c r="S3883" s="651"/>
    </row>
    <row r="3884" spans="12:19" ht="15.75" customHeight="1" x14ac:dyDescent="0.35">
      <c r="L3884" s="2"/>
      <c r="M3884" s="2"/>
      <c r="N3884" s="650"/>
      <c r="O3884" s="650"/>
      <c r="P3884" s="651"/>
      <c r="Q3884" s="651"/>
      <c r="R3884" s="651"/>
      <c r="S3884" s="651"/>
    </row>
    <row r="3885" spans="12:19" ht="15.75" customHeight="1" x14ac:dyDescent="0.35">
      <c r="L3885" s="2"/>
      <c r="M3885" s="2"/>
      <c r="N3885" s="650"/>
      <c r="O3885" s="650"/>
      <c r="P3885" s="651"/>
      <c r="Q3885" s="651"/>
      <c r="R3885" s="651"/>
      <c r="S3885" s="651"/>
    </row>
    <row r="3886" spans="12:19" ht="15.75" customHeight="1" x14ac:dyDescent="0.35">
      <c r="L3886" s="2"/>
      <c r="M3886" s="2"/>
      <c r="N3886" s="650"/>
      <c r="O3886" s="650"/>
      <c r="P3886" s="651"/>
      <c r="Q3886" s="651"/>
      <c r="R3886" s="651"/>
      <c r="S3886" s="651"/>
    </row>
    <row r="3887" spans="12:19" ht="15.75" customHeight="1" x14ac:dyDescent="0.35">
      <c r="L3887" s="2"/>
      <c r="M3887" s="2"/>
      <c r="N3887" s="650"/>
      <c r="O3887" s="650"/>
      <c r="P3887" s="651"/>
      <c r="Q3887" s="651"/>
      <c r="R3887" s="651"/>
      <c r="S3887" s="651"/>
    </row>
    <row r="3888" spans="12:19" ht="15.75" customHeight="1" x14ac:dyDescent="0.35">
      <c r="L3888" s="2"/>
      <c r="M3888" s="2"/>
      <c r="N3888" s="650"/>
      <c r="O3888" s="650"/>
      <c r="P3888" s="651"/>
      <c r="Q3888" s="651"/>
      <c r="R3888" s="651"/>
      <c r="S3888" s="651"/>
    </row>
    <row r="3889" spans="12:19" ht="15.75" customHeight="1" x14ac:dyDescent="0.35">
      <c r="L3889" s="2"/>
      <c r="M3889" s="2"/>
      <c r="N3889" s="650"/>
      <c r="O3889" s="650"/>
      <c r="P3889" s="651"/>
      <c r="Q3889" s="651"/>
      <c r="R3889" s="651"/>
      <c r="S3889" s="651"/>
    </row>
    <row r="3890" spans="12:19" ht="15.75" customHeight="1" x14ac:dyDescent="0.35">
      <c r="L3890" s="2"/>
      <c r="M3890" s="2"/>
      <c r="N3890" s="650"/>
      <c r="O3890" s="650"/>
      <c r="P3890" s="651"/>
      <c r="Q3890" s="651"/>
      <c r="R3890" s="651"/>
      <c r="S3890" s="651"/>
    </row>
    <row r="3891" spans="12:19" ht="15.75" customHeight="1" x14ac:dyDescent="0.35">
      <c r="L3891" s="2"/>
      <c r="M3891" s="2"/>
      <c r="N3891" s="650"/>
      <c r="O3891" s="650"/>
      <c r="P3891" s="651"/>
      <c r="Q3891" s="651"/>
      <c r="R3891" s="651"/>
      <c r="S3891" s="651"/>
    </row>
    <row r="3892" spans="12:19" ht="15.75" customHeight="1" x14ac:dyDescent="0.35">
      <c r="L3892" s="2"/>
      <c r="M3892" s="2"/>
      <c r="N3892" s="650"/>
      <c r="O3892" s="650"/>
      <c r="P3892" s="651"/>
      <c r="Q3892" s="651"/>
      <c r="R3892" s="651"/>
      <c r="S3892" s="651"/>
    </row>
    <row r="3893" spans="12:19" ht="15.75" customHeight="1" x14ac:dyDescent="0.35">
      <c r="L3893" s="2"/>
      <c r="M3893" s="2"/>
      <c r="N3893" s="650"/>
      <c r="O3893" s="650"/>
      <c r="P3893" s="651"/>
      <c r="Q3893" s="651"/>
      <c r="R3893" s="651"/>
      <c r="S3893" s="651"/>
    </row>
    <row r="3894" spans="12:19" ht="15.75" customHeight="1" x14ac:dyDescent="0.35">
      <c r="L3894" s="2"/>
      <c r="M3894" s="2"/>
      <c r="N3894" s="650"/>
      <c r="O3894" s="650"/>
      <c r="P3894" s="651"/>
      <c r="Q3894" s="651"/>
      <c r="R3894" s="651"/>
      <c r="S3894" s="651"/>
    </row>
    <row r="3895" spans="12:19" ht="15.75" customHeight="1" x14ac:dyDescent="0.35">
      <c r="L3895" s="2"/>
      <c r="M3895" s="2"/>
      <c r="N3895" s="650"/>
      <c r="O3895" s="650"/>
      <c r="P3895" s="651"/>
      <c r="Q3895" s="651"/>
      <c r="R3895" s="651"/>
      <c r="S3895" s="651"/>
    </row>
    <row r="3896" spans="12:19" ht="15.75" customHeight="1" x14ac:dyDescent="0.35">
      <c r="L3896" s="2"/>
      <c r="M3896" s="2"/>
      <c r="N3896" s="650"/>
      <c r="O3896" s="650"/>
      <c r="P3896" s="651"/>
      <c r="Q3896" s="651"/>
      <c r="R3896" s="651"/>
      <c r="S3896" s="651"/>
    </row>
    <row r="3897" spans="12:19" ht="15.75" customHeight="1" x14ac:dyDescent="0.35">
      <c r="L3897" s="2"/>
      <c r="M3897" s="2"/>
      <c r="N3897" s="650"/>
      <c r="O3897" s="650"/>
      <c r="P3897" s="651"/>
      <c r="Q3897" s="651"/>
      <c r="R3897" s="651"/>
      <c r="S3897" s="651"/>
    </row>
    <row r="3898" spans="12:19" ht="15.75" customHeight="1" x14ac:dyDescent="0.35">
      <c r="L3898" s="2"/>
      <c r="M3898" s="2"/>
      <c r="N3898" s="650"/>
      <c r="O3898" s="650"/>
      <c r="P3898" s="651"/>
      <c r="Q3898" s="651"/>
      <c r="R3898" s="651"/>
      <c r="S3898" s="651"/>
    </row>
    <row r="3899" spans="12:19" ht="15.75" customHeight="1" x14ac:dyDescent="0.35">
      <c r="L3899" s="2"/>
      <c r="M3899" s="2"/>
      <c r="N3899" s="650"/>
      <c r="O3899" s="650"/>
      <c r="P3899" s="651"/>
      <c r="Q3899" s="651"/>
      <c r="R3899" s="651"/>
      <c r="S3899" s="651"/>
    </row>
    <row r="3900" spans="12:19" ht="15.75" customHeight="1" x14ac:dyDescent="0.35">
      <c r="L3900" s="2"/>
      <c r="M3900" s="2"/>
      <c r="N3900" s="650"/>
      <c r="O3900" s="650"/>
      <c r="P3900" s="651"/>
      <c r="Q3900" s="651"/>
      <c r="R3900" s="651"/>
      <c r="S3900" s="651"/>
    </row>
    <row r="3901" spans="12:19" ht="15.75" customHeight="1" x14ac:dyDescent="0.35">
      <c r="L3901" s="2"/>
      <c r="M3901" s="2"/>
      <c r="N3901" s="650"/>
      <c r="O3901" s="650"/>
      <c r="P3901" s="651"/>
      <c r="Q3901" s="651"/>
      <c r="R3901" s="651"/>
      <c r="S3901" s="651"/>
    </row>
    <row r="3902" spans="12:19" ht="15.75" customHeight="1" x14ac:dyDescent="0.35">
      <c r="L3902" s="2"/>
      <c r="M3902" s="2"/>
      <c r="N3902" s="650"/>
      <c r="O3902" s="650"/>
      <c r="P3902" s="651"/>
      <c r="Q3902" s="651"/>
      <c r="R3902" s="651"/>
      <c r="S3902" s="651"/>
    </row>
    <row r="3903" spans="12:19" ht="15.75" customHeight="1" x14ac:dyDescent="0.35">
      <c r="L3903" s="2"/>
      <c r="M3903" s="2"/>
      <c r="N3903" s="650"/>
      <c r="O3903" s="650"/>
      <c r="P3903" s="651"/>
      <c r="Q3903" s="651"/>
      <c r="R3903" s="651"/>
      <c r="S3903" s="651"/>
    </row>
    <row r="3904" spans="12:19" ht="15.75" customHeight="1" x14ac:dyDescent="0.35">
      <c r="L3904" s="2"/>
      <c r="M3904" s="2"/>
      <c r="N3904" s="650"/>
      <c r="O3904" s="650"/>
      <c r="P3904" s="651"/>
      <c r="Q3904" s="651"/>
      <c r="R3904" s="651"/>
      <c r="S3904" s="651"/>
    </row>
    <row r="3905" spans="12:19" ht="15.75" customHeight="1" x14ac:dyDescent="0.35">
      <c r="L3905" s="2"/>
      <c r="M3905" s="2"/>
      <c r="N3905" s="650"/>
      <c r="O3905" s="650"/>
      <c r="P3905" s="651"/>
      <c r="Q3905" s="651"/>
      <c r="R3905" s="651"/>
      <c r="S3905" s="651"/>
    </row>
    <row r="3906" spans="12:19" ht="15.75" customHeight="1" x14ac:dyDescent="0.35">
      <c r="L3906" s="2"/>
      <c r="M3906" s="2"/>
      <c r="N3906" s="650"/>
      <c r="O3906" s="650"/>
      <c r="P3906" s="651"/>
      <c r="Q3906" s="651"/>
      <c r="R3906" s="651"/>
      <c r="S3906" s="651"/>
    </row>
    <row r="3907" spans="12:19" ht="15.75" customHeight="1" x14ac:dyDescent="0.35">
      <c r="L3907" s="2"/>
      <c r="M3907" s="2"/>
      <c r="N3907" s="650"/>
      <c r="O3907" s="650"/>
      <c r="P3907" s="651"/>
      <c r="Q3907" s="651"/>
      <c r="R3907" s="651"/>
      <c r="S3907" s="651"/>
    </row>
    <row r="3908" spans="12:19" ht="15.75" customHeight="1" x14ac:dyDescent="0.35">
      <c r="L3908" s="2"/>
      <c r="M3908" s="2"/>
      <c r="N3908" s="650"/>
      <c r="O3908" s="650"/>
      <c r="P3908" s="651"/>
      <c r="Q3908" s="651"/>
      <c r="R3908" s="651"/>
      <c r="S3908" s="651"/>
    </row>
    <row r="3909" spans="12:19" ht="15.75" customHeight="1" x14ac:dyDescent="0.35">
      <c r="L3909" s="2"/>
      <c r="M3909" s="2"/>
      <c r="N3909" s="650"/>
      <c r="O3909" s="650"/>
      <c r="P3909" s="651"/>
      <c r="Q3909" s="651"/>
      <c r="R3909" s="651"/>
      <c r="S3909" s="651"/>
    </row>
    <row r="3910" spans="12:19" ht="15.75" customHeight="1" x14ac:dyDescent="0.35">
      <c r="L3910" s="2"/>
      <c r="M3910" s="2"/>
      <c r="N3910" s="650"/>
      <c r="O3910" s="650"/>
      <c r="P3910" s="651"/>
      <c r="Q3910" s="651"/>
      <c r="R3910" s="651"/>
      <c r="S3910" s="651"/>
    </row>
    <row r="3911" spans="12:19" ht="15.75" customHeight="1" x14ac:dyDescent="0.35">
      <c r="L3911" s="2"/>
      <c r="M3911" s="2"/>
      <c r="N3911" s="650"/>
      <c r="O3911" s="650"/>
      <c r="P3911" s="651"/>
      <c r="Q3911" s="651"/>
      <c r="R3911" s="651"/>
      <c r="S3911" s="651"/>
    </row>
    <row r="3912" spans="12:19" ht="15.75" customHeight="1" x14ac:dyDescent="0.35">
      <c r="L3912" s="2"/>
      <c r="M3912" s="2"/>
      <c r="N3912" s="650"/>
      <c r="O3912" s="650"/>
      <c r="P3912" s="651"/>
      <c r="Q3912" s="651"/>
      <c r="R3912" s="651"/>
      <c r="S3912" s="651"/>
    </row>
    <row r="3913" spans="12:19" ht="15.75" customHeight="1" x14ac:dyDescent="0.35">
      <c r="L3913" s="2"/>
      <c r="M3913" s="2"/>
      <c r="N3913" s="650"/>
      <c r="O3913" s="650"/>
      <c r="P3913" s="651"/>
      <c r="Q3913" s="651"/>
      <c r="R3913" s="651"/>
      <c r="S3913" s="651"/>
    </row>
    <row r="3914" spans="12:19" ht="15.75" customHeight="1" x14ac:dyDescent="0.35">
      <c r="L3914" s="2"/>
      <c r="M3914" s="2"/>
      <c r="N3914" s="650"/>
      <c r="O3914" s="650"/>
      <c r="P3914" s="651"/>
      <c r="Q3914" s="651"/>
      <c r="R3914" s="651"/>
      <c r="S3914" s="651"/>
    </row>
    <row r="3915" spans="12:19" ht="15.75" customHeight="1" x14ac:dyDescent="0.35">
      <c r="L3915" s="2"/>
      <c r="M3915" s="2"/>
      <c r="N3915" s="650"/>
      <c r="O3915" s="650"/>
      <c r="P3915" s="651"/>
      <c r="Q3915" s="651"/>
      <c r="R3915" s="651"/>
      <c r="S3915" s="651"/>
    </row>
    <row r="3916" spans="12:19" ht="15.75" customHeight="1" x14ac:dyDescent="0.35">
      <c r="L3916" s="2"/>
      <c r="M3916" s="2"/>
      <c r="N3916" s="650"/>
      <c r="O3916" s="650"/>
      <c r="P3916" s="651"/>
      <c r="Q3916" s="651"/>
      <c r="R3916" s="651"/>
      <c r="S3916" s="651"/>
    </row>
    <row r="3917" spans="12:19" ht="15.75" customHeight="1" x14ac:dyDescent="0.35">
      <c r="L3917" s="2"/>
      <c r="M3917" s="2"/>
      <c r="N3917" s="650"/>
      <c r="O3917" s="650"/>
      <c r="P3917" s="651"/>
      <c r="Q3917" s="651"/>
      <c r="R3917" s="651"/>
      <c r="S3917" s="651"/>
    </row>
    <row r="3918" spans="12:19" ht="15.75" customHeight="1" x14ac:dyDescent="0.35">
      <c r="L3918" s="2"/>
      <c r="M3918" s="2"/>
      <c r="N3918" s="650"/>
      <c r="O3918" s="650"/>
      <c r="P3918" s="651"/>
      <c r="Q3918" s="651"/>
      <c r="R3918" s="651"/>
      <c r="S3918" s="651"/>
    </row>
    <row r="3919" spans="12:19" ht="15.75" customHeight="1" x14ac:dyDescent="0.35">
      <c r="L3919" s="2"/>
      <c r="M3919" s="2"/>
      <c r="N3919" s="650"/>
      <c r="O3919" s="650"/>
      <c r="P3919" s="651"/>
      <c r="Q3919" s="651"/>
      <c r="R3919" s="651"/>
      <c r="S3919" s="651"/>
    </row>
    <row r="3920" spans="12:19" ht="15.75" customHeight="1" x14ac:dyDescent="0.35">
      <c r="L3920" s="2"/>
      <c r="M3920" s="2"/>
      <c r="N3920" s="650"/>
      <c r="O3920" s="650"/>
      <c r="P3920" s="651"/>
      <c r="Q3920" s="651"/>
      <c r="R3920" s="651"/>
      <c r="S3920" s="651"/>
    </row>
    <row r="3921" spans="12:19" ht="15.75" customHeight="1" x14ac:dyDescent="0.35">
      <c r="L3921" s="2"/>
      <c r="M3921" s="2"/>
      <c r="N3921" s="650"/>
      <c r="O3921" s="650"/>
      <c r="P3921" s="651"/>
      <c r="Q3921" s="651"/>
      <c r="R3921" s="651"/>
      <c r="S3921" s="651"/>
    </row>
    <row r="3922" spans="12:19" ht="15.75" customHeight="1" x14ac:dyDescent="0.35">
      <c r="L3922" s="2"/>
      <c r="M3922" s="2"/>
      <c r="N3922" s="650"/>
      <c r="O3922" s="650"/>
      <c r="P3922" s="651"/>
      <c r="Q3922" s="651"/>
      <c r="R3922" s="651"/>
      <c r="S3922" s="651"/>
    </row>
    <row r="3923" spans="12:19" ht="15.75" customHeight="1" x14ac:dyDescent="0.35">
      <c r="L3923" s="2"/>
      <c r="M3923" s="2"/>
      <c r="N3923" s="650"/>
      <c r="O3923" s="650"/>
      <c r="P3923" s="651"/>
      <c r="Q3923" s="651"/>
      <c r="R3923" s="651"/>
      <c r="S3923" s="651"/>
    </row>
    <row r="3924" spans="12:19" ht="15.75" customHeight="1" x14ac:dyDescent="0.35">
      <c r="L3924" s="2"/>
      <c r="M3924" s="2"/>
      <c r="N3924" s="650"/>
      <c r="O3924" s="650"/>
      <c r="P3924" s="651"/>
      <c r="Q3924" s="651"/>
      <c r="R3924" s="651"/>
      <c r="S3924" s="651"/>
    </row>
    <row r="3925" spans="12:19" ht="15.75" customHeight="1" x14ac:dyDescent="0.35">
      <c r="L3925" s="2"/>
      <c r="M3925" s="2"/>
      <c r="N3925" s="650"/>
      <c r="O3925" s="650"/>
      <c r="P3925" s="651"/>
      <c r="Q3925" s="651"/>
      <c r="R3925" s="651"/>
      <c r="S3925" s="651"/>
    </row>
    <row r="3926" spans="12:19" ht="15.75" customHeight="1" x14ac:dyDescent="0.35">
      <c r="L3926" s="2"/>
      <c r="M3926" s="2"/>
      <c r="N3926" s="650"/>
      <c r="O3926" s="650"/>
      <c r="P3926" s="651"/>
      <c r="Q3926" s="651"/>
      <c r="R3926" s="651"/>
      <c r="S3926" s="651"/>
    </row>
    <row r="3927" spans="12:19" ht="15.75" customHeight="1" x14ac:dyDescent="0.35">
      <c r="L3927" s="2"/>
      <c r="M3927" s="2"/>
      <c r="N3927" s="650"/>
      <c r="O3927" s="650"/>
      <c r="P3927" s="651"/>
      <c r="Q3927" s="651"/>
      <c r="R3927" s="651"/>
      <c r="S3927" s="651"/>
    </row>
    <row r="3928" spans="12:19" ht="15.75" customHeight="1" x14ac:dyDescent="0.35">
      <c r="L3928" s="2"/>
      <c r="M3928" s="2"/>
      <c r="N3928" s="650"/>
      <c r="O3928" s="650"/>
      <c r="P3928" s="651"/>
      <c r="Q3928" s="651"/>
      <c r="R3928" s="651"/>
      <c r="S3928" s="651"/>
    </row>
    <row r="3929" spans="12:19" ht="15.75" customHeight="1" x14ac:dyDescent="0.35">
      <c r="L3929" s="2"/>
      <c r="M3929" s="2"/>
      <c r="N3929" s="650"/>
      <c r="O3929" s="650"/>
      <c r="P3929" s="651"/>
      <c r="Q3929" s="651"/>
      <c r="R3929" s="651"/>
      <c r="S3929" s="651"/>
    </row>
    <row r="3930" spans="12:19" ht="15.75" customHeight="1" x14ac:dyDescent="0.35">
      <c r="L3930" s="2"/>
      <c r="M3930" s="2"/>
      <c r="N3930" s="650"/>
      <c r="O3930" s="650"/>
      <c r="P3930" s="651"/>
      <c r="Q3930" s="651"/>
      <c r="R3930" s="651"/>
      <c r="S3930" s="651"/>
    </row>
    <row r="3931" spans="12:19" ht="15.75" customHeight="1" x14ac:dyDescent="0.35">
      <c r="L3931" s="2"/>
      <c r="M3931" s="2"/>
      <c r="N3931" s="650"/>
      <c r="O3931" s="650"/>
      <c r="P3931" s="651"/>
      <c r="Q3931" s="651"/>
      <c r="R3931" s="651"/>
      <c r="S3931" s="651"/>
    </row>
    <row r="3932" spans="12:19" ht="15.75" customHeight="1" x14ac:dyDescent="0.35">
      <c r="L3932" s="2"/>
      <c r="M3932" s="2"/>
      <c r="N3932" s="650"/>
      <c r="O3932" s="650"/>
      <c r="P3932" s="651"/>
      <c r="Q3932" s="651"/>
      <c r="R3932" s="651"/>
      <c r="S3932" s="651"/>
    </row>
    <row r="3933" spans="12:19" ht="15.75" customHeight="1" x14ac:dyDescent="0.35">
      <c r="L3933" s="2"/>
      <c r="M3933" s="2"/>
      <c r="N3933" s="650"/>
      <c r="O3933" s="650"/>
      <c r="P3933" s="651"/>
      <c r="Q3933" s="651"/>
      <c r="R3933" s="651"/>
      <c r="S3933" s="651"/>
    </row>
    <row r="3934" spans="12:19" ht="15.75" customHeight="1" x14ac:dyDescent="0.35">
      <c r="L3934" s="2"/>
      <c r="M3934" s="2"/>
      <c r="N3934" s="650"/>
      <c r="O3934" s="650"/>
      <c r="P3934" s="651"/>
      <c r="Q3934" s="651"/>
      <c r="R3934" s="651"/>
      <c r="S3934" s="651"/>
    </row>
    <row r="3935" spans="12:19" ht="15.75" customHeight="1" x14ac:dyDescent="0.35">
      <c r="L3935" s="2"/>
      <c r="M3935" s="2"/>
      <c r="N3935" s="650"/>
      <c r="O3935" s="650"/>
      <c r="P3935" s="651"/>
      <c r="Q3935" s="651"/>
      <c r="R3935" s="651"/>
      <c r="S3935" s="651"/>
    </row>
    <row r="3936" spans="12:19" ht="15.75" customHeight="1" x14ac:dyDescent="0.35">
      <c r="L3936" s="2"/>
      <c r="M3936" s="2"/>
      <c r="N3936" s="650"/>
      <c r="O3936" s="650"/>
      <c r="P3936" s="651"/>
      <c r="Q3936" s="651"/>
      <c r="R3936" s="651"/>
      <c r="S3936" s="651"/>
    </row>
    <row r="3937" spans="12:19" ht="15.75" customHeight="1" x14ac:dyDescent="0.35">
      <c r="L3937" s="2"/>
      <c r="M3937" s="2"/>
      <c r="N3937" s="650"/>
      <c r="O3937" s="650"/>
      <c r="P3937" s="651"/>
      <c r="Q3937" s="651"/>
      <c r="R3937" s="651"/>
      <c r="S3937" s="651"/>
    </row>
    <row r="3938" spans="12:19" ht="15.75" customHeight="1" x14ac:dyDescent="0.35">
      <c r="L3938" s="2"/>
      <c r="M3938" s="2"/>
      <c r="N3938" s="650"/>
      <c r="O3938" s="650"/>
      <c r="P3938" s="651"/>
      <c r="Q3938" s="651"/>
      <c r="R3938" s="651"/>
      <c r="S3938" s="651"/>
    </row>
    <row r="3939" spans="12:19" ht="15.75" customHeight="1" x14ac:dyDescent="0.35">
      <c r="L3939" s="2"/>
      <c r="M3939" s="2"/>
      <c r="N3939" s="650"/>
      <c r="O3939" s="650"/>
      <c r="P3939" s="651"/>
      <c r="Q3939" s="651"/>
      <c r="R3939" s="651"/>
      <c r="S3939" s="651"/>
    </row>
    <row r="3940" spans="12:19" ht="15.75" customHeight="1" x14ac:dyDescent="0.35">
      <c r="L3940" s="2"/>
      <c r="M3940" s="2"/>
      <c r="N3940" s="650"/>
      <c r="O3940" s="650"/>
      <c r="P3940" s="651"/>
      <c r="Q3940" s="651"/>
      <c r="R3940" s="651"/>
      <c r="S3940" s="651"/>
    </row>
    <row r="3941" spans="12:19" ht="15.75" customHeight="1" x14ac:dyDescent="0.35">
      <c r="L3941" s="2"/>
      <c r="M3941" s="2"/>
      <c r="N3941" s="650"/>
      <c r="O3941" s="650"/>
      <c r="P3941" s="651"/>
      <c r="Q3941" s="651"/>
      <c r="R3941" s="651"/>
      <c r="S3941" s="651"/>
    </row>
    <row r="3942" spans="12:19" ht="15.75" customHeight="1" x14ac:dyDescent="0.35">
      <c r="L3942" s="2"/>
      <c r="M3942" s="2"/>
      <c r="N3942" s="650"/>
      <c r="O3942" s="650"/>
      <c r="P3942" s="651"/>
      <c r="Q3942" s="651"/>
      <c r="R3942" s="651"/>
      <c r="S3942" s="651"/>
    </row>
    <row r="3943" spans="12:19" ht="15.75" customHeight="1" x14ac:dyDescent="0.35">
      <c r="L3943" s="2"/>
      <c r="M3943" s="2"/>
      <c r="N3943" s="650"/>
      <c r="O3943" s="650"/>
      <c r="P3943" s="651"/>
      <c r="Q3943" s="651"/>
      <c r="R3943" s="651"/>
      <c r="S3943" s="651"/>
    </row>
    <row r="3944" spans="12:19" ht="15.75" customHeight="1" x14ac:dyDescent="0.35">
      <c r="L3944" s="2"/>
      <c r="M3944" s="2"/>
      <c r="N3944" s="650"/>
      <c r="O3944" s="650"/>
      <c r="P3944" s="651"/>
      <c r="Q3944" s="651"/>
      <c r="R3944" s="651"/>
      <c r="S3944" s="651"/>
    </row>
    <row r="3945" spans="12:19" ht="15.75" customHeight="1" x14ac:dyDescent="0.35">
      <c r="L3945" s="2"/>
      <c r="M3945" s="2"/>
      <c r="N3945" s="650"/>
      <c r="O3945" s="650"/>
      <c r="P3945" s="651"/>
      <c r="Q3945" s="651"/>
      <c r="R3945" s="651"/>
      <c r="S3945" s="651"/>
    </row>
    <row r="3946" spans="12:19" ht="15.75" customHeight="1" x14ac:dyDescent="0.35">
      <c r="L3946" s="2"/>
      <c r="M3946" s="2"/>
      <c r="N3946" s="650"/>
      <c r="O3946" s="650"/>
      <c r="P3946" s="651"/>
      <c r="Q3946" s="651"/>
      <c r="R3946" s="651"/>
      <c r="S3946" s="651"/>
    </row>
    <row r="3947" spans="12:19" ht="15.75" customHeight="1" x14ac:dyDescent="0.35">
      <c r="L3947" s="2"/>
      <c r="M3947" s="2"/>
      <c r="N3947" s="650"/>
      <c r="O3947" s="650"/>
      <c r="P3947" s="651"/>
      <c r="Q3947" s="651"/>
      <c r="R3947" s="651"/>
      <c r="S3947" s="651"/>
    </row>
    <row r="3948" spans="12:19" ht="15.75" customHeight="1" x14ac:dyDescent="0.35">
      <c r="L3948" s="2"/>
      <c r="M3948" s="2"/>
      <c r="N3948" s="650"/>
      <c r="O3948" s="650"/>
      <c r="P3948" s="651"/>
      <c r="Q3948" s="651"/>
      <c r="R3948" s="651"/>
      <c r="S3948" s="651"/>
    </row>
    <row r="3949" spans="12:19" ht="15.75" customHeight="1" x14ac:dyDescent="0.35">
      <c r="L3949" s="2"/>
      <c r="M3949" s="2"/>
      <c r="N3949" s="650"/>
      <c r="O3949" s="650"/>
      <c r="P3949" s="651"/>
      <c r="Q3949" s="651"/>
      <c r="R3949" s="651"/>
      <c r="S3949" s="651"/>
    </row>
    <row r="3950" spans="12:19" ht="15.75" customHeight="1" x14ac:dyDescent="0.35">
      <c r="L3950" s="2"/>
      <c r="M3950" s="2"/>
      <c r="N3950" s="650"/>
      <c r="O3950" s="650"/>
      <c r="P3950" s="651"/>
      <c r="Q3950" s="651"/>
      <c r="R3950" s="651"/>
      <c r="S3950" s="651"/>
    </row>
    <row r="3951" spans="12:19" ht="15.75" customHeight="1" x14ac:dyDescent="0.35">
      <c r="L3951" s="2"/>
      <c r="M3951" s="2"/>
      <c r="N3951" s="650"/>
      <c r="O3951" s="650"/>
      <c r="P3951" s="651"/>
      <c r="Q3951" s="651"/>
      <c r="R3951" s="651"/>
      <c r="S3951" s="651"/>
    </row>
    <row r="3952" spans="12:19" ht="15.75" customHeight="1" x14ac:dyDescent="0.35">
      <c r="L3952" s="2"/>
      <c r="M3952" s="2"/>
      <c r="N3952" s="650"/>
      <c r="O3952" s="650"/>
      <c r="P3952" s="651"/>
      <c r="Q3952" s="651"/>
      <c r="R3952" s="651"/>
      <c r="S3952" s="651"/>
    </row>
    <row r="3953" spans="12:19" ht="15.75" customHeight="1" x14ac:dyDescent="0.35">
      <c r="L3953" s="2"/>
      <c r="M3953" s="2"/>
      <c r="N3953" s="650"/>
      <c r="O3953" s="650"/>
      <c r="P3953" s="651"/>
      <c r="Q3953" s="651"/>
      <c r="R3953" s="651"/>
      <c r="S3953" s="651"/>
    </row>
    <row r="3954" spans="12:19" ht="15.75" customHeight="1" x14ac:dyDescent="0.35">
      <c r="L3954" s="2"/>
      <c r="M3954" s="2"/>
      <c r="N3954" s="650"/>
      <c r="O3954" s="650"/>
      <c r="P3954" s="651"/>
      <c r="Q3954" s="651"/>
      <c r="R3954" s="651"/>
      <c r="S3954" s="651"/>
    </row>
    <row r="3955" spans="12:19" ht="15.75" customHeight="1" x14ac:dyDescent="0.35">
      <c r="L3955" s="2"/>
      <c r="M3955" s="2"/>
      <c r="N3955" s="650"/>
      <c r="O3955" s="650"/>
      <c r="P3955" s="651"/>
      <c r="Q3955" s="651"/>
      <c r="R3955" s="651"/>
      <c r="S3955" s="651"/>
    </row>
    <row r="3956" spans="12:19" ht="15.75" customHeight="1" x14ac:dyDescent="0.35">
      <c r="L3956" s="2"/>
      <c r="M3956" s="2"/>
      <c r="N3956" s="650"/>
      <c r="O3956" s="650"/>
      <c r="P3956" s="651"/>
      <c r="Q3956" s="651"/>
      <c r="R3956" s="651"/>
      <c r="S3956" s="651"/>
    </row>
    <row r="3957" spans="12:19" ht="15.75" customHeight="1" x14ac:dyDescent="0.35">
      <c r="L3957" s="2"/>
      <c r="M3957" s="2"/>
      <c r="N3957" s="650"/>
      <c r="O3957" s="650"/>
      <c r="P3957" s="651"/>
      <c r="Q3957" s="651"/>
      <c r="R3957" s="651"/>
      <c r="S3957" s="651"/>
    </row>
    <row r="3958" spans="12:19" ht="15.75" customHeight="1" x14ac:dyDescent="0.35">
      <c r="L3958" s="2"/>
      <c r="M3958" s="2"/>
      <c r="N3958" s="650"/>
      <c r="O3958" s="650"/>
      <c r="P3958" s="651"/>
      <c r="Q3958" s="651"/>
      <c r="R3958" s="651"/>
      <c r="S3958" s="651"/>
    </row>
    <row r="3959" spans="12:19" ht="15.75" customHeight="1" x14ac:dyDescent="0.35">
      <c r="L3959" s="2"/>
      <c r="M3959" s="2"/>
      <c r="N3959" s="650"/>
      <c r="O3959" s="650"/>
      <c r="P3959" s="651"/>
      <c r="Q3959" s="651"/>
      <c r="R3959" s="651"/>
      <c r="S3959" s="651"/>
    </row>
    <row r="3960" spans="12:19" ht="15.75" customHeight="1" x14ac:dyDescent="0.35">
      <c r="L3960" s="2"/>
      <c r="M3960" s="2"/>
      <c r="N3960" s="650"/>
      <c r="O3960" s="650"/>
      <c r="P3960" s="651"/>
      <c r="Q3960" s="651"/>
      <c r="R3960" s="651"/>
      <c r="S3960" s="651"/>
    </row>
    <row r="3961" spans="12:19" ht="15.75" customHeight="1" x14ac:dyDescent="0.35">
      <c r="L3961" s="2"/>
      <c r="M3961" s="2"/>
      <c r="N3961" s="650"/>
      <c r="O3961" s="650"/>
      <c r="P3961" s="651"/>
      <c r="Q3961" s="651"/>
      <c r="R3961" s="651"/>
      <c r="S3961" s="651"/>
    </row>
    <row r="3962" spans="12:19" ht="15.75" customHeight="1" x14ac:dyDescent="0.35">
      <c r="L3962" s="2"/>
      <c r="M3962" s="2"/>
      <c r="N3962" s="650"/>
      <c r="O3962" s="650"/>
      <c r="P3962" s="651"/>
      <c r="Q3962" s="651"/>
      <c r="R3962" s="651"/>
      <c r="S3962" s="651"/>
    </row>
    <row r="3963" spans="12:19" ht="15.75" customHeight="1" x14ac:dyDescent="0.35">
      <c r="L3963" s="2"/>
      <c r="M3963" s="2"/>
      <c r="N3963" s="650"/>
      <c r="O3963" s="650"/>
      <c r="P3963" s="651"/>
      <c r="Q3963" s="651"/>
      <c r="R3963" s="651"/>
      <c r="S3963" s="651"/>
    </row>
    <row r="3964" spans="12:19" ht="15.75" customHeight="1" x14ac:dyDescent="0.35">
      <c r="L3964" s="2"/>
      <c r="M3964" s="2"/>
      <c r="N3964" s="650"/>
      <c r="O3964" s="650"/>
      <c r="P3964" s="651"/>
      <c r="Q3964" s="651"/>
      <c r="R3964" s="651"/>
      <c r="S3964" s="651"/>
    </row>
    <row r="3965" spans="12:19" ht="15.75" customHeight="1" x14ac:dyDescent="0.35">
      <c r="L3965" s="2"/>
      <c r="M3965" s="2"/>
      <c r="N3965" s="650"/>
      <c r="O3965" s="650"/>
      <c r="P3965" s="651"/>
      <c r="Q3965" s="651"/>
      <c r="R3965" s="651"/>
      <c r="S3965" s="651"/>
    </row>
    <row r="3966" spans="12:19" ht="15.75" customHeight="1" x14ac:dyDescent="0.35">
      <c r="L3966" s="2"/>
      <c r="M3966" s="2"/>
      <c r="N3966" s="650"/>
      <c r="O3966" s="650"/>
      <c r="P3966" s="651"/>
      <c r="Q3966" s="651"/>
      <c r="R3966" s="651"/>
      <c r="S3966" s="651"/>
    </row>
    <row r="3967" spans="12:19" ht="15.75" customHeight="1" x14ac:dyDescent="0.35">
      <c r="L3967" s="2"/>
      <c r="M3967" s="2"/>
      <c r="N3967" s="650"/>
      <c r="O3967" s="650"/>
      <c r="P3967" s="651"/>
      <c r="Q3967" s="651"/>
      <c r="R3967" s="651"/>
      <c r="S3967" s="651"/>
    </row>
    <row r="3968" spans="12:19" ht="15.75" customHeight="1" x14ac:dyDescent="0.35">
      <c r="L3968" s="2"/>
      <c r="M3968" s="2"/>
      <c r="N3968" s="650"/>
      <c r="O3968" s="650"/>
      <c r="P3968" s="651"/>
      <c r="Q3968" s="651"/>
      <c r="R3968" s="651"/>
      <c r="S3968" s="651"/>
    </row>
    <row r="3969" spans="12:19" ht="15.75" customHeight="1" x14ac:dyDescent="0.35">
      <c r="L3969" s="2"/>
      <c r="M3969" s="2"/>
      <c r="N3969" s="650"/>
      <c r="O3969" s="650"/>
      <c r="P3969" s="651"/>
      <c r="Q3969" s="651"/>
      <c r="R3969" s="651"/>
      <c r="S3969" s="651"/>
    </row>
    <row r="3970" spans="12:19" ht="15.75" customHeight="1" x14ac:dyDescent="0.35">
      <c r="L3970" s="2"/>
      <c r="M3970" s="2"/>
      <c r="N3970" s="650"/>
      <c r="O3970" s="650"/>
      <c r="P3970" s="651"/>
      <c r="Q3970" s="651"/>
      <c r="R3970" s="651"/>
      <c r="S3970" s="651"/>
    </row>
    <row r="3971" spans="12:19" ht="15.75" customHeight="1" x14ac:dyDescent="0.35">
      <c r="L3971" s="2"/>
      <c r="M3971" s="2"/>
      <c r="N3971" s="650"/>
      <c r="O3971" s="650"/>
      <c r="P3971" s="651"/>
      <c r="Q3971" s="651"/>
      <c r="R3971" s="651"/>
      <c r="S3971" s="651"/>
    </row>
    <row r="3972" spans="12:19" ht="15.75" customHeight="1" x14ac:dyDescent="0.35">
      <c r="L3972" s="2"/>
      <c r="M3972" s="2"/>
      <c r="N3972" s="650"/>
      <c r="O3972" s="650"/>
      <c r="P3972" s="651"/>
      <c r="Q3972" s="651"/>
      <c r="R3972" s="651"/>
      <c r="S3972" s="651"/>
    </row>
    <row r="3973" spans="12:19" ht="15.75" customHeight="1" x14ac:dyDescent="0.35">
      <c r="L3973" s="2"/>
      <c r="M3973" s="2"/>
      <c r="N3973" s="650"/>
      <c r="O3973" s="650"/>
      <c r="P3973" s="651"/>
      <c r="Q3973" s="651"/>
      <c r="R3973" s="651"/>
      <c r="S3973" s="651"/>
    </row>
    <row r="3974" spans="12:19" ht="15.75" customHeight="1" x14ac:dyDescent="0.35">
      <c r="L3974" s="2"/>
      <c r="M3974" s="2"/>
      <c r="N3974" s="650"/>
      <c r="O3974" s="650"/>
      <c r="P3974" s="651"/>
      <c r="Q3974" s="651"/>
      <c r="R3974" s="651"/>
      <c r="S3974" s="651"/>
    </row>
    <row r="3975" spans="12:19" ht="15.75" customHeight="1" x14ac:dyDescent="0.35">
      <c r="L3975" s="2"/>
      <c r="M3975" s="2"/>
      <c r="N3975" s="650"/>
      <c r="O3975" s="650"/>
      <c r="P3975" s="651"/>
      <c r="Q3975" s="651"/>
      <c r="R3975" s="651"/>
      <c r="S3975" s="651"/>
    </row>
    <row r="3976" spans="12:19" ht="15.75" customHeight="1" x14ac:dyDescent="0.35">
      <c r="L3976" s="2"/>
      <c r="M3976" s="2"/>
      <c r="N3976" s="650"/>
      <c r="O3976" s="650"/>
      <c r="P3976" s="651"/>
      <c r="Q3976" s="651"/>
      <c r="R3976" s="651"/>
      <c r="S3976" s="651"/>
    </row>
    <row r="3977" spans="12:19" ht="15.75" customHeight="1" x14ac:dyDescent="0.35">
      <c r="L3977" s="2"/>
      <c r="M3977" s="2"/>
      <c r="N3977" s="650"/>
      <c r="O3977" s="650"/>
      <c r="P3977" s="651"/>
      <c r="Q3977" s="651"/>
      <c r="R3977" s="651"/>
      <c r="S3977" s="651"/>
    </row>
    <row r="3978" spans="12:19" ht="15.75" customHeight="1" x14ac:dyDescent="0.35">
      <c r="L3978" s="2"/>
      <c r="M3978" s="2"/>
      <c r="N3978" s="650"/>
      <c r="O3978" s="650"/>
      <c r="P3978" s="651"/>
      <c r="Q3978" s="651"/>
      <c r="R3978" s="651"/>
      <c r="S3978" s="651"/>
    </row>
    <row r="3979" spans="12:19" ht="15.75" customHeight="1" x14ac:dyDescent="0.35">
      <c r="L3979" s="2"/>
      <c r="M3979" s="2"/>
      <c r="N3979" s="650"/>
      <c r="O3979" s="650"/>
      <c r="P3979" s="651"/>
      <c r="Q3979" s="651"/>
      <c r="R3979" s="651"/>
      <c r="S3979" s="651"/>
    </row>
    <row r="3980" spans="12:19" ht="15.75" customHeight="1" x14ac:dyDescent="0.35">
      <c r="L3980" s="2"/>
      <c r="M3980" s="2"/>
      <c r="N3980" s="650"/>
      <c r="O3980" s="650"/>
      <c r="P3980" s="651"/>
      <c r="Q3980" s="651"/>
      <c r="R3980" s="651"/>
      <c r="S3980" s="651"/>
    </row>
    <row r="3981" spans="12:19" ht="15.75" customHeight="1" x14ac:dyDescent="0.35">
      <c r="L3981" s="2"/>
      <c r="M3981" s="2"/>
      <c r="N3981" s="650"/>
      <c r="O3981" s="650"/>
      <c r="P3981" s="651"/>
      <c r="Q3981" s="651"/>
      <c r="R3981" s="651"/>
      <c r="S3981" s="651"/>
    </row>
    <row r="3982" spans="12:19" ht="15.75" customHeight="1" x14ac:dyDescent="0.35">
      <c r="L3982" s="2"/>
      <c r="M3982" s="2"/>
      <c r="N3982" s="650"/>
      <c r="O3982" s="650"/>
      <c r="P3982" s="651"/>
      <c r="Q3982" s="651"/>
      <c r="R3982" s="651"/>
      <c r="S3982" s="651"/>
    </row>
    <row r="3983" spans="12:19" ht="15.75" customHeight="1" x14ac:dyDescent="0.35">
      <c r="L3983" s="2"/>
      <c r="M3983" s="2"/>
      <c r="N3983" s="650"/>
      <c r="O3983" s="650"/>
      <c r="P3983" s="651"/>
      <c r="Q3983" s="651"/>
      <c r="R3983" s="651"/>
      <c r="S3983" s="651"/>
    </row>
    <row r="3984" spans="12:19" ht="15.75" customHeight="1" x14ac:dyDescent="0.35">
      <c r="L3984" s="2"/>
      <c r="M3984" s="2"/>
      <c r="N3984" s="650"/>
      <c r="O3984" s="650"/>
      <c r="P3984" s="651"/>
      <c r="Q3984" s="651"/>
      <c r="R3984" s="651"/>
      <c r="S3984" s="651"/>
    </row>
    <row r="3985" spans="12:19" ht="15.75" customHeight="1" x14ac:dyDescent="0.35">
      <c r="L3985" s="2"/>
      <c r="M3985" s="2"/>
      <c r="N3985" s="650"/>
      <c r="O3985" s="650"/>
      <c r="P3985" s="651"/>
      <c r="Q3985" s="651"/>
      <c r="R3985" s="651"/>
      <c r="S3985" s="651"/>
    </row>
    <row r="3986" spans="12:19" ht="15.75" customHeight="1" x14ac:dyDescent="0.35">
      <c r="L3986" s="2"/>
      <c r="M3986" s="2"/>
      <c r="N3986" s="650"/>
      <c r="O3986" s="650"/>
      <c r="P3986" s="651"/>
      <c r="Q3986" s="651"/>
      <c r="R3986" s="651"/>
      <c r="S3986" s="651"/>
    </row>
    <row r="3987" spans="12:19" ht="15.75" customHeight="1" x14ac:dyDescent="0.35">
      <c r="L3987" s="2"/>
      <c r="M3987" s="2"/>
      <c r="N3987" s="650"/>
      <c r="O3987" s="650"/>
      <c r="P3987" s="651"/>
      <c r="Q3987" s="651"/>
      <c r="R3987" s="651"/>
      <c r="S3987" s="651"/>
    </row>
    <row r="3988" spans="12:19" ht="15.75" customHeight="1" x14ac:dyDescent="0.35">
      <c r="L3988" s="2"/>
      <c r="M3988" s="2"/>
      <c r="N3988" s="650"/>
      <c r="O3988" s="650"/>
      <c r="P3988" s="651"/>
      <c r="Q3988" s="651"/>
      <c r="R3988" s="651"/>
      <c r="S3988" s="651"/>
    </row>
    <row r="3989" spans="12:19" ht="15.75" customHeight="1" x14ac:dyDescent="0.35">
      <c r="L3989" s="2"/>
      <c r="M3989" s="2"/>
      <c r="N3989" s="650"/>
      <c r="O3989" s="650"/>
      <c r="P3989" s="651"/>
      <c r="Q3989" s="651"/>
      <c r="R3989" s="651"/>
      <c r="S3989" s="651"/>
    </row>
    <row r="3990" spans="12:19" ht="15.75" customHeight="1" x14ac:dyDescent="0.35">
      <c r="L3990" s="2"/>
      <c r="M3990" s="2"/>
      <c r="N3990" s="650"/>
      <c r="O3990" s="650"/>
      <c r="P3990" s="651"/>
      <c r="Q3990" s="651"/>
      <c r="R3990" s="651"/>
      <c r="S3990" s="651"/>
    </row>
    <row r="3991" spans="12:19" ht="15.75" customHeight="1" x14ac:dyDescent="0.35">
      <c r="L3991" s="2"/>
      <c r="M3991" s="2"/>
      <c r="N3991" s="650"/>
      <c r="O3991" s="650"/>
      <c r="P3991" s="651"/>
      <c r="Q3991" s="651"/>
      <c r="R3991" s="651"/>
      <c r="S3991" s="651"/>
    </row>
    <row r="3992" spans="12:19" ht="15.75" customHeight="1" x14ac:dyDescent="0.35">
      <c r="L3992" s="2"/>
      <c r="M3992" s="2"/>
      <c r="N3992" s="650"/>
      <c r="O3992" s="650"/>
      <c r="P3992" s="651"/>
      <c r="Q3992" s="651"/>
      <c r="R3992" s="651"/>
      <c r="S3992" s="651"/>
    </row>
    <row r="3993" spans="12:19" ht="15.75" customHeight="1" x14ac:dyDescent="0.35">
      <c r="L3993" s="2"/>
      <c r="M3993" s="2"/>
      <c r="N3993" s="650"/>
      <c r="O3993" s="650"/>
      <c r="P3993" s="651"/>
      <c r="Q3993" s="651"/>
      <c r="R3993" s="651"/>
      <c r="S3993" s="651"/>
    </row>
    <row r="3994" spans="12:19" ht="15.75" customHeight="1" x14ac:dyDescent="0.35">
      <c r="L3994" s="2"/>
      <c r="M3994" s="2"/>
      <c r="N3994" s="650"/>
      <c r="O3994" s="650"/>
      <c r="P3994" s="651"/>
      <c r="Q3994" s="651"/>
      <c r="R3994" s="651"/>
      <c r="S3994" s="651"/>
    </row>
    <row r="3995" spans="12:19" ht="15.75" customHeight="1" x14ac:dyDescent="0.35">
      <c r="L3995" s="2"/>
      <c r="M3995" s="2"/>
      <c r="N3995" s="650"/>
      <c r="O3995" s="650"/>
      <c r="P3995" s="651"/>
      <c r="Q3995" s="651"/>
      <c r="R3995" s="651"/>
      <c r="S3995" s="651"/>
    </row>
    <row r="3996" spans="12:19" ht="15.75" customHeight="1" x14ac:dyDescent="0.35">
      <c r="L3996" s="2"/>
      <c r="M3996" s="2"/>
      <c r="N3996" s="650"/>
      <c r="O3996" s="650"/>
      <c r="P3996" s="651"/>
      <c r="Q3996" s="651"/>
      <c r="R3996" s="651"/>
      <c r="S3996" s="651"/>
    </row>
    <row r="3997" spans="12:19" ht="15.75" customHeight="1" x14ac:dyDescent="0.35">
      <c r="L3997" s="2"/>
      <c r="M3997" s="2"/>
      <c r="N3997" s="650"/>
      <c r="O3997" s="650"/>
      <c r="P3997" s="651"/>
      <c r="Q3997" s="651"/>
      <c r="R3997" s="651"/>
      <c r="S3997" s="651"/>
    </row>
    <row r="3998" spans="12:19" ht="15.75" customHeight="1" x14ac:dyDescent="0.35">
      <c r="L3998" s="2"/>
      <c r="M3998" s="2"/>
      <c r="N3998" s="650"/>
      <c r="O3998" s="650"/>
      <c r="P3998" s="651"/>
      <c r="Q3998" s="651"/>
      <c r="R3998" s="651"/>
      <c r="S3998" s="651"/>
    </row>
    <row r="3999" spans="12:19" ht="15.75" customHeight="1" x14ac:dyDescent="0.35">
      <c r="L3999" s="2"/>
      <c r="M3999" s="2"/>
      <c r="N3999" s="650"/>
      <c r="O3999" s="650"/>
      <c r="P3999" s="651"/>
      <c r="Q3999" s="651"/>
      <c r="R3999" s="651"/>
      <c r="S3999" s="651"/>
    </row>
    <row r="4000" spans="12:19" ht="15.75" customHeight="1" x14ac:dyDescent="0.35">
      <c r="L4000" s="2"/>
      <c r="M4000" s="2"/>
      <c r="N4000" s="650"/>
      <c r="O4000" s="650"/>
      <c r="P4000" s="651"/>
      <c r="Q4000" s="651"/>
      <c r="R4000" s="651"/>
      <c r="S4000" s="651"/>
    </row>
    <row r="4001" spans="12:19" ht="15.75" customHeight="1" x14ac:dyDescent="0.35">
      <c r="L4001" s="2"/>
      <c r="M4001" s="2"/>
      <c r="N4001" s="650"/>
      <c r="O4001" s="650"/>
      <c r="P4001" s="651"/>
      <c r="Q4001" s="651"/>
      <c r="R4001" s="651"/>
      <c r="S4001" s="651"/>
    </row>
    <row r="4002" spans="12:19" ht="15.75" customHeight="1" x14ac:dyDescent="0.35">
      <c r="L4002" s="2"/>
      <c r="M4002" s="2"/>
      <c r="N4002" s="650"/>
      <c r="O4002" s="650"/>
      <c r="P4002" s="651"/>
      <c r="Q4002" s="651"/>
      <c r="R4002" s="651"/>
      <c r="S4002" s="651"/>
    </row>
    <row r="4003" spans="12:19" ht="15.75" customHeight="1" x14ac:dyDescent="0.35">
      <c r="L4003" s="2"/>
      <c r="M4003" s="2"/>
      <c r="N4003" s="650"/>
      <c r="O4003" s="650"/>
      <c r="P4003" s="651"/>
      <c r="Q4003" s="651"/>
      <c r="R4003" s="651"/>
      <c r="S4003" s="651"/>
    </row>
    <row r="4004" spans="12:19" ht="15.75" customHeight="1" x14ac:dyDescent="0.35">
      <c r="L4004" s="2"/>
      <c r="M4004" s="2"/>
      <c r="N4004" s="650"/>
      <c r="O4004" s="650"/>
      <c r="P4004" s="651"/>
      <c r="Q4004" s="651"/>
      <c r="R4004" s="651"/>
      <c r="S4004" s="651"/>
    </row>
    <row r="4005" spans="12:19" ht="15.75" customHeight="1" x14ac:dyDescent="0.35">
      <c r="L4005" s="2"/>
      <c r="M4005" s="2"/>
      <c r="N4005" s="650"/>
      <c r="O4005" s="650"/>
      <c r="P4005" s="651"/>
      <c r="Q4005" s="651"/>
      <c r="R4005" s="651"/>
      <c r="S4005" s="651"/>
    </row>
    <row r="4006" spans="12:19" ht="15.75" customHeight="1" x14ac:dyDescent="0.35">
      <c r="L4006" s="2"/>
      <c r="M4006" s="2"/>
      <c r="N4006" s="650"/>
      <c r="O4006" s="650"/>
      <c r="P4006" s="651"/>
      <c r="Q4006" s="651"/>
      <c r="R4006" s="651"/>
      <c r="S4006" s="651"/>
    </row>
    <row r="4007" spans="12:19" ht="15.75" customHeight="1" x14ac:dyDescent="0.35">
      <c r="L4007" s="2"/>
      <c r="M4007" s="2"/>
      <c r="N4007" s="650"/>
      <c r="O4007" s="650"/>
      <c r="P4007" s="651"/>
      <c r="Q4007" s="651"/>
      <c r="R4007" s="651"/>
      <c r="S4007" s="651"/>
    </row>
    <row r="4008" spans="12:19" ht="15.75" customHeight="1" x14ac:dyDescent="0.35">
      <c r="L4008" s="2"/>
      <c r="M4008" s="2"/>
      <c r="N4008" s="650"/>
      <c r="O4008" s="650"/>
      <c r="P4008" s="651"/>
      <c r="Q4008" s="651"/>
      <c r="R4008" s="651"/>
      <c r="S4008" s="651"/>
    </row>
    <row r="4009" spans="12:19" ht="15.75" customHeight="1" x14ac:dyDescent="0.35">
      <c r="L4009" s="2"/>
      <c r="M4009" s="2"/>
      <c r="N4009" s="650"/>
      <c r="O4009" s="650"/>
      <c r="P4009" s="651"/>
      <c r="Q4009" s="651"/>
      <c r="R4009" s="651"/>
      <c r="S4009" s="651"/>
    </row>
    <row r="4010" spans="12:19" ht="15.75" customHeight="1" x14ac:dyDescent="0.35">
      <c r="L4010" s="2"/>
      <c r="M4010" s="2"/>
      <c r="N4010" s="650"/>
      <c r="O4010" s="650"/>
      <c r="P4010" s="651"/>
      <c r="Q4010" s="651"/>
      <c r="R4010" s="651"/>
      <c r="S4010" s="651"/>
    </row>
    <row r="4011" spans="12:19" ht="15.75" customHeight="1" x14ac:dyDescent="0.35">
      <c r="L4011" s="2"/>
      <c r="M4011" s="2"/>
      <c r="N4011" s="650"/>
      <c r="O4011" s="650"/>
      <c r="P4011" s="651"/>
      <c r="Q4011" s="651"/>
      <c r="R4011" s="651"/>
      <c r="S4011" s="651"/>
    </row>
    <row r="4012" spans="12:19" ht="15.75" customHeight="1" x14ac:dyDescent="0.35">
      <c r="L4012" s="2"/>
      <c r="M4012" s="2"/>
      <c r="N4012" s="650"/>
      <c r="O4012" s="650"/>
      <c r="P4012" s="651"/>
      <c r="Q4012" s="651"/>
      <c r="R4012" s="651"/>
      <c r="S4012" s="651"/>
    </row>
    <row r="4013" spans="12:19" ht="15.75" customHeight="1" x14ac:dyDescent="0.35">
      <c r="L4013" s="2"/>
      <c r="M4013" s="2"/>
      <c r="N4013" s="650"/>
      <c r="O4013" s="650"/>
      <c r="P4013" s="651"/>
      <c r="Q4013" s="651"/>
      <c r="R4013" s="651"/>
      <c r="S4013" s="651"/>
    </row>
    <row r="4014" spans="12:19" ht="15.75" customHeight="1" x14ac:dyDescent="0.35">
      <c r="L4014" s="2"/>
      <c r="M4014" s="2"/>
      <c r="N4014" s="650"/>
      <c r="O4014" s="650"/>
      <c r="P4014" s="651"/>
      <c r="Q4014" s="651"/>
      <c r="R4014" s="651"/>
      <c r="S4014" s="651"/>
    </row>
    <row r="4015" spans="12:19" ht="15.75" customHeight="1" x14ac:dyDescent="0.35">
      <c r="L4015" s="2"/>
      <c r="M4015" s="2"/>
      <c r="N4015" s="650"/>
      <c r="O4015" s="650"/>
      <c r="P4015" s="651"/>
      <c r="Q4015" s="651"/>
      <c r="R4015" s="651"/>
      <c r="S4015" s="651"/>
    </row>
    <row r="4016" spans="12:19" ht="15.75" customHeight="1" x14ac:dyDescent="0.35">
      <c r="L4016" s="2"/>
      <c r="M4016" s="2"/>
      <c r="N4016" s="650"/>
      <c r="O4016" s="650"/>
      <c r="P4016" s="651"/>
      <c r="Q4016" s="651"/>
      <c r="R4016" s="651"/>
      <c r="S4016" s="651"/>
    </row>
    <row r="4017" spans="12:19" ht="15.75" customHeight="1" x14ac:dyDescent="0.35">
      <c r="L4017" s="2"/>
      <c r="M4017" s="2"/>
      <c r="N4017" s="650"/>
      <c r="O4017" s="650"/>
      <c r="P4017" s="651"/>
      <c r="Q4017" s="651"/>
      <c r="R4017" s="651"/>
      <c r="S4017" s="651"/>
    </row>
    <row r="4018" spans="12:19" ht="15.75" customHeight="1" x14ac:dyDescent="0.35">
      <c r="L4018" s="2"/>
      <c r="M4018" s="2"/>
      <c r="N4018" s="650"/>
      <c r="O4018" s="650"/>
      <c r="P4018" s="651"/>
      <c r="Q4018" s="651"/>
      <c r="R4018" s="651"/>
      <c r="S4018" s="651"/>
    </row>
    <row r="4019" spans="12:19" ht="15.75" customHeight="1" x14ac:dyDescent="0.35">
      <c r="L4019" s="2"/>
      <c r="M4019" s="2"/>
      <c r="N4019" s="650"/>
      <c r="O4019" s="650"/>
      <c r="P4019" s="651"/>
      <c r="Q4019" s="651"/>
      <c r="R4019" s="651"/>
      <c r="S4019" s="651"/>
    </row>
    <row r="4020" spans="12:19" ht="15.75" customHeight="1" x14ac:dyDescent="0.35">
      <c r="L4020" s="2"/>
      <c r="M4020" s="2"/>
      <c r="N4020" s="650"/>
      <c r="O4020" s="650"/>
      <c r="P4020" s="651"/>
      <c r="Q4020" s="651"/>
      <c r="R4020" s="651"/>
      <c r="S4020" s="651"/>
    </row>
    <row r="4021" spans="12:19" ht="15.75" customHeight="1" x14ac:dyDescent="0.35">
      <c r="L4021" s="2"/>
      <c r="M4021" s="2"/>
      <c r="N4021" s="650"/>
      <c r="O4021" s="650"/>
      <c r="P4021" s="651"/>
      <c r="Q4021" s="651"/>
      <c r="R4021" s="651"/>
      <c r="S4021" s="651"/>
    </row>
    <row r="4022" spans="12:19" ht="15.75" customHeight="1" x14ac:dyDescent="0.35">
      <c r="L4022" s="2"/>
      <c r="M4022" s="2"/>
      <c r="N4022" s="650"/>
      <c r="O4022" s="650"/>
      <c r="P4022" s="651"/>
      <c r="Q4022" s="651"/>
      <c r="R4022" s="651"/>
      <c r="S4022" s="651"/>
    </row>
    <row r="4023" spans="12:19" ht="15.75" customHeight="1" x14ac:dyDescent="0.35">
      <c r="L4023" s="2"/>
      <c r="M4023" s="2"/>
      <c r="N4023" s="650"/>
      <c r="O4023" s="650"/>
      <c r="P4023" s="651"/>
      <c r="Q4023" s="651"/>
      <c r="R4023" s="651"/>
      <c r="S4023" s="651"/>
    </row>
    <row r="4024" spans="12:19" ht="15.75" customHeight="1" x14ac:dyDescent="0.35">
      <c r="L4024" s="2"/>
      <c r="M4024" s="2"/>
      <c r="N4024" s="650"/>
      <c r="O4024" s="650"/>
      <c r="P4024" s="651"/>
      <c r="Q4024" s="651"/>
      <c r="R4024" s="651"/>
      <c r="S4024" s="651"/>
    </row>
    <row r="4025" spans="12:19" ht="15.75" customHeight="1" x14ac:dyDescent="0.35">
      <c r="L4025" s="2"/>
      <c r="M4025" s="2"/>
      <c r="N4025" s="650"/>
      <c r="O4025" s="650"/>
      <c r="P4025" s="651"/>
      <c r="Q4025" s="651"/>
      <c r="R4025" s="651"/>
      <c r="S4025" s="651"/>
    </row>
    <row r="4026" spans="12:19" ht="15.75" customHeight="1" x14ac:dyDescent="0.35">
      <c r="L4026" s="2"/>
      <c r="M4026" s="2"/>
      <c r="N4026" s="650"/>
      <c r="O4026" s="650"/>
      <c r="P4026" s="651"/>
      <c r="Q4026" s="651"/>
      <c r="R4026" s="651"/>
      <c r="S4026" s="651"/>
    </row>
    <row r="4027" spans="12:19" ht="15.75" customHeight="1" x14ac:dyDescent="0.35">
      <c r="L4027" s="2"/>
      <c r="M4027" s="2"/>
      <c r="N4027" s="650"/>
      <c r="O4027" s="650"/>
      <c r="P4027" s="651"/>
      <c r="Q4027" s="651"/>
      <c r="R4027" s="651"/>
      <c r="S4027" s="651"/>
    </row>
    <row r="4028" spans="12:19" ht="15.75" customHeight="1" x14ac:dyDescent="0.35">
      <c r="L4028" s="2"/>
      <c r="M4028" s="2"/>
      <c r="N4028" s="650"/>
      <c r="O4028" s="650"/>
      <c r="P4028" s="651"/>
      <c r="Q4028" s="651"/>
      <c r="R4028" s="651"/>
      <c r="S4028" s="651"/>
    </row>
    <row r="4029" spans="12:19" ht="15.75" customHeight="1" x14ac:dyDescent="0.35">
      <c r="L4029" s="2"/>
      <c r="M4029" s="2"/>
      <c r="N4029" s="650"/>
      <c r="O4029" s="650"/>
      <c r="P4029" s="651"/>
      <c r="Q4029" s="651"/>
      <c r="R4029" s="651"/>
      <c r="S4029" s="651"/>
    </row>
    <row r="4030" spans="12:19" ht="15.75" customHeight="1" x14ac:dyDescent="0.35">
      <c r="L4030" s="2"/>
      <c r="M4030" s="2"/>
      <c r="N4030" s="650"/>
      <c r="O4030" s="650"/>
      <c r="P4030" s="651"/>
      <c r="Q4030" s="651"/>
      <c r="R4030" s="651"/>
      <c r="S4030" s="651"/>
    </row>
    <row r="4031" spans="12:19" ht="15.75" customHeight="1" x14ac:dyDescent="0.35">
      <c r="L4031" s="2"/>
      <c r="M4031" s="2"/>
      <c r="N4031" s="650"/>
      <c r="O4031" s="650"/>
      <c r="P4031" s="651"/>
      <c r="Q4031" s="651"/>
      <c r="R4031" s="651"/>
      <c r="S4031" s="651"/>
    </row>
    <row r="4032" spans="12:19" ht="15.75" customHeight="1" x14ac:dyDescent="0.35">
      <c r="L4032" s="2"/>
      <c r="M4032" s="2"/>
      <c r="N4032" s="650"/>
      <c r="O4032" s="650"/>
      <c r="P4032" s="651"/>
      <c r="Q4032" s="651"/>
      <c r="R4032" s="651"/>
      <c r="S4032" s="651"/>
    </row>
    <row r="4033" spans="12:19" ht="15.75" customHeight="1" x14ac:dyDescent="0.35">
      <c r="L4033" s="2"/>
      <c r="M4033" s="2"/>
      <c r="N4033" s="650"/>
      <c r="O4033" s="650"/>
      <c r="P4033" s="651"/>
      <c r="Q4033" s="651"/>
      <c r="R4033" s="651"/>
      <c r="S4033" s="651"/>
    </row>
    <row r="4034" spans="12:19" ht="15.75" customHeight="1" x14ac:dyDescent="0.35">
      <c r="L4034" s="2"/>
      <c r="M4034" s="2"/>
      <c r="N4034" s="650"/>
      <c r="O4034" s="650"/>
      <c r="P4034" s="651"/>
      <c r="Q4034" s="651"/>
      <c r="R4034" s="651"/>
      <c r="S4034" s="651"/>
    </row>
    <row r="4035" spans="12:19" ht="15.75" customHeight="1" x14ac:dyDescent="0.35">
      <c r="L4035" s="2"/>
      <c r="M4035" s="2"/>
      <c r="N4035" s="650"/>
      <c r="O4035" s="650"/>
      <c r="P4035" s="651"/>
      <c r="Q4035" s="651"/>
      <c r="R4035" s="651"/>
      <c r="S4035" s="651"/>
    </row>
    <row r="4036" spans="12:19" ht="15.75" customHeight="1" x14ac:dyDescent="0.35">
      <c r="L4036" s="2"/>
      <c r="M4036" s="2"/>
      <c r="N4036" s="650"/>
      <c r="O4036" s="650"/>
      <c r="P4036" s="651"/>
      <c r="Q4036" s="651"/>
      <c r="R4036" s="651"/>
      <c r="S4036" s="651"/>
    </row>
    <row r="4037" spans="12:19" ht="15.75" customHeight="1" x14ac:dyDescent="0.35">
      <c r="L4037" s="2"/>
      <c r="M4037" s="2"/>
      <c r="N4037" s="650"/>
      <c r="O4037" s="650"/>
      <c r="P4037" s="651"/>
      <c r="Q4037" s="651"/>
      <c r="R4037" s="651"/>
      <c r="S4037" s="651"/>
    </row>
    <row r="4038" spans="12:19" ht="15.75" customHeight="1" x14ac:dyDescent="0.35">
      <c r="L4038" s="2"/>
      <c r="M4038" s="2"/>
      <c r="N4038" s="650"/>
      <c r="O4038" s="650"/>
      <c r="P4038" s="651"/>
      <c r="Q4038" s="651"/>
      <c r="R4038" s="651"/>
      <c r="S4038" s="651"/>
    </row>
    <row r="4039" spans="12:19" ht="15.75" customHeight="1" x14ac:dyDescent="0.35">
      <c r="L4039" s="2"/>
      <c r="M4039" s="2"/>
      <c r="N4039" s="650"/>
      <c r="O4039" s="650"/>
      <c r="P4039" s="651"/>
      <c r="Q4039" s="651"/>
      <c r="R4039" s="651"/>
      <c r="S4039" s="651"/>
    </row>
    <row r="4040" spans="12:19" ht="15.75" customHeight="1" x14ac:dyDescent="0.35">
      <c r="L4040" s="2"/>
      <c r="M4040" s="2"/>
      <c r="N4040" s="650"/>
      <c r="O4040" s="650"/>
      <c r="P4040" s="651"/>
      <c r="Q4040" s="651"/>
      <c r="R4040" s="651"/>
      <c r="S4040" s="651"/>
    </row>
    <row r="4041" spans="12:19" ht="15.75" customHeight="1" x14ac:dyDescent="0.35">
      <c r="L4041" s="2"/>
      <c r="M4041" s="2"/>
      <c r="N4041" s="650"/>
      <c r="O4041" s="650"/>
      <c r="P4041" s="651"/>
      <c r="Q4041" s="651"/>
      <c r="R4041" s="651"/>
      <c r="S4041" s="651"/>
    </row>
    <row r="4042" spans="12:19" ht="15.75" customHeight="1" x14ac:dyDescent="0.35">
      <c r="L4042" s="2"/>
      <c r="M4042" s="2"/>
      <c r="N4042" s="650"/>
      <c r="O4042" s="650"/>
      <c r="P4042" s="651"/>
      <c r="Q4042" s="651"/>
      <c r="R4042" s="651"/>
      <c r="S4042" s="651"/>
    </row>
    <row r="4043" spans="12:19" ht="15.75" customHeight="1" x14ac:dyDescent="0.35">
      <c r="L4043" s="2"/>
      <c r="M4043" s="2"/>
      <c r="N4043" s="650"/>
      <c r="O4043" s="650"/>
      <c r="P4043" s="651"/>
      <c r="Q4043" s="651"/>
      <c r="R4043" s="651"/>
      <c r="S4043" s="651"/>
    </row>
    <row r="4044" spans="12:19" ht="15.75" customHeight="1" x14ac:dyDescent="0.35">
      <c r="L4044" s="2"/>
      <c r="M4044" s="2"/>
      <c r="N4044" s="650"/>
      <c r="O4044" s="650"/>
      <c r="P4044" s="651"/>
      <c r="Q4044" s="651"/>
      <c r="R4044" s="651"/>
      <c r="S4044" s="651"/>
    </row>
    <row r="4045" spans="12:19" ht="15.75" customHeight="1" x14ac:dyDescent="0.35">
      <c r="L4045" s="2"/>
      <c r="M4045" s="2"/>
      <c r="N4045" s="650"/>
      <c r="O4045" s="650"/>
      <c r="P4045" s="651"/>
      <c r="Q4045" s="651"/>
      <c r="R4045" s="651"/>
      <c r="S4045" s="651"/>
    </row>
    <row r="4046" spans="12:19" ht="15.75" customHeight="1" x14ac:dyDescent="0.35">
      <c r="L4046" s="2"/>
      <c r="M4046" s="2"/>
      <c r="N4046" s="650"/>
      <c r="O4046" s="650"/>
      <c r="P4046" s="651"/>
      <c r="Q4046" s="651"/>
      <c r="R4046" s="651"/>
      <c r="S4046" s="651"/>
    </row>
    <row r="4047" spans="12:19" ht="15.75" customHeight="1" x14ac:dyDescent="0.35">
      <c r="L4047" s="2"/>
      <c r="M4047" s="2"/>
      <c r="N4047" s="650"/>
      <c r="O4047" s="650"/>
      <c r="P4047" s="651"/>
      <c r="Q4047" s="651"/>
      <c r="R4047" s="651"/>
      <c r="S4047" s="651"/>
    </row>
    <row r="4048" spans="12:19" ht="15.75" customHeight="1" x14ac:dyDescent="0.35">
      <c r="L4048" s="2"/>
      <c r="M4048" s="2"/>
      <c r="N4048" s="650"/>
      <c r="O4048" s="650"/>
      <c r="P4048" s="651"/>
      <c r="Q4048" s="651"/>
      <c r="R4048" s="651"/>
      <c r="S4048" s="651"/>
    </row>
    <row r="4049" spans="12:19" ht="15.75" customHeight="1" x14ac:dyDescent="0.35">
      <c r="L4049" s="2"/>
      <c r="M4049" s="2"/>
      <c r="N4049" s="650"/>
      <c r="O4049" s="650"/>
      <c r="P4049" s="651"/>
      <c r="Q4049" s="651"/>
      <c r="R4049" s="651"/>
      <c r="S4049" s="651"/>
    </row>
    <row r="4050" spans="12:19" ht="15.75" customHeight="1" x14ac:dyDescent="0.35">
      <c r="L4050" s="2"/>
      <c r="M4050" s="2"/>
      <c r="N4050" s="650"/>
      <c r="O4050" s="650"/>
      <c r="P4050" s="651"/>
      <c r="Q4050" s="651"/>
      <c r="R4050" s="651"/>
      <c r="S4050" s="651"/>
    </row>
    <row r="4051" spans="12:19" ht="15.75" customHeight="1" x14ac:dyDescent="0.35">
      <c r="L4051" s="2"/>
      <c r="M4051" s="2"/>
      <c r="N4051" s="650"/>
      <c r="O4051" s="650"/>
      <c r="P4051" s="651"/>
      <c r="Q4051" s="651"/>
      <c r="R4051" s="651"/>
      <c r="S4051" s="651"/>
    </row>
    <row r="4052" spans="12:19" ht="15.75" customHeight="1" x14ac:dyDescent="0.35">
      <c r="L4052" s="2"/>
      <c r="M4052" s="2"/>
      <c r="N4052" s="650"/>
      <c r="O4052" s="650"/>
      <c r="P4052" s="651"/>
      <c r="Q4052" s="651"/>
      <c r="R4052" s="651"/>
      <c r="S4052" s="651"/>
    </row>
    <row r="4053" spans="12:19" ht="15.75" customHeight="1" x14ac:dyDescent="0.35">
      <c r="L4053" s="2"/>
      <c r="M4053" s="2"/>
      <c r="N4053" s="650"/>
      <c r="O4053" s="650"/>
      <c r="P4053" s="651"/>
      <c r="Q4053" s="651"/>
      <c r="R4053" s="651"/>
      <c r="S4053" s="651"/>
    </row>
    <row r="4054" spans="12:19" ht="15.75" customHeight="1" x14ac:dyDescent="0.35">
      <c r="L4054" s="2"/>
      <c r="M4054" s="2"/>
      <c r="N4054" s="650"/>
      <c r="O4054" s="650"/>
      <c r="P4054" s="651"/>
      <c r="Q4054" s="651"/>
      <c r="R4054" s="651"/>
      <c r="S4054" s="651"/>
    </row>
    <row r="4055" spans="12:19" ht="15.75" customHeight="1" x14ac:dyDescent="0.35">
      <c r="L4055" s="2"/>
      <c r="M4055" s="2"/>
      <c r="N4055" s="650"/>
      <c r="O4055" s="650"/>
      <c r="P4055" s="651"/>
      <c r="Q4055" s="651"/>
      <c r="R4055" s="651"/>
      <c r="S4055" s="651"/>
    </row>
    <row r="4056" spans="12:19" ht="15.75" customHeight="1" x14ac:dyDescent="0.35">
      <c r="L4056" s="2"/>
      <c r="M4056" s="2"/>
      <c r="N4056" s="650"/>
      <c r="O4056" s="650"/>
      <c r="P4056" s="651"/>
      <c r="Q4056" s="651"/>
      <c r="R4056" s="651"/>
      <c r="S4056" s="651"/>
    </row>
    <row r="4057" spans="12:19" ht="15.75" customHeight="1" x14ac:dyDescent="0.35">
      <c r="L4057" s="2"/>
      <c r="M4057" s="2"/>
      <c r="N4057" s="650"/>
      <c r="O4057" s="650"/>
      <c r="P4057" s="651"/>
      <c r="Q4057" s="651"/>
      <c r="R4057" s="651"/>
      <c r="S4057" s="651"/>
    </row>
    <row r="4058" spans="12:19" ht="15.75" customHeight="1" x14ac:dyDescent="0.35">
      <c r="L4058" s="2"/>
      <c r="M4058" s="2"/>
      <c r="N4058" s="650"/>
      <c r="O4058" s="650"/>
      <c r="P4058" s="651"/>
      <c r="Q4058" s="651"/>
      <c r="R4058" s="651"/>
      <c r="S4058" s="651"/>
    </row>
    <row r="4059" spans="12:19" ht="15.75" customHeight="1" x14ac:dyDescent="0.35">
      <c r="L4059" s="2"/>
      <c r="M4059" s="2"/>
      <c r="N4059" s="650"/>
      <c r="O4059" s="650"/>
      <c r="P4059" s="651"/>
      <c r="Q4059" s="651"/>
      <c r="R4059" s="651"/>
      <c r="S4059" s="651"/>
    </row>
    <row r="4060" spans="12:19" ht="15.75" customHeight="1" x14ac:dyDescent="0.35">
      <c r="L4060" s="2"/>
      <c r="M4060" s="2"/>
      <c r="N4060" s="650"/>
      <c r="O4060" s="650"/>
      <c r="P4060" s="651"/>
      <c r="Q4060" s="651"/>
      <c r="R4060" s="651"/>
      <c r="S4060" s="651"/>
    </row>
    <row r="4061" spans="12:19" ht="15.75" customHeight="1" x14ac:dyDescent="0.35">
      <c r="L4061" s="2"/>
      <c r="M4061" s="2"/>
      <c r="N4061" s="650"/>
      <c r="O4061" s="650"/>
      <c r="P4061" s="651"/>
      <c r="Q4061" s="651"/>
      <c r="R4061" s="651"/>
      <c r="S4061" s="651"/>
    </row>
    <row r="4062" spans="12:19" ht="15.75" customHeight="1" x14ac:dyDescent="0.35">
      <c r="L4062" s="2"/>
      <c r="M4062" s="2"/>
      <c r="N4062" s="650"/>
      <c r="O4062" s="650"/>
      <c r="P4062" s="651"/>
      <c r="Q4062" s="651"/>
      <c r="R4062" s="651"/>
      <c r="S4062" s="651"/>
    </row>
    <row r="4063" spans="12:19" ht="15.75" customHeight="1" x14ac:dyDescent="0.35">
      <c r="L4063" s="2"/>
      <c r="M4063" s="2"/>
      <c r="N4063" s="650"/>
      <c r="O4063" s="650"/>
      <c r="P4063" s="651"/>
      <c r="Q4063" s="651"/>
      <c r="R4063" s="651"/>
      <c r="S4063" s="651"/>
    </row>
    <row r="4064" spans="12:19" ht="15.75" customHeight="1" x14ac:dyDescent="0.35">
      <c r="L4064" s="2"/>
      <c r="M4064" s="2"/>
      <c r="N4064" s="650"/>
      <c r="O4064" s="650"/>
      <c r="P4064" s="651"/>
      <c r="Q4064" s="651"/>
      <c r="R4064" s="651"/>
      <c r="S4064" s="651"/>
    </row>
    <row r="4065" spans="12:19" ht="15.75" customHeight="1" x14ac:dyDescent="0.35">
      <c r="L4065" s="2"/>
      <c r="M4065" s="2"/>
      <c r="N4065" s="650"/>
      <c r="O4065" s="650"/>
      <c r="P4065" s="651"/>
      <c r="Q4065" s="651"/>
      <c r="R4065" s="651"/>
      <c r="S4065" s="651"/>
    </row>
    <row r="4066" spans="12:19" ht="15.75" customHeight="1" x14ac:dyDescent="0.35">
      <c r="L4066" s="2"/>
      <c r="M4066" s="2"/>
      <c r="N4066" s="650"/>
      <c r="O4066" s="650"/>
      <c r="P4066" s="651"/>
      <c r="Q4066" s="651"/>
      <c r="R4066" s="651"/>
      <c r="S4066" s="651"/>
    </row>
    <row r="4067" spans="12:19" ht="15.75" customHeight="1" x14ac:dyDescent="0.35">
      <c r="L4067" s="2"/>
      <c r="M4067" s="2"/>
      <c r="N4067" s="650"/>
      <c r="O4067" s="650"/>
      <c r="P4067" s="651"/>
      <c r="Q4067" s="651"/>
      <c r="R4067" s="651"/>
      <c r="S4067" s="651"/>
    </row>
    <row r="4068" spans="12:19" ht="15.75" customHeight="1" x14ac:dyDescent="0.35">
      <c r="L4068" s="2"/>
      <c r="M4068" s="2"/>
      <c r="N4068" s="650"/>
      <c r="O4068" s="650"/>
      <c r="P4068" s="651"/>
      <c r="Q4068" s="651"/>
      <c r="R4068" s="651"/>
      <c r="S4068" s="651"/>
    </row>
    <row r="4069" spans="12:19" ht="15.75" customHeight="1" x14ac:dyDescent="0.35">
      <c r="L4069" s="2"/>
      <c r="M4069" s="2"/>
      <c r="N4069" s="650"/>
      <c r="O4069" s="650"/>
      <c r="P4069" s="651"/>
      <c r="Q4069" s="651"/>
      <c r="R4069" s="651"/>
      <c r="S4069" s="651"/>
    </row>
    <row r="4070" spans="12:19" ht="15.75" customHeight="1" x14ac:dyDescent="0.35">
      <c r="L4070" s="2"/>
      <c r="M4070" s="2"/>
      <c r="N4070" s="650"/>
      <c r="O4070" s="650"/>
      <c r="P4070" s="651"/>
      <c r="Q4070" s="651"/>
      <c r="R4070" s="651"/>
      <c r="S4070" s="651"/>
    </row>
    <row r="4071" spans="12:19" ht="15.75" customHeight="1" x14ac:dyDescent="0.35">
      <c r="L4071" s="2"/>
      <c r="M4071" s="2"/>
      <c r="N4071" s="650"/>
      <c r="O4071" s="650"/>
      <c r="P4071" s="651"/>
      <c r="Q4071" s="651"/>
      <c r="R4071" s="651"/>
      <c r="S4071" s="651"/>
    </row>
    <row r="4072" spans="12:19" ht="15.75" customHeight="1" x14ac:dyDescent="0.35">
      <c r="L4072" s="2"/>
      <c r="M4072" s="2"/>
      <c r="N4072" s="650"/>
      <c r="O4072" s="650"/>
      <c r="P4072" s="651"/>
      <c r="Q4072" s="651"/>
      <c r="R4072" s="651"/>
      <c r="S4072" s="651"/>
    </row>
    <row r="4073" spans="12:19" ht="15.75" customHeight="1" x14ac:dyDescent="0.35">
      <c r="L4073" s="2"/>
      <c r="M4073" s="2"/>
      <c r="N4073" s="650"/>
      <c r="O4073" s="650"/>
      <c r="P4073" s="651"/>
      <c r="Q4073" s="651"/>
      <c r="R4073" s="651"/>
      <c r="S4073" s="651"/>
    </row>
    <row r="4074" spans="12:19" ht="15.75" customHeight="1" x14ac:dyDescent="0.35">
      <c r="L4074" s="2"/>
      <c r="M4074" s="2"/>
      <c r="N4074" s="650"/>
      <c r="O4074" s="650"/>
      <c r="P4074" s="651"/>
      <c r="Q4074" s="651"/>
      <c r="R4074" s="651"/>
      <c r="S4074" s="651"/>
    </row>
    <row r="4075" spans="12:19" ht="15.75" customHeight="1" x14ac:dyDescent="0.35">
      <c r="L4075" s="2"/>
      <c r="M4075" s="2"/>
      <c r="N4075" s="650"/>
      <c r="O4075" s="650"/>
      <c r="P4075" s="651"/>
      <c r="Q4075" s="651"/>
      <c r="R4075" s="651"/>
      <c r="S4075" s="651"/>
    </row>
    <row r="4076" spans="12:19" ht="15.75" customHeight="1" x14ac:dyDescent="0.35">
      <c r="L4076" s="2"/>
      <c r="M4076" s="2"/>
      <c r="N4076" s="650"/>
      <c r="O4076" s="650"/>
      <c r="P4076" s="651"/>
      <c r="Q4076" s="651"/>
      <c r="R4076" s="651"/>
      <c r="S4076" s="651"/>
    </row>
    <row r="4077" spans="12:19" ht="15.75" customHeight="1" x14ac:dyDescent="0.35">
      <c r="L4077" s="2"/>
      <c r="M4077" s="2"/>
      <c r="N4077" s="650"/>
      <c r="O4077" s="650"/>
      <c r="P4077" s="651"/>
      <c r="Q4077" s="651"/>
      <c r="R4077" s="651"/>
      <c r="S4077" s="651"/>
    </row>
    <row r="4078" spans="12:19" ht="15.75" customHeight="1" x14ac:dyDescent="0.35">
      <c r="L4078" s="2"/>
      <c r="M4078" s="2"/>
      <c r="N4078" s="650"/>
      <c r="O4078" s="650"/>
      <c r="P4078" s="651"/>
      <c r="Q4078" s="651"/>
      <c r="R4078" s="651"/>
      <c r="S4078" s="651"/>
    </row>
    <row r="4079" spans="12:19" ht="15.75" customHeight="1" x14ac:dyDescent="0.35">
      <c r="L4079" s="2"/>
      <c r="M4079" s="2"/>
      <c r="N4079" s="650"/>
      <c r="O4079" s="650"/>
      <c r="P4079" s="651"/>
      <c r="Q4079" s="651"/>
      <c r="R4079" s="651"/>
      <c r="S4079" s="651"/>
    </row>
    <row r="4080" spans="12:19" ht="15.75" customHeight="1" x14ac:dyDescent="0.35">
      <c r="L4080" s="2"/>
      <c r="M4080" s="2"/>
      <c r="N4080" s="650"/>
      <c r="O4080" s="650"/>
      <c r="P4080" s="651"/>
      <c r="Q4080" s="651"/>
      <c r="R4080" s="651"/>
      <c r="S4080" s="651"/>
    </row>
    <row r="4081" spans="12:19" ht="15.75" customHeight="1" x14ac:dyDescent="0.35">
      <c r="L4081" s="2"/>
      <c r="M4081" s="2"/>
      <c r="N4081" s="650"/>
      <c r="O4081" s="650"/>
      <c r="P4081" s="651"/>
      <c r="Q4081" s="651"/>
      <c r="R4081" s="651"/>
      <c r="S4081" s="651"/>
    </row>
    <row r="4082" spans="12:19" ht="15.75" customHeight="1" x14ac:dyDescent="0.35">
      <c r="L4082" s="2"/>
      <c r="M4082" s="2"/>
      <c r="N4082" s="650"/>
      <c r="O4082" s="650"/>
      <c r="P4082" s="651"/>
      <c r="Q4082" s="651"/>
      <c r="R4082" s="651"/>
      <c r="S4082" s="651"/>
    </row>
    <row r="4083" spans="12:19" ht="15.75" customHeight="1" x14ac:dyDescent="0.35">
      <c r="L4083" s="2"/>
      <c r="M4083" s="2"/>
      <c r="N4083" s="650"/>
      <c r="O4083" s="650"/>
      <c r="P4083" s="651"/>
      <c r="Q4083" s="651"/>
      <c r="R4083" s="651"/>
      <c r="S4083" s="651"/>
    </row>
    <row r="4084" spans="12:19" ht="15.75" customHeight="1" x14ac:dyDescent="0.35">
      <c r="L4084" s="2"/>
      <c r="M4084" s="2"/>
      <c r="N4084" s="650"/>
      <c r="O4084" s="650"/>
      <c r="P4084" s="651"/>
      <c r="Q4084" s="651"/>
      <c r="R4084" s="651"/>
      <c r="S4084" s="651"/>
    </row>
    <row r="4085" spans="12:19" ht="15.75" customHeight="1" x14ac:dyDescent="0.35">
      <c r="L4085" s="2"/>
      <c r="M4085" s="2"/>
      <c r="N4085" s="650"/>
      <c r="O4085" s="650"/>
      <c r="P4085" s="651"/>
      <c r="Q4085" s="651"/>
      <c r="R4085" s="651"/>
      <c r="S4085" s="651"/>
    </row>
    <row r="4086" spans="12:19" ht="15.75" customHeight="1" x14ac:dyDescent="0.35">
      <c r="L4086" s="2"/>
      <c r="M4086" s="2"/>
      <c r="N4086" s="650"/>
      <c r="O4086" s="650"/>
      <c r="P4086" s="651"/>
      <c r="Q4086" s="651"/>
      <c r="R4086" s="651"/>
      <c r="S4086" s="651"/>
    </row>
    <row r="4087" spans="12:19" ht="15.75" customHeight="1" x14ac:dyDescent="0.35">
      <c r="L4087" s="2"/>
      <c r="M4087" s="2"/>
      <c r="N4087" s="650"/>
      <c r="O4087" s="650"/>
      <c r="P4087" s="651"/>
      <c r="Q4087" s="651"/>
      <c r="R4087" s="651"/>
      <c r="S4087" s="651"/>
    </row>
    <row r="4088" spans="12:19" ht="15.75" customHeight="1" x14ac:dyDescent="0.35">
      <c r="L4088" s="2"/>
      <c r="M4088" s="2"/>
      <c r="N4088" s="650"/>
      <c r="O4088" s="650"/>
      <c r="P4088" s="651"/>
      <c r="Q4088" s="651"/>
      <c r="R4088" s="651"/>
      <c r="S4088" s="651"/>
    </row>
    <row r="4089" spans="12:19" ht="15.75" customHeight="1" x14ac:dyDescent="0.35">
      <c r="L4089" s="2"/>
      <c r="M4089" s="2"/>
      <c r="N4089" s="650"/>
      <c r="O4089" s="650"/>
      <c r="P4089" s="651"/>
      <c r="Q4089" s="651"/>
      <c r="R4089" s="651"/>
      <c r="S4089" s="651"/>
    </row>
    <row r="4090" spans="12:19" ht="15.75" customHeight="1" x14ac:dyDescent="0.35">
      <c r="L4090" s="2"/>
      <c r="M4090" s="2"/>
      <c r="N4090" s="650"/>
      <c r="O4090" s="650"/>
      <c r="P4090" s="651"/>
      <c r="Q4090" s="651"/>
      <c r="R4090" s="651"/>
      <c r="S4090" s="651"/>
    </row>
    <row r="4091" spans="12:19" ht="15.75" customHeight="1" x14ac:dyDescent="0.35">
      <c r="L4091" s="2"/>
      <c r="M4091" s="2"/>
      <c r="N4091" s="650"/>
      <c r="O4091" s="650"/>
      <c r="P4091" s="651"/>
      <c r="Q4091" s="651"/>
      <c r="R4091" s="651"/>
      <c r="S4091" s="651"/>
    </row>
    <row r="4092" spans="12:19" ht="15.75" customHeight="1" x14ac:dyDescent="0.35">
      <c r="L4092" s="2"/>
      <c r="M4092" s="2"/>
      <c r="N4092" s="650"/>
      <c r="O4092" s="650"/>
      <c r="P4092" s="651"/>
      <c r="Q4092" s="651"/>
      <c r="R4092" s="651"/>
      <c r="S4092" s="651"/>
    </row>
    <row r="4093" spans="12:19" ht="15.75" customHeight="1" x14ac:dyDescent="0.35">
      <c r="L4093" s="2"/>
      <c r="M4093" s="2"/>
      <c r="N4093" s="650"/>
      <c r="O4093" s="650"/>
      <c r="P4093" s="651"/>
      <c r="Q4093" s="651"/>
      <c r="R4093" s="651"/>
      <c r="S4093" s="651"/>
    </row>
    <row r="4094" spans="12:19" ht="15.75" customHeight="1" x14ac:dyDescent="0.35">
      <c r="L4094" s="2"/>
      <c r="M4094" s="2"/>
      <c r="N4094" s="650"/>
      <c r="O4094" s="650"/>
      <c r="P4094" s="651"/>
      <c r="Q4094" s="651"/>
      <c r="R4094" s="651"/>
      <c r="S4094" s="651"/>
    </row>
    <row r="4095" spans="12:19" ht="15.75" customHeight="1" x14ac:dyDescent="0.35">
      <c r="L4095" s="2"/>
      <c r="M4095" s="2"/>
      <c r="N4095" s="650"/>
      <c r="O4095" s="650"/>
      <c r="P4095" s="651"/>
      <c r="Q4095" s="651"/>
      <c r="R4095" s="651"/>
      <c r="S4095" s="651"/>
    </row>
    <row r="4096" spans="12:19" ht="15.75" customHeight="1" x14ac:dyDescent="0.35">
      <c r="L4096" s="2"/>
      <c r="M4096" s="2"/>
      <c r="N4096" s="650"/>
      <c r="O4096" s="650"/>
      <c r="P4096" s="651"/>
      <c r="Q4096" s="651"/>
      <c r="R4096" s="651"/>
      <c r="S4096" s="651"/>
    </row>
    <row r="4097" spans="12:19" ht="15.75" customHeight="1" x14ac:dyDescent="0.35">
      <c r="L4097" s="2"/>
      <c r="M4097" s="2"/>
      <c r="N4097" s="650"/>
      <c r="O4097" s="650"/>
      <c r="P4097" s="651"/>
      <c r="Q4097" s="651"/>
      <c r="R4097" s="651"/>
      <c r="S4097" s="651"/>
    </row>
    <row r="4098" spans="12:19" ht="15.75" customHeight="1" x14ac:dyDescent="0.35">
      <c r="L4098" s="2"/>
      <c r="M4098" s="2"/>
      <c r="N4098" s="650"/>
      <c r="O4098" s="650"/>
      <c r="P4098" s="651"/>
      <c r="Q4098" s="651"/>
      <c r="R4098" s="651"/>
      <c r="S4098" s="651"/>
    </row>
    <row r="4099" spans="12:19" ht="15.75" customHeight="1" x14ac:dyDescent="0.35">
      <c r="L4099" s="2"/>
      <c r="M4099" s="2"/>
      <c r="N4099" s="650"/>
      <c r="O4099" s="650"/>
      <c r="P4099" s="651"/>
      <c r="Q4099" s="651"/>
      <c r="R4099" s="651"/>
      <c r="S4099" s="651"/>
    </row>
    <row r="4100" spans="12:19" ht="15.75" customHeight="1" x14ac:dyDescent="0.35">
      <c r="L4100" s="2"/>
      <c r="M4100" s="2"/>
      <c r="N4100" s="650"/>
      <c r="O4100" s="650"/>
      <c r="P4100" s="651"/>
      <c r="Q4100" s="651"/>
      <c r="R4100" s="651"/>
      <c r="S4100" s="651"/>
    </row>
    <row r="4101" spans="12:19" ht="15.75" customHeight="1" x14ac:dyDescent="0.35">
      <c r="L4101" s="2"/>
      <c r="M4101" s="2"/>
      <c r="N4101" s="650"/>
      <c r="O4101" s="650"/>
      <c r="P4101" s="651"/>
      <c r="Q4101" s="651"/>
      <c r="R4101" s="651"/>
      <c r="S4101" s="651"/>
    </row>
    <row r="4102" spans="12:19" ht="15.75" customHeight="1" x14ac:dyDescent="0.35">
      <c r="L4102" s="2"/>
      <c r="M4102" s="2"/>
      <c r="N4102" s="650"/>
      <c r="O4102" s="650"/>
      <c r="P4102" s="651"/>
      <c r="Q4102" s="651"/>
      <c r="R4102" s="651"/>
      <c r="S4102" s="651"/>
    </row>
    <row r="4103" spans="12:19" ht="15.75" customHeight="1" x14ac:dyDescent="0.35">
      <c r="L4103" s="2"/>
      <c r="M4103" s="2"/>
      <c r="N4103" s="650"/>
      <c r="O4103" s="650"/>
      <c r="P4103" s="651"/>
      <c r="Q4103" s="651"/>
      <c r="R4103" s="651"/>
      <c r="S4103" s="651"/>
    </row>
    <row r="4104" spans="12:19" ht="15.75" customHeight="1" x14ac:dyDescent="0.35">
      <c r="L4104" s="2"/>
      <c r="M4104" s="2"/>
      <c r="N4104" s="650"/>
      <c r="O4104" s="650"/>
      <c r="P4104" s="651"/>
      <c r="Q4104" s="651"/>
      <c r="R4104" s="651"/>
      <c r="S4104" s="651"/>
    </row>
    <row r="4105" spans="12:19" ht="15.75" customHeight="1" x14ac:dyDescent="0.35">
      <c r="L4105" s="2"/>
      <c r="M4105" s="2"/>
      <c r="N4105" s="650"/>
      <c r="O4105" s="650"/>
      <c r="P4105" s="651"/>
      <c r="Q4105" s="651"/>
      <c r="R4105" s="651"/>
      <c r="S4105" s="651"/>
    </row>
    <row r="4106" spans="12:19" ht="15.75" customHeight="1" x14ac:dyDescent="0.35">
      <c r="L4106" s="2"/>
      <c r="M4106" s="2"/>
      <c r="N4106" s="650"/>
      <c r="O4106" s="650"/>
      <c r="P4106" s="651"/>
      <c r="Q4106" s="651"/>
      <c r="R4106" s="651"/>
      <c r="S4106" s="651"/>
    </row>
    <row r="4107" spans="12:19" ht="15.75" customHeight="1" x14ac:dyDescent="0.35">
      <c r="L4107" s="2"/>
      <c r="M4107" s="2"/>
      <c r="N4107" s="650"/>
      <c r="O4107" s="650"/>
      <c r="P4107" s="651"/>
      <c r="Q4107" s="651"/>
      <c r="R4107" s="651"/>
      <c r="S4107" s="651"/>
    </row>
    <row r="4108" spans="12:19" ht="15.75" customHeight="1" x14ac:dyDescent="0.35">
      <c r="L4108" s="2"/>
      <c r="M4108" s="2"/>
      <c r="N4108" s="650"/>
      <c r="O4108" s="650"/>
      <c r="P4108" s="651"/>
      <c r="Q4108" s="651"/>
      <c r="R4108" s="651"/>
      <c r="S4108" s="651"/>
    </row>
    <row r="4109" spans="12:19" ht="15.75" customHeight="1" x14ac:dyDescent="0.35">
      <c r="L4109" s="2"/>
      <c r="M4109" s="2"/>
      <c r="N4109" s="650"/>
      <c r="O4109" s="650"/>
      <c r="P4109" s="651"/>
      <c r="Q4109" s="651"/>
      <c r="R4109" s="651"/>
      <c r="S4109" s="651"/>
    </row>
    <row r="4110" spans="12:19" ht="15.75" customHeight="1" x14ac:dyDescent="0.35">
      <c r="L4110" s="2"/>
      <c r="M4110" s="2"/>
      <c r="N4110" s="650"/>
      <c r="O4110" s="650"/>
      <c r="P4110" s="651"/>
      <c r="Q4110" s="651"/>
      <c r="R4110" s="651"/>
      <c r="S4110" s="651"/>
    </row>
    <row r="4111" spans="12:19" ht="15.75" customHeight="1" x14ac:dyDescent="0.35">
      <c r="L4111" s="2"/>
      <c r="M4111" s="2"/>
      <c r="N4111" s="650"/>
      <c r="O4111" s="650"/>
      <c r="P4111" s="651"/>
      <c r="Q4111" s="651"/>
      <c r="R4111" s="651"/>
      <c r="S4111" s="651"/>
    </row>
    <row r="4112" spans="12:19" ht="15.75" customHeight="1" x14ac:dyDescent="0.35">
      <c r="L4112" s="2"/>
      <c r="M4112" s="2"/>
      <c r="N4112" s="650"/>
      <c r="O4112" s="650"/>
      <c r="P4112" s="651"/>
      <c r="Q4112" s="651"/>
      <c r="R4112" s="651"/>
      <c r="S4112" s="651"/>
    </row>
    <row r="4113" spans="12:19" ht="15.75" customHeight="1" x14ac:dyDescent="0.35">
      <c r="L4113" s="2"/>
      <c r="M4113" s="2"/>
      <c r="N4113" s="650"/>
      <c r="O4113" s="650"/>
      <c r="P4113" s="651"/>
      <c r="Q4113" s="651"/>
      <c r="R4113" s="651"/>
      <c r="S4113" s="651"/>
    </row>
    <row r="4114" spans="12:19" ht="15.75" customHeight="1" x14ac:dyDescent="0.35">
      <c r="L4114" s="2"/>
      <c r="M4114" s="2"/>
      <c r="N4114" s="650"/>
      <c r="O4114" s="650"/>
      <c r="P4114" s="651"/>
      <c r="Q4114" s="651"/>
      <c r="R4114" s="651"/>
      <c r="S4114" s="651"/>
    </row>
    <row r="4115" spans="12:19" ht="15.75" customHeight="1" x14ac:dyDescent="0.35">
      <c r="L4115" s="2"/>
      <c r="M4115" s="2"/>
      <c r="N4115" s="650"/>
      <c r="O4115" s="650"/>
      <c r="P4115" s="651"/>
      <c r="Q4115" s="651"/>
      <c r="R4115" s="651"/>
      <c r="S4115" s="651"/>
    </row>
    <row r="4116" spans="12:19" ht="15.75" customHeight="1" x14ac:dyDescent="0.35">
      <c r="L4116" s="2"/>
      <c r="M4116" s="2"/>
      <c r="N4116" s="650"/>
      <c r="O4116" s="650"/>
      <c r="P4116" s="651"/>
      <c r="Q4116" s="651"/>
      <c r="R4116" s="651"/>
      <c r="S4116" s="651"/>
    </row>
    <row r="4117" spans="12:19" ht="15.75" customHeight="1" x14ac:dyDescent="0.35">
      <c r="L4117" s="2"/>
      <c r="M4117" s="2"/>
      <c r="N4117" s="650"/>
      <c r="O4117" s="650"/>
      <c r="P4117" s="651"/>
      <c r="Q4117" s="651"/>
      <c r="R4117" s="651"/>
      <c r="S4117" s="651"/>
    </row>
    <row r="4118" spans="12:19" ht="15.75" customHeight="1" x14ac:dyDescent="0.35">
      <c r="L4118" s="2"/>
      <c r="M4118" s="2"/>
      <c r="N4118" s="650"/>
      <c r="O4118" s="650"/>
      <c r="P4118" s="651"/>
      <c r="Q4118" s="651"/>
      <c r="R4118" s="651"/>
      <c r="S4118" s="651"/>
    </row>
    <row r="4119" spans="12:19" ht="15.75" customHeight="1" x14ac:dyDescent="0.35">
      <c r="L4119" s="2"/>
      <c r="M4119" s="2"/>
      <c r="N4119" s="650"/>
      <c r="O4119" s="650"/>
      <c r="P4119" s="651"/>
      <c r="Q4119" s="651"/>
      <c r="R4119" s="651"/>
      <c r="S4119" s="651"/>
    </row>
    <row r="4120" spans="12:19" ht="15.75" customHeight="1" x14ac:dyDescent="0.35">
      <c r="L4120" s="2"/>
      <c r="M4120" s="2"/>
      <c r="N4120" s="650"/>
      <c r="O4120" s="650"/>
      <c r="P4120" s="651"/>
      <c r="Q4120" s="651"/>
      <c r="R4120" s="651"/>
      <c r="S4120" s="651"/>
    </row>
    <row r="4121" spans="12:19" ht="15.75" customHeight="1" x14ac:dyDescent="0.35">
      <c r="L4121" s="2"/>
      <c r="M4121" s="2"/>
      <c r="N4121" s="650"/>
      <c r="O4121" s="650"/>
      <c r="P4121" s="651"/>
      <c r="Q4121" s="651"/>
      <c r="R4121" s="651"/>
      <c r="S4121" s="651"/>
    </row>
    <row r="4122" spans="12:19" ht="15.75" customHeight="1" x14ac:dyDescent="0.35">
      <c r="L4122" s="2"/>
      <c r="M4122" s="2"/>
      <c r="N4122" s="650"/>
      <c r="O4122" s="650"/>
      <c r="P4122" s="651"/>
      <c r="Q4122" s="651"/>
      <c r="R4122" s="651"/>
      <c r="S4122" s="651"/>
    </row>
    <row r="4123" spans="12:19" ht="15.75" customHeight="1" x14ac:dyDescent="0.35">
      <c r="L4123" s="2"/>
      <c r="M4123" s="2"/>
      <c r="N4123" s="650"/>
      <c r="O4123" s="650"/>
      <c r="P4123" s="651"/>
      <c r="Q4123" s="651"/>
      <c r="R4123" s="651"/>
      <c r="S4123" s="651"/>
    </row>
    <row r="4124" spans="12:19" ht="15.75" customHeight="1" x14ac:dyDescent="0.35">
      <c r="L4124" s="2"/>
      <c r="M4124" s="2"/>
      <c r="N4124" s="650"/>
      <c r="O4124" s="650"/>
      <c r="P4124" s="651"/>
      <c r="Q4124" s="651"/>
      <c r="R4124" s="651"/>
      <c r="S4124" s="651"/>
    </row>
    <row r="4125" spans="12:19" ht="15.75" customHeight="1" x14ac:dyDescent="0.35">
      <c r="L4125" s="2"/>
      <c r="M4125" s="2"/>
      <c r="N4125" s="650"/>
      <c r="O4125" s="650"/>
      <c r="P4125" s="651"/>
      <c r="Q4125" s="651"/>
      <c r="R4125" s="651"/>
      <c r="S4125" s="651"/>
    </row>
    <row r="4126" spans="12:19" ht="15.75" customHeight="1" x14ac:dyDescent="0.35">
      <c r="L4126" s="2"/>
      <c r="M4126" s="2"/>
      <c r="N4126" s="650"/>
      <c r="O4126" s="650"/>
      <c r="P4126" s="651"/>
      <c r="Q4126" s="651"/>
      <c r="R4126" s="651"/>
      <c r="S4126" s="651"/>
    </row>
    <row r="4127" spans="12:19" ht="15.75" customHeight="1" x14ac:dyDescent="0.35">
      <c r="L4127" s="2"/>
      <c r="M4127" s="2"/>
      <c r="N4127" s="650"/>
      <c r="O4127" s="650"/>
      <c r="P4127" s="651"/>
      <c r="Q4127" s="651"/>
      <c r="R4127" s="651"/>
      <c r="S4127" s="651"/>
    </row>
    <row r="4128" spans="12:19" ht="15.75" customHeight="1" x14ac:dyDescent="0.35">
      <c r="L4128" s="2"/>
      <c r="M4128" s="2"/>
      <c r="N4128" s="650"/>
      <c r="O4128" s="650"/>
      <c r="P4128" s="651"/>
      <c r="Q4128" s="651"/>
      <c r="R4128" s="651"/>
      <c r="S4128" s="651"/>
    </row>
    <row r="4129" spans="12:19" ht="15.75" customHeight="1" x14ac:dyDescent="0.35">
      <c r="L4129" s="2"/>
      <c r="M4129" s="2"/>
      <c r="N4129" s="650"/>
      <c r="O4129" s="650"/>
      <c r="P4129" s="651"/>
      <c r="Q4129" s="651"/>
      <c r="R4129" s="651"/>
      <c r="S4129" s="651"/>
    </row>
    <row r="4130" spans="12:19" ht="15.75" customHeight="1" x14ac:dyDescent="0.35">
      <c r="L4130" s="2"/>
      <c r="M4130" s="2"/>
      <c r="N4130" s="650"/>
      <c r="O4130" s="650"/>
      <c r="P4130" s="651"/>
      <c r="Q4130" s="651"/>
      <c r="R4130" s="651"/>
      <c r="S4130" s="651"/>
    </row>
    <row r="4131" spans="12:19" ht="15.75" customHeight="1" x14ac:dyDescent="0.35">
      <c r="L4131" s="2"/>
      <c r="M4131" s="2"/>
      <c r="N4131" s="650"/>
      <c r="O4131" s="650"/>
      <c r="P4131" s="651"/>
      <c r="Q4131" s="651"/>
      <c r="R4131" s="651"/>
      <c r="S4131" s="651"/>
    </row>
    <row r="4132" spans="12:19" ht="15.75" customHeight="1" x14ac:dyDescent="0.35">
      <c r="L4132" s="2"/>
      <c r="M4132" s="2"/>
      <c r="N4132" s="650"/>
      <c r="O4132" s="650"/>
      <c r="P4132" s="651"/>
      <c r="Q4132" s="651"/>
      <c r="R4132" s="651"/>
      <c r="S4132" s="651"/>
    </row>
    <row r="4133" spans="12:19" ht="15.75" customHeight="1" x14ac:dyDescent="0.35">
      <c r="L4133" s="2"/>
      <c r="M4133" s="2"/>
      <c r="N4133" s="650"/>
      <c r="O4133" s="650"/>
      <c r="P4133" s="651"/>
      <c r="Q4133" s="651"/>
      <c r="R4133" s="651"/>
      <c r="S4133" s="651"/>
    </row>
    <row r="4134" spans="12:19" ht="15.75" customHeight="1" x14ac:dyDescent="0.35">
      <c r="L4134" s="2"/>
      <c r="M4134" s="2"/>
      <c r="N4134" s="650"/>
      <c r="O4134" s="650"/>
      <c r="P4134" s="651"/>
      <c r="Q4134" s="651"/>
      <c r="R4134" s="651"/>
      <c r="S4134" s="651"/>
    </row>
    <row r="4135" spans="12:19" ht="15.75" customHeight="1" x14ac:dyDescent="0.35">
      <c r="L4135" s="2"/>
      <c r="M4135" s="2"/>
      <c r="N4135" s="650"/>
      <c r="O4135" s="650"/>
      <c r="P4135" s="651"/>
      <c r="Q4135" s="651"/>
      <c r="R4135" s="651"/>
      <c r="S4135" s="651"/>
    </row>
    <row r="4136" spans="12:19" ht="15.75" customHeight="1" x14ac:dyDescent="0.35">
      <c r="L4136" s="2"/>
      <c r="M4136" s="2"/>
      <c r="N4136" s="650"/>
      <c r="O4136" s="650"/>
      <c r="P4136" s="651"/>
      <c r="Q4136" s="651"/>
      <c r="R4136" s="651"/>
      <c r="S4136" s="651"/>
    </row>
    <row r="4137" spans="12:19" ht="15.75" customHeight="1" x14ac:dyDescent="0.35">
      <c r="L4137" s="2"/>
      <c r="M4137" s="2"/>
      <c r="N4137" s="650"/>
      <c r="O4137" s="650"/>
      <c r="P4137" s="651"/>
      <c r="Q4137" s="651"/>
      <c r="R4137" s="651"/>
      <c r="S4137" s="651"/>
    </row>
    <row r="4138" spans="12:19" ht="15.75" customHeight="1" x14ac:dyDescent="0.35">
      <c r="L4138" s="2"/>
      <c r="M4138" s="2"/>
      <c r="N4138" s="650"/>
      <c r="O4138" s="650"/>
      <c r="P4138" s="651"/>
      <c r="Q4138" s="651"/>
      <c r="R4138" s="651"/>
      <c r="S4138" s="651"/>
    </row>
    <row r="4139" spans="12:19" ht="15.75" customHeight="1" x14ac:dyDescent="0.35">
      <c r="L4139" s="2"/>
      <c r="M4139" s="2"/>
      <c r="N4139" s="650"/>
      <c r="O4139" s="650"/>
      <c r="P4139" s="651"/>
      <c r="Q4139" s="651"/>
      <c r="R4139" s="651"/>
      <c r="S4139" s="651"/>
    </row>
    <row r="4140" spans="12:19" ht="15.75" customHeight="1" x14ac:dyDescent="0.35">
      <c r="L4140" s="2"/>
      <c r="M4140" s="2"/>
      <c r="N4140" s="650"/>
      <c r="O4140" s="650"/>
      <c r="P4140" s="651"/>
      <c r="Q4140" s="651"/>
      <c r="R4140" s="651"/>
      <c r="S4140" s="651"/>
    </row>
    <row r="4141" spans="12:19" ht="15.75" customHeight="1" x14ac:dyDescent="0.35">
      <c r="L4141" s="2"/>
      <c r="M4141" s="2"/>
      <c r="N4141" s="650"/>
      <c r="O4141" s="650"/>
      <c r="P4141" s="651"/>
      <c r="Q4141" s="651"/>
      <c r="R4141" s="651"/>
      <c r="S4141" s="651"/>
    </row>
    <row r="4142" spans="12:19" ht="15.75" customHeight="1" x14ac:dyDescent="0.35">
      <c r="L4142" s="2"/>
      <c r="M4142" s="2"/>
      <c r="N4142" s="650"/>
      <c r="O4142" s="650"/>
      <c r="P4142" s="651"/>
      <c r="Q4142" s="651"/>
      <c r="R4142" s="651"/>
      <c r="S4142" s="651"/>
    </row>
    <row r="4143" spans="12:19" ht="15.75" customHeight="1" x14ac:dyDescent="0.35">
      <c r="L4143" s="2"/>
      <c r="M4143" s="2"/>
      <c r="N4143" s="650"/>
      <c r="O4143" s="650"/>
      <c r="P4143" s="651"/>
      <c r="Q4143" s="651"/>
      <c r="R4143" s="651"/>
      <c r="S4143" s="651"/>
    </row>
    <row r="4144" spans="12:19" ht="15.75" customHeight="1" x14ac:dyDescent="0.35">
      <c r="L4144" s="2"/>
      <c r="M4144" s="2"/>
      <c r="N4144" s="650"/>
      <c r="O4144" s="650"/>
      <c r="P4144" s="651"/>
      <c r="Q4144" s="651"/>
      <c r="R4144" s="651"/>
      <c r="S4144" s="651"/>
    </row>
    <row r="4145" spans="12:19" ht="15.75" customHeight="1" x14ac:dyDescent="0.35">
      <c r="L4145" s="2"/>
      <c r="M4145" s="2"/>
      <c r="N4145" s="650"/>
      <c r="O4145" s="650"/>
      <c r="P4145" s="651"/>
      <c r="Q4145" s="651"/>
      <c r="R4145" s="651"/>
      <c r="S4145" s="651"/>
    </row>
    <row r="4146" spans="12:19" ht="15.75" customHeight="1" x14ac:dyDescent="0.35">
      <c r="L4146" s="2"/>
      <c r="M4146" s="2"/>
      <c r="N4146" s="650"/>
      <c r="O4146" s="650"/>
      <c r="P4146" s="651"/>
      <c r="Q4146" s="651"/>
      <c r="R4146" s="651"/>
      <c r="S4146" s="651"/>
    </row>
    <row r="4147" spans="12:19" ht="15.75" customHeight="1" x14ac:dyDescent="0.35">
      <c r="L4147" s="2"/>
      <c r="M4147" s="2"/>
      <c r="N4147" s="650"/>
      <c r="O4147" s="650"/>
      <c r="P4147" s="651"/>
      <c r="Q4147" s="651"/>
      <c r="R4147" s="651"/>
      <c r="S4147" s="651"/>
    </row>
    <row r="4148" spans="12:19" ht="15.75" customHeight="1" x14ac:dyDescent="0.35">
      <c r="L4148" s="2"/>
      <c r="M4148" s="2"/>
      <c r="N4148" s="650"/>
      <c r="O4148" s="650"/>
      <c r="P4148" s="651"/>
      <c r="Q4148" s="651"/>
      <c r="R4148" s="651"/>
      <c r="S4148" s="651"/>
    </row>
    <row r="4149" spans="12:19" ht="15.75" customHeight="1" x14ac:dyDescent="0.35">
      <c r="L4149" s="2"/>
      <c r="M4149" s="2"/>
      <c r="N4149" s="650"/>
      <c r="O4149" s="650"/>
      <c r="P4149" s="651"/>
      <c r="Q4149" s="651"/>
      <c r="R4149" s="651"/>
      <c r="S4149" s="651"/>
    </row>
    <row r="4150" spans="12:19" ht="15.75" customHeight="1" x14ac:dyDescent="0.35">
      <c r="L4150" s="2"/>
      <c r="M4150" s="2"/>
      <c r="N4150" s="650"/>
      <c r="O4150" s="650"/>
      <c r="P4150" s="651"/>
      <c r="Q4150" s="651"/>
      <c r="R4150" s="651"/>
      <c r="S4150" s="651"/>
    </row>
    <row r="4151" spans="12:19" ht="15.75" customHeight="1" x14ac:dyDescent="0.35">
      <c r="L4151" s="2"/>
      <c r="M4151" s="2"/>
      <c r="N4151" s="650"/>
      <c r="O4151" s="650"/>
      <c r="P4151" s="651"/>
      <c r="Q4151" s="651"/>
      <c r="R4151" s="651"/>
      <c r="S4151" s="651"/>
    </row>
    <row r="4152" spans="12:19" ht="15.75" customHeight="1" x14ac:dyDescent="0.35">
      <c r="L4152" s="2"/>
      <c r="M4152" s="2"/>
      <c r="N4152" s="650"/>
      <c r="O4152" s="650"/>
      <c r="P4152" s="651"/>
      <c r="Q4152" s="651"/>
      <c r="R4152" s="651"/>
      <c r="S4152" s="651"/>
    </row>
    <row r="4153" spans="12:19" ht="15.75" customHeight="1" x14ac:dyDescent="0.35">
      <c r="L4153" s="2"/>
      <c r="M4153" s="2"/>
      <c r="N4153" s="650"/>
      <c r="O4153" s="650"/>
      <c r="P4153" s="651"/>
      <c r="Q4153" s="651"/>
      <c r="R4153" s="651"/>
      <c r="S4153" s="651"/>
    </row>
    <row r="4154" spans="12:19" ht="15.75" customHeight="1" x14ac:dyDescent="0.35">
      <c r="L4154" s="2"/>
      <c r="M4154" s="2"/>
      <c r="N4154" s="650"/>
      <c r="O4154" s="650"/>
      <c r="P4154" s="651"/>
      <c r="Q4154" s="651"/>
      <c r="R4154" s="651"/>
      <c r="S4154" s="651"/>
    </row>
    <row r="4155" spans="12:19" ht="15.75" customHeight="1" x14ac:dyDescent="0.35">
      <c r="L4155" s="2"/>
      <c r="M4155" s="2"/>
      <c r="N4155" s="650"/>
      <c r="O4155" s="650"/>
      <c r="P4155" s="651"/>
      <c r="Q4155" s="651"/>
      <c r="R4155" s="651"/>
      <c r="S4155" s="651"/>
    </row>
    <row r="4156" spans="12:19" ht="15.75" customHeight="1" x14ac:dyDescent="0.35">
      <c r="L4156" s="2"/>
      <c r="M4156" s="2"/>
      <c r="N4156" s="650"/>
      <c r="O4156" s="650"/>
      <c r="P4156" s="651"/>
      <c r="Q4156" s="651"/>
      <c r="R4156" s="651"/>
      <c r="S4156" s="651"/>
    </row>
    <row r="4157" spans="12:19" ht="15.75" customHeight="1" x14ac:dyDescent="0.35">
      <c r="L4157" s="2"/>
      <c r="M4157" s="2"/>
      <c r="N4157" s="650"/>
      <c r="O4157" s="650"/>
      <c r="P4157" s="651"/>
      <c r="Q4157" s="651"/>
      <c r="R4157" s="651"/>
      <c r="S4157" s="651"/>
    </row>
    <row r="4158" spans="12:19" ht="15.75" customHeight="1" x14ac:dyDescent="0.35">
      <c r="L4158" s="2"/>
      <c r="M4158" s="2"/>
      <c r="N4158" s="650"/>
      <c r="O4158" s="650"/>
      <c r="P4158" s="651"/>
      <c r="Q4158" s="651"/>
      <c r="R4158" s="651"/>
      <c r="S4158" s="651"/>
    </row>
    <row r="4159" spans="12:19" ht="15.75" customHeight="1" x14ac:dyDescent="0.35">
      <c r="L4159" s="2"/>
      <c r="M4159" s="2"/>
      <c r="N4159" s="650"/>
      <c r="O4159" s="650"/>
      <c r="P4159" s="651"/>
      <c r="Q4159" s="651"/>
      <c r="R4159" s="651"/>
      <c r="S4159" s="651"/>
    </row>
    <row r="4160" spans="12:19" ht="15.75" customHeight="1" x14ac:dyDescent="0.35">
      <c r="L4160" s="2"/>
      <c r="M4160" s="2"/>
      <c r="N4160" s="650"/>
      <c r="O4160" s="650"/>
      <c r="P4160" s="651"/>
      <c r="Q4160" s="651"/>
      <c r="R4160" s="651"/>
      <c r="S4160" s="651"/>
    </row>
    <row r="4161" spans="12:19" ht="15.75" customHeight="1" x14ac:dyDescent="0.35">
      <c r="L4161" s="2"/>
      <c r="M4161" s="2"/>
      <c r="N4161" s="650"/>
      <c r="O4161" s="650"/>
      <c r="P4161" s="651"/>
      <c r="Q4161" s="651"/>
      <c r="R4161" s="651"/>
      <c r="S4161" s="651"/>
    </row>
    <row r="4162" spans="12:19" ht="15.75" customHeight="1" x14ac:dyDescent="0.35">
      <c r="L4162" s="2"/>
      <c r="M4162" s="2"/>
      <c r="N4162" s="650"/>
      <c r="O4162" s="650"/>
      <c r="P4162" s="651"/>
      <c r="Q4162" s="651"/>
      <c r="R4162" s="651"/>
      <c r="S4162" s="651"/>
    </row>
    <row r="4163" spans="12:19" ht="15.75" customHeight="1" x14ac:dyDescent="0.35">
      <c r="L4163" s="2"/>
      <c r="M4163" s="2"/>
      <c r="N4163" s="650"/>
      <c r="O4163" s="650"/>
      <c r="P4163" s="651"/>
      <c r="Q4163" s="651"/>
      <c r="R4163" s="651"/>
      <c r="S4163" s="651"/>
    </row>
    <row r="4164" spans="12:19" ht="15.75" customHeight="1" x14ac:dyDescent="0.35">
      <c r="L4164" s="2"/>
      <c r="M4164" s="2"/>
      <c r="N4164" s="650"/>
      <c r="O4164" s="650"/>
      <c r="P4164" s="651"/>
      <c r="Q4164" s="651"/>
      <c r="R4164" s="651"/>
      <c r="S4164" s="651"/>
    </row>
    <row r="4165" spans="12:19" ht="15.75" customHeight="1" x14ac:dyDescent="0.35">
      <c r="L4165" s="2"/>
      <c r="M4165" s="2"/>
      <c r="N4165" s="650"/>
      <c r="O4165" s="650"/>
      <c r="P4165" s="651"/>
      <c r="Q4165" s="651"/>
      <c r="R4165" s="651"/>
      <c r="S4165" s="651"/>
    </row>
    <row r="4166" spans="12:19" ht="15.75" customHeight="1" x14ac:dyDescent="0.35">
      <c r="L4166" s="2"/>
      <c r="M4166" s="2"/>
      <c r="N4166" s="650"/>
      <c r="O4166" s="650"/>
      <c r="P4166" s="651"/>
      <c r="Q4166" s="651"/>
      <c r="R4166" s="651"/>
      <c r="S4166" s="651"/>
    </row>
    <row r="4167" spans="12:19" ht="15.75" customHeight="1" x14ac:dyDescent="0.35">
      <c r="L4167" s="2"/>
      <c r="M4167" s="2"/>
      <c r="N4167" s="650"/>
      <c r="O4167" s="650"/>
      <c r="P4167" s="651"/>
      <c r="Q4167" s="651"/>
      <c r="R4167" s="651"/>
      <c r="S4167" s="651"/>
    </row>
    <row r="4168" spans="12:19" ht="15.75" customHeight="1" x14ac:dyDescent="0.35">
      <c r="L4168" s="2"/>
      <c r="M4168" s="2"/>
      <c r="N4168" s="650"/>
      <c r="O4168" s="650"/>
      <c r="P4168" s="651"/>
      <c r="Q4168" s="651"/>
      <c r="R4168" s="651"/>
      <c r="S4168" s="651"/>
    </row>
    <row r="4169" spans="12:19" ht="15.75" customHeight="1" x14ac:dyDescent="0.35">
      <c r="L4169" s="2"/>
      <c r="M4169" s="2"/>
      <c r="N4169" s="650"/>
      <c r="O4169" s="650"/>
      <c r="P4169" s="651"/>
      <c r="Q4169" s="651"/>
      <c r="R4169" s="651"/>
      <c r="S4169" s="651"/>
    </row>
    <row r="4170" spans="12:19" ht="15.75" customHeight="1" x14ac:dyDescent="0.35">
      <c r="L4170" s="2"/>
      <c r="M4170" s="2"/>
      <c r="N4170" s="650"/>
      <c r="O4170" s="650"/>
      <c r="P4170" s="651"/>
      <c r="Q4170" s="651"/>
      <c r="R4170" s="651"/>
      <c r="S4170" s="651"/>
    </row>
    <row r="4171" spans="12:19" ht="15.75" customHeight="1" x14ac:dyDescent="0.35">
      <c r="L4171" s="2"/>
      <c r="M4171" s="2"/>
      <c r="N4171" s="650"/>
      <c r="O4171" s="650"/>
      <c r="P4171" s="651"/>
      <c r="Q4171" s="651"/>
      <c r="R4171" s="651"/>
      <c r="S4171" s="651"/>
    </row>
    <row r="4172" spans="12:19" ht="15.75" customHeight="1" x14ac:dyDescent="0.35">
      <c r="L4172" s="2"/>
      <c r="M4172" s="2"/>
      <c r="N4172" s="650"/>
      <c r="O4172" s="650"/>
      <c r="P4172" s="651"/>
      <c r="Q4172" s="651"/>
      <c r="R4172" s="651"/>
      <c r="S4172" s="651"/>
    </row>
    <row r="4173" spans="12:19" ht="15.75" customHeight="1" x14ac:dyDescent="0.35">
      <c r="L4173" s="2"/>
      <c r="M4173" s="2"/>
      <c r="N4173" s="650"/>
      <c r="O4173" s="650"/>
      <c r="P4173" s="651"/>
      <c r="Q4173" s="651"/>
      <c r="R4173" s="651"/>
      <c r="S4173" s="651"/>
    </row>
    <row r="4174" spans="12:19" ht="15.75" customHeight="1" x14ac:dyDescent="0.35">
      <c r="L4174" s="2"/>
      <c r="M4174" s="2"/>
      <c r="N4174" s="650"/>
      <c r="O4174" s="650"/>
      <c r="P4174" s="651"/>
      <c r="Q4174" s="651"/>
      <c r="R4174" s="651"/>
      <c r="S4174" s="651"/>
    </row>
    <row r="4175" spans="12:19" ht="15.75" customHeight="1" x14ac:dyDescent="0.35">
      <c r="L4175" s="2"/>
      <c r="M4175" s="2"/>
      <c r="N4175" s="650"/>
      <c r="O4175" s="650"/>
      <c r="P4175" s="651"/>
      <c r="Q4175" s="651"/>
      <c r="R4175" s="651"/>
      <c r="S4175" s="651"/>
    </row>
    <row r="4176" spans="12:19" ht="15.75" customHeight="1" x14ac:dyDescent="0.35">
      <c r="L4176" s="2"/>
      <c r="M4176" s="2"/>
      <c r="N4176" s="650"/>
      <c r="O4176" s="650"/>
      <c r="P4176" s="651"/>
      <c r="Q4176" s="651"/>
      <c r="R4176" s="651"/>
      <c r="S4176" s="651"/>
    </row>
    <row r="4177" spans="12:19" ht="15.75" customHeight="1" x14ac:dyDescent="0.35">
      <c r="L4177" s="2"/>
      <c r="M4177" s="2"/>
      <c r="N4177" s="650"/>
      <c r="O4177" s="650"/>
      <c r="P4177" s="651"/>
      <c r="Q4177" s="651"/>
      <c r="R4177" s="651"/>
      <c r="S4177" s="651"/>
    </row>
    <row r="4178" spans="12:19" ht="15.75" customHeight="1" x14ac:dyDescent="0.35">
      <c r="L4178" s="2"/>
      <c r="M4178" s="2"/>
      <c r="N4178" s="650"/>
      <c r="O4178" s="650"/>
      <c r="P4178" s="651"/>
      <c r="Q4178" s="651"/>
      <c r="R4178" s="651"/>
      <c r="S4178" s="651"/>
    </row>
    <row r="4179" spans="12:19" ht="15.75" customHeight="1" x14ac:dyDescent="0.35">
      <c r="L4179" s="2"/>
      <c r="M4179" s="2"/>
      <c r="N4179" s="650"/>
      <c r="O4179" s="650"/>
      <c r="P4179" s="651"/>
      <c r="Q4179" s="651"/>
      <c r="R4179" s="651"/>
      <c r="S4179" s="651"/>
    </row>
    <row r="4180" spans="12:19" ht="15.75" customHeight="1" x14ac:dyDescent="0.35">
      <c r="L4180" s="2"/>
      <c r="M4180" s="2"/>
      <c r="N4180" s="650"/>
      <c r="O4180" s="650"/>
      <c r="P4180" s="651"/>
      <c r="Q4180" s="651"/>
      <c r="R4180" s="651"/>
      <c r="S4180" s="651"/>
    </row>
    <row r="4181" spans="12:19" ht="15.75" customHeight="1" x14ac:dyDescent="0.35">
      <c r="L4181" s="2"/>
      <c r="M4181" s="2"/>
      <c r="N4181" s="650"/>
      <c r="O4181" s="650"/>
      <c r="P4181" s="651"/>
      <c r="Q4181" s="651"/>
      <c r="R4181" s="651"/>
      <c r="S4181" s="651"/>
    </row>
    <row r="4182" spans="12:19" ht="15.75" customHeight="1" x14ac:dyDescent="0.35">
      <c r="L4182" s="2"/>
      <c r="M4182" s="2"/>
      <c r="N4182" s="650"/>
      <c r="O4182" s="650"/>
      <c r="P4182" s="651"/>
      <c r="Q4182" s="651"/>
      <c r="R4182" s="651"/>
      <c r="S4182" s="651"/>
    </row>
    <row r="4183" spans="12:19" ht="15.75" customHeight="1" x14ac:dyDescent="0.35">
      <c r="L4183" s="2"/>
      <c r="M4183" s="2"/>
      <c r="N4183" s="650"/>
      <c r="O4183" s="650"/>
      <c r="P4183" s="651"/>
      <c r="Q4183" s="651"/>
      <c r="R4183" s="651"/>
      <c r="S4183" s="651"/>
    </row>
    <row r="4184" spans="12:19" ht="15.75" customHeight="1" x14ac:dyDescent="0.35">
      <c r="L4184" s="2"/>
      <c r="M4184" s="2"/>
      <c r="N4184" s="650"/>
      <c r="O4184" s="650"/>
      <c r="P4184" s="651"/>
      <c r="Q4184" s="651"/>
      <c r="R4184" s="651"/>
      <c r="S4184" s="651"/>
    </row>
    <row r="4185" spans="12:19" ht="15.75" customHeight="1" x14ac:dyDescent="0.35">
      <c r="L4185" s="2"/>
      <c r="M4185" s="2"/>
      <c r="N4185" s="650"/>
      <c r="O4185" s="650"/>
      <c r="P4185" s="651"/>
      <c r="Q4185" s="651"/>
      <c r="R4185" s="651"/>
      <c r="S4185" s="651"/>
    </row>
    <row r="4186" spans="12:19" ht="15.75" customHeight="1" x14ac:dyDescent="0.35">
      <c r="L4186" s="2"/>
      <c r="M4186" s="2"/>
      <c r="N4186" s="650"/>
      <c r="O4186" s="650"/>
      <c r="P4186" s="651"/>
      <c r="Q4186" s="651"/>
      <c r="R4186" s="651"/>
      <c r="S4186" s="651"/>
    </row>
    <row r="4187" spans="12:19" ht="15.75" customHeight="1" x14ac:dyDescent="0.35">
      <c r="L4187" s="2"/>
      <c r="M4187" s="2"/>
      <c r="N4187" s="650"/>
      <c r="O4187" s="650"/>
      <c r="P4187" s="651"/>
      <c r="Q4187" s="651"/>
      <c r="R4187" s="651"/>
      <c r="S4187" s="651"/>
    </row>
    <row r="4188" spans="12:19" ht="15.75" customHeight="1" x14ac:dyDescent="0.35">
      <c r="L4188" s="2"/>
      <c r="M4188" s="2"/>
      <c r="N4188" s="650"/>
      <c r="O4188" s="650"/>
      <c r="P4188" s="651"/>
      <c r="Q4188" s="651"/>
      <c r="R4188" s="651"/>
      <c r="S4188" s="651"/>
    </row>
    <row r="4189" spans="12:19" ht="15.75" customHeight="1" x14ac:dyDescent="0.35">
      <c r="L4189" s="2"/>
      <c r="M4189" s="2"/>
      <c r="N4189" s="650"/>
      <c r="O4189" s="650"/>
      <c r="P4189" s="651"/>
      <c r="Q4189" s="651"/>
      <c r="R4189" s="651"/>
      <c r="S4189" s="651"/>
    </row>
    <row r="4190" spans="12:19" ht="15.75" customHeight="1" x14ac:dyDescent="0.35">
      <c r="L4190" s="2"/>
      <c r="M4190" s="2"/>
      <c r="N4190" s="650"/>
      <c r="O4190" s="650"/>
      <c r="P4190" s="651"/>
      <c r="Q4190" s="651"/>
      <c r="R4190" s="651"/>
      <c r="S4190" s="651"/>
    </row>
    <row r="4191" spans="12:19" ht="15.75" customHeight="1" x14ac:dyDescent="0.35">
      <c r="L4191" s="2"/>
      <c r="M4191" s="2"/>
      <c r="N4191" s="650"/>
      <c r="O4191" s="650"/>
      <c r="P4191" s="651"/>
      <c r="Q4191" s="651"/>
      <c r="R4191" s="651"/>
      <c r="S4191" s="651"/>
    </row>
    <row r="4192" spans="12:19" ht="15.75" customHeight="1" x14ac:dyDescent="0.35">
      <c r="L4192" s="2"/>
      <c r="M4192" s="2"/>
      <c r="N4192" s="650"/>
      <c r="O4192" s="650"/>
      <c r="P4192" s="651"/>
      <c r="Q4192" s="651"/>
      <c r="R4192" s="651"/>
      <c r="S4192" s="651"/>
    </row>
    <row r="4193" spans="12:19" ht="15.75" customHeight="1" x14ac:dyDescent="0.35">
      <c r="L4193" s="2"/>
      <c r="M4193" s="2"/>
      <c r="N4193" s="650"/>
      <c r="O4193" s="650"/>
      <c r="P4193" s="651"/>
      <c r="Q4193" s="651"/>
      <c r="R4193" s="651"/>
      <c r="S4193" s="651"/>
    </row>
    <row r="4194" spans="12:19" ht="15.75" customHeight="1" x14ac:dyDescent="0.35">
      <c r="L4194" s="2"/>
      <c r="M4194" s="2"/>
      <c r="N4194" s="650"/>
      <c r="O4194" s="650"/>
      <c r="P4194" s="651"/>
      <c r="Q4194" s="651"/>
      <c r="R4194" s="651"/>
      <c r="S4194" s="651"/>
    </row>
    <row r="4195" spans="12:19" ht="15.75" customHeight="1" x14ac:dyDescent="0.35">
      <c r="L4195" s="2"/>
      <c r="M4195" s="2"/>
      <c r="N4195" s="650"/>
      <c r="O4195" s="650"/>
      <c r="P4195" s="651"/>
      <c r="Q4195" s="651"/>
      <c r="R4195" s="651"/>
      <c r="S4195" s="651"/>
    </row>
    <row r="4196" spans="12:19" ht="15.75" customHeight="1" x14ac:dyDescent="0.35">
      <c r="L4196" s="2"/>
      <c r="M4196" s="2"/>
      <c r="N4196" s="650"/>
      <c r="O4196" s="650"/>
      <c r="P4196" s="651"/>
      <c r="Q4196" s="651"/>
      <c r="R4196" s="651"/>
      <c r="S4196" s="651"/>
    </row>
    <row r="4197" spans="12:19" ht="15.75" customHeight="1" x14ac:dyDescent="0.35">
      <c r="L4197" s="2"/>
      <c r="M4197" s="2"/>
      <c r="N4197" s="650"/>
      <c r="O4197" s="650"/>
      <c r="P4197" s="651"/>
      <c r="Q4197" s="651"/>
      <c r="R4197" s="651"/>
      <c r="S4197" s="651"/>
    </row>
    <row r="4198" spans="12:19" ht="15.75" customHeight="1" x14ac:dyDescent="0.35">
      <c r="L4198" s="2"/>
      <c r="M4198" s="2"/>
      <c r="N4198" s="650"/>
      <c r="O4198" s="650"/>
      <c r="P4198" s="651"/>
      <c r="Q4198" s="651"/>
      <c r="R4198" s="651"/>
      <c r="S4198" s="651"/>
    </row>
    <row r="4199" spans="12:19" ht="15.75" customHeight="1" x14ac:dyDescent="0.35">
      <c r="L4199" s="2"/>
      <c r="M4199" s="2"/>
      <c r="N4199" s="650"/>
      <c r="O4199" s="650"/>
      <c r="P4199" s="651"/>
      <c r="Q4199" s="651"/>
      <c r="R4199" s="651"/>
      <c r="S4199" s="651"/>
    </row>
    <row r="4200" spans="12:19" ht="15.75" customHeight="1" x14ac:dyDescent="0.35">
      <c r="L4200" s="2"/>
      <c r="M4200" s="2"/>
      <c r="N4200" s="650"/>
      <c r="O4200" s="650"/>
      <c r="P4200" s="651"/>
      <c r="Q4200" s="651"/>
      <c r="R4200" s="651"/>
      <c r="S4200" s="651"/>
    </row>
    <row r="4201" spans="12:19" ht="15.75" customHeight="1" x14ac:dyDescent="0.35">
      <c r="L4201" s="2"/>
      <c r="M4201" s="2"/>
      <c r="N4201" s="650"/>
      <c r="O4201" s="650"/>
      <c r="P4201" s="651"/>
      <c r="Q4201" s="651"/>
      <c r="R4201" s="651"/>
      <c r="S4201" s="651"/>
    </row>
    <row r="4202" spans="12:19" ht="15.75" customHeight="1" x14ac:dyDescent="0.35">
      <c r="L4202" s="2"/>
      <c r="M4202" s="2"/>
      <c r="N4202" s="650"/>
      <c r="O4202" s="650"/>
      <c r="P4202" s="651"/>
      <c r="Q4202" s="651"/>
      <c r="R4202" s="651"/>
      <c r="S4202" s="651"/>
    </row>
    <row r="4203" spans="12:19" ht="15.75" customHeight="1" x14ac:dyDescent="0.35">
      <c r="L4203" s="2"/>
      <c r="M4203" s="2"/>
      <c r="N4203" s="650"/>
      <c r="O4203" s="650"/>
      <c r="P4203" s="651"/>
      <c r="Q4203" s="651"/>
      <c r="R4203" s="651"/>
      <c r="S4203" s="651"/>
    </row>
    <row r="4204" spans="12:19" ht="15.75" customHeight="1" x14ac:dyDescent="0.35">
      <c r="L4204" s="2"/>
      <c r="M4204" s="2"/>
      <c r="N4204" s="650"/>
      <c r="O4204" s="650"/>
      <c r="P4204" s="651"/>
      <c r="Q4204" s="651"/>
      <c r="R4204" s="651"/>
      <c r="S4204" s="651"/>
    </row>
    <row r="4205" spans="12:19" ht="15.75" customHeight="1" x14ac:dyDescent="0.35">
      <c r="L4205" s="2"/>
      <c r="M4205" s="2"/>
      <c r="N4205" s="650"/>
      <c r="O4205" s="650"/>
      <c r="P4205" s="651"/>
      <c r="Q4205" s="651"/>
      <c r="R4205" s="651"/>
      <c r="S4205" s="651"/>
    </row>
    <row r="4206" spans="12:19" ht="15.75" customHeight="1" x14ac:dyDescent="0.35">
      <c r="L4206" s="2"/>
      <c r="M4206" s="2"/>
      <c r="N4206" s="650"/>
      <c r="O4206" s="650"/>
      <c r="P4206" s="651"/>
      <c r="Q4206" s="651"/>
      <c r="R4206" s="651"/>
      <c r="S4206" s="651"/>
    </row>
    <row r="4207" spans="12:19" ht="15.75" customHeight="1" x14ac:dyDescent="0.35">
      <c r="L4207" s="2"/>
      <c r="M4207" s="2"/>
      <c r="N4207" s="650"/>
      <c r="O4207" s="650"/>
      <c r="P4207" s="651"/>
      <c r="Q4207" s="651"/>
      <c r="R4207" s="651"/>
      <c r="S4207" s="651"/>
    </row>
    <row r="4208" spans="12:19" ht="15.75" customHeight="1" x14ac:dyDescent="0.35">
      <c r="L4208" s="2"/>
      <c r="M4208" s="2"/>
      <c r="N4208" s="650"/>
      <c r="O4208" s="650"/>
      <c r="P4208" s="651"/>
      <c r="Q4208" s="651"/>
      <c r="R4208" s="651"/>
      <c r="S4208" s="651"/>
    </row>
    <row r="4209" spans="12:19" ht="15.75" customHeight="1" x14ac:dyDescent="0.35">
      <c r="L4209" s="2"/>
      <c r="M4209" s="2"/>
      <c r="N4209" s="650"/>
      <c r="O4209" s="650"/>
      <c r="P4209" s="651"/>
      <c r="Q4209" s="651"/>
      <c r="R4209" s="651"/>
      <c r="S4209" s="651"/>
    </row>
    <row r="4210" spans="12:19" ht="15.75" customHeight="1" x14ac:dyDescent="0.35">
      <c r="L4210" s="2"/>
      <c r="M4210" s="2"/>
      <c r="N4210" s="650"/>
      <c r="O4210" s="650"/>
      <c r="P4210" s="651"/>
      <c r="Q4210" s="651"/>
      <c r="R4210" s="651"/>
      <c r="S4210" s="651"/>
    </row>
    <row r="4211" spans="12:19" ht="15.75" customHeight="1" x14ac:dyDescent="0.35">
      <c r="L4211" s="2"/>
      <c r="M4211" s="2"/>
      <c r="N4211" s="650"/>
      <c r="O4211" s="650"/>
      <c r="P4211" s="651"/>
      <c r="Q4211" s="651"/>
      <c r="R4211" s="651"/>
      <c r="S4211" s="651"/>
    </row>
    <row r="4212" spans="12:19" ht="15.75" customHeight="1" x14ac:dyDescent="0.35">
      <c r="L4212" s="2"/>
      <c r="M4212" s="2"/>
      <c r="N4212" s="650"/>
      <c r="O4212" s="650"/>
      <c r="P4212" s="651"/>
      <c r="Q4212" s="651"/>
      <c r="R4212" s="651"/>
      <c r="S4212" s="651"/>
    </row>
    <row r="4213" spans="12:19" ht="15.75" customHeight="1" x14ac:dyDescent="0.35">
      <c r="L4213" s="2"/>
      <c r="M4213" s="2"/>
      <c r="N4213" s="650"/>
      <c r="O4213" s="650"/>
      <c r="P4213" s="651"/>
      <c r="Q4213" s="651"/>
      <c r="R4213" s="651"/>
      <c r="S4213" s="651"/>
    </row>
    <row r="4214" spans="12:19" ht="15.75" customHeight="1" x14ac:dyDescent="0.35">
      <c r="L4214" s="2"/>
      <c r="M4214" s="2"/>
      <c r="N4214" s="650"/>
      <c r="O4214" s="650"/>
      <c r="P4214" s="651"/>
      <c r="Q4214" s="651"/>
      <c r="R4214" s="651"/>
      <c r="S4214" s="651"/>
    </row>
    <row r="4215" spans="12:19" ht="15.75" customHeight="1" x14ac:dyDescent="0.35">
      <c r="L4215" s="2"/>
      <c r="M4215" s="2"/>
      <c r="N4215" s="650"/>
      <c r="O4215" s="650"/>
      <c r="P4215" s="651"/>
      <c r="Q4215" s="651"/>
      <c r="R4215" s="651"/>
      <c r="S4215" s="651"/>
    </row>
    <row r="4216" spans="12:19" ht="15.75" customHeight="1" x14ac:dyDescent="0.35">
      <c r="L4216" s="2"/>
      <c r="M4216" s="2"/>
      <c r="N4216" s="650"/>
      <c r="O4216" s="650"/>
      <c r="P4216" s="651"/>
      <c r="Q4216" s="651"/>
      <c r="R4216" s="651"/>
      <c r="S4216" s="651"/>
    </row>
    <row r="4217" spans="12:19" ht="15.75" customHeight="1" x14ac:dyDescent="0.35">
      <c r="L4217" s="2"/>
      <c r="M4217" s="2"/>
      <c r="N4217" s="650"/>
      <c r="O4217" s="650"/>
      <c r="P4217" s="651"/>
      <c r="Q4217" s="651"/>
      <c r="R4217" s="651"/>
      <c r="S4217" s="651"/>
    </row>
    <row r="4218" spans="12:19" ht="15.75" customHeight="1" x14ac:dyDescent="0.35">
      <c r="L4218" s="2"/>
      <c r="M4218" s="2"/>
      <c r="N4218" s="650"/>
      <c r="O4218" s="650"/>
      <c r="P4218" s="651"/>
      <c r="Q4218" s="651"/>
      <c r="R4218" s="651"/>
      <c r="S4218" s="651"/>
    </row>
    <row r="4219" spans="12:19" ht="15.75" customHeight="1" x14ac:dyDescent="0.35">
      <c r="L4219" s="2"/>
      <c r="M4219" s="2"/>
      <c r="N4219" s="650"/>
      <c r="O4219" s="650"/>
      <c r="P4219" s="651"/>
      <c r="Q4219" s="651"/>
      <c r="R4219" s="651"/>
      <c r="S4219" s="651"/>
    </row>
    <row r="4220" spans="12:19" ht="15.75" customHeight="1" x14ac:dyDescent="0.35">
      <c r="L4220" s="2"/>
      <c r="M4220" s="2"/>
      <c r="N4220" s="650"/>
      <c r="O4220" s="650"/>
      <c r="P4220" s="651"/>
      <c r="Q4220" s="651"/>
      <c r="R4220" s="651"/>
      <c r="S4220" s="651"/>
    </row>
    <row r="4221" spans="12:19" ht="15.75" customHeight="1" x14ac:dyDescent="0.35">
      <c r="L4221" s="2"/>
      <c r="M4221" s="2"/>
      <c r="N4221" s="650"/>
      <c r="O4221" s="650"/>
      <c r="P4221" s="651"/>
      <c r="Q4221" s="651"/>
      <c r="R4221" s="651"/>
      <c r="S4221" s="651"/>
    </row>
    <row r="4222" spans="12:19" ht="15.75" customHeight="1" x14ac:dyDescent="0.35">
      <c r="L4222" s="2"/>
      <c r="M4222" s="2"/>
      <c r="N4222" s="650"/>
      <c r="O4222" s="650"/>
      <c r="P4222" s="651"/>
      <c r="Q4222" s="651"/>
      <c r="R4222" s="651"/>
      <c r="S4222" s="651"/>
    </row>
    <row r="4223" spans="12:19" ht="15.75" customHeight="1" x14ac:dyDescent="0.35">
      <c r="L4223" s="2"/>
      <c r="M4223" s="2"/>
      <c r="N4223" s="650"/>
      <c r="O4223" s="650"/>
      <c r="P4223" s="651"/>
      <c r="Q4223" s="651"/>
      <c r="R4223" s="651"/>
      <c r="S4223" s="651"/>
    </row>
    <row r="4224" spans="12:19" ht="15.75" customHeight="1" x14ac:dyDescent="0.35">
      <c r="L4224" s="2"/>
      <c r="M4224" s="2"/>
      <c r="N4224" s="650"/>
      <c r="O4224" s="650"/>
      <c r="P4224" s="651"/>
      <c r="Q4224" s="651"/>
      <c r="R4224" s="651"/>
      <c r="S4224" s="651"/>
    </row>
    <row r="4225" spans="12:19" ht="15.75" customHeight="1" x14ac:dyDescent="0.35">
      <c r="L4225" s="2"/>
      <c r="M4225" s="2"/>
      <c r="N4225" s="650"/>
      <c r="O4225" s="650"/>
      <c r="P4225" s="651"/>
      <c r="Q4225" s="651"/>
      <c r="R4225" s="651"/>
      <c r="S4225" s="651"/>
    </row>
    <row r="4226" spans="12:19" ht="15.75" customHeight="1" x14ac:dyDescent="0.35">
      <c r="L4226" s="2"/>
      <c r="M4226" s="2"/>
      <c r="N4226" s="650"/>
      <c r="O4226" s="650"/>
      <c r="P4226" s="651"/>
      <c r="Q4226" s="651"/>
      <c r="R4226" s="651"/>
      <c r="S4226" s="651"/>
    </row>
    <row r="4227" spans="12:19" ht="15.75" customHeight="1" x14ac:dyDescent="0.35">
      <c r="L4227" s="2"/>
      <c r="M4227" s="2"/>
      <c r="N4227" s="650"/>
      <c r="O4227" s="650"/>
      <c r="P4227" s="651"/>
      <c r="Q4227" s="651"/>
      <c r="R4227" s="651"/>
      <c r="S4227" s="651"/>
    </row>
    <row r="4228" spans="12:19" ht="15.75" customHeight="1" x14ac:dyDescent="0.35">
      <c r="L4228" s="2"/>
      <c r="M4228" s="2"/>
      <c r="N4228" s="650"/>
      <c r="O4228" s="650"/>
      <c r="P4228" s="651"/>
      <c r="Q4228" s="651"/>
      <c r="R4228" s="651"/>
      <c r="S4228" s="651"/>
    </row>
    <row r="4229" spans="12:19" ht="15.75" customHeight="1" x14ac:dyDescent="0.35">
      <c r="L4229" s="2"/>
      <c r="M4229" s="2"/>
      <c r="N4229" s="650"/>
      <c r="O4229" s="650"/>
      <c r="P4229" s="651"/>
      <c r="Q4229" s="651"/>
      <c r="R4229" s="651"/>
      <c r="S4229" s="651"/>
    </row>
    <row r="4230" spans="12:19" ht="15.75" customHeight="1" x14ac:dyDescent="0.35">
      <c r="L4230" s="2"/>
      <c r="M4230" s="2"/>
      <c r="N4230" s="650"/>
      <c r="O4230" s="650"/>
      <c r="P4230" s="651"/>
      <c r="Q4230" s="651"/>
      <c r="R4230" s="651"/>
      <c r="S4230" s="651"/>
    </row>
    <row r="4231" spans="12:19" ht="15.75" customHeight="1" x14ac:dyDescent="0.35">
      <c r="L4231" s="2"/>
      <c r="M4231" s="2"/>
      <c r="N4231" s="650"/>
      <c r="O4231" s="650"/>
      <c r="P4231" s="651"/>
      <c r="Q4231" s="651"/>
      <c r="R4231" s="651"/>
      <c r="S4231" s="651"/>
    </row>
    <row r="4232" spans="12:19" ht="15.75" customHeight="1" x14ac:dyDescent="0.35">
      <c r="L4232" s="2"/>
      <c r="M4232" s="2"/>
      <c r="N4232" s="650"/>
      <c r="O4232" s="650"/>
      <c r="P4232" s="651"/>
      <c r="Q4232" s="651"/>
      <c r="R4232" s="651"/>
      <c r="S4232" s="651"/>
    </row>
    <row r="4233" spans="12:19" ht="15.75" customHeight="1" x14ac:dyDescent="0.35">
      <c r="L4233" s="2"/>
      <c r="M4233" s="2"/>
      <c r="N4233" s="650"/>
      <c r="O4233" s="650"/>
      <c r="P4233" s="651"/>
      <c r="Q4233" s="651"/>
      <c r="R4233" s="651"/>
      <c r="S4233" s="651"/>
    </row>
    <row r="4234" spans="12:19" ht="15.75" customHeight="1" x14ac:dyDescent="0.35">
      <c r="L4234" s="2"/>
      <c r="M4234" s="2"/>
      <c r="N4234" s="650"/>
      <c r="O4234" s="650"/>
      <c r="P4234" s="651"/>
      <c r="Q4234" s="651"/>
      <c r="R4234" s="651"/>
      <c r="S4234" s="651"/>
    </row>
    <row r="4235" spans="12:19" ht="15.75" customHeight="1" x14ac:dyDescent="0.35">
      <c r="L4235" s="2"/>
      <c r="M4235" s="2"/>
      <c r="N4235" s="650"/>
      <c r="O4235" s="650"/>
      <c r="P4235" s="651"/>
      <c r="Q4235" s="651"/>
      <c r="R4235" s="651"/>
      <c r="S4235" s="651"/>
    </row>
    <row r="4236" spans="12:19" ht="15.75" customHeight="1" x14ac:dyDescent="0.35">
      <c r="L4236" s="2"/>
      <c r="M4236" s="2"/>
      <c r="N4236" s="650"/>
      <c r="O4236" s="650"/>
      <c r="P4236" s="651"/>
      <c r="Q4236" s="651"/>
      <c r="R4236" s="651"/>
      <c r="S4236" s="651"/>
    </row>
    <row r="4237" spans="12:19" ht="15.75" customHeight="1" x14ac:dyDescent="0.35">
      <c r="L4237" s="2"/>
      <c r="M4237" s="2"/>
      <c r="N4237" s="650"/>
      <c r="O4237" s="650"/>
      <c r="P4237" s="651"/>
      <c r="Q4237" s="651"/>
      <c r="R4237" s="651"/>
      <c r="S4237" s="651"/>
    </row>
    <row r="4238" spans="12:19" ht="15.75" customHeight="1" x14ac:dyDescent="0.35">
      <c r="L4238" s="2"/>
      <c r="M4238" s="2"/>
      <c r="N4238" s="650"/>
      <c r="O4238" s="650"/>
      <c r="P4238" s="651"/>
      <c r="Q4238" s="651"/>
      <c r="R4238" s="651"/>
      <c r="S4238" s="651"/>
    </row>
    <row r="4239" spans="12:19" ht="15.75" customHeight="1" x14ac:dyDescent="0.35">
      <c r="L4239" s="2"/>
      <c r="M4239" s="2"/>
      <c r="N4239" s="650"/>
      <c r="O4239" s="650"/>
      <c r="P4239" s="651"/>
      <c r="Q4239" s="651"/>
      <c r="R4239" s="651"/>
      <c r="S4239" s="651"/>
    </row>
    <row r="4240" spans="12:19" ht="15.75" customHeight="1" x14ac:dyDescent="0.35">
      <c r="L4240" s="2"/>
      <c r="M4240" s="2"/>
      <c r="N4240" s="650"/>
      <c r="O4240" s="650"/>
      <c r="P4240" s="651"/>
      <c r="Q4240" s="651"/>
      <c r="R4240" s="651"/>
      <c r="S4240" s="651"/>
    </row>
    <row r="4241" spans="12:19" ht="15.75" customHeight="1" x14ac:dyDescent="0.35">
      <c r="L4241" s="2"/>
      <c r="M4241" s="2"/>
      <c r="N4241" s="650"/>
      <c r="O4241" s="650"/>
      <c r="P4241" s="651"/>
      <c r="Q4241" s="651"/>
      <c r="R4241" s="651"/>
      <c r="S4241" s="651"/>
    </row>
    <row r="4242" spans="12:19" ht="15.75" customHeight="1" x14ac:dyDescent="0.35">
      <c r="L4242" s="2"/>
      <c r="M4242" s="2"/>
      <c r="N4242" s="650"/>
      <c r="O4242" s="650"/>
      <c r="P4242" s="651"/>
      <c r="Q4242" s="651"/>
      <c r="R4242" s="651"/>
      <c r="S4242" s="651"/>
    </row>
    <row r="4243" spans="12:19" ht="15.75" customHeight="1" x14ac:dyDescent="0.35">
      <c r="L4243" s="2"/>
      <c r="M4243" s="2"/>
      <c r="N4243" s="650"/>
      <c r="O4243" s="650"/>
      <c r="P4243" s="651"/>
      <c r="Q4243" s="651"/>
      <c r="R4243" s="651"/>
      <c r="S4243" s="651"/>
    </row>
    <row r="4244" spans="12:19" ht="15.75" customHeight="1" x14ac:dyDescent="0.35">
      <c r="L4244" s="2"/>
      <c r="M4244" s="2"/>
      <c r="N4244" s="650"/>
      <c r="O4244" s="650"/>
      <c r="P4244" s="651"/>
      <c r="Q4244" s="651"/>
      <c r="R4244" s="651"/>
      <c r="S4244" s="651"/>
    </row>
    <row r="4245" spans="12:19" ht="15.75" customHeight="1" x14ac:dyDescent="0.35">
      <c r="L4245" s="2"/>
      <c r="M4245" s="2"/>
      <c r="N4245" s="650"/>
      <c r="O4245" s="650"/>
      <c r="P4245" s="651"/>
      <c r="Q4245" s="651"/>
      <c r="R4245" s="651"/>
      <c r="S4245" s="651"/>
    </row>
    <row r="4246" spans="12:19" ht="15.75" customHeight="1" x14ac:dyDescent="0.35">
      <c r="L4246" s="2"/>
      <c r="M4246" s="2"/>
      <c r="N4246" s="650"/>
      <c r="O4246" s="650"/>
      <c r="P4246" s="651"/>
      <c r="Q4246" s="651"/>
      <c r="R4246" s="651"/>
      <c r="S4246" s="651"/>
    </row>
    <row r="4247" spans="12:19" ht="15.75" customHeight="1" x14ac:dyDescent="0.35">
      <c r="L4247" s="2"/>
      <c r="M4247" s="2"/>
      <c r="N4247" s="650"/>
      <c r="O4247" s="650"/>
      <c r="P4247" s="651"/>
      <c r="Q4247" s="651"/>
      <c r="R4247" s="651"/>
      <c r="S4247" s="651"/>
    </row>
    <row r="4248" spans="12:19" ht="15.75" customHeight="1" x14ac:dyDescent="0.35">
      <c r="L4248" s="2"/>
      <c r="M4248" s="2"/>
      <c r="N4248" s="650"/>
      <c r="O4248" s="650"/>
      <c r="P4248" s="651"/>
      <c r="Q4248" s="651"/>
      <c r="R4248" s="651"/>
      <c r="S4248" s="651"/>
    </row>
    <row r="4249" spans="12:19" ht="15.75" customHeight="1" x14ac:dyDescent="0.35">
      <c r="L4249" s="2"/>
      <c r="M4249" s="2"/>
      <c r="N4249" s="650"/>
      <c r="O4249" s="650"/>
      <c r="P4249" s="651"/>
      <c r="Q4249" s="651"/>
      <c r="R4249" s="651"/>
      <c r="S4249" s="651"/>
    </row>
    <row r="4250" spans="12:19" ht="15.75" customHeight="1" x14ac:dyDescent="0.35">
      <c r="L4250" s="2"/>
      <c r="M4250" s="2"/>
      <c r="N4250" s="650"/>
      <c r="O4250" s="650"/>
      <c r="P4250" s="651"/>
      <c r="Q4250" s="651"/>
      <c r="R4250" s="651"/>
      <c r="S4250" s="651"/>
    </row>
    <row r="4251" spans="12:19" ht="15.75" customHeight="1" x14ac:dyDescent="0.35">
      <c r="L4251" s="2"/>
      <c r="M4251" s="2"/>
      <c r="N4251" s="650"/>
      <c r="O4251" s="650"/>
      <c r="P4251" s="651"/>
      <c r="Q4251" s="651"/>
      <c r="R4251" s="651"/>
      <c r="S4251" s="651"/>
    </row>
    <row r="4252" spans="12:19" ht="15.75" customHeight="1" x14ac:dyDescent="0.35">
      <c r="L4252" s="2"/>
      <c r="M4252" s="2"/>
      <c r="N4252" s="650"/>
      <c r="O4252" s="650"/>
      <c r="P4252" s="651"/>
      <c r="Q4252" s="651"/>
      <c r="R4252" s="651"/>
      <c r="S4252" s="651"/>
    </row>
    <row r="4253" spans="12:19" ht="15.75" customHeight="1" x14ac:dyDescent="0.35">
      <c r="L4253" s="2"/>
      <c r="M4253" s="2"/>
      <c r="N4253" s="650"/>
      <c r="O4253" s="650"/>
      <c r="P4253" s="651"/>
      <c r="Q4253" s="651"/>
      <c r="R4253" s="651"/>
      <c r="S4253" s="651"/>
    </row>
    <row r="4254" spans="12:19" ht="15.75" customHeight="1" x14ac:dyDescent="0.35">
      <c r="L4254" s="2"/>
      <c r="M4254" s="2"/>
      <c r="N4254" s="650"/>
      <c r="O4254" s="650"/>
      <c r="P4254" s="651"/>
      <c r="Q4254" s="651"/>
      <c r="R4254" s="651"/>
      <c r="S4254" s="651"/>
    </row>
    <row r="4255" spans="12:19" ht="15.75" customHeight="1" x14ac:dyDescent="0.35">
      <c r="L4255" s="2"/>
      <c r="M4255" s="2"/>
      <c r="N4255" s="650"/>
      <c r="O4255" s="650"/>
      <c r="P4255" s="651"/>
      <c r="Q4255" s="651"/>
      <c r="R4255" s="651"/>
      <c r="S4255" s="651"/>
    </row>
    <row r="4256" spans="12:19" ht="15.75" customHeight="1" x14ac:dyDescent="0.35">
      <c r="L4256" s="2"/>
      <c r="M4256" s="2"/>
      <c r="N4256" s="650"/>
      <c r="O4256" s="650"/>
      <c r="P4256" s="651"/>
      <c r="Q4256" s="651"/>
      <c r="R4256" s="651"/>
      <c r="S4256" s="651"/>
    </row>
    <row r="4257" spans="12:19" ht="15.75" customHeight="1" x14ac:dyDescent="0.35">
      <c r="L4257" s="2"/>
      <c r="M4257" s="2"/>
      <c r="N4257" s="650"/>
      <c r="O4257" s="650"/>
      <c r="P4257" s="651"/>
      <c r="Q4257" s="651"/>
      <c r="R4257" s="651"/>
      <c r="S4257" s="651"/>
    </row>
    <row r="4258" spans="12:19" ht="15.75" customHeight="1" x14ac:dyDescent="0.35">
      <c r="L4258" s="2"/>
      <c r="M4258" s="2"/>
      <c r="N4258" s="650"/>
      <c r="O4258" s="650"/>
      <c r="P4258" s="651"/>
      <c r="Q4258" s="651"/>
      <c r="R4258" s="651"/>
      <c r="S4258" s="651"/>
    </row>
    <row r="4259" spans="12:19" ht="15.75" customHeight="1" x14ac:dyDescent="0.35">
      <c r="L4259" s="2"/>
      <c r="M4259" s="2"/>
      <c r="N4259" s="650"/>
      <c r="O4259" s="650"/>
      <c r="P4259" s="651"/>
      <c r="Q4259" s="651"/>
      <c r="R4259" s="651"/>
      <c r="S4259" s="651"/>
    </row>
    <row r="4260" spans="12:19" ht="15.75" customHeight="1" x14ac:dyDescent="0.35">
      <c r="L4260" s="2"/>
      <c r="M4260" s="2"/>
      <c r="N4260" s="650"/>
      <c r="O4260" s="650"/>
      <c r="P4260" s="651"/>
      <c r="Q4260" s="651"/>
      <c r="R4260" s="651"/>
      <c r="S4260" s="651"/>
    </row>
    <row r="4261" spans="12:19" ht="15.75" customHeight="1" x14ac:dyDescent="0.35">
      <c r="L4261" s="2"/>
      <c r="M4261" s="2"/>
      <c r="N4261" s="650"/>
      <c r="O4261" s="650"/>
      <c r="P4261" s="651"/>
      <c r="Q4261" s="651"/>
      <c r="R4261" s="651"/>
      <c r="S4261" s="651"/>
    </row>
    <row r="4262" spans="12:19" ht="15.75" customHeight="1" x14ac:dyDescent="0.35">
      <c r="L4262" s="2"/>
      <c r="M4262" s="2"/>
      <c r="N4262" s="650"/>
      <c r="O4262" s="650"/>
      <c r="P4262" s="651"/>
      <c r="Q4262" s="651"/>
      <c r="R4262" s="651"/>
      <c r="S4262" s="651"/>
    </row>
    <row r="4263" spans="12:19" ht="15.75" customHeight="1" x14ac:dyDescent="0.35">
      <c r="L4263" s="2"/>
      <c r="M4263" s="2"/>
      <c r="N4263" s="650"/>
      <c r="O4263" s="650"/>
      <c r="P4263" s="651"/>
      <c r="Q4263" s="651"/>
      <c r="R4263" s="651"/>
      <c r="S4263" s="651"/>
    </row>
    <row r="4264" spans="12:19" ht="15.75" customHeight="1" x14ac:dyDescent="0.35">
      <c r="L4264" s="2"/>
      <c r="M4264" s="2"/>
      <c r="N4264" s="650"/>
      <c r="O4264" s="650"/>
      <c r="P4264" s="651"/>
      <c r="Q4264" s="651"/>
      <c r="R4264" s="651"/>
      <c r="S4264" s="651"/>
    </row>
    <row r="4265" spans="12:19" ht="15.75" customHeight="1" x14ac:dyDescent="0.35">
      <c r="L4265" s="2"/>
      <c r="M4265" s="2"/>
      <c r="N4265" s="650"/>
      <c r="O4265" s="650"/>
      <c r="P4265" s="651"/>
      <c r="Q4265" s="651"/>
      <c r="R4265" s="651"/>
      <c r="S4265" s="651"/>
    </row>
    <row r="4266" spans="12:19" ht="15.75" customHeight="1" x14ac:dyDescent="0.35">
      <c r="L4266" s="2"/>
      <c r="M4266" s="2"/>
      <c r="N4266" s="650"/>
      <c r="O4266" s="650"/>
      <c r="P4266" s="651"/>
      <c r="Q4266" s="651"/>
      <c r="R4266" s="651"/>
      <c r="S4266" s="651"/>
    </row>
    <row r="4267" spans="12:19" ht="15.75" customHeight="1" x14ac:dyDescent="0.35">
      <c r="L4267" s="2"/>
      <c r="M4267" s="2"/>
      <c r="N4267" s="650"/>
      <c r="O4267" s="650"/>
      <c r="P4267" s="651"/>
      <c r="Q4267" s="651"/>
      <c r="R4267" s="651"/>
      <c r="S4267" s="651"/>
    </row>
    <row r="4268" spans="12:19" ht="15.75" customHeight="1" x14ac:dyDescent="0.35">
      <c r="L4268" s="2"/>
      <c r="M4268" s="2"/>
      <c r="N4268" s="650"/>
      <c r="O4268" s="650"/>
      <c r="P4268" s="651"/>
      <c r="Q4268" s="651"/>
      <c r="R4268" s="651"/>
      <c r="S4268" s="651"/>
    </row>
    <row r="4269" spans="12:19" ht="15.75" customHeight="1" x14ac:dyDescent="0.35">
      <c r="L4269" s="2"/>
      <c r="M4269" s="2"/>
      <c r="N4269" s="650"/>
      <c r="O4269" s="650"/>
      <c r="P4269" s="651"/>
      <c r="Q4269" s="651"/>
      <c r="R4269" s="651"/>
      <c r="S4269" s="651"/>
    </row>
    <row r="4270" spans="12:19" ht="15.75" customHeight="1" x14ac:dyDescent="0.35">
      <c r="L4270" s="2"/>
      <c r="M4270" s="2"/>
      <c r="N4270" s="650"/>
      <c r="O4270" s="650"/>
      <c r="P4270" s="651"/>
      <c r="Q4270" s="651"/>
      <c r="R4270" s="651"/>
      <c r="S4270" s="651"/>
    </row>
    <row r="4271" spans="12:19" ht="15.75" customHeight="1" x14ac:dyDescent="0.35">
      <c r="L4271" s="2"/>
      <c r="M4271" s="2"/>
      <c r="N4271" s="650"/>
      <c r="O4271" s="650"/>
      <c r="P4271" s="651"/>
      <c r="Q4271" s="651"/>
      <c r="R4271" s="651"/>
      <c r="S4271" s="651"/>
    </row>
    <row r="4272" spans="12:19" ht="15.75" customHeight="1" x14ac:dyDescent="0.35">
      <c r="L4272" s="2"/>
      <c r="M4272" s="2"/>
      <c r="N4272" s="650"/>
      <c r="O4272" s="650"/>
      <c r="P4272" s="651"/>
      <c r="Q4272" s="651"/>
      <c r="R4272" s="651"/>
      <c r="S4272" s="651"/>
    </row>
    <row r="4273" spans="12:19" ht="15.75" customHeight="1" x14ac:dyDescent="0.35">
      <c r="L4273" s="2"/>
      <c r="M4273" s="2"/>
      <c r="N4273" s="650"/>
      <c r="O4273" s="650"/>
      <c r="P4273" s="651"/>
      <c r="Q4273" s="651"/>
      <c r="R4273" s="651"/>
      <c r="S4273" s="651"/>
    </row>
    <row r="4274" spans="12:19" ht="15.75" customHeight="1" x14ac:dyDescent="0.35">
      <c r="L4274" s="2"/>
      <c r="M4274" s="2"/>
      <c r="N4274" s="650"/>
      <c r="O4274" s="650"/>
      <c r="P4274" s="651"/>
      <c r="Q4274" s="651"/>
      <c r="R4274" s="651"/>
      <c r="S4274" s="651"/>
    </row>
    <row r="4275" spans="12:19" ht="15.75" customHeight="1" x14ac:dyDescent="0.35">
      <c r="L4275" s="2"/>
      <c r="M4275" s="2"/>
      <c r="N4275" s="650"/>
      <c r="O4275" s="650"/>
      <c r="P4275" s="651"/>
      <c r="Q4275" s="651"/>
      <c r="R4275" s="651"/>
      <c r="S4275" s="651"/>
    </row>
    <row r="4276" spans="12:19" ht="15.75" customHeight="1" x14ac:dyDescent="0.35">
      <c r="L4276" s="2"/>
      <c r="M4276" s="2"/>
      <c r="N4276" s="650"/>
      <c r="O4276" s="650"/>
      <c r="P4276" s="651"/>
      <c r="Q4276" s="651"/>
      <c r="R4276" s="651"/>
      <c r="S4276" s="651"/>
    </row>
    <row r="4277" spans="12:19" ht="15.75" customHeight="1" x14ac:dyDescent="0.35">
      <c r="L4277" s="2"/>
      <c r="M4277" s="2"/>
      <c r="N4277" s="650"/>
      <c r="O4277" s="650"/>
      <c r="P4277" s="651"/>
      <c r="Q4277" s="651"/>
      <c r="R4277" s="651"/>
      <c r="S4277" s="651"/>
    </row>
    <row r="4278" spans="12:19" ht="15.75" customHeight="1" x14ac:dyDescent="0.35">
      <c r="L4278" s="2"/>
      <c r="M4278" s="2"/>
      <c r="N4278" s="650"/>
      <c r="O4278" s="650"/>
      <c r="P4278" s="651"/>
      <c r="Q4278" s="651"/>
      <c r="R4278" s="651"/>
      <c r="S4278" s="651"/>
    </row>
    <row r="4279" spans="12:19" ht="15.75" customHeight="1" x14ac:dyDescent="0.35">
      <c r="L4279" s="2"/>
      <c r="M4279" s="2"/>
      <c r="N4279" s="650"/>
      <c r="O4279" s="650"/>
      <c r="P4279" s="651"/>
      <c r="Q4279" s="651"/>
      <c r="R4279" s="651"/>
      <c r="S4279" s="651"/>
    </row>
    <row r="4280" spans="12:19" ht="15.75" customHeight="1" x14ac:dyDescent="0.35">
      <c r="L4280" s="2"/>
      <c r="M4280" s="2"/>
      <c r="N4280" s="650"/>
      <c r="O4280" s="650"/>
      <c r="P4280" s="651"/>
      <c r="Q4280" s="651"/>
      <c r="R4280" s="651"/>
      <c r="S4280" s="651"/>
    </row>
    <row r="4281" spans="12:19" ht="15.75" customHeight="1" x14ac:dyDescent="0.35">
      <c r="L4281" s="2"/>
      <c r="M4281" s="2"/>
      <c r="N4281" s="650"/>
      <c r="O4281" s="650"/>
      <c r="P4281" s="651"/>
      <c r="Q4281" s="651"/>
      <c r="R4281" s="651"/>
      <c r="S4281" s="651"/>
    </row>
    <row r="4282" spans="12:19" ht="15.75" customHeight="1" x14ac:dyDescent="0.35">
      <c r="L4282" s="2"/>
      <c r="M4282" s="2"/>
      <c r="N4282" s="650"/>
      <c r="O4282" s="650"/>
      <c r="P4282" s="651"/>
      <c r="Q4282" s="651"/>
      <c r="R4282" s="651"/>
      <c r="S4282" s="651"/>
    </row>
    <row r="4283" spans="12:19" ht="15.75" customHeight="1" x14ac:dyDescent="0.35">
      <c r="L4283" s="2"/>
      <c r="M4283" s="2"/>
      <c r="N4283" s="650"/>
      <c r="O4283" s="650"/>
      <c r="P4283" s="651"/>
      <c r="Q4283" s="651"/>
      <c r="R4283" s="651"/>
      <c r="S4283" s="651"/>
    </row>
    <row r="4284" spans="12:19" ht="15.75" customHeight="1" x14ac:dyDescent="0.35">
      <c r="L4284" s="2"/>
      <c r="M4284" s="2"/>
      <c r="N4284" s="650"/>
      <c r="O4284" s="650"/>
      <c r="P4284" s="651"/>
      <c r="Q4284" s="651"/>
      <c r="R4284" s="651"/>
      <c r="S4284" s="651"/>
    </row>
    <row r="4285" spans="12:19" ht="15.75" customHeight="1" x14ac:dyDescent="0.35">
      <c r="L4285" s="2"/>
      <c r="M4285" s="2"/>
      <c r="N4285" s="650"/>
      <c r="O4285" s="650"/>
      <c r="P4285" s="651"/>
      <c r="Q4285" s="651"/>
      <c r="R4285" s="651"/>
      <c r="S4285" s="651"/>
    </row>
    <row r="4286" spans="12:19" ht="15.75" customHeight="1" x14ac:dyDescent="0.35">
      <c r="L4286" s="2"/>
      <c r="M4286" s="2"/>
      <c r="N4286" s="650"/>
      <c r="O4286" s="650"/>
      <c r="P4286" s="651"/>
      <c r="Q4286" s="651"/>
      <c r="R4286" s="651"/>
      <c r="S4286" s="651"/>
    </row>
    <row r="4287" spans="12:19" ht="15.75" customHeight="1" x14ac:dyDescent="0.35">
      <c r="L4287" s="2"/>
      <c r="M4287" s="2"/>
      <c r="N4287" s="650"/>
      <c r="O4287" s="650"/>
      <c r="P4287" s="651"/>
      <c r="Q4287" s="651"/>
      <c r="R4287" s="651"/>
      <c r="S4287" s="651"/>
    </row>
    <row r="4288" spans="12:19" ht="15.75" customHeight="1" x14ac:dyDescent="0.35">
      <c r="L4288" s="2"/>
      <c r="M4288" s="2"/>
      <c r="N4288" s="650"/>
      <c r="O4288" s="650"/>
      <c r="P4288" s="651"/>
      <c r="Q4288" s="651"/>
      <c r="R4288" s="651"/>
      <c r="S4288" s="651"/>
    </row>
    <row r="4289" spans="12:19" ht="15.75" customHeight="1" x14ac:dyDescent="0.35">
      <c r="L4289" s="2"/>
      <c r="M4289" s="2"/>
      <c r="N4289" s="650"/>
      <c r="O4289" s="650"/>
      <c r="P4289" s="651"/>
      <c r="Q4289" s="651"/>
      <c r="R4289" s="651"/>
      <c r="S4289" s="651"/>
    </row>
    <row r="4290" spans="12:19" ht="15.75" customHeight="1" x14ac:dyDescent="0.35">
      <c r="L4290" s="2"/>
      <c r="M4290" s="2"/>
      <c r="N4290" s="650"/>
      <c r="O4290" s="650"/>
      <c r="P4290" s="651"/>
      <c r="Q4290" s="651"/>
      <c r="R4290" s="651"/>
      <c r="S4290" s="651"/>
    </row>
    <row r="4291" spans="12:19" ht="15.75" customHeight="1" x14ac:dyDescent="0.35">
      <c r="L4291" s="2"/>
      <c r="M4291" s="2"/>
      <c r="N4291" s="650"/>
      <c r="O4291" s="650"/>
      <c r="P4291" s="651"/>
      <c r="Q4291" s="651"/>
      <c r="R4291" s="651"/>
      <c r="S4291" s="651"/>
    </row>
    <row r="4292" spans="12:19" ht="15.75" customHeight="1" x14ac:dyDescent="0.35">
      <c r="L4292" s="2"/>
      <c r="M4292" s="2"/>
      <c r="N4292" s="650"/>
      <c r="O4292" s="650"/>
      <c r="P4292" s="651"/>
      <c r="Q4292" s="651"/>
      <c r="R4292" s="651"/>
      <c r="S4292" s="651"/>
    </row>
    <row r="4293" spans="12:19" ht="15.75" customHeight="1" x14ac:dyDescent="0.35">
      <c r="L4293" s="2"/>
      <c r="M4293" s="2"/>
      <c r="N4293" s="650"/>
      <c r="O4293" s="650"/>
      <c r="P4293" s="651"/>
      <c r="Q4293" s="651"/>
      <c r="R4293" s="651"/>
      <c r="S4293" s="651"/>
    </row>
    <row r="4294" spans="12:19" ht="15.75" customHeight="1" x14ac:dyDescent="0.35">
      <c r="L4294" s="2"/>
      <c r="M4294" s="2"/>
      <c r="N4294" s="650"/>
      <c r="O4294" s="650"/>
      <c r="P4294" s="651"/>
      <c r="Q4294" s="651"/>
      <c r="R4294" s="651"/>
      <c r="S4294" s="651"/>
    </row>
    <row r="4295" spans="12:19" ht="15.75" customHeight="1" x14ac:dyDescent="0.35">
      <c r="L4295" s="2"/>
      <c r="M4295" s="2"/>
      <c r="N4295" s="650"/>
      <c r="O4295" s="650"/>
      <c r="P4295" s="651"/>
      <c r="Q4295" s="651"/>
      <c r="R4295" s="651"/>
      <c r="S4295" s="651"/>
    </row>
    <row r="4296" spans="12:19" ht="15.75" customHeight="1" x14ac:dyDescent="0.35">
      <c r="L4296" s="2"/>
      <c r="M4296" s="2"/>
      <c r="N4296" s="650"/>
      <c r="O4296" s="650"/>
      <c r="P4296" s="651"/>
      <c r="Q4296" s="651"/>
      <c r="R4296" s="651"/>
      <c r="S4296" s="651"/>
    </row>
    <row r="4297" spans="12:19" ht="15.75" customHeight="1" x14ac:dyDescent="0.35">
      <c r="L4297" s="2"/>
      <c r="M4297" s="2"/>
      <c r="N4297" s="650"/>
      <c r="O4297" s="650"/>
      <c r="P4297" s="651"/>
      <c r="Q4297" s="651"/>
      <c r="R4297" s="651"/>
      <c r="S4297" s="651"/>
    </row>
    <row r="4298" spans="12:19" ht="15.75" customHeight="1" x14ac:dyDescent="0.35">
      <c r="L4298" s="2"/>
      <c r="M4298" s="2"/>
      <c r="N4298" s="650"/>
      <c r="O4298" s="650"/>
      <c r="P4298" s="651"/>
      <c r="Q4298" s="651"/>
      <c r="R4298" s="651"/>
      <c r="S4298" s="651"/>
    </row>
    <row r="4299" spans="12:19" ht="15.75" customHeight="1" x14ac:dyDescent="0.35">
      <c r="L4299" s="2"/>
      <c r="M4299" s="2"/>
      <c r="N4299" s="650"/>
      <c r="O4299" s="650"/>
      <c r="P4299" s="651"/>
      <c r="Q4299" s="651"/>
      <c r="R4299" s="651"/>
      <c r="S4299" s="651"/>
    </row>
    <row r="4300" spans="12:19" ht="15.75" customHeight="1" x14ac:dyDescent="0.35">
      <c r="L4300" s="2"/>
      <c r="M4300" s="2"/>
      <c r="N4300" s="650"/>
      <c r="O4300" s="650"/>
      <c r="P4300" s="651"/>
      <c r="Q4300" s="651"/>
      <c r="R4300" s="651"/>
      <c r="S4300" s="651"/>
    </row>
    <row r="4301" spans="12:19" ht="15.75" customHeight="1" x14ac:dyDescent="0.35">
      <c r="L4301" s="2"/>
      <c r="M4301" s="2"/>
      <c r="N4301" s="650"/>
      <c r="O4301" s="650"/>
      <c r="P4301" s="651"/>
      <c r="Q4301" s="651"/>
      <c r="R4301" s="651"/>
      <c r="S4301" s="651"/>
    </row>
    <row r="4302" spans="12:19" ht="15.75" customHeight="1" x14ac:dyDescent="0.35">
      <c r="L4302" s="2"/>
      <c r="M4302" s="2"/>
      <c r="N4302" s="650"/>
      <c r="O4302" s="650"/>
      <c r="P4302" s="651"/>
      <c r="Q4302" s="651"/>
      <c r="R4302" s="651"/>
      <c r="S4302" s="651"/>
    </row>
    <row r="4303" spans="12:19" ht="15.75" customHeight="1" x14ac:dyDescent="0.35">
      <c r="L4303" s="2"/>
      <c r="M4303" s="2"/>
      <c r="N4303" s="650"/>
      <c r="O4303" s="650"/>
      <c r="P4303" s="651"/>
      <c r="Q4303" s="651"/>
      <c r="R4303" s="651"/>
      <c r="S4303" s="651"/>
    </row>
    <row r="4304" spans="12:19" ht="15.75" customHeight="1" x14ac:dyDescent="0.35">
      <c r="L4304" s="2"/>
      <c r="M4304" s="2"/>
      <c r="N4304" s="650"/>
      <c r="O4304" s="650"/>
      <c r="P4304" s="651"/>
      <c r="Q4304" s="651"/>
      <c r="R4304" s="651"/>
      <c r="S4304" s="651"/>
    </row>
    <row r="4305" spans="12:19" ht="15.75" customHeight="1" x14ac:dyDescent="0.35">
      <c r="L4305" s="2"/>
      <c r="M4305" s="2"/>
      <c r="N4305" s="650"/>
      <c r="O4305" s="650"/>
      <c r="P4305" s="651"/>
      <c r="Q4305" s="651"/>
      <c r="R4305" s="651"/>
      <c r="S4305" s="651"/>
    </row>
    <row r="4306" spans="12:19" ht="15.75" customHeight="1" x14ac:dyDescent="0.35">
      <c r="L4306" s="2"/>
      <c r="M4306" s="2"/>
      <c r="N4306" s="650"/>
      <c r="O4306" s="650"/>
      <c r="P4306" s="651"/>
      <c r="Q4306" s="651"/>
      <c r="R4306" s="651"/>
      <c r="S4306" s="651"/>
    </row>
    <row r="4307" spans="12:19" ht="15.75" customHeight="1" x14ac:dyDescent="0.35">
      <c r="L4307" s="2"/>
      <c r="M4307" s="2"/>
      <c r="N4307" s="650"/>
      <c r="O4307" s="650"/>
      <c r="P4307" s="651"/>
      <c r="Q4307" s="651"/>
      <c r="R4307" s="651"/>
      <c r="S4307" s="651"/>
    </row>
    <row r="4308" spans="12:19" ht="15.75" customHeight="1" x14ac:dyDescent="0.35">
      <c r="L4308" s="2"/>
      <c r="M4308" s="2"/>
      <c r="N4308" s="650"/>
      <c r="O4308" s="650"/>
      <c r="P4308" s="651"/>
      <c r="Q4308" s="651"/>
      <c r="R4308" s="651"/>
      <c r="S4308" s="651"/>
    </row>
    <row r="4309" spans="12:19" ht="15.75" customHeight="1" x14ac:dyDescent="0.35">
      <c r="L4309" s="2"/>
      <c r="M4309" s="2"/>
      <c r="N4309" s="650"/>
      <c r="O4309" s="650"/>
      <c r="P4309" s="651"/>
      <c r="Q4309" s="651"/>
      <c r="R4309" s="651"/>
      <c r="S4309" s="651"/>
    </row>
    <row r="4310" spans="12:19" ht="15.75" customHeight="1" x14ac:dyDescent="0.35">
      <c r="L4310" s="2"/>
      <c r="M4310" s="2"/>
      <c r="N4310" s="650"/>
      <c r="O4310" s="650"/>
      <c r="P4310" s="651"/>
      <c r="Q4310" s="651"/>
      <c r="R4310" s="651"/>
      <c r="S4310" s="651"/>
    </row>
    <row r="4311" spans="12:19" ht="15.75" customHeight="1" x14ac:dyDescent="0.35">
      <c r="L4311" s="2"/>
      <c r="M4311" s="2"/>
      <c r="N4311" s="650"/>
      <c r="O4311" s="650"/>
      <c r="P4311" s="651"/>
      <c r="Q4311" s="651"/>
      <c r="R4311" s="651"/>
      <c r="S4311" s="651"/>
    </row>
    <row r="4312" spans="12:19" ht="15.75" customHeight="1" x14ac:dyDescent="0.35">
      <c r="L4312" s="2"/>
      <c r="M4312" s="2"/>
      <c r="N4312" s="650"/>
      <c r="O4312" s="650"/>
      <c r="P4312" s="651"/>
      <c r="Q4312" s="651"/>
      <c r="R4312" s="651"/>
      <c r="S4312" s="651"/>
    </row>
    <row r="4313" spans="12:19" ht="15.75" customHeight="1" x14ac:dyDescent="0.35">
      <c r="L4313" s="2"/>
      <c r="M4313" s="2"/>
      <c r="N4313" s="650"/>
      <c r="O4313" s="650"/>
      <c r="P4313" s="651"/>
      <c r="Q4313" s="651"/>
      <c r="R4313" s="651"/>
      <c r="S4313" s="651"/>
    </row>
    <row r="4314" spans="12:19" ht="15.75" customHeight="1" x14ac:dyDescent="0.35">
      <c r="L4314" s="2"/>
      <c r="M4314" s="2"/>
      <c r="N4314" s="650"/>
      <c r="O4314" s="650"/>
      <c r="P4314" s="651"/>
      <c r="Q4314" s="651"/>
      <c r="R4314" s="651"/>
      <c r="S4314" s="651"/>
    </row>
    <row r="4315" spans="12:19" ht="15.75" customHeight="1" x14ac:dyDescent="0.35">
      <c r="L4315" s="2"/>
      <c r="M4315" s="2"/>
      <c r="N4315" s="650"/>
      <c r="O4315" s="650"/>
      <c r="P4315" s="651"/>
      <c r="Q4315" s="651"/>
      <c r="R4315" s="651"/>
      <c r="S4315" s="651"/>
    </row>
    <row r="4316" spans="12:19" ht="15.75" customHeight="1" x14ac:dyDescent="0.35">
      <c r="L4316" s="2"/>
      <c r="M4316" s="2"/>
      <c r="N4316" s="650"/>
      <c r="O4316" s="650"/>
      <c r="P4316" s="651"/>
      <c r="Q4316" s="651"/>
      <c r="R4316" s="651"/>
      <c r="S4316" s="651"/>
    </row>
    <row r="4317" spans="12:19" ht="15.75" customHeight="1" x14ac:dyDescent="0.35">
      <c r="L4317" s="2"/>
      <c r="M4317" s="2"/>
      <c r="N4317" s="650"/>
      <c r="O4317" s="650"/>
      <c r="P4317" s="651"/>
      <c r="Q4317" s="651"/>
      <c r="R4317" s="651"/>
      <c r="S4317" s="651"/>
    </row>
    <row r="4318" spans="12:19" ht="15.75" customHeight="1" x14ac:dyDescent="0.35">
      <c r="L4318" s="2"/>
      <c r="M4318" s="2"/>
      <c r="N4318" s="650"/>
      <c r="O4318" s="650"/>
      <c r="P4318" s="651"/>
      <c r="Q4318" s="651"/>
      <c r="R4318" s="651"/>
      <c r="S4318" s="651"/>
    </row>
    <row r="4319" spans="12:19" ht="15.75" customHeight="1" x14ac:dyDescent="0.35">
      <c r="L4319" s="2"/>
      <c r="M4319" s="2"/>
      <c r="N4319" s="650"/>
      <c r="O4319" s="650"/>
      <c r="P4319" s="651"/>
      <c r="Q4319" s="651"/>
      <c r="R4319" s="651"/>
      <c r="S4319" s="651"/>
    </row>
    <row r="4320" spans="12:19" ht="15.75" customHeight="1" x14ac:dyDescent="0.35">
      <c r="L4320" s="2"/>
      <c r="M4320" s="2"/>
      <c r="N4320" s="650"/>
      <c r="O4320" s="650"/>
      <c r="P4320" s="651"/>
      <c r="Q4320" s="651"/>
      <c r="R4320" s="651"/>
      <c r="S4320" s="651"/>
    </row>
    <row r="4321" spans="12:19" ht="15.75" customHeight="1" x14ac:dyDescent="0.35">
      <c r="L4321" s="2"/>
      <c r="M4321" s="2"/>
      <c r="N4321" s="650"/>
      <c r="O4321" s="650"/>
      <c r="P4321" s="651"/>
      <c r="Q4321" s="651"/>
      <c r="R4321" s="651"/>
      <c r="S4321" s="651"/>
    </row>
    <row r="4322" spans="12:19" ht="15.75" customHeight="1" x14ac:dyDescent="0.35">
      <c r="L4322" s="2"/>
      <c r="M4322" s="2"/>
      <c r="N4322" s="650"/>
      <c r="O4322" s="650"/>
      <c r="P4322" s="651"/>
      <c r="Q4322" s="651"/>
      <c r="R4322" s="651"/>
      <c r="S4322" s="651"/>
    </row>
    <row r="4323" spans="12:19" ht="15.75" customHeight="1" x14ac:dyDescent="0.35">
      <c r="L4323" s="2"/>
      <c r="M4323" s="2"/>
      <c r="N4323" s="650"/>
      <c r="O4323" s="650"/>
      <c r="P4323" s="651"/>
      <c r="Q4323" s="651"/>
      <c r="R4323" s="651"/>
      <c r="S4323" s="651"/>
    </row>
    <row r="4324" spans="12:19" ht="15.75" customHeight="1" x14ac:dyDescent="0.35">
      <c r="L4324" s="2"/>
      <c r="M4324" s="2"/>
      <c r="N4324" s="650"/>
      <c r="O4324" s="650"/>
      <c r="P4324" s="651"/>
      <c r="Q4324" s="651"/>
      <c r="R4324" s="651"/>
      <c r="S4324" s="651"/>
    </row>
    <row r="4325" spans="12:19" ht="15.75" customHeight="1" x14ac:dyDescent="0.35">
      <c r="L4325" s="2"/>
      <c r="M4325" s="2"/>
      <c r="N4325" s="650"/>
      <c r="O4325" s="650"/>
      <c r="P4325" s="651"/>
      <c r="Q4325" s="651"/>
      <c r="R4325" s="651"/>
      <c r="S4325" s="651"/>
    </row>
    <row r="4326" spans="12:19" ht="15.75" customHeight="1" x14ac:dyDescent="0.35">
      <c r="L4326" s="2"/>
      <c r="M4326" s="2"/>
      <c r="N4326" s="650"/>
      <c r="O4326" s="650"/>
      <c r="P4326" s="651"/>
      <c r="Q4326" s="651"/>
      <c r="R4326" s="651"/>
      <c r="S4326" s="651"/>
    </row>
    <row r="4327" spans="12:19" ht="15.75" customHeight="1" x14ac:dyDescent="0.35">
      <c r="L4327" s="2"/>
      <c r="M4327" s="2"/>
      <c r="N4327" s="650"/>
      <c r="O4327" s="650"/>
      <c r="P4327" s="651"/>
      <c r="Q4327" s="651"/>
      <c r="R4327" s="651"/>
      <c r="S4327" s="651"/>
    </row>
    <row r="4328" spans="12:19" ht="15.75" customHeight="1" x14ac:dyDescent="0.35">
      <c r="L4328" s="2"/>
      <c r="M4328" s="2"/>
      <c r="N4328" s="650"/>
      <c r="O4328" s="650"/>
      <c r="P4328" s="651"/>
      <c r="Q4328" s="651"/>
      <c r="R4328" s="651"/>
      <c r="S4328" s="651"/>
    </row>
    <row r="4329" spans="12:19" ht="15.75" customHeight="1" x14ac:dyDescent="0.35">
      <c r="L4329" s="2"/>
      <c r="M4329" s="2"/>
      <c r="N4329" s="650"/>
      <c r="O4329" s="650"/>
      <c r="P4329" s="651"/>
      <c r="Q4329" s="651"/>
      <c r="R4329" s="651"/>
      <c r="S4329" s="651"/>
    </row>
    <row r="4330" spans="12:19" ht="15.75" customHeight="1" x14ac:dyDescent="0.35">
      <c r="L4330" s="2"/>
      <c r="M4330" s="2"/>
      <c r="N4330" s="650"/>
      <c r="O4330" s="650"/>
      <c r="P4330" s="651"/>
      <c r="Q4330" s="651"/>
      <c r="R4330" s="651"/>
      <c r="S4330" s="651"/>
    </row>
    <row r="4331" spans="12:19" ht="15.75" customHeight="1" x14ac:dyDescent="0.35">
      <c r="L4331" s="2"/>
      <c r="M4331" s="2"/>
      <c r="N4331" s="650"/>
      <c r="O4331" s="650"/>
      <c r="P4331" s="651"/>
      <c r="Q4331" s="651"/>
      <c r="R4331" s="651"/>
      <c r="S4331" s="651"/>
    </row>
    <row r="4332" spans="12:19" ht="15.75" customHeight="1" x14ac:dyDescent="0.35">
      <c r="L4332" s="2"/>
      <c r="M4332" s="2"/>
      <c r="N4332" s="650"/>
      <c r="O4332" s="650"/>
      <c r="P4332" s="651"/>
      <c r="Q4332" s="651"/>
      <c r="R4332" s="651"/>
      <c r="S4332" s="651"/>
    </row>
    <row r="4333" spans="12:19" ht="15.75" customHeight="1" x14ac:dyDescent="0.35">
      <c r="L4333" s="2"/>
      <c r="M4333" s="2"/>
      <c r="N4333" s="650"/>
      <c r="O4333" s="650"/>
      <c r="P4333" s="651"/>
      <c r="Q4333" s="651"/>
      <c r="R4333" s="651"/>
      <c r="S4333" s="651"/>
    </row>
    <row r="4334" spans="12:19" ht="15.75" customHeight="1" x14ac:dyDescent="0.35">
      <c r="L4334" s="2"/>
      <c r="M4334" s="2"/>
      <c r="N4334" s="650"/>
      <c r="O4334" s="650"/>
      <c r="P4334" s="651"/>
      <c r="Q4334" s="651"/>
      <c r="R4334" s="651"/>
      <c r="S4334" s="651"/>
    </row>
    <row r="4335" spans="12:19" ht="15.75" customHeight="1" x14ac:dyDescent="0.35">
      <c r="L4335" s="2"/>
      <c r="M4335" s="2"/>
      <c r="N4335" s="650"/>
      <c r="O4335" s="650"/>
      <c r="P4335" s="651"/>
      <c r="Q4335" s="651"/>
      <c r="R4335" s="651"/>
      <c r="S4335" s="651"/>
    </row>
    <row r="4336" spans="12:19" ht="15.75" customHeight="1" x14ac:dyDescent="0.35">
      <c r="L4336" s="2"/>
      <c r="M4336" s="2"/>
      <c r="N4336" s="650"/>
      <c r="O4336" s="650"/>
      <c r="P4336" s="651"/>
      <c r="Q4336" s="651"/>
      <c r="R4336" s="651"/>
      <c r="S4336" s="651"/>
    </row>
    <row r="4337" spans="12:19" ht="15.75" customHeight="1" x14ac:dyDescent="0.35">
      <c r="L4337" s="2"/>
      <c r="M4337" s="2"/>
      <c r="N4337" s="650"/>
      <c r="O4337" s="650"/>
      <c r="P4337" s="651"/>
      <c r="Q4337" s="651"/>
      <c r="R4337" s="651"/>
      <c r="S4337" s="651"/>
    </row>
    <row r="4338" spans="12:19" ht="15.75" customHeight="1" x14ac:dyDescent="0.35">
      <c r="L4338" s="2"/>
      <c r="M4338" s="2"/>
      <c r="N4338" s="650"/>
      <c r="O4338" s="650"/>
      <c r="P4338" s="651"/>
      <c r="Q4338" s="651"/>
      <c r="R4338" s="651"/>
      <c r="S4338" s="651"/>
    </row>
    <row r="4339" spans="12:19" ht="15.75" customHeight="1" x14ac:dyDescent="0.35">
      <c r="L4339" s="2"/>
      <c r="M4339" s="2"/>
      <c r="N4339" s="650"/>
      <c r="O4339" s="650"/>
      <c r="P4339" s="651"/>
      <c r="Q4339" s="651"/>
      <c r="R4339" s="651"/>
      <c r="S4339" s="651"/>
    </row>
    <row r="4340" spans="12:19" ht="15.75" customHeight="1" x14ac:dyDescent="0.35">
      <c r="L4340" s="2"/>
      <c r="M4340" s="2"/>
      <c r="N4340" s="650"/>
      <c r="O4340" s="650"/>
      <c r="P4340" s="651"/>
      <c r="Q4340" s="651"/>
      <c r="R4340" s="651"/>
      <c r="S4340" s="651"/>
    </row>
    <row r="4341" spans="12:19" ht="15.75" customHeight="1" x14ac:dyDescent="0.35">
      <c r="L4341" s="2"/>
      <c r="M4341" s="2"/>
      <c r="N4341" s="650"/>
      <c r="O4341" s="650"/>
      <c r="P4341" s="651"/>
      <c r="Q4341" s="651"/>
      <c r="R4341" s="651"/>
      <c r="S4341" s="651"/>
    </row>
    <row r="4342" spans="12:19" ht="15.75" customHeight="1" x14ac:dyDescent="0.35">
      <c r="L4342" s="2"/>
      <c r="M4342" s="2"/>
      <c r="N4342" s="650"/>
      <c r="O4342" s="650"/>
      <c r="P4342" s="651"/>
      <c r="Q4342" s="651"/>
      <c r="R4342" s="651"/>
      <c r="S4342" s="651"/>
    </row>
    <row r="4343" spans="12:19" ht="15.75" customHeight="1" x14ac:dyDescent="0.35">
      <c r="L4343" s="2"/>
      <c r="M4343" s="2"/>
      <c r="N4343" s="650"/>
      <c r="O4343" s="650"/>
      <c r="P4343" s="651"/>
      <c r="Q4343" s="651"/>
      <c r="R4343" s="651"/>
      <c r="S4343" s="651"/>
    </row>
    <row r="4344" spans="12:19" ht="15.75" customHeight="1" x14ac:dyDescent="0.35">
      <c r="L4344" s="2"/>
      <c r="M4344" s="2"/>
      <c r="N4344" s="650"/>
      <c r="O4344" s="650"/>
      <c r="P4344" s="651"/>
      <c r="Q4344" s="651"/>
      <c r="R4344" s="651"/>
      <c r="S4344" s="651"/>
    </row>
    <row r="4345" spans="12:19" ht="15.75" customHeight="1" x14ac:dyDescent="0.35">
      <c r="L4345" s="2"/>
      <c r="M4345" s="2"/>
      <c r="N4345" s="650"/>
      <c r="O4345" s="650"/>
      <c r="P4345" s="651"/>
      <c r="Q4345" s="651"/>
      <c r="R4345" s="651"/>
      <c r="S4345" s="651"/>
    </row>
    <row r="4346" spans="12:19" ht="15.75" customHeight="1" x14ac:dyDescent="0.35">
      <c r="L4346" s="2"/>
      <c r="M4346" s="2"/>
      <c r="N4346" s="650"/>
      <c r="O4346" s="650"/>
      <c r="P4346" s="651"/>
      <c r="Q4346" s="651"/>
      <c r="R4346" s="651"/>
      <c r="S4346" s="651"/>
    </row>
    <row r="4347" spans="12:19" ht="15.75" customHeight="1" x14ac:dyDescent="0.35">
      <c r="L4347" s="2"/>
      <c r="M4347" s="2"/>
      <c r="N4347" s="650"/>
      <c r="O4347" s="650"/>
      <c r="P4347" s="651"/>
      <c r="Q4347" s="651"/>
      <c r="R4347" s="651"/>
      <c r="S4347" s="651"/>
    </row>
    <row r="4348" spans="12:19" ht="15.75" customHeight="1" x14ac:dyDescent="0.35">
      <c r="L4348" s="2"/>
      <c r="M4348" s="2"/>
      <c r="N4348" s="650"/>
      <c r="O4348" s="650"/>
      <c r="P4348" s="651"/>
      <c r="Q4348" s="651"/>
      <c r="R4348" s="651"/>
      <c r="S4348" s="651"/>
    </row>
    <row r="4349" spans="12:19" ht="15.75" customHeight="1" x14ac:dyDescent="0.35">
      <c r="L4349" s="2"/>
      <c r="M4349" s="2"/>
      <c r="N4349" s="650"/>
      <c r="O4349" s="650"/>
      <c r="P4349" s="651"/>
      <c r="Q4349" s="651"/>
      <c r="R4349" s="651"/>
      <c r="S4349" s="651"/>
    </row>
    <row r="4350" spans="12:19" ht="15.75" customHeight="1" x14ac:dyDescent="0.35">
      <c r="L4350" s="2"/>
      <c r="M4350" s="2"/>
      <c r="N4350" s="650"/>
      <c r="O4350" s="650"/>
      <c r="P4350" s="651"/>
      <c r="Q4350" s="651"/>
      <c r="R4350" s="651"/>
      <c r="S4350" s="651"/>
    </row>
    <row r="4351" spans="12:19" ht="15.75" customHeight="1" x14ac:dyDescent="0.35">
      <c r="L4351" s="2"/>
      <c r="M4351" s="2"/>
      <c r="N4351" s="650"/>
      <c r="O4351" s="650"/>
      <c r="P4351" s="651"/>
      <c r="Q4351" s="651"/>
      <c r="R4351" s="651"/>
      <c r="S4351" s="651"/>
    </row>
    <row r="4352" spans="12:19" ht="15.75" customHeight="1" x14ac:dyDescent="0.35">
      <c r="L4352" s="2"/>
      <c r="M4352" s="2"/>
      <c r="N4352" s="650"/>
      <c r="O4352" s="650"/>
      <c r="P4352" s="651"/>
      <c r="Q4352" s="651"/>
      <c r="R4352" s="651"/>
      <c r="S4352" s="651"/>
    </row>
    <row r="4353" spans="12:19" ht="15.75" customHeight="1" x14ac:dyDescent="0.35">
      <c r="L4353" s="2"/>
      <c r="M4353" s="2"/>
      <c r="N4353" s="650"/>
      <c r="O4353" s="650"/>
      <c r="P4353" s="651"/>
      <c r="Q4353" s="651"/>
      <c r="R4353" s="651"/>
      <c r="S4353" s="651"/>
    </row>
    <row r="4354" spans="12:19" ht="15.75" customHeight="1" x14ac:dyDescent="0.35">
      <c r="L4354" s="2"/>
      <c r="M4354" s="2"/>
      <c r="N4354" s="650"/>
      <c r="O4354" s="650"/>
      <c r="P4354" s="651"/>
      <c r="Q4354" s="651"/>
      <c r="R4354" s="651"/>
      <c r="S4354" s="651"/>
    </row>
    <row r="4355" spans="12:19" ht="15.75" customHeight="1" x14ac:dyDescent="0.35">
      <c r="L4355" s="2"/>
      <c r="M4355" s="2"/>
      <c r="N4355" s="650"/>
      <c r="O4355" s="650"/>
      <c r="P4355" s="651"/>
      <c r="Q4355" s="651"/>
      <c r="R4355" s="651"/>
      <c r="S4355" s="651"/>
    </row>
    <row r="4356" spans="12:19" ht="15.75" customHeight="1" x14ac:dyDescent="0.35">
      <c r="L4356" s="2"/>
      <c r="M4356" s="2"/>
      <c r="N4356" s="650"/>
      <c r="O4356" s="650"/>
      <c r="P4356" s="651"/>
      <c r="Q4356" s="651"/>
      <c r="R4356" s="651"/>
      <c r="S4356" s="651"/>
    </row>
    <row r="4357" spans="12:19" ht="15.75" customHeight="1" x14ac:dyDescent="0.35">
      <c r="L4357" s="2"/>
      <c r="M4357" s="2"/>
      <c r="N4357" s="650"/>
      <c r="O4357" s="650"/>
      <c r="P4357" s="651"/>
      <c r="Q4357" s="651"/>
      <c r="R4357" s="651"/>
      <c r="S4357" s="651"/>
    </row>
    <row r="4358" spans="12:19" ht="15.75" customHeight="1" x14ac:dyDescent="0.35">
      <c r="L4358" s="2"/>
      <c r="M4358" s="2"/>
      <c r="N4358" s="650"/>
      <c r="O4358" s="650"/>
      <c r="P4358" s="651"/>
      <c r="Q4358" s="651"/>
      <c r="R4358" s="651"/>
      <c r="S4358" s="651"/>
    </row>
    <row r="4359" spans="12:19" ht="15.75" customHeight="1" x14ac:dyDescent="0.35">
      <c r="L4359" s="2"/>
      <c r="M4359" s="2"/>
      <c r="N4359" s="650"/>
      <c r="O4359" s="650"/>
      <c r="P4359" s="651"/>
      <c r="Q4359" s="651"/>
      <c r="R4359" s="651"/>
      <c r="S4359" s="651"/>
    </row>
    <row r="4360" spans="12:19" ht="15.75" customHeight="1" x14ac:dyDescent="0.35">
      <c r="L4360" s="2"/>
      <c r="M4360" s="2"/>
      <c r="N4360" s="650"/>
      <c r="O4360" s="650"/>
      <c r="P4360" s="651"/>
      <c r="Q4360" s="651"/>
      <c r="R4360" s="651"/>
      <c r="S4360" s="651"/>
    </row>
    <row r="4361" spans="12:19" ht="15.75" customHeight="1" x14ac:dyDescent="0.35">
      <c r="L4361" s="2"/>
      <c r="M4361" s="2"/>
      <c r="N4361" s="650"/>
      <c r="O4361" s="650"/>
      <c r="P4361" s="651"/>
      <c r="Q4361" s="651"/>
      <c r="R4361" s="651"/>
      <c r="S4361" s="651"/>
    </row>
    <row r="4362" spans="12:19" ht="15.75" customHeight="1" x14ac:dyDescent="0.35">
      <c r="L4362" s="2"/>
      <c r="M4362" s="2"/>
      <c r="N4362" s="650"/>
      <c r="O4362" s="650"/>
      <c r="P4362" s="651"/>
      <c r="Q4362" s="651"/>
      <c r="R4362" s="651"/>
      <c r="S4362" s="651"/>
    </row>
    <row r="4363" spans="12:19" ht="15.75" customHeight="1" x14ac:dyDescent="0.35">
      <c r="L4363" s="2"/>
      <c r="M4363" s="2"/>
      <c r="N4363" s="650"/>
      <c r="O4363" s="650"/>
      <c r="P4363" s="651"/>
      <c r="Q4363" s="651"/>
      <c r="R4363" s="651"/>
      <c r="S4363" s="651"/>
    </row>
    <row r="4364" spans="12:19" ht="15.75" customHeight="1" x14ac:dyDescent="0.35">
      <c r="L4364" s="2"/>
      <c r="M4364" s="2"/>
      <c r="N4364" s="650"/>
      <c r="O4364" s="650"/>
      <c r="P4364" s="651"/>
      <c r="Q4364" s="651"/>
      <c r="R4364" s="651"/>
      <c r="S4364" s="651"/>
    </row>
    <row r="4365" spans="12:19" ht="15.75" customHeight="1" x14ac:dyDescent="0.35">
      <c r="L4365" s="2"/>
      <c r="M4365" s="2"/>
      <c r="N4365" s="650"/>
      <c r="O4365" s="650"/>
      <c r="P4365" s="651"/>
      <c r="Q4365" s="651"/>
      <c r="R4365" s="651"/>
      <c r="S4365" s="651"/>
    </row>
    <row r="4366" spans="12:19" ht="15.75" customHeight="1" x14ac:dyDescent="0.35">
      <c r="L4366" s="2"/>
      <c r="M4366" s="2"/>
      <c r="N4366" s="650"/>
      <c r="O4366" s="650"/>
      <c r="P4366" s="651"/>
      <c r="Q4366" s="651"/>
      <c r="R4366" s="651"/>
      <c r="S4366" s="651"/>
    </row>
    <row r="4367" spans="12:19" ht="15.75" customHeight="1" x14ac:dyDescent="0.35">
      <c r="L4367" s="2"/>
      <c r="M4367" s="2"/>
      <c r="N4367" s="650"/>
      <c r="O4367" s="650"/>
      <c r="P4367" s="651"/>
      <c r="Q4367" s="651"/>
      <c r="R4367" s="651"/>
      <c r="S4367" s="651"/>
    </row>
    <row r="4368" spans="12:19" ht="15.75" customHeight="1" x14ac:dyDescent="0.35">
      <c r="L4368" s="2"/>
      <c r="M4368" s="2"/>
      <c r="N4368" s="650"/>
      <c r="O4368" s="650"/>
      <c r="P4368" s="651"/>
      <c r="Q4368" s="651"/>
      <c r="R4368" s="651"/>
      <c r="S4368" s="651"/>
    </row>
    <row r="4369" spans="12:19" ht="15.75" customHeight="1" x14ac:dyDescent="0.35">
      <c r="L4369" s="2"/>
      <c r="M4369" s="2"/>
      <c r="N4369" s="650"/>
      <c r="O4369" s="650"/>
      <c r="P4369" s="651"/>
      <c r="Q4369" s="651"/>
      <c r="R4369" s="651"/>
      <c r="S4369" s="651"/>
    </row>
    <row r="4370" spans="12:19" ht="15.75" customHeight="1" x14ac:dyDescent="0.35">
      <c r="L4370" s="2"/>
      <c r="M4370" s="2"/>
      <c r="N4370" s="650"/>
      <c r="O4370" s="650"/>
      <c r="P4370" s="651"/>
      <c r="Q4370" s="651"/>
      <c r="R4370" s="651"/>
      <c r="S4370" s="651"/>
    </row>
    <row r="4371" spans="12:19" ht="15.75" customHeight="1" x14ac:dyDescent="0.35">
      <c r="L4371" s="2"/>
      <c r="M4371" s="2"/>
      <c r="N4371" s="650"/>
      <c r="O4371" s="650"/>
      <c r="P4371" s="651"/>
      <c r="Q4371" s="651"/>
      <c r="R4371" s="651"/>
      <c r="S4371" s="651"/>
    </row>
    <row r="4372" spans="12:19" ht="15.75" customHeight="1" x14ac:dyDescent="0.35">
      <c r="L4372" s="2"/>
      <c r="M4372" s="2"/>
      <c r="N4372" s="650"/>
      <c r="O4372" s="650"/>
      <c r="P4372" s="651"/>
      <c r="Q4372" s="651"/>
      <c r="R4372" s="651"/>
      <c r="S4372" s="651"/>
    </row>
    <row r="4373" spans="12:19" ht="15.75" customHeight="1" x14ac:dyDescent="0.35">
      <c r="L4373" s="2"/>
      <c r="M4373" s="2"/>
      <c r="N4373" s="650"/>
      <c r="O4373" s="650"/>
      <c r="P4373" s="651"/>
      <c r="Q4373" s="651"/>
      <c r="R4373" s="651"/>
      <c r="S4373" s="651"/>
    </row>
    <row r="4374" spans="12:19" ht="15.75" customHeight="1" x14ac:dyDescent="0.35">
      <c r="L4374" s="2"/>
      <c r="M4374" s="2"/>
      <c r="N4374" s="650"/>
      <c r="O4374" s="650"/>
      <c r="P4374" s="651"/>
      <c r="Q4374" s="651"/>
      <c r="R4374" s="651"/>
      <c r="S4374" s="651"/>
    </row>
    <row r="4375" spans="12:19" ht="15.75" customHeight="1" x14ac:dyDescent="0.35">
      <c r="L4375" s="2"/>
      <c r="M4375" s="2"/>
      <c r="N4375" s="650"/>
      <c r="O4375" s="650"/>
      <c r="P4375" s="651"/>
      <c r="Q4375" s="651"/>
      <c r="R4375" s="651"/>
      <c r="S4375" s="651"/>
    </row>
    <row r="4376" spans="12:19" ht="15.75" customHeight="1" x14ac:dyDescent="0.35">
      <c r="L4376" s="2"/>
      <c r="M4376" s="2"/>
      <c r="N4376" s="650"/>
      <c r="O4376" s="650"/>
      <c r="P4376" s="651"/>
      <c r="Q4376" s="651"/>
      <c r="R4376" s="651"/>
      <c r="S4376" s="651"/>
    </row>
    <row r="4377" spans="12:19" ht="15.75" customHeight="1" x14ac:dyDescent="0.35">
      <c r="L4377" s="2"/>
      <c r="M4377" s="2"/>
      <c r="N4377" s="650"/>
      <c r="O4377" s="650"/>
      <c r="P4377" s="651"/>
      <c r="Q4377" s="651"/>
      <c r="R4377" s="651"/>
      <c r="S4377" s="651"/>
    </row>
    <row r="4378" spans="12:19" ht="15.75" customHeight="1" x14ac:dyDescent="0.35">
      <c r="L4378" s="2"/>
      <c r="M4378" s="2"/>
      <c r="N4378" s="650"/>
      <c r="O4378" s="650"/>
      <c r="P4378" s="651"/>
      <c r="Q4378" s="651"/>
      <c r="R4378" s="651"/>
      <c r="S4378" s="651"/>
    </row>
    <row r="4379" spans="12:19" ht="15.75" customHeight="1" x14ac:dyDescent="0.35">
      <c r="L4379" s="2"/>
      <c r="M4379" s="2"/>
      <c r="N4379" s="650"/>
      <c r="O4379" s="650"/>
      <c r="P4379" s="651"/>
      <c r="Q4379" s="651"/>
      <c r="R4379" s="651"/>
      <c r="S4379" s="651"/>
    </row>
    <row r="4380" spans="12:19" ht="15.75" customHeight="1" x14ac:dyDescent="0.35">
      <c r="L4380" s="2"/>
      <c r="M4380" s="2"/>
      <c r="N4380" s="650"/>
      <c r="O4380" s="650"/>
      <c r="P4380" s="651"/>
      <c r="Q4380" s="651"/>
      <c r="R4380" s="651"/>
      <c r="S4380" s="651"/>
    </row>
    <row r="4381" spans="12:19" ht="15.75" customHeight="1" x14ac:dyDescent="0.35">
      <c r="L4381" s="2"/>
      <c r="M4381" s="2"/>
      <c r="N4381" s="650"/>
      <c r="O4381" s="650"/>
      <c r="P4381" s="651"/>
      <c r="Q4381" s="651"/>
      <c r="R4381" s="651"/>
      <c r="S4381" s="651"/>
    </row>
    <row r="4382" spans="12:19" ht="15.75" customHeight="1" x14ac:dyDescent="0.35">
      <c r="L4382" s="2"/>
      <c r="M4382" s="2"/>
      <c r="N4382" s="650"/>
      <c r="O4382" s="650"/>
      <c r="P4382" s="651"/>
      <c r="Q4382" s="651"/>
      <c r="R4382" s="651"/>
      <c r="S4382" s="651"/>
    </row>
    <row r="4383" spans="12:19" ht="15.75" customHeight="1" x14ac:dyDescent="0.35">
      <c r="L4383" s="2"/>
      <c r="M4383" s="2"/>
      <c r="N4383" s="650"/>
      <c r="O4383" s="650"/>
      <c r="P4383" s="651"/>
      <c r="Q4383" s="651"/>
      <c r="R4383" s="651"/>
      <c r="S4383" s="651"/>
    </row>
    <row r="4384" spans="12:19" ht="15.75" customHeight="1" x14ac:dyDescent="0.35">
      <c r="L4384" s="2"/>
      <c r="M4384" s="2"/>
      <c r="N4384" s="650"/>
      <c r="O4384" s="650"/>
      <c r="P4384" s="651"/>
      <c r="Q4384" s="651"/>
      <c r="R4384" s="651"/>
      <c r="S4384" s="651"/>
    </row>
    <row r="4385" spans="12:19" ht="15.75" customHeight="1" x14ac:dyDescent="0.35">
      <c r="L4385" s="2"/>
      <c r="M4385" s="2"/>
      <c r="N4385" s="650"/>
      <c r="O4385" s="650"/>
      <c r="P4385" s="651"/>
      <c r="Q4385" s="651"/>
      <c r="R4385" s="651"/>
      <c r="S4385" s="651"/>
    </row>
    <row r="4386" spans="12:19" ht="15.75" customHeight="1" x14ac:dyDescent="0.35">
      <c r="L4386" s="2"/>
      <c r="M4386" s="2"/>
      <c r="N4386" s="650"/>
      <c r="O4386" s="650"/>
      <c r="P4386" s="651"/>
      <c r="Q4386" s="651"/>
      <c r="R4386" s="651"/>
      <c r="S4386" s="651"/>
    </row>
    <row r="4387" spans="12:19" ht="15.75" customHeight="1" x14ac:dyDescent="0.35">
      <c r="L4387" s="2"/>
      <c r="M4387" s="2"/>
      <c r="N4387" s="650"/>
      <c r="O4387" s="650"/>
      <c r="P4387" s="651"/>
      <c r="Q4387" s="651"/>
      <c r="R4387" s="651"/>
      <c r="S4387" s="651"/>
    </row>
    <row r="4388" spans="12:19" ht="15.75" customHeight="1" x14ac:dyDescent="0.35">
      <c r="L4388" s="2"/>
      <c r="M4388" s="2"/>
      <c r="N4388" s="650"/>
      <c r="O4388" s="650"/>
      <c r="P4388" s="651"/>
      <c r="Q4388" s="651"/>
      <c r="R4388" s="651"/>
      <c r="S4388" s="651"/>
    </row>
    <row r="4389" spans="12:19" ht="15.75" customHeight="1" x14ac:dyDescent="0.35">
      <c r="L4389" s="2"/>
      <c r="M4389" s="2"/>
      <c r="N4389" s="650"/>
      <c r="O4389" s="650"/>
      <c r="P4389" s="651"/>
      <c r="Q4389" s="651"/>
      <c r="R4389" s="651"/>
      <c r="S4389" s="651"/>
    </row>
    <row r="4390" spans="12:19" ht="15.75" customHeight="1" x14ac:dyDescent="0.35">
      <c r="L4390" s="2"/>
      <c r="M4390" s="2"/>
      <c r="N4390" s="650"/>
      <c r="O4390" s="650"/>
      <c r="P4390" s="651"/>
      <c r="Q4390" s="651"/>
      <c r="R4390" s="651"/>
      <c r="S4390" s="651"/>
    </row>
    <row r="4391" spans="12:19" ht="15.75" customHeight="1" x14ac:dyDescent="0.35">
      <c r="L4391" s="2"/>
      <c r="M4391" s="2"/>
      <c r="N4391" s="650"/>
      <c r="O4391" s="650"/>
      <c r="P4391" s="651"/>
      <c r="Q4391" s="651"/>
      <c r="R4391" s="651"/>
      <c r="S4391" s="651"/>
    </row>
    <row r="4392" spans="12:19" ht="15.75" customHeight="1" x14ac:dyDescent="0.35">
      <c r="L4392" s="2"/>
      <c r="M4392" s="2"/>
      <c r="N4392" s="650"/>
      <c r="O4392" s="650"/>
      <c r="P4392" s="651"/>
      <c r="Q4392" s="651"/>
      <c r="R4392" s="651"/>
      <c r="S4392" s="651"/>
    </row>
    <row r="4393" spans="12:19" ht="15.75" customHeight="1" x14ac:dyDescent="0.35">
      <c r="L4393" s="2"/>
      <c r="M4393" s="2"/>
      <c r="N4393" s="650"/>
      <c r="O4393" s="650"/>
      <c r="P4393" s="651"/>
      <c r="Q4393" s="651"/>
      <c r="R4393" s="651"/>
      <c r="S4393" s="651"/>
    </row>
    <row r="4394" spans="12:19" ht="15.75" customHeight="1" x14ac:dyDescent="0.35">
      <c r="L4394" s="2"/>
      <c r="M4394" s="2"/>
      <c r="N4394" s="650"/>
      <c r="O4394" s="650"/>
      <c r="P4394" s="651"/>
      <c r="Q4394" s="651"/>
      <c r="R4394" s="651"/>
      <c r="S4394" s="651"/>
    </row>
    <row r="4395" spans="12:19" ht="15.75" customHeight="1" x14ac:dyDescent="0.35">
      <c r="L4395" s="2"/>
      <c r="M4395" s="2"/>
      <c r="N4395" s="650"/>
      <c r="O4395" s="650"/>
      <c r="P4395" s="651"/>
      <c r="Q4395" s="651"/>
      <c r="R4395" s="651"/>
      <c r="S4395" s="651"/>
    </row>
    <row r="4396" spans="12:19" ht="15.75" customHeight="1" x14ac:dyDescent="0.35">
      <c r="L4396" s="2"/>
      <c r="M4396" s="2"/>
      <c r="N4396" s="650"/>
      <c r="O4396" s="650"/>
      <c r="P4396" s="651"/>
      <c r="Q4396" s="651"/>
      <c r="R4396" s="651"/>
      <c r="S4396" s="651"/>
    </row>
    <row r="4397" spans="12:19" ht="15.75" customHeight="1" x14ac:dyDescent="0.35">
      <c r="L4397" s="2"/>
      <c r="M4397" s="2"/>
      <c r="N4397" s="650"/>
      <c r="O4397" s="650"/>
      <c r="P4397" s="651"/>
      <c r="Q4397" s="651"/>
      <c r="R4397" s="651"/>
      <c r="S4397" s="651"/>
    </row>
    <row r="4398" spans="12:19" ht="15.75" customHeight="1" x14ac:dyDescent="0.35">
      <c r="L4398" s="2"/>
      <c r="M4398" s="2"/>
      <c r="N4398" s="650"/>
      <c r="O4398" s="650"/>
      <c r="P4398" s="651"/>
      <c r="Q4398" s="651"/>
      <c r="R4398" s="651"/>
      <c r="S4398" s="651"/>
    </row>
    <row r="4399" spans="12:19" ht="15.75" customHeight="1" x14ac:dyDescent="0.35">
      <c r="L4399" s="2"/>
      <c r="M4399" s="2"/>
      <c r="N4399" s="650"/>
      <c r="O4399" s="650"/>
      <c r="P4399" s="651"/>
      <c r="Q4399" s="651"/>
      <c r="R4399" s="651"/>
      <c r="S4399" s="651"/>
    </row>
    <row r="4400" spans="12:19" ht="15.75" customHeight="1" x14ac:dyDescent="0.35">
      <c r="L4400" s="2"/>
      <c r="M4400" s="2"/>
      <c r="N4400" s="650"/>
      <c r="O4400" s="650"/>
      <c r="P4400" s="651"/>
      <c r="Q4400" s="651"/>
      <c r="R4400" s="651"/>
      <c r="S4400" s="651"/>
    </row>
    <row r="4401" spans="12:19" ht="15.75" customHeight="1" x14ac:dyDescent="0.35">
      <c r="L4401" s="2"/>
      <c r="M4401" s="2"/>
      <c r="N4401" s="650"/>
      <c r="O4401" s="650"/>
      <c r="P4401" s="651"/>
      <c r="Q4401" s="651"/>
      <c r="R4401" s="651"/>
      <c r="S4401" s="651"/>
    </row>
    <row r="4402" spans="12:19" ht="15.75" customHeight="1" x14ac:dyDescent="0.35">
      <c r="L4402" s="2"/>
      <c r="M4402" s="2"/>
      <c r="N4402" s="650"/>
      <c r="O4402" s="650"/>
      <c r="P4402" s="651"/>
      <c r="Q4402" s="651"/>
      <c r="R4402" s="651"/>
      <c r="S4402" s="651"/>
    </row>
    <row r="4403" spans="12:19" ht="15.75" customHeight="1" x14ac:dyDescent="0.35">
      <c r="L4403" s="2"/>
      <c r="M4403" s="2"/>
      <c r="N4403" s="650"/>
      <c r="O4403" s="650"/>
      <c r="P4403" s="651"/>
      <c r="Q4403" s="651"/>
      <c r="R4403" s="651"/>
      <c r="S4403" s="651"/>
    </row>
    <row r="4404" spans="12:19" ht="15.75" customHeight="1" x14ac:dyDescent="0.35">
      <c r="L4404" s="2"/>
      <c r="M4404" s="2"/>
      <c r="N4404" s="650"/>
      <c r="O4404" s="650"/>
      <c r="P4404" s="651"/>
      <c r="Q4404" s="651"/>
      <c r="R4404" s="651"/>
      <c r="S4404" s="651"/>
    </row>
    <row r="4405" spans="12:19" ht="15.75" customHeight="1" x14ac:dyDescent="0.35">
      <c r="L4405" s="2"/>
      <c r="M4405" s="2"/>
      <c r="N4405" s="650"/>
      <c r="O4405" s="650"/>
      <c r="P4405" s="651"/>
      <c r="Q4405" s="651"/>
      <c r="R4405" s="651"/>
      <c r="S4405" s="651"/>
    </row>
    <row r="4406" spans="12:19" ht="15.75" customHeight="1" x14ac:dyDescent="0.35">
      <c r="L4406" s="2"/>
      <c r="M4406" s="2"/>
      <c r="N4406" s="650"/>
      <c r="O4406" s="650"/>
      <c r="P4406" s="651"/>
      <c r="Q4406" s="651"/>
      <c r="R4406" s="651"/>
      <c r="S4406" s="651"/>
    </row>
    <row r="4407" spans="12:19" ht="15.75" customHeight="1" x14ac:dyDescent="0.35">
      <c r="L4407" s="2"/>
      <c r="M4407" s="2"/>
      <c r="N4407" s="650"/>
      <c r="O4407" s="650"/>
      <c r="P4407" s="651"/>
      <c r="Q4407" s="651"/>
      <c r="R4407" s="651"/>
      <c r="S4407" s="651"/>
    </row>
    <row r="4408" spans="12:19" ht="15.75" customHeight="1" x14ac:dyDescent="0.35">
      <c r="L4408" s="2"/>
      <c r="M4408" s="2"/>
      <c r="N4408" s="650"/>
      <c r="O4408" s="650"/>
      <c r="P4408" s="651"/>
      <c r="Q4408" s="651"/>
      <c r="R4408" s="651"/>
      <c r="S4408" s="651"/>
    </row>
    <row r="4409" spans="12:19" ht="15.75" customHeight="1" x14ac:dyDescent="0.35">
      <c r="L4409" s="2"/>
      <c r="M4409" s="2"/>
      <c r="N4409" s="650"/>
      <c r="O4409" s="650"/>
      <c r="P4409" s="651"/>
      <c r="Q4409" s="651"/>
      <c r="R4409" s="651"/>
      <c r="S4409" s="651"/>
    </row>
    <row r="4410" spans="12:19" ht="15.75" customHeight="1" x14ac:dyDescent="0.35">
      <c r="L4410" s="2"/>
      <c r="M4410" s="2"/>
      <c r="N4410" s="650"/>
      <c r="O4410" s="650"/>
      <c r="P4410" s="651"/>
      <c r="Q4410" s="651"/>
      <c r="R4410" s="651"/>
      <c r="S4410" s="651"/>
    </row>
    <row r="4411" spans="12:19" ht="15.75" customHeight="1" x14ac:dyDescent="0.35">
      <c r="L4411" s="2"/>
      <c r="M4411" s="2"/>
      <c r="N4411" s="650"/>
      <c r="O4411" s="650"/>
      <c r="P4411" s="651"/>
      <c r="Q4411" s="651"/>
      <c r="R4411" s="651"/>
      <c r="S4411" s="651"/>
    </row>
    <row r="4412" spans="12:19" ht="15.75" customHeight="1" x14ac:dyDescent="0.35">
      <c r="L4412" s="2"/>
      <c r="M4412" s="2"/>
      <c r="N4412" s="650"/>
      <c r="O4412" s="650"/>
      <c r="P4412" s="651"/>
      <c r="Q4412" s="651"/>
      <c r="R4412" s="651"/>
      <c r="S4412" s="651"/>
    </row>
    <row r="4413" spans="12:19" ht="15.75" customHeight="1" x14ac:dyDescent="0.35">
      <c r="L4413" s="2"/>
      <c r="M4413" s="2"/>
      <c r="N4413" s="650"/>
      <c r="O4413" s="650"/>
      <c r="P4413" s="651"/>
      <c r="Q4413" s="651"/>
      <c r="R4413" s="651"/>
      <c r="S4413" s="651"/>
    </row>
    <row r="4414" spans="12:19" ht="15.75" customHeight="1" x14ac:dyDescent="0.35">
      <c r="L4414" s="2"/>
      <c r="M4414" s="2"/>
      <c r="N4414" s="650"/>
      <c r="O4414" s="650"/>
      <c r="P4414" s="651"/>
      <c r="Q4414" s="651"/>
      <c r="R4414" s="651"/>
      <c r="S4414" s="651"/>
    </row>
    <row r="4415" spans="12:19" ht="15.75" customHeight="1" x14ac:dyDescent="0.35">
      <c r="L4415" s="2"/>
      <c r="M4415" s="2"/>
      <c r="N4415" s="650"/>
      <c r="O4415" s="650"/>
      <c r="P4415" s="651"/>
      <c r="Q4415" s="651"/>
      <c r="R4415" s="651"/>
      <c r="S4415" s="651"/>
    </row>
    <row r="4416" spans="12:19" ht="15.75" customHeight="1" x14ac:dyDescent="0.35">
      <c r="L4416" s="2"/>
      <c r="M4416" s="2"/>
      <c r="N4416" s="650"/>
      <c r="O4416" s="650"/>
      <c r="P4416" s="651"/>
      <c r="Q4416" s="651"/>
      <c r="R4416" s="651"/>
      <c r="S4416" s="651"/>
    </row>
    <row r="4417" spans="12:19" ht="15.75" customHeight="1" x14ac:dyDescent="0.35">
      <c r="L4417" s="2"/>
      <c r="M4417" s="2"/>
      <c r="N4417" s="650"/>
      <c r="O4417" s="650"/>
      <c r="P4417" s="651"/>
      <c r="Q4417" s="651"/>
      <c r="R4417" s="651"/>
      <c r="S4417" s="651"/>
    </row>
    <row r="4418" spans="12:19" ht="15.75" customHeight="1" x14ac:dyDescent="0.35">
      <c r="L4418" s="2"/>
      <c r="M4418" s="2"/>
      <c r="N4418" s="650"/>
      <c r="O4418" s="650"/>
      <c r="P4418" s="651"/>
      <c r="Q4418" s="651"/>
      <c r="R4418" s="651"/>
      <c r="S4418" s="651"/>
    </row>
    <row r="4419" spans="12:19" ht="15.75" customHeight="1" x14ac:dyDescent="0.35">
      <c r="L4419" s="2"/>
      <c r="M4419" s="2"/>
      <c r="N4419" s="650"/>
      <c r="O4419" s="650"/>
      <c r="P4419" s="651"/>
      <c r="Q4419" s="651"/>
      <c r="R4419" s="651"/>
      <c r="S4419" s="651"/>
    </row>
    <row r="4420" spans="12:19" ht="15.75" customHeight="1" x14ac:dyDescent="0.35">
      <c r="L4420" s="2"/>
      <c r="M4420" s="2"/>
      <c r="N4420" s="650"/>
      <c r="O4420" s="650"/>
      <c r="P4420" s="651"/>
      <c r="Q4420" s="651"/>
      <c r="R4420" s="651"/>
      <c r="S4420" s="651"/>
    </row>
    <row r="4421" spans="12:19" ht="15.75" customHeight="1" x14ac:dyDescent="0.35">
      <c r="L4421" s="2"/>
      <c r="M4421" s="2"/>
      <c r="N4421" s="650"/>
      <c r="O4421" s="650"/>
      <c r="P4421" s="651"/>
      <c r="Q4421" s="651"/>
      <c r="R4421" s="651"/>
      <c r="S4421" s="651"/>
    </row>
    <row r="4422" spans="12:19" ht="15.75" customHeight="1" x14ac:dyDescent="0.35">
      <c r="L4422" s="2"/>
      <c r="M4422" s="2"/>
      <c r="N4422" s="650"/>
      <c r="O4422" s="650"/>
      <c r="P4422" s="651"/>
      <c r="Q4422" s="651"/>
      <c r="R4422" s="651"/>
      <c r="S4422" s="651"/>
    </row>
    <row r="4423" spans="12:19" ht="15.75" customHeight="1" x14ac:dyDescent="0.35">
      <c r="L4423" s="2"/>
      <c r="M4423" s="2"/>
      <c r="N4423" s="650"/>
      <c r="O4423" s="650"/>
      <c r="P4423" s="651"/>
      <c r="Q4423" s="651"/>
      <c r="R4423" s="651"/>
      <c r="S4423" s="651"/>
    </row>
    <row r="4424" spans="12:19" ht="15.75" customHeight="1" x14ac:dyDescent="0.35">
      <c r="L4424" s="2"/>
      <c r="M4424" s="2"/>
      <c r="N4424" s="650"/>
      <c r="O4424" s="650"/>
      <c r="P4424" s="651"/>
      <c r="Q4424" s="651"/>
      <c r="R4424" s="651"/>
      <c r="S4424" s="651"/>
    </row>
    <row r="4425" spans="12:19" ht="15.75" customHeight="1" x14ac:dyDescent="0.35">
      <c r="L4425" s="2"/>
      <c r="M4425" s="2"/>
      <c r="N4425" s="650"/>
      <c r="O4425" s="650"/>
      <c r="P4425" s="651"/>
      <c r="Q4425" s="651"/>
      <c r="R4425" s="651"/>
      <c r="S4425" s="651"/>
    </row>
    <row r="4426" spans="12:19" ht="15.75" customHeight="1" x14ac:dyDescent="0.35">
      <c r="L4426" s="2"/>
      <c r="M4426" s="2"/>
      <c r="N4426" s="650"/>
      <c r="O4426" s="650"/>
      <c r="P4426" s="651"/>
      <c r="Q4426" s="651"/>
      <c r="R4426" s="651"/>
      <c r="S4426" s="651"/>
    </row>
    <row r="4427" spans="12:19" ht="15.75" customHeight="1" x14ac:dyDescent="0.35">
      <c r="L4427" s="2"/>
      <c r="M4427" s="2"/>
      <c r="N4427" s="650"/>
      <c r="O4427" s="650"/>
      <c r="P4427" s="651"/>
      <c r="Q4427" s="651"/>
      <c r="R4427" s="651"/>
      <c r="S4427" s="651"/>
    </row>
    <row r="4428" spans="12:19" ht="15.75" customHeight="1" x14ac:dyDescent="0.35">
      <c r="L4428" s="2"/>
      <c r="M4428" s="2"/>
      <c r="N4428" s="650"/>
      <c r="O4428" s="650"/>
      <c r="P4428" s="651"/>
      <c r="Q4428" s="651"/>
      <c r="R4428" s="651"/>
      <c r="S4428" s="651"/>
    </row>
    <row r="4429" spans="12:19" ht="15.75" customHeight="1" x14ac:dyDescent="0.35">
      <c r="L4429" s="2"/>
      <c r="M4429" s="2"/>
      <c r="N4429" s="650"/>
      <c r="O4429" s="650"/>
      <c r="P4429" s="651"/>
      <c r="Q4429" s="651"/>
      <c r="R4429" s="651"/>
      <c r="S4429" s="651"/>
    </row>
    <row r="4430" spans="12:19" ht="15.75" customHeight="1" x14ac:dyDescent="0.35">
      <c r="L4430" s="2"/>
      <c r="M4430" s="2"/>
      <c r="N4430" s="650"/>
      <c r="O4430" s="650"/>
      <c r="P4430" s="651"/>
      <c r="Q4430" s="651"/>
      <c r="R4430" s="651"/>
      <c r="S4430" s="651"/>
    </row>
    <row r="4431" spans="12:19" ht="15.75" customHeight="1" x14ac:dyDescent="0.35">
      <c r="L4431" s="2"/>
      <c r="M4431" s="2"/>
      <c r="N4431" s="650"/>
      <c r="O4431" s="650"/>
      <c r="P4431" s="651"/>
      <c r="Q4431" s="651"/>
      <c r="R4431" s="651"/>
      <c r="S4431" s="651"/>
    </row>
    <row r="4432" spans="12:19" ht="15.75" customHeight="1" x14ac:dyDescent="0.35">
      <c r="L4432" s="2"/>
      <c r="M4432" s="2"/>
      <c r="N4432" s="650"/>
      <c r="O4432" s="650"/>
      <c r="P4432" s="651"/>
      <c r="Q4432" s="651"/>
      <c r="R4432" s="651"/>
      <c r="S4432" s="651"/>
    </row>
    <row r="4433" spans="12:19" ht="15.75" customHeight="1" x14ac:dyDescent="0.35">
      <c r="L4433" s="2"/>
      <c r="M4433" s="2"/>
      <c r="N4433" s="650"/>
      <c r="O4433" s="650"/>
      <c r="P4433" s="651"/>
      <c r="Q4433" s="651"/>
      <c r="R4433" s="651"/>
      <c r="S4433" s="651"/>
    </row>
    <row r="4434" spans="12:19" ht="15.75" customHeight="1" x14ac:dyDescent="0.35">
      <c r="L4434" s="2"/>
      <c r="M4434" s="2"/>
      <c r="N4434" s="650"/>
      <c r="O4434" s="650"/>
      <c r="P4434" s="651"/>
      <c r="Q4434" s="651"/>
      <c r="R4434" s="651"/>
      <c r="S4434" s="651"/>
    </row>
    <row r="4435" spans="12:19" ht="15.75" customHeight="1" x14ac:dyDescent="0.35">
      <c r="L4435" s="2"/>
      <c r="M4435" s="2"/>
      <c r="N4435" s="650"/>
      <c r="O4435" s="650"/>
      <c r="P4435" s="651"/>
      <c r="Q4435" s="651"/>
      <c r="R4435" s="651"/>
      <c r="S4435" s="651"/>
    </row>
    <row r="4436" spans="12:19" ht="15.75" customHeight="1" x14ac:dyDescent="0.35">
      <c r="L4436" s="2"/>
      <c r="M4436" s="2"/>
      <c r="N4436" s="650"/>
      <c r="O4436" s="650"/>
      <c r="P4436" s="651"/>
      <c r="Q4436" s="651"/>
      <c r="R4436" s="651"/>
      <c r="S4436" s="651"/>
    </row>
    <row r="4437" spans="12:19" ht="15.75" customHeight="1" x14ac:dyDescent="0.35">
      <c r="L4437" s="2"/>
      <c r="M4437" s="2"/>
      <c r="N4437" s="650"/>
      <c r="O4437" s="650"/>
      <c r="P4437" s="651"/>
      <c r="Q4437" s="651"/>
      <c r="R4437" s="651"/>
      <c r="S4437" s="651"/>
    </row>
    <row r="4438" spans="12:19" ht="15.75" customHeight="1" x14ac:dyDescent="0.35">
      <c r="L4438" s="2"/>
      <c r="M4438" s="2"/>
      <c r="N4438" s="650"/>
      <c r="O4438" s="650"/>
      <c r="P4438" s="651"/>
      <c r="Q4438" s="651"/>
      <c r="R4438" s="651"/>
      <c r="S4438" s="651"/>
    </row>
    <row r="4439" spans="12:19" ht="15.75" customHeight="1" x14ac:dyDescent="0.35">
      <c r="L4439" s="2"/>
      <c r="M4439" s="2"/>
      <c r="N4439" s="650"/>
      <c r="O4439" s="650"/>
      <c r="P4439" s="651"/>
      <c r="Q4439" s="651"/>
      <c r="R4439" s="651"/>
      <c r="S4439" s="651"/>
    </row>
    <row r="4440" spans="12:19" ht="15.75" customHeight="1" x14ac:dyDescent="0.35">
      <c r="L4440" s="2"/>
      <c r="M4440" s="2"/>
      <c r="N4440" s="650"/>
      <c r="O4440" s="650"/>
      <c r="P4440" s="651"/>
      <c r="Q4440" s="651"/>
      <c r="R4440" s="651"/>
      <c r="S4440" s="651"/>
    </row>
    <row r="4441" spans="12:19" ht="15.75" customHeight="1" x14ac:dyDescent="0.35">
      <c r="L4441" s="2"/>
      <c r="M4441" s="2"/>
      <c r="N4441" s="650"/>
      <c r="O4441" s="650"/>
      <c r="P4441" s="651"/>
      <c r="Q4441" s="651"/>
      <c r="R4441" s="651"/>
      <c r="S4441" s="651"/>
    </row>
    <row r="4442" spans="12:19" ht="15.75" customHeight="1" x14ac:dyDescent="0.35">
      <c r="L4442" s="2"/>
      <c r="M4442" s="2"/>
      <c r="N4442" s="650"/>
      <c r="O4442" s="650"/>
      <c r="P4442" s="651"/>
      <c r="Q4442" s="651"/>
      <c r="R4442" s="651"/>
      <c r="S4442" s="651"/>
    </row>
    <row r="4443" spans="12:19" ht="15.75" customHeight="1" x14ac:dyDescent="0.35">
      <c r="L4443" s="2"/>
      <c r="M4443" s="2"/>
      <c r="N4443" s="650"/>
      <c r="O4443" s="650"/>
      <c r="P4443" s="651"/>
      <c r="Q4443" s="651"/>
      <c r="R4443" s="651"/>
      <c r="S4443" s="651"/>
    </row>
    <row r="4444" spans="12:19" ht="15.75" customHeight="1" x14ac:dyDescent="0.35">
      <c r="L4444" s="2"/>
      <c r="M4444" s="2"/>
      <c r="N4444" s="650"/>
      <c r="O4444" s="650"/>
      <c r="P4444" s="651"/>
      <c r="Q4444" s="651"/>
      <c r="R4444" s="651"/>
      <c r="S4444" s="651"/>
    </row>
    <row r="4445" spans="12:19" ht="15.75" customHeight="1" x14ac:dyDescent="0.35">
      <c r="L4445" s="2"/>
      <c r="M4445" s="2"/>
      <c r="N4445" s="650"/>
      <c r="O4445" s="650"/>
      <c r="P4445" s="651"/>
      <c r="Q4445" s="651"/>
      <c r="R4445" s="651"/>
      <c r="S4445" s="651"/>
    </row>
    <row r="4446" spans="12:19" ht="15.75" customHeight="1" x14ac:dyDescent="0.35">
      <c r="L4446" s="2"/>
      <c r="M4446" s="2"/>
      <c r="N4446" s="650"/>
      <c r="O4446" s="650"/>
      <c r="P4446" s="651"/>
      <c r="Q4446" s="651"/>
      <c r="R4446" s="651"/>
      <c r="S4446" s="651"/>
    </row>
    <row r="4447" spans="12:19" ht="15.75" customHeight="1" x14ac:dyDescent="0.35">
      <c r="L4447" s="2"/>
      <c r="M4447" s="2"/>
      <c r="N4447" s="650"/>
      <c r="O4447" s="650"/>
      <c r="P4447" s="651"/>
      <c r="Q4447" s="651"/>
      <c r="R4447" s="651"/>
      <c r="S4447" s="651"/>
    </row>
    <row r="4448" spans="12:19" ht="15.75" customHeight="1" x14ac:dyDescent="0.35">
      <c r="L4448" s="2"/>
      <c r="M4448" s="2"/>
      <c r="N4448" s="650"/>
      <c r="O4448" s="650"/>
      <c r="P4448" s="651"/>
      <c r="Q4448" s="651"/>
      <c r="R4448" s="651"/>
      <c r="S4448" s="651"/>
    </row>
    <row r="4449" spans="12:19" ht="15.75" customHeight="1" x14ac:dyDescent="0.35">
      <c r="L4449" s="2"/>
      <c r="M4449" s="2"/>
      <c r="N4449" s="650"/>
      <c r="O4449" s="650"/>
      <c r="P4449" s="651"/>
      <c r="Q4449" s="651"/>
      <c r="R4449" s="651"/>
      <c r="S4449" s="651"/>
    </row>
    <row r="4450" spans="12:19" ht="15.75" customHeight="1" x14ac:dyDescent="0.35">
      <c r="L4450" s="2"/>
      <c r="M4450" s="2"/>
      <c r="N4450" s="650"/>
      <c r="O4450" s="650"/>
      <c r="P4450" s="651"/>
      <c r="Q4450" s="651"/>
      <c r="R4450" s="651"/>
      <c r="S4450" s="651"/>
    </row>
    <row r="4451" spans="12:19" ht="15.75" customHeight="1" x14ac:dyDescent="0.35">
      <c r="L4451" s="2"/>
      <c r="M4451" s="2"/>
      <c r="N4451" s="650"/>
      <c r="O4451" s="650"/>
      <c r="P4451" s="651"/>
      <c r="Q4451" s="651"/>
      <c r="R4451" s="651"/>
      <c r="S4451" s="651"/>
    </row>
    <row r="4452" spans="12:19" ht="15.75" customHeight="1" x14ac:dyDescent="0.35">
      <c r="L4452" s="2"/>
      <c r="M4452" s="2"/>
      <c r="N4452" s="650"/>
      <c r="O4452" s="650"/>
      <c r="P4452" s="651"/>
      <c r="Q4452" s="651"/>
      <c r="R4452" s="651"/>
      <c r="S4452" s="651"/>
    </row>
    <row r="4453" spans="12:19" ht="15.75" customHeight="1" x14ac:dyDescent="0.35">
      <c r="L4453" s="2"/>
      <c r="M4453" s="2"/>
      <c r="N4453" s="650"/>
      <c r="O4453" s="650"/>
      <c r="P4453" s="651"/>
      <c r="Q4453" s="651"/>
      <c r="R4453" s="651"/>
      <c r="S4453" s="651"/>
    </row>
    <row r="4454" spans="12:19" ht="15.75" customHeight="1" x14ac:dyDescent="0.35">
      <c r="L4454" s="2"/>
      <c r="M4454" s="2"/>
      <c r="N4454" s="650"/>
      <c r="O4454" s="650"/>
      <c r="P4454" s="651"/>
      <c r="Q4454" s="651"/>
      <c r="R4454" s="651"/>
      <c r="S4454" s="651"/>
    </row>
    <row r="4455" spans="12:19" ht="15.75" customHeight="1" x14ac:dyDescent="0.35">
      <c r="L4455" s="2"/>
      <c r="M4455" s="2"/>
      <c r="N4455" s="650"/>
      <c r="O4455" s="650"/>
      <c r="P4455" s="651"/>
      <c r="Q4455" s="651"/>
      <c r="R4455" s="651"/>
      <c r="S4455" s="651"/>
    </row>
    <row r="4456" spans="12:19" ht="15.75" customHeight="1" x14ac:dyDescent="0.35">
      <c r="L4456" s="2"/>
      <c r="M4456" s="2"/>
      <c r="N4456" s="650"/>
      <c r="O4456" s="650"/>
      <c r="P4456" s="651"/>
      <c r="Q4456" s="651"/>
      <c r="R4456" s="651"/>
      <c r="S4456" s="651"/>
    </row>
    <row r="4457" spans="12:19" ht="15.75" customHeight="1" x14ac:dyDescent="0.35">
      <c r="L4457" s="2"/>
      <c r="M4457" s="2"/>
      <c r="N4457" s="650"/>
      <c r="O4457" s="650"/>
      <c r="P4457" s="651"/>
      <c r="Q4457" s="651"/>
      <c r="R4457" s="651"/>
      <c r="S4457" s="651"/>
    </row>
    <row r="4458" spans="12:19" ht="15.75" customHeight="1" x14ac:dyDescent="0.35">
      <c r="L4458" s="2"/>
      <c r="M4458" s="2"/>
      <c r="N4458" s="650"/>
      <c r="O4458" s="650"/>
      <c r="P4458" s="651"/>
      <c r="Q4458" s="651"/>
      <c r="R4458" s="651"/>
      <c r="S4458" s="651"/>
    </row>
    <row r="4459" spans="12:19" ht="15.75" customHeight="1" x14ac:dyDescent="0.35">
      <c r="L4459" s="2"/>
      <c r="M4459" s="2"/>
      <c r="N4459" s="650"/>
      <c r="O4459" s="650"/>
      <c r="P4459" s="651"/>
      <c r="Q4459" s="651"/>
      <c r="R4459" s="651"/>
      <c r="S4459" s="651"/>
    </row>
    <row r="4460" spans="12:19" ht="15.75" customHeight="1" x14ac:dyDescent="0.35">
      <c r="L4460" s="2"/>
      <c r="M4460" s="2"/>
      <c r="N4460" s="650"/>
      <c r="O4460" s="650"/>
      <c r="P4460" s="651"/>
      <c r="Q4460" s="651"/>
      <c r="R4460" s="651"/>
      <c r="S4460" s="651"/>
    </row>
    <row r="4461" spans="12:19" ht="15.75" customHeight="1" x14ac:dyDescent="0.35">
      <c r="L4461" s="2"/>
      <c r="M4461" s="2"/>
      <c r="N4461" s="650"/>
      <c r="O4461" s="650"/>
      <c r="P4461" s="651"/>
      <c r="Q4461" s="651"/>
      <c r="R4461" s="651"/>
      <c r="S4461" s="651"/>
    </row>
    <row r="4462" spans="12:19" ht="15.75" customHeight="1" x14ac:dyDescent="0.35">
      <c r="L4462" s="2"/>
      <c r="M4462" s="2"/>
      <c r="N4462" s="650"/>
      <c r="O4462" s="650"/>
      <c r="P4462" s="651"/>
      <c r="Q4462" s="651"/>
      <c r="R4462" s="651"/>
      <c r="S4462" s="651"/>
    </row>
    <row r="4463" spans="12:19" ht="15.75" customHeight="1" x14ac:dyDescent="0.35">
      <c r="L4463" s="2"/>
      <c r="M4463" s="2"/>
      <c r="N4463" s="650"/>
      <c r="O4463" s="650"/>
      <c r="P4463" s="651"/>
      <c r="Q4463" s="651"/>
      <c r="R4463" s="651"/>
      <c r="S4463" s="651"/>
    </row>
    <row r="4464" spans="12:19" ht="15.75" customHeight="1" x14ac:dyDescent="0.35">
      <c r="L4464" s="2"/>
      <c r="M4464" s="2"/>
      <c r="N4464" s="650"/>
      <c r="O4464" s="650"/>
      <c r="P4464" s="651"/>
      <c r="Q4464" s="651"/>
      <c r="R4464" s="651"/>
      <c r="S4464" s="651"/>
    </row>
    <row r="4465" spans="12:19" ht="15.75" customHeight="1" x14ac:dyDescent="0.35">
      <c r="L4465" s="2"/>
      <c r="M4465" s="2"/>
      <c r="N4465" s="650"/>
      <c r="O4465" s="650"/>
      <c r="P4465" s="651"/>
      <c r="Q4465" s="651"/>
      <c r="R4465" s="651"/>
      <c r="S4465" s="651"/>
    </row>
    <row r="4466" spans="12:19" ht="15.75" customHeight="1" x14ac:dyDescent="0.35">
      <c r="L4466" s="2"/>
      <c r="M4466" s="2"/>
      <c r="N4466" s="650"/>
      <c r="O4466" s="650"/>
      <c r="P4466" s="651"/>
      <c r="Q4466" s="651"/>
      <c r="R4466" s="651"/>
      <c r="S4466" s="651"/>
    </row>
    <row r="4467" spans="12:19" ht="15.75" customHeight="1" x14ac:dyDescent="0.35">
      <c r="L4467" s="2"/>
      <c r="M4467" s="2"/>
      <c r="N4467" s="650"/>
      <c r="O4467" s="650"/>
      <c r="P4467" s="651"/>
      <c r="Q4467" s="651"/>
      <c r="R4467" s="651"/>
      <c r="S4467" s="651"/>
    </row>
    <row r="4468" spans="12:19" ht="15.75" customHeight="1" x14ac:dyDescent="0.35">
      <c r="L4468" s="2"/>
      <c r="M4468" s="2"/>
      <c r="N4468" s="650"/>
      <c r="O4468" s="650"/>
      <c r="P4468" s="651"/>
      <c r="Q4468" s="651"/>
      <c r="R4468" s="651"/>
      <c r="S4468" s="651"/>
    </row>
    <row r="4469" spans="12:19" ht="15.75" customHeight="1" x14ac:dyDescent="0.35">
      <c r="L4469" s="2"/>
      <c r="M4469" s="2"/>
      <c r="N4469" s="650"/>
      <c r="O4469" s="650"/>
      <c r="P4469" s="651"/>
      <c r="Q4469" s="651"/>
      <c r="R4469" s="651"/>
      <c r="S4469" s="651"/>
    </row>
    <row r="4470" spans="12:19" ht="15.75" customHeight="1" x14ac:dyDescent="0.35">
      <c r="L4470" s="2"/>
      <c r="M4470" s="2"/>
      <c r="N4470" s="650"/>
      <c r="O4470" s="650"/>
      <c r="P4470" s="651"/>
      <c r="Q4470" s="651"/>
      <c r="R4470" s="651"/>
      <c r="S4470" s="651"/>
    </row>
    <row r="4471" spans="12:19" ht="15.75" customHeight="1" x14ac:dyDescent="0.35">
      <c r="L4471" s="2"/>
      <c r="M4471" s="2"/>
      <c r="N4471" s="650"/>
      <c r="O4471" s="650"/>
      <c r="P4471" s="651"/>
      <c r="Q4471" s="651"/>
      <c r="R4471" s="651"/>
      <c r="S4471" s="651"/>
    </row>
    <row r="4472" spans="12:19" ht="15.75" customHeight="1" x14ac:dyDescent="0.35">
      <c r="L4472" s="2"/>
      <c r="M4472" s="2"/>
      <c r="N4472" s="650"/>
      <c r="O4472" s="650"/>
      <c r="P4472" s="651"/>
      <c r="Q4472" s="651"/>
      <c r="R4472" s="651"/>
      <c r="S4472" s="651"/>
    </row>
    <row r="4473" spans="12:19" ht="15.75" customHeight="1" x14ac:dyDescent="0.35">
      <c r="L4473" s="2"/>
      <c r="M4473" s="2"/>
      <c r="N4473" s="650"/>
      <c r="O4473" s="650"/>
      <c r="P4473" s="651"/>
      <c r="Q4473" s="651"/>
      <c r="R4473" s="651"/>
      <c r="S4473" s="651"/>
    </row>
    <row r="4474" spans="12:19" ht="15.75" customHeight="1" x14ac:dyDescent="0.35">
      <c r="L4474" s="2"/>
      <c r="M4474" s="2"/>
      <c r="N4474" s="650"/>
      <c r="O4474" s="650"/>
      <c r="P4474" s="651"/>
      <c r="Q4474" s="651"/>
      <c r="R4474" s="651"/>
      <c r="S4474" s="651"/>
    </row>
    <row r="4475" spans="12:19" ht="15.75" customHeight="1" x14ac:dyDescent="0.35">
      <c r="L4475" s="2"/>
      <c r="M4475" s="2"/>
      <c r="N4475" s="650"/>
      <c r="O4475" s="650"/>
      <c r="P4475" s="651"/>
      <c r="Q4475" s="651"/>
      <c r="R4475" s="651"/>
      <c r="S4475" s="651"/>
    </row>
    <row r="4476" spans="12:19" ht="15.75" customHeight="1" x14ac:dyDescent="0.35">
      <c r="L4476" s="2"/>
      <c r="M4476" s="2"/>
      <c r="N4476" s="650"/>
      <c r="O4476" s="650"/>
      <c r="P4476" s="651"/>
      <c r="Q4476" s="651"/>
      <c r="R4476" s="651"/>
      <c r="S4476" s="651"/>
    </row>
    <row r="4477" spans="12:19" ht="15.75" customHeight="1" x14ac:dyDescent="0.35">
      <c r="L4477" s="2"/>
      <c r="M4477" s="2"/>
      <c r="N4477" s="650"/>
      <c r="O4477" s="650"/>
      <c r="P4477" s="651"/>
      <c r="Q4477" s="651"/>
      <c r="R4477" s="651"/>
      <c r="S4477" s="651"/>
    </row>
    <row r="4478" spans="12:19" ht="15.75" customHeight="1" x14ac:dyDescent="0.35">
      <c r="L4478" s="2"/>
      <c r="M4478" s="2"/>
      <c r="N4478" s="650"/>
      <c r="O4478" s="650"/>
      <c r="P4478" s="651"/>
      <c r="Q4478" s="651"/>
      <c r="R4478" s="651"/>
      <c r="S4478" s="651"/>
    </row>
    <row r="4479" spans="12:19" ht="15.75" customHeight="1" x14ac:dyDescent="0.35">
      <c r="L4479" s="2"/>
      <c r="M4479" s="2"/>
      <c r="N4479" s="650"/>
      <c r="O4479" s="650"/>
      <c r="P4479" s="651"/>
      <c r="Q4479" s="651"/>
      <c r="R4479" s="651"/>
      <c r="S4479" s="651"/>
    </row>
    <row r="4480" spans="12:19" ht="15.75" customHeight="1" x14ac:dyDescent="0.35">
      <c r="L4480" s="2"/>
      <c r="M4480" s="2"/>
      <c r="N4480" s="650"/>
      <c r="O4480" s="650"/>
      <c r="P4480" s="651"/>
      <c r="Q4480" s="651"/>
      <c r="R4480" s="651"/>
      <c r="S4480" s="651"/>
    </row>
    <row r="4481" spans="12:19" ht="15.75" customHeight="1" x14ac:dyDescent="0.35">
      <c r="L4481" s="2"/>
      <c r="M4481" s="2"/>
      <c r="N4481" s="650"/>
      <c r="O4481" s="650"/>
      <c r="P4481" s="651"/>
      <c r="Q4481" s="651"/>
      <c r="R4481" s="651"/>
      <c r="S4481" s="651"/>
    </row>
    <row r="4482" spans="12:19" ht="15.75" customHeight="1" x14ac:dyDescent="0.35">
      <c r="L4482" s="2"/>
      <c r="M4482" s="2"/>
      <c r="N4482" s="650"/>
      <c r="O4482" s="650"/>
      <c r="P4482" s="651"/>
      <c r="Q4482" s="651"/>
      <c r="R4482" s="651"/>
      <c r="S4482" s="651"/>
    </row>
    <row r="4483" spans="12:19" ht="15.75" customHeight="1" x14ac:dyDescent="0.35">
      <c r="L4483" s="2"/>
      <c r="M4483" s="2"/>
      <c r="N4483" s="650"/>
      <c r="O4483" s="650"/>
      <c r="P4483" s="651"/>
      <c r="Q4483" s="651"/>
      <c r="R4483" s="651"/>
      <c r="S4483" s="651"/>
    </row>
    <row r="4484" spans="12:19" ht="15.75" customHeight="1" x14ac:dyDescent="0.35">
      <c r="L4484" s="2"/>
      <c r="M4484" s="2"/>
      <c r="N4484" s="650"/>
      <c r="O4484" s="650"/>
      <c r="P4484" s="651"/>
      <c r="Q4484" s="651"/>
      <c r="R4484" s="651"/>
      <c r="S4484" s="651"/>
    </row>
    <row r="4485" spans="12:19" ht="15.75" customHeight="1" x14ac:dyDescent="0.35">
      <c r="L4485" s="2"/>
      <c r="M4485" s="2"/>
      <c r="N4485" s="650"/>
      <c r="O4485" s="650"/>
      <c r="P4485" s="651"/>
      <c r="Q4485" s="651"/>
      <c r="R4485" s="651"/>
      <c r="S4485" s="651"/>
    </row>
    <row r="4486" spans="12:19" ht="15.75" customHeight="1" x14ac:dyDescent="0.35">
      <c r="L4486" s="2"/>
      <c r="M4486" s="2"/>
      <c r="N4486" s="650"/>
      <c r="O4486" s="650"/>
      <c r="P4486" s="651"/>
      <c r="Q4486" s="651"/>
      <c r="R4486" s="651"/>
      <c r="S4486" s="651"/>
    </row>
    <row r="4487" spans="12:19" ht="15.75" customHeight="1" x14ac:dyDescent="0.35">
      <c r="L4487" s="2"/>
      <c r="M4487" s="2"/>
      <c r="N4487" s="650"/>
      <c r="O4487" s="650"/>
      <c r="P4487" s="651"/>
      <c r="Q4487" s="651"/>
      <c r="R4487" s="651"/>
      <c r="S4487" s="651"/>
    </row>
    <row r="4488" spans="12:19" ht="15.75" customHeight="1" x14ac:dyDescent="0.35">
      <c r="L4488" s="2"/>
      <c r="M4488" s="2"/>
      <c r="N4488" s="650"/>
      <c r="O4488" s="650"/>
      <c r="P4488" s="651"/>
      <c r="Q4488" s="651"/>
      <c r="R4488" s="651"/>
      <c r="S4488" s="651"/>
    </row>
    <row r="4489" spans="12:19" ht="15.75" customHeight="1" x14ac:dyDescent="0.35">
      <c r="L4489" s="2"/>
      <c r="M4489" s="2"/>
      <c r="N4489" s="650"/>
      <c r="O4489" s="650"/>
      <c r="P4489" s="651"/>
      <c r="Q4489" s="651"/>
      <c r="R4489" s="651"/>
      <c r="S4489" s="651"/>
    </row>
    <row r="4490" spans="12:19" ht="15.75" customHeight="1" x14ac:dyDescent="0.35">
      <c r="L4490" s="2"/>
      <c r="M4490" s="2"/>
      <c r="N4490" s="650"/>
      <c r="O4490" s="650"/>
      <c r="P4490" s="651"/>
      <c r="Q4490" s="651"/>
      <c r="R4490" s="651"/>
      <c r="S4490" s="651"/>
    </row>
    <row r="4491" spans="12:19" ht="15.75" customHeight="1" x14ac:dyDescent="0.35">
      <c r="L4491" s="2"/>
      <c r="M4491" s="2"/>
      <c r="N4491" s="650"/>
      <c r="O4491" s="650"/>
      <c r="P4491" s="651"/>
      <c r="Q4491" s="651"/>
      <c r="R4491" s="651"/>
      <c r="S4491" s="651"/>
    </row>
    <row r="4492" spans="12:19" ht="15.75" customHeight="1" x14ac:dyDescent="0.35">
      <c r="L4492" s="2"/>
      <c r="M4492" s="2"/>
      <c r="N4492" s="650"/>
      <c r="O4492" s="650"/>
      <c r="P4492" s="651"/>
      <c r="Q4492" s="651"/>
      <c r="R4492" s="651"/>
      <c r="S4492" s="651"/>
    </row>
    <row r="4493" spans="12:19" ht="15.75" customHeight="1" x14ac:dyDescent="0.35">
      <c r="L4493" s="2"/>
      <c r="M4493" s="2"/>
      <c r="N4493" s="650"/>
      <c r="O4493" s="650"/>
      <c r="P4493" s="651"/>
      <c r="Q4493" s="651"/>
      <c r="R4493" s="651"/>
      <c r="S4493" s="651"/>
    </row>
    <row r="4494" spans="12:19" ht="15.75" customHeight="1" x14ac:dyDescent="0.35">
      <c r="L4494" s="2"/>
      <c r="M4494" s="2"/>
      <c r="N4494" s="650"/>
      <c r="O4494" s="650"/>
      <c r="P4494" s="651"/>
      <c r="Q4494" s="651"/>
      <c r="R4494" s="651"/>
      <c r="S4494" s="651"/>
    </row>
    <row r="4495" spans="12:19" ht="15.75" customHeight="1" x14ac:dyDescent="0.35">
      <c r="L4495" s="2"/>
      <c r="M4495" s="2"/>
      <c r="N4495" s="650"/>
      <c r="O4495" s="650"/>
      <c r="P4495" s="651"/>
      <c r="Q4495" s="651"/>
      <c r="R4495" s="651"/>
      <c r="S4495" s="651"/>
    </row>
    <row r="4496" spans="12:19" ht="15.75" customHeight="1" x14ac:dyDescent="0.35">
      <c r="L4496" s="2"/>
      <c r="M4496" s="2"/>
      <c r="N4496" s="650"/>
      <c r="O4496" s="650"/>
      <c r="P4496" s="651"/>
      <c r="Q4496" s="651"/>
      <c r="R4496" s="651"/>
      <c r="S4496" s="651"/>
    </row>
    <row r="4497" spans="12:19" ht="15.75" customHeight="1" x14ac:dyDescent="0.35">
      <c r="L4497" s="2"/>
      <c r="M4497" s="2"/>
      <c r="N4497" s="650"/>
      <c r="O4497" s="650"/>
      <c r="P4497" s="651"/>
      <c r="Q4497" s="651"/>
      <c r="R4497" s="651"/>
      <c r="S4497" s="651"/>
    </row>
    <row r="4498" spans="12:19" ht="15.75" customHeight="1" x14ac:dyDescent="0.35">
      <c r="L4498" s="2"/>
      <c r="M4498" s="2"/>
      <c r="N4498" s="650"/>
      <c r="O4498" s="650"/>
      <c r="P4498" s="651"/>
      <c r="Q4498" s="651"/>
      <c r="R4498" s="651"/>
      <c r="S4498" s="651"/>
    </row>
    <row r="4499" spans="12:19" ht="15.75" customHeight="1" x14ac:dyDescent="0.35">
      <c r="L4499" s="2"/>
      <c r="M4499" s="2"/>
      <c r="N4499" s="650"/>
      <c r="O4499" s="650"/>
      <c r="P4499" s="651"/>
      <c r="Q4499" s="651"/>
      <c r="R4499" s="651"/>
      <c r="S4499" s="651"/>
    </row>
    <row r="4500" spans="12:19" ht="15.75" customHeight="1" x14ac:dyDescent="0.35">
      <c r="L4500" s="2"/>
      <c r="M4500" s="2"/>
      <c r="N4500" s="650"/>
      <c r="O4500" s="650"/>
      <c r="P4500" s="651"/>
      <c r="Q4500" s="651"/>
      <c r="R4500" s="651"/>
      <c r="S4500" s="651"/>
    </row>
    <row r="4501" spans="12:19" ht="15.75" customHeight="1" x14ac:dyDescent="0.35">
      <c r="L4501" s="2"/>
      <c r="M4501" s="2"/>
      <c r="N4501" s="650"/>
      <c r="O4501" s="650"/>
      <c r="P4501" s="651"/>
      <c r="Q4501" s="651"/>
      <c r="R4501" s="651"/>
      <c r="S4501" s="651"/>
    </row>
    <row r="4502" spans="12:19" ht="15.75" customHeight="1" x14ac:dyDescent="0.35">
      <c r="L4502" s="2"/>
      <c r="M4502" s="2"/>
      <c r="N4502" s="650"/>
      <c r="O4502" s="650"/>
      <c r="P4502" s="651"/>
      <c r="Q4502" s="651"/>
      <c r="R4502" s="651"/>
      <c r="S4502" s="651"/>
    </row>
    <row r="4503" spans="12:19" ht="15.75" customHeight="1" x14ac:dyDescent="0.35">
      <c r="L4503" s="2"/>
      <c r="M4503" s="2"/>
      <c r="N4503" s="650"/>
      <c r="O4503" s="650"/>
      <c r="P4503" s="651"/>
      <c r="Q4503" s="651"/>
      <c r="R4503" s="651"/>
      <c r="S4503" s="651"/>
    </row>
    <row r="4504" spans="12:19" ht="15.75" customHeight="1" x14ac:dyDescent="0.35">
      <c r="L4504" s="2"/>
      <c r="M4504" s="2"/>
      <c r="N4504" s="650"/>
      <c r="O4504" s="650"/>
      <c r="P4504" s="651"/>
      <c r="Q4504" s="651"/>
      <c r="R4504" s="651"/>
      <c r="S4504" s="651"/>
    </row>
    <row r="4505" spans="12:19" ht="15.75" customHeight="1" x14ac:dyDescent="0.35">
      <c r="L4505" s="2"/>
      <c r="M4505" s="2"/>
      <c r="N4505" s="650"/>
      <c r="O4505" s="650"/>
      <c r="P4505" s="651"/>
      <c r="Q4505" s="651"/>
      <c r="R4505" s="651"/>
      <c r="S4505" s="651"/>
    </row>
    <row r="4506" spans="12:19" ht="15.75" customHeight="1" x14ac:dyDescent="0.35">
      <c r="L4506" s="2"/>
      <c r="M4506" s="2"/>
      <c r="N4506" s="650"/>
      <c r="O4506" s="650"/>
      <c r="P4506" s="651"/>
      <c r="Q4506" s="651"/>
      <c r="R4506" s="651"/>
      <c r="S4506" s="651"/>
    </row>
    <row r="4507" spans="12:19" ht="15.75" customHeight="1" x14ac:dyDescent="0.35">
      <c r="L4507" s="2"/>
      <c r="M4507" s="2"/>
      <c r="N4507" s="650"/>
      <c r="O4507" s="650"/>
      <c r="P4507" s="651"/>
      <c r="Q4507" s="651"/>
      <c r="R4507" s="651"/>
      <c r="S4507" s="651"/>
    </row>
    <row r="4508" spans="12:19" ht="15.75" customHeight="1" x14ac:dyDescent="0.35">
      <c r="L4508" s="2"/>
      <c r="M4508" s="2"/>
      <c r="N4508" s="650"/>
      <c r="O4508" s="650"/>
      <c r="P4508" s="651"/>
      <c r="Q4508" s="651"/>
      <c r="R4508" s="651"/>
      <c r="S4508" s="651"/>
    </row>
    <row r="4509" spans="12:19" ht="15.75" customHeight="1" x14ac:dyDescent="0.35">
      <c r="L4509" s="2"/>
      <c r="M4509" s="2"/>
      <c r="N4509" s="650"/>
      <c r="O4509" s="650"/>
      <c r="P4509" s="651"/>
      <c r="Q4509" s="651"/>
      <c r="R4509" s="651"/>
      <c r="S4509" s="651"/>
    </row>
    <row r="4510" spans="12:19" ht="15.75" customHeight="1" x14ac:dyDescent="0.35">
      <c r="L4510" s="2"/>
      <c r="M4510" s="2"/>
      <c r="N4510" s="650"/>
      <c r="O4510" s="650"/>
      <c r="P4510" s="651"/>
      <c r="Q4510" s="651"/>
      <c r="R4510" s="651"/>
      <c r="S4510" s="651"/>
    </row>
    <row r="4511" spans="12:19" ht="15.75" customHeight="1" x14ac:dyDescent="0.35">
      <c r="L4511" s="2"/>
      <c r="M4511" s="2"/>
      <c r="N4511" s="650"/>
      <c r="O4511" s="650"/>
      <c r="P4511" s="651"/>
      <c r="Q4511" s="651"/>
      <c r="R4511" s="651"/>
      <c r="S4511" s="651"/>
    </row>
    <row r="4512" spans="12:19" ht="15.75" customHeight="1" x14ac:dyDescent="0.35">
      <c r="L4512" s="2"/>
      <c r="M4512" s="2"/>
      <c r="N4512" s="650"/>
      <c r="O4512" s="650"/>
      <c r="P4512" s="651"/>
      <c r="Q4512" s="651"/>
      <c r="R4512" s="651"/>
      <c r="S4512" s="651"/>
    </row>
    <row r="4513" spans="12:19" ht="15.75" customHeight="1" x14ac:dyDescent="0.35">
      <c r="L4513" s="2"/>
      <c r="M4513" s="2"/>
      <c r="N4513" s="650"/>
      <c r="O4513" s="650"/>
      <c r="P4513" s="651"/>
      <c r="Q4513" s="651"/>
      <c r="R4513" s="651"/>
      <c r="S4513" s="651"/>
    </row>
    <row r="4514" spans="12:19" ht="15.75" customHeight="1" x14ac:dyDescent="0.35">
      <c r="L4514" s="2"/>
      <c r="M4514" s="2"/>
      <c r="N4514" s="650"/>
      <c r="O4514" s="650"/>
      <c r="P4514" s="651"/>
      <c r="Q4514" s="651"/>
      <c r="R4514" s="651"/>
      <c r="S4514" s="651"/>
    </row>
    <row r="4515" spans="12:19" ht="15.75" customHeight="1" x14ac:dyDescent="0.35">
      <c r="L4515" s="2"/>
      <c r="M4515" s="2"/>
      <c r="N4515" s="650"/>
      <c r="O4515" s="650"/>
      <c r="P4515" s="651"/>
      <c r="Q4515" s="651"/>
      <c r="R4515" s="651"/>
      <c r="S4515" s="651"/>
    </row>
    <row r="4516" spans="12:19" ht="15.75" customHeight="1" x14ac:dyDescent="0.35">
      <c r="L4516" s="2"/>
      <c r="M4516" s="2"/>
      <c r="N4516" s="650"/>
      <c r="O4516" s="650"/>
      <c r="P4516" s="651"/>
      <c r="Q4516" s="651"/>
      <c r="R4516" s="651"/>
      <c r="S4516" s="651"/>
    </row>
    <row r="4517" spans="12:19" ht="15.75" customHeight="1" x14ac:dyDescent="0.35">
      <c r="L4517" s="2"/>
      <c r="M4517" s="2"/>
      <c r="N4517" s="650"/>
      <c r="O4517" s="650"/>
      <c r="P4517" s="651"/>
      <c r="Q4517" s="651"/>
      <c r="R4517" s="651"/>
      <c r="S4517" s="651"/>
    </row>
    <row r="4518" spans="12:19" ht="15.75" customHeight="1" x14ac:dyDescent="0.35">
      <c r="L4518" s="2"/>
      <c r="M4518" s="2"/>
      <c r="N4518" s="650"/>
      <c r="O4518" s="650"/>
      <c r="P4518" s="651"/>
      <c r="Q4518" s="651"/>
      <c r="R4518" s="651"/>
      <c r="S4518" s="651"/>
    </row>
    <row r="4519" spans="12:19" ht="15.75" customHeight="1" x14ac:dyDescent="0.35">
      <c r="L4519" s="2"/>
      <c r="M4519" s="2"/>
      <c r="N4519" s="650"/>
      <c r="O4519" s="650"/>
      <c r="P4519" s="651"/>
      <c r="Q4519" s="651"/>
      <c r="R4519" s="651"/>
      <c r="S4519" s="651"/>
    </row>
    <row r="4520" spans="12:19" ht="15.75" customHeight="1" x14ac:dyDescent="0.35">
      <c r="L4520" s="2"/>
      <c r="M4520" s="2"/>
      <c r="N4520" s="650"/>
      <c r="O4520" s="650"/>
      <c r="P4520" s="651"/>
      <c r="Q4520" s="651"/>
      <c r="R4520" s="651"/>
      <c r="S4520" s="651"/>
    </row>
    <row r="4521" spans="12:19" ht="15.75" customHeight="1" x14ac:dyDescent="0.35">
      <c r="L4521" s="2"/>
      <c r="M4521" s="2"/>
      <c r="N4521" s="650"/>
      <c r="O4521" s="650"/>
      <c r="P4521" s="651"/>
      <c r="Q4521" s="651"/>
      <c r="R4521" s="651"/>
      <c r="S4521" s="651"/>
    </row>
    <row r="4522" spans="12:19" ht="15.75" customHeight="1" x14ac:dyDescent="0.35">
      <c r="L4522" s="2"/>
      <c r="M4522" s="2"/>
      <c r="N4522" s="650"/>
      <c r="O4522" s="650"/>
      <c r="P4522" s="651"/>
      <c r="Q4522" s="651"/>
      <c r="R4522" s="651"/>
      <c r="S4522" s="651"/>
    </row>
    <row r="4523" spans="12:19" ht="15.75" customHeight="1" x14ac:dyDescent="0.35">
      <c r="L4523" s="2"/>
      <c r="M4523" s="2"/>
      <c r="N4523" s="650"/>
      <c r="O4523" s="650"/>
      <c r="P4523" s="651"/>
      <c r="Q4523" s="651"/>
      <c r="R4523" s="651"/>
      <c r="S4523" s="651"/>
    </row>
    <row r="4524" spans="12:19" ht="15.75" customHeight="1" x14ac:dyDescent="0.35">
      <c r="L4524" s="2"/>
      <c r="M4524" s="2"/>
      <c r="N4524" s="650"/>
      <c r="O4524" s="650"/>
      <c r="P4524" s="651"/>
      <c r="Q4524" s="651"/>
      <c r="R4524" s="651"/>
      <c r="S4524" s="651"/>
    </row>
    <row r="4525" spans="12:19" ht="15.75" customHeight="1" x14ac:dyDescent="0.35">
      <c r="L4525" s="2"/>
      <c r="M4525" s="2"/>
      <c r="N4525" s="650"/>
      <c r="O4525" s="650"/>
      <c r="P4525" s="651"/>
      <c r="Q4525" s="651"/>
      <c r="R4525" s="651"/>
      <c r="S4525" s="651"/>
    </row>
    <row r="4526" spans="12:19" ht="15.75" customHeight="1" x14ac:dyDescent="0.35">
      <c r="L4526" s="2"/>
      <c r="M4526" s="2"/>
      <c r="N4526" s="650"/>
      <c r="O4526" s="650"/>
      <c r="P4526" s="651"/>
      <c r="Q4526" s="651"/>
      <c r="R4526" s="651"/>
      <c r="S4526" s="651"/>
    </row>
    <row r="4527" spans="12:19" ht="15.75" customHeight="1" x14ac:dyDescent="0.35">
      <c r="L4527" s="2"/>
      <c r="M4527" s="2"/>
      <c r="N4527" s="650"/>
      <c r="O4527" s="650"/>
      <c r="P4527" s="651"/>
      <c r="Q4527" s="651"/>
      <c r="R4527" s="651"/>
      <c r="S4527" s="651"/>
    </row>
    <row r="4528" spans="12:19" ht="15.75" customHeight="1" x14ac:dyDescent="0.35">
      <c r="L4528" s="2"/>
      <c r="M4528" s="2"/>
      <c r="N4528" s="650"/>
      <c r="O4528" s="650"/>
      <c r="P4528" s="651"/>
      <c r="Q4528" s="651"/>
      <c r="R4528" s="651"/>
      <c r="S4528" s="651"/>
    </row>
    <row r="4529" spans="12:19" ht="15.75" customHeight="1" x14ac:dyDescent="0.35">
      <c r="L4529" s="2"/>
      <c r="M4529" s="2"/>
      <c r="N4529" s="650"/>
      <c r="O4529" s="650"/>
      <c r="P4529" s="651"/>
      <c r="Q4529" s="651"/>
      <c r="R4529" s="651"/>
      <c r="S4529" s="651"/>
    </row>
    <row r="4530" spans="12:19" ht="15.75" customHeight="1" x14ac:dyDescent="0.35">
      <c r="L4530" s="2"/>
      <c r="M4530" s="2"/>
      <c r="N4530" s="650"/>
      <c r="O4530" s="650"/>
      <c r="P4530" s="651"/>
      <c r="Q4530" s="651"/>
      <c r="R4530" s="651"/>
      <c r="S4530" s="651"/>
    </row>
    <row r="4531" spans="12:19" ht="15.75" customHeight="1" x14ac:dyDescent="0.35">
      <c r="L4531" s="2"/>
      <c r="M4531" s="2"/>
      <c r="N4531" s="650"/>
      <c r="O4531" s="650"/>
      <c r="P4531" s="651"/>
      <c r="Q4531" s="651"/>
      <c r="R4531" s="651"/>
      <c r="S4531" s="651"/>
    </row>
    <row r="4532" spans="12:19" ht="15.75" customHeight="1" x14ac:dyDescent="0.35">
      <c r="L4532" s="2"/>
      <c r="M4532" s="2"/>
      <c r="N4532" s="650"/>
      <c r="O4532" s="650"/>
      <c r="P4532" s="651"/>
      <c r="Q4532" s="651"/>
      <c r="R4532" s="651"/>
      <c r="S4532" s="651"/>
    </row>
    <row r="4533" spans="12:19" ht="15.75" customHeight="1" x14ac:dyDescent="0.35">
      <c r="L4533" s="2"/>
      <c r="M4533" s="2"/>
      <c r="N4533" s="650"/>
      <c r="O4533" s="650"/>
      <c r="P4533" s="651"/>
      <c r="Q4533" s="651"/>
      <c r="R4533" s="651"/>
      <c r="S4533" s="651"/>
    </row>
    <row r="4534" spans="12:19" ht="15.75" customHeight="1" x14ac:dyDescent="0.35">
      <c r="L4534" s="2"/>
      <c r="M4534" s="2"/>
      <c r="N4534" s="650"/>
      <c r="O4534" s="650"/>
      <c r="P4534" s="651"/>
      <c r="Q4534" s="651"/>
      <c r="R4534" s="651"/>
      <c r="S4534" s="651"/>
    </row>
    <row r="4535" spans="12:19" ht="15.75" customHeight="1" x14ac:dyDescent="0.35">
      <c r="L4535" s="2"/>
      <c r="M4535" s="2"/>
      <c r="N4535" s="650"/>
      <c r="O4535" s="650"/>
      <c r="P4535" s="651"/>
      <c r="Q4535" s="651"/>
      <c r="R4535" s="651"/>
      <c r="S4535" s="651"/>
    </row>
    <row r="4536" spans="12:19" ht="15.75" customHeight="1" x14ac:dyDescent="0.35">
      <c r="L4536" s="2"/>
      <c r="M4536" s="2"/>
      <c r="N4536" s="650"/>
      <c r="O4536" s="650"/>
      <c r="P4536" s="651"/>
      <c r="Q4536" s="651"/>
      <c r="R4536" s="651"/>
      <c r="S4536" s="651"/>
    </row>
    <row r="4537" spans="12:19" ht="15.75" customHeight="1" x14ac:dyDescent="0.35">
      <c r="L4537" s="2"/>
      <c r="M4537" s="2"/>
      <c r="N4537" s="650"/>
      <c r="O4537" s="650"/>
      <c r="P4537" s="651"/>
      <c r="Q4537" s="651"/>
      <c r="R4537" s="651"/>
      <c r="S4537" s="651"/>
    </row>
    <row r="4538" spans="12:19" ht="15.75" customHeight="1" x14ac:dyDescent="0.35">
      <c r="L4538" s="2"/>
      <c r="M4538" s="2"/>
      <c r="N4538" s="650"/>
      <c r="O4538" s="650"/>
      <c r="P4538" s="651"/>
      <c r="Q4538" s="651"/>
      <c r="R4538" s="651"/>
      <c r="S4538" s="651"/>
    </row>
    <row r="4539" spans="12:19" ht="15.75" customHeight="1" x14ac:dyDescent="0.35">
      <c r="L4539" s="2"/>
      <c r="M4539" s="2"/>
      <c r="N4539" s="650"/>
      <c r="O4539" s="650"/>
      <c r="P4539" s="651"/>
      <c r="Q4539" s="651"/>
      <c r="R4539" s="651"/>
      <c r="S4539" s="651"/>
    </row>
    <row r="4540" spans="12:19" ht="15.75" customHeight="1" x14ac:dyDescent="0.35">
      <c r="L4540" s="2"/>
      <c r="M4540" s="2"/>
      <c r="N4540" s="650"/>
      <c r="O4540" s="650"/>
      <c r="P4540" s="651"/>
      <c r="Q4540" s="651"/>
      <c r="R4540" s="651"/>
      <c r="S4540" s="651"/>
    </row>
    <row r="4541" spans="12:19" ht="15.75" customHeight="1" x14ac:dyDescent="0.35">
      <c r="L4541" s="2"/>
      <c r="M4541" s="2"/>
      <c r="N4541" s="650"/>
      <c r="O4541" s="650"/>
      <c r="P4541" s="651"/>
      <c r="Q4541" s="651"/>
      <c r="R4541" s="651"/>
      <c r="S4541" s="651"/>
    </row>
    <row r="4542" spans="12:19" ht="15.75" customHeight="1" x14ac:dyDescent="0.35">
      <c r="L4542" s="2"/>
      <c r="M4542" s="2"/>
      <c r="N4542" s="650"/>
      <c r="O4542" s="650"/>
      <c r="P4542" s="651"/>
      <c r="Q4542" s="651"/>
      <c r="R4542" s="651"/>
      <c r="S4542" s="651"/>
    </row>
    <row r="4543" spans="12:19" ht="15.75" customHeight="1" x14ac:dyDescent="0.35">
      <c r="L4543" s="2"/>
      <c r="M4543" s="2"/>
      <c r="N4543" s="650"/>
      <c r="O4543" s="650"/>
      <c r="P4543" s="651"/>
      <c r="Q4543" s="651"/>
      <c r="R4543" s="651"/>
      <c r="S4543" s="651"/>
    </row>
    <row r="4544" spans="12:19" ht="15.75" customHeight="1" x14ac:dyDescent="0.35">
      <c r="L4544" s="2"/>
      <c r="M4544" s="2"/>
      <c r="N4544" s="650"/>
      <c r="O4544" s="650"/>
      <c r="P4544" s="651"/>
      <c r="Q4544" s="651"/>
      <c r="R4544" s="651"/>
      <c r="S4544" s="651"/>
    </row>
    <row r="4545" spans="12:19" ht="15.75" customHeight="1" x14ac:dyDescent="0.35">
      <c r="L4545" s="2"/>
      <c r="M4545" s="2"/>
      <c r="N4545" s="650"/>
      <c r="O4545" s="650"/>
      <c r="P4545" s="651"/>
      <c r="Q4545" s="651"/>
      <c r="R4545" s="651"/>
      <c r="S4545" s="651"/>
    </row>
    <row r="4546" spans="12:19" ht="15.75" customHeight="1" x14ac:dyDescent="0.35">
      <c r="L4546" s="2"/>
      <c r="M4546" s="2"/>
      <c r="N4546" s="650"/>
      <c r="O4546" s="650"/>
      <c r="P4546" s="651"/>
      <c r="Q4546" s="651"/>
      <c r="R4546" s="651"/>
      <c r="S4546" s="651"/>
    </row>
    <row r="4547" spans="12:19" ht="15.75" customHeight="1" x14ac:dyDescent="0.35">
      <c r="L4547" s="2"/>
      <c r="M4547" s="2"/>
      <c r="N4547" s="650"/>
      <c r="O4547" s="650"/>
      <c r="P4547" s="651"/>
      <c r="Q4547" s="651"/>
      <c r="R4547" s="651"/>
      <c r="S4547" s="651"/>
    </row>
    <row r="4548" spans="12:19" ht="15.75" customHeight="1" x14ac:dyDescent="0.35">
      <c r="L4548" s="2"/>
      <c r="M4548" s="2"/>
      <c r="N4548" s="650"/>
      <c r="O4548" s="650"/>
      <c r="P4548" s="651"/>
      <c r="Q4548" s="651"/>
      <c r="R4548" s="651"/>
      <c r="S4548" s="651"/>
    </row>
    <row r="4549" spans="12:19" ht="15.75" customHeight="1" x14ac:dyDescent="0.35">
      <c r="L4549" s="2"/>
      <c r="M4549" s="2"/>
      <c r="N4549" s="650"/>
      <c r="O4549" s="650"/>
      <c r="P4549" s="651"/>
      <c r="Q4549" s="651"/>
      <c r="R4549" s="651"/>
      <c r="S4549" s="651"/>
    </row>
    <row r="4550" spans="12:19" ht="15.75" customHeight="1" x14ac:dyDescent="0.35">
      <c r="L4550" s="2"/>
      <c r="M4550" s="2"/>
      <c r="N4550" s="650"/>
      <c r="O4550" s="650"/>
      <c r="P4550" s="651"/>
      <c r="Q4550" s="651"/>
      <c r="R4550" s="651"/>
      <c r="S4550" s="651"/>
    </row>
    <row r="4551" spans="12:19" ht="15.75" customHeight="1" x14ac:dyDescent="0.35">
      <c r="L4551" s="2"/>
      <c r="M4551" s="2"/>
      <c r="N4551" s="650"/>
      <c r="O4551" s="650"/>
      <c r="P4551" s="651"/>
      <c r="Q4551" s="651"/>
      <c r="R4551" s="651"/>
      <c r="S4551" s="651"/>
    </row>
    <row r="4552" spans="12:19" ht="15.75" customHeight="1" x14ac:dyDescent="0.35">
      <c r="L4552" s="2"/>
      <c r="M4552" s="2"/>
      <c r="N4552" s="650"/>
      <c r="O4552" s="650"/>
      <c r="P4552" s="651"/>
      <c r="Q4552" s="651"/>
      <c r="R4552" s="651"/>
      <c r="S4552" s="651"/>
    </row>
    <row r="4553" spans="12:19" ht="15.75" customHeight="1" x14ac:dyDescent="0.35">
      <c r="L4553" s="2"/>
      <c r="M4553" s="2"/>
      <c r="N4553" s="650"/>
      <c r="O4553" s="650"/>
      <c r="P4553" s="651"/>
      <c r="Q4553" s="651"/>
      <c r="R4553" s="651"/>
      <c r="S4553" s="651"/>
    </row>
    <row r="4554" spans="12:19" ht="15.75" customHeight="1" x14ac:dyDescent="0.35">
      <c r="L4554" s="2"/>
      <c r="M4554" s="2"/>
      <c r="N4554" s="650"/>
      <c r="O4554" s="650"/>
      <c r="P4554" s="651"/>
      <c r="Q4554" s="651"/>
      <c r="R4554" s="651"/>
      <c r="S4554" s="651"/>
    </row>
    <row r="4555" spans="12:19" ht="15.75" customHeight="1" x14ac:dyDescent="0.35">
      <c r="L4555" s="2"/>
      <c r="M4555" s="2"/>
      <c r="N4555" s="650"/>
      <c r="O4555" s="650"/>
      <c r="P4555" s="651"/>
      <c r="Q4555" s="651"/>
      <c r="R4555" s="651"/>
      <c r="S4555" s="651"/>
    </row>
    <row r="4556" spans="12:19" ht="15.75" customHeight="1" x14ac:dyDescent="0.35">
      <c r="L4556" s="2"/>
      <c r="M4556" s="2"/>
      <c r="N4556" s="650"/>
      <c r="O4556" s="650"/>
      <c r="P4556" s="651"/>
      <c r="Q4556" s="651"/>
      <c r="R4556" s="651"/>
      <c r="S4556" s="651"/>
    </row>
    <row r="4557" spans="12:19" ht="15.75" customHeight="1" x14ac:dyDescent="0.35">
      <c r="L4557" s="2"/>
      <c r="M4557" s="2"/>
      <c r="N4557" s="650"/>
      <c r="O4557" s="650"/>
      <c r="P4557" s="651"/>
      <c r="Q4557" s="651"/>
      <c r="R4557" s="651"/>
      <c r="S4557" s="651"/>
    </row>
    <row r="4558" spans="12:19" ht="15.75" customHeight="1" x14ac:dyDescent="0.35">
      <c r="L4558" s="2"/>
      <c r="M4558" s="2"/>
      <c r="N4558" s="650"/>
      <c r="O4558" s="650"/>
      <c r="P4558" s="651"/>
      <c r="Q4558" s="651"/>
      <c r="R4558" s="651"/>
      <c r="S4558" s="651"/>
    </row>
    <row r="4559" spans="12:19" ht="15.75" customHeight="1" x14ac:dyDescent="0.35">
      <c r="L4559" s="2"/>
      <c r="M4559" s="2"/>
      <c r="N4559" s="650"/>
      <c r="O4559" s="650"/>
      <c r="P4559" s="651"/>
      <c r="Q4559" s="651"/>
      <c r="R4559" s="651"/>
      <c r="S4559" s="651"/>
    </row>
    <row r="4560" spans="12:19" ht="15.75" customHeight="1" x14ac:dyDescent="0.35">
      <c r="L4560" s="2"/>
      <c r="M4560" s="2"/>
      <c r="N4560" s="650"/>
      <c r="O4560" s="650"/>
      <c r="P4560" s="651"/>
      <c r="Q4560" s="651"/>
      <c r="R4560" s="651"/>
      <c r="S4560" s="651"/>
    </row>
    <row r="4561" spans="12:19" ht="15.75" customHeight="1" x14ac:dyDescent="0.35">
      <c r="L4561" s="2"/>
      <c r="M4561" s="2"/>
      <c r="N4561" s="650"/>
      <c r="O4561" s="650"/>
      <c r="P4561" s="651"/>
      <c r="Q4561" s="651"/>
      <c r="R4561" s="651"/>
      <c r="S4561" s="651"/>
    </row>
    <row r="4562" spans="12:19" ht="15.75" customHeight="1" x14ac:dyDescent="0.35">
      <c r="L4562" s="2"/>
      <c r="M4562" s="2"/>
      <c r="N4562" s="650"/>
      <c r="O4562" s="650"/>
      <c r="P4562" s="651"/>
      <c r="Q4562" s="651"/>
      <c r="R4562" s="651"/>
      <c r="S4562" s="651"/>
    </row>
    <row r="4563" spans="12:19" ht="15.75" customHeight="1" x14ac:dyDescent="0.35">
      <c r="L4563" s="2"/>
      <c r="M4563" s="2"/>
      <c r="N4563" s="650"/>
      <c r="O4563" s="650"/>
      <c r="P4563" s="651"/>
      <c r="Q4563" s="651"/>
      <c r="R4563" s="651"/>
      <c r="S4563" s="651"/>
    </row>
    <row r="4564" spans="12:19" ht="15.75" customHeight="1" x14ac:dyDescent="0.35">
      <c r="L4564" s="2"/>
      <c r="M4564" s="2"/>
      <c r="N4564" s="650"/>
      <c r="O4564" s="650"/>
      <c r="P4564" s="651"/>
      <c r="Q4564" s="651"/>
      <c r="R4564" s="651"/>
      <c r="S4564" s="651"/>
    </row>
    <row r="4565" spans="12:19" ht="15.75" customHeight="1" x14ac:dyDescent="0.35">
      <c r="L4565" s="2"/>
      <c r="M4565" s="2"/>
      <c r="N4565" s="650"/>
      <c r="O4565" s="650"/>
      <c r="P4565" s="651"/>
      <c r="Q4565" s="651"/>
      <c r="R4565" s="651"/>
      <c r="S4565" s="651"/>
    </row>
    <row r="4566" spans="12:19" ht="15.75" customHeight="1" x14ac:dyDescent="0.35">
      <c r="L4566" s="2"/>
      <c r="M4566" s="2"/>
      <c r="N4566" s="650"/>
      <c r="O4566" s="650"/>
      <c r="P4566" s="651"/>
      <c r="Q4566" s="651"/>
      <c r="R4566" s="651"/>
      <c r="S4566" s="651"/>
    </row>
    <row r="4567" spans="12:19" ht="15.75" customHeight="1" x14ac:dyDescent="0.35">
      <c r="L4567" s="2"/>
      <c r="M4567" s="2"/>
      <c r="N4567" s="650"/>
      <c r="O4567" s="650"/>
      <c r="P4567" s="651"/>
      <c r="Q4567" s="651"/>
      <c r="R4567" s="651"/>
      <c r="S4567" s="651"/>
    </row>
    <row r="4568" spans="12:19" ht="15.75" customHeight="1" x14ac:dyDescent="0.35">
      <c r="L4568" s="2"/>
      <c r="M4568" s="2"/>
      <c r="N4568" s="650"/>
      <c r="O4568" s="650"/>
      <c r="P4568" s="651"/>
      <c r="Q4568" s="651"/>
      <c r="R4568" s="651"/>
      <c r="S4568" s="651"/>
    </row>
    <row r="4569" spans="12:19" ht="15.75" customHeight="1" x14ac:dyDescent="0.35">
      <c r="L4569" s="2"/>
      <c r="M4569" s="2"/>
      <c r="N4569" s="650"/>
      <c r="O4569" s="650"/>
      <c r="P4569" s="651"/>
      <c r="Q4569" s="651"/>
      <c r="R4569" s="651"/>
      <c r="S4569" s="651"/>
    </row>
    <row r="4570" spans="12:19" ht="15.75" customHeight="1" x14ac:dyDescent="0.35">
      <c r="L4570" s="2"/>
      <c r="M4570" s="2"/>
      <c r="N4570" s="650"/>
      <c r="O4570" s="650"/>
      <c r="P4570" s="651"/>
      <c r="Q4570" s="651"/>
      <c r="R4570" s="651"/>
      <c r="S4570" s="651"/>
    </row>
    <row r="4571" spans="12:19" ht="15.75" customHeight="1" x14ac:dyDescent="0.35">
      <c r="L4571" s="2"/>
      <c r="M4571" s="2"/>
      <c r="N4571" s="650"/>
      <c r="O4571" s="650"/>
      <c r="P4571" s="651"/>
      <c r="Q4571" s="651"/>
      <c r="R4571" s="651"/>
      <c r="S4571" s="651"/>
    </row>
    <row r="4572" spans="12:19" ht="15.75" customHeight="1" x14ac:dyDescent="0.35">
      <c r="L4572" s="2"/>
      <c r="M4572" s="2"/>
      <c r="N4572" s="650"/>
      <c r="O4572" s="650"/>
      <c r="P4572" s="651"/>
      <c r="Q4572" s="651"/>
      <c r="R4572" s="651"/>
      <c r="S4572" s="651"/>
    </row>
    <row r="4573" spans="12:19" ht="15.75" customHeight="1" x14ac:dyDescent="0.35">
      <c r="L4573" s="2"/>
      <c r="M4573" s="2"/>
      <c r="N4573" s="650"/>
      <c r="O4573" s="650"/>
      <c r="P4573" s="651"/>
      <c r="Q4573" s="651"/>
      <c r="R4573" s="651"/>
      <c r="S4573" s="651"/>
    </row>
    <row r="4574" spans="12:19" ht="15.75" customHeight="1" x14ac:dyDescent="0.35">
      <c r="L4574" s="2"/>
      <c r="M4574" s="2"/>
      <c r="N4574" s="650"/>
      <c r="O4574" s="650"/>
      <c r="P4574" s="651"/>
      <c r="Q4574" s="651"/>
      <c r="R4574" s="651"/>
      <c r="S4574" s="651"/>
    </row>
    <row r="4575" spans="12:19" ht="15.75" customHeight="1" x14ac:dyDescent="0.35">
      <c r="L4575" s="2"/>
      <c r="M4575" s="2"/>
      <c r="N4575" s="650"/>
      <c r="O4575" s="650"/>
      <c r="P4575" s="651"/>
      <c r="Q4575" s="651"/>
      <c r="R4575" s="651"/>
      <c r="S4575" s="651"/>
    </row>
    <row r="4576" spans="12:19" ht="15.75" customHeight="1" x14ac:dyDescent="0.35">
      <c r="L4576" s="2"/>
      <c r="M4576" s="2"/>
      <c r="N4576" s="650"/>
      <c r="O4576" s="650"/>
      <c r="P4576" s="651"/>
      <c r="Q4576" s="651"/>
      <c r="R4576" s="651"/>
      <c r="S4576" s="651"/>
    </row>
    <row r="4577" spans="12:19" ht="15.75" customHeight="1" x14ac:dyDescent="0.35">
      <c r="L4577" s="2"/>
      <c r="M4577" s="2"/>
      <c r="N4577" s="650"/>
      <c r="O4577" s="650"/>
      <c r="P4577" s="651"/>
      <c r="Q4577" s="651"/>
      <c r="R4577" s="651"/>
      <c r="S4577" s="651"/>
    </row>
    <row r="4578" spans="12:19" ht="15.75" customHeight="1" x14ac:dyDescent="0.35">
      <c r="L4578" s="2"/>
      <c r="M4578" s="2"/>
      <c r="N4578" s="650"/>
      <c r="O4578" s="650"/>
      <c r="P4578" s="651"/>
      <c r="Q4578" s="651"/>
      <c r="R4578" s="651"/>
      <c r="S4578" s="651"/>
    </row>
    <row r="4579" spans="12:19" ht="15.75" customHeight="1" x14ac:dyDescent="0.35">
      <c r="L4579" s="2"/>
      <c r="M4579" s="2"/>
      <c r="N4579" s="650"/>
      <c r="O4579" s="650"/>
      <c r="P4579" s="651"/>
      <c r="Q4579" s="651"/>
      <c r="R4579" s="651"/>
      <c r="S4579" s="651"/>
    </row>
    <row r="4580" spans="12:19" ht="15.75" customHeight="1" x14ac:dyDescent="0.35">
      <c r="L4580" s="2"/>
      <c r="M4580" s="2"/>
      <c r="N4580" s="650"/>
      <c r="O4580" s="650"/>
      <c r="P4580" s="651"/>
      <c r="Q4580" s="651"/>
      <c r="R4580" s="651"/>
      <c r="S4580" s="651"/>
    </row>
    <row r="4581" spans="12:19" ht="15.75" customHeight="1" x14ac:dyDescent="0.35">
      <c r="L4581" s="2"/>
      <c r="M4581" s="2"/>
      <c r="N4581" s="650"/>
      <c r="O4581" s="650"/>
      <c r="P4581" s="651"/>
      <c r="Q4581" s="651"/>
      <c r="R4581" s="651"/>
      <c r="S4581" s="651"/>
    </row>
    <row r="4582" spans="12:19" ht="15.75" customHeight="1" x14ac:dyDescent="0.35">
      <c r="L4582" s="2"/>
      <c r="M4582" s="2"/>
      <c r="N4582" s="650"/>
      <c r="O4582" s="650"/>
      <c r="P4582" s="651"/>
      <c r="Q4582" s="651"/>
      <c r="R4582" s="651"/>
      <c r="S4582" s="651"/>
    </row>
    <row r="4583" spans="12:19" ht="15.75" customHeight="1" x14ac:dyDescent="0.35">
      <c r="L4583" s="2"/>
      <c r="M4583" s="2"/>
      <c r="N4583" s="650"/>
      <c r="O4583" s="650"/>
      <c r="P4583" s="651"/>
      <c r="Q4583" s="651"/>
      <c r="R4583" s="651"/>
      <c r="S4583" s="651"/>
    </row>
    <row r="4584" spans="12:19" ht="15.75" customHeight="1" x14ac:dyDescent="0.35">
      <c r="L4584" s="2"/>
      <c r="M4584" s="2"/>
      <c r="N4584" s="650"/>
      <c r="O4584" s="650"/>
      <c r="P4584" s="651"/>
      <c r="Q4584" s="651"/>
      <c r="R4584" s="651"/>
      <c r="S4584" s="651"/>
    </row>
    <row r="4585" spans="12:19" ht="15.75" customHeight="1" x14ac:dyDescent="0.35">
      <c r="L4585" s="2"/>
      <c r="M4585" s="2"/>
      <c r="N4585" s="650"/>
      <c r="O4585" s="650"/>
      <c r="P4585" s="651"/>
      <c r="Q4585" s="651"/>
      <c r="R4585" s="651"/>
      <c r="S4585" s="651"/>
    </row>
    <row r="4586" spans="12:19" ht="15.75" customHeight="1" x14ac:dyDescent="0.35">
      <c r="L4586" s="2"/>
      <c r="M4586" s="2"/>
      <c r="N4586" s="650"/>
      <c r="O4586" s="650"/>
      <c r="P4586" s="651"/>
      <c r="Q4586" s="651"/>
      <c r="R4586" s="651"/>
      <c r="S4586" s="651"/>
    </row>
    <row r="4587" spans="12:19" ht="15.75" customHeight="1" x14ac:dyDescent="0.35">
      <c r="L4587" s="2"/>
      <c r="M4587" s="2"/>
      <c r="N4587" s="650"/>
      <c r="O4587" s="650"/>
      <c r="P4587" s="651"/>
      <c r="Q4587" s="651"/>
      <c r="R4587" s="651"/>
      <c r="S4587" s="651"/>
    </row>
    <row r="4588" spans="12:19" ht="15.75" customHeight="1" x14ac:dyDescent="0.35">
      <c r="L4588" s="2"/>
      <c r="M4588" s="2"/>
      <c r="N4588" s="650"/>
      <c r="O4588" s="650"/>
      <c r="P4588" s="651"/>
      <c r="Q4588" s="651"/>
      <c r="R4588" s="651"/>
      <c r="S4588" s="651"/>
    </row>
    <row r="4589" spans="12:19" ht="15.75" customHeight="1" x14ac:dyDescent="0.35">
      <c r="L4589" s="2"/>
      <c r="M4589" s="2"/>
      <c r="N4589" s="650"/>
      <c r="O4589" s="650"/>
      <c r="P4589" s="651"/>
      <c r="Q4589" s="651"/>
      <c r="R4589" s="651"/>
      <c r="S4589" s="651"/>
    </row>
    <row r="4590" spans="12:19" ht="15.75" customHeight="1" x14ac:dyDescent="0.35">
      <c r="L4590" s="2"/>
      <c r="M4590" s="2"/>
      <c r="N4590" s="650"/>
      <c r="O4590" s="650"/>
      <c r="P4590" s="651"/>
      <c r="Q4590" s="651"/>
      <c r="R4590" s="651"/>
      <c r="S4590" s="651"/>
    </row>
    <row r="4591" spans="12:19" ht="15.75" customHeight="1" x14ac:dyDescent="0.35">
      <c r="L4591" s="2"/>
      <c r="M4591" s="2"/>
      <c r="N4591" s="650"/>
      <c r="O4591" s="650"/>
      <c r="P4591" s="651"/>
      <c r="Q4591" s="651"/>
      <c r="R4591" s="651"/>
      <c r="S4591" s="651"/>
    </row>
    <row r="4592" spans="12:19" ht="15.75" customHeight="1" x14ac:dyDescent="0.35">
      <c r="L4592" s="2"/>
      <c r="M4592" s="2"/>
      <c r="N4592" s="650"/>
      <c r="O4592" s="650"/>
      <c r="P4592" s="651"/>
      <c r="Q4592" s="651"/>
      <c r="R4592" s="651"/>
      <c r="S4592" s="651"/>
    </row>
    <row r="4593" spans="12:19" ht="15.75" customHeight="1" x14ac:dyDescent="0.35">
      <c r="L4593" s="2"/>
      <c r="M4593" s="2"/>
      <c r="N4593" s="650"/>
      <c r="O4593" s="650"/>
      <c r="P4593" s="651"/>
      <c r="Q4593" s="651"/>
      <c r="R4593" s="651"/>
      <c r="S4593" s="651"/>
    </row>
    <row r="4594" spans="12:19" ht="15.75" customHeight="1" x14ac:dyDescent="0.35">
      <c r="L4594" s="2"/>
      <c r="M4594" s="2"/>
      <c r="N4594" s="650"/>
      <c r="O4594" s="650"/>
      <c r="P4594" s="651"/>
      <c r="Q4594" s="651"/>
      <c r="R4594" s="651"/>
      <c r="S4594" s="651"/>
    </row>
    <row r="4595" spans="12:19" ht="15.75" customHeight="1" x14ac:dyDescent="0.35">
      <c r="L4595" s="2"/>
      <c r="M4595" s="2"/>
      <c r="N4595" s="650"/>
      <c r="O4595" s="650"/>
      <c r="P4595" s="651"/>
      <c r="Q4595" s="651"/>
      <c r="R4595" s="651"/>
      <c r="S4595" s="651"/>
    </row>
    <row r="4596" spans="12:19" ht="15.75" customHeight="1" x14ac:dyDescent="0.35">
      <c r="L4596" s="2"/>
      <c r="M4596" s="2"/>
      <c r="N4596" s="650"/>
      <c r="O4596" s="650"/>
      <c r="P4596" s="651"/>
      <c r="Q4596" s="651"/>
      <c r="R4596" s="651"/>
      <c r="S4596" s="651"/>
    </row>
    <row r="4597" spans="12:19" ht="15.75" customHeight="1" x14ac:dyDescent="0.35">
      <c r="L4597" s="2"/>
      <c r="M4597" s="2"/>
      <c r="N4597" s="650"/>
      <c r="O4597" s="650"/>
      <c r="P4597" s="651"/>
      <c r="Q4597" s="651"/>
      <c r="R4597" s="651"/>
      <c r="S4597" s="651"/>
    </row>
    <row r="4598" spans="12:19" ht="15.75" customHeight="1" x14ac:dyDescent="0.35">
      <c r="L4598" s="2"/>
      <c r="M4598" s="2"/>
      <c r="N4598" s="650"/>
      <c r="O4598" s="650"/>
      <c r="P4598" s="651"/>
      <c r="Q4598" s="651"/>
      <c r="R4598" s="651"/>
      <c r="S4598" s="651"/>
    </row>
    <row r="4599" spans="12:19" ht="15.75" customHeight="1" x14ac:dyDescent="0.35">
      <c r="L4599" s="2"/>
      <c r="M4599" s="2"/>
      <c r="N4599" s="650"/>
      <c r="O4599" s="650"/>
      <c r="P4599" s="651"/>
      <c r="Q4599" s="651"/>
      <c r="R4599" s="651"/>
      <c r="S4599" s="651"/>
    </row>
    <row r="4600" spans="12:19" ht="15.75" customHeight="1" x14ac:dyDescent="0.35">
      <c r="L4600" s="2"/>
      <c r="M4600" s="2"/>
      <c r="N4600" s="650"/>
      <c r="O4600" s="650"/>
      <c r="P4600" s="651"/>
      <c r="Q4600" s="651"/>
      <c r="R4600" s="651"/>
      <c r="S4600" s="651"/>
    </row>
    <row r="4601" spans="12:19" ht="15.75" customHeight="1" x14ac:dyDescent="0.35">
      <c r="L4601" s="2"/>
      <c r="M4601" s="2"/>
      <c r="N4601" s="650"/>
      <c r="O4601" s="650"/>
      <c r="P4601" s="651"/>
      <c r="Q4601" s="651"/>
      <c r="R4601" s="651"/>
      <c r="S4601" s="651"/>
    </row>
    <row r="4602" spans="12:19" ht="15.75" customHeight="1" x14ac:dyDescent="0.35">
      <c r="L4602" s="2"/>
      <c r="M4602" s="2"/>
      <c r="N4602" s="650"/>
      <c r="O4602" s="650"/>
      <c r="P4602" s="651"/>
      <c r="Q4602" s="651"/>
      <c r="R4602" s="651"/>
      <c r="S4602" s="651"/>
    </row>
    <row r="4603" spans="12:19" ht="15.75" customHeight="1" x14ac:dyDescent="0.35">
      <c r="L4603" s="2"/>
      <c r="M4603" s="2"/>
      <c r="N4603" s="650"/>
      <c r="O4603" s="650"/>
      <c r="P4603" s="651"/>
      <c r="Q4603" s="651"/>
      <c r="R4603" s="651"/>
      <c r="S4603" s="651"/>
    </row>
    <row r="4604" spans="12:19" ht="15.75" customHeight="1" x14ac:dyDescent="0.35">
      <c r="L4604" s="2"/>
      <c r="M4604" s="2"/>
      <c r="N4604" s="650"/>
      <c r="O4604" s="650"/>
      <c r="P4604" s="651"/>
      <c r="Q4604" s="651"/>
      <c r="R4604" s="651"/>
      <c r="S4604" s="651"/>
    </row>
    <row r="4605" spans="12:19" ht="15.75" customHeight="1" x14ac:dyDescent="0.35">
      <c r="L4605" s="2"/>
      <c r="M4605" s="2"/>
      <c r="N4605" s="650"/>
      <c r="O4605" s="650"/>
      <c r="P4605" s="651"/>
      <c r="Q4605" s="651"/>
      <c r="R4605" s="651"/>
      <c r="S4605" s="651"/>
    </row>
    <row r="4606" spans="12:19" ht="15.75" customHeight="1" x14ac:dyDescent="0.35">
      <c r="L4606" s="2"/>
      <c r="M4606" s="2"/>
      <c r="N4606" s="650"/>
      <c r="O4606" s="650"/>
      <c r="P4606" s="651"/>
      <c r="Q4606" s="651"/>
      <c r="R4606" s="651"/>
      <c r="S4606" s="651"/>
    </row>
    <row r="4607" spans="12:19" ht="15.75" customHeight="1" x14ac:dyDescent="0.35">
      <c r="L4607" s="2"/>
      <c r="M4607" s="2"/>
      <c r="N4607" s="650"/>
      <c r="O4607" s="650"/>
      <c r="P4607" s="651"/>
      <c r="Q4607" s="651"/>
      <c r="R4607" s="651"/>
      <c r="S4607" s="651"/>
    </row>
    <row r="4608" spans="12:19" ht="15.75" customHeight="1" x14ac:dyDescent="0.35">
      <c r="L4608" s="2"/>
      <c r="M4608" s="2"/>
      <c r="N4608" s="650"/>
      <c r="O4608" s="650"/>
      <c r="P4608" s="651"/>
      <c r="Q4608" s="651"/>
      <c r="R4608" s="651"/>
      <c r="S4608" s="651"/>
    </row>
    <row r="4609" spans="12:19" ht="15.75" customHeight="1" x14ac:dyDescent="0.35">
      <c r="L4609" s="2"/>
      <c r="M4609" s="2"/>
      <c r="N4609" s="650"/>
      <c r="O4609" s="650"/>
      <c r="P4609" s="651"/>
      <c r="Q4609" s="651"/>
      <c r="R4609" s="651"/>
      <c r="S4609" s="651"/>
    </row>
    <row r="4610" spans="12:19" ht="15.75" customHeight="1" x14ac:dyDescent="0.35">
      <c r="L4610" s="2"/>
      <c r="M4610" s="2"/>
      <c r="N4610" s="650"/>
      <c r="O4610" s="650"/>
      <c r="P4610" s="651"/>
      <c r="Q4610" s="651"/>
      <c r="R4610" s="651"/>
      <c r="S4610" s="651"/>
    </row>
    <row r="4611" spans="12:19" ht="15.75" customHeight="1" x14ac:dyDescent="0.35">
      <c r="L4611" s="2"/>
      <c r="M4611" s="2"/>
      <c r="N4611" s="650"/>
      <c r="O4611" s="650"/>
      <c r="P4611" s="651"/>
      <c r="Q4611" s="651"/>
      <c r="R4611" s="651"/>
      <c r="S4611" s="651"/>
    </row>
    <row r="4612" spans="12:19" ht="15.75" customHeight="1" x14ac:dyDescent="0.35">
      <c r="L4612" s="2"/>
      <c r="M4612" s="2"/>
      <c r="N4612" s="650"/>
      <c r="O4612" s="650"/>
      <c r="P4612" s="651"/>
      <c r="Q4612" s="651"/>
      <c r="R4612" s="651"/>
      <c r="S4612" s="651"/>
    </row>
    <row r="4613" spans="12:19" ht="15.75" customHeight="1" x14ac:dyDescent="0.35">
      <c r="L4613" s="2"/>
      <c r="M4613" s="2"/>
      <c r="N4613" s="650"/>
      <c r="O4613" s="650"/>
      <c r="P4613" s="651"/>
      <c r="Q4613" s="651"/>
      <c r="R4613" s="651"/>
      <c r="S4613" s="651"/>
    </row>
    <row r="4614" spans="12:19" ht="15.75" customHeight="1" x14ac:dyDescent="0.35">
      <c r="L4614" s="2"/>
      <c r="M4614" s="2"/>
      <c r="N4614" s="650"/>
      <c r="O4614" s="650"/>
      <c r="P4614" s="651"/>
      <c r="Q4614" s="651"/>
      <c r="R4614" s="651"/>
      <c r="S4614" s="651"/>
    </row>
    <row r="4615" spans="12:19" ht="15.75" customHeight="1" x14ac:dyDescent="0.35">
      <c r="L4615" s="2"/>
      <c r="M4615" s="2"/>
      <c r="N4615" s="650"/>
      <c r="O4615" s="650"/>
      <c r="P4615" s="651"/>
      <c r="Q4615" s="651"/>
      <c r="R4615" s="651"/>
      <c r="S4615" s="651"/>
    </row>
    <row r="4616" spans="12:19" ht="15.75" customHeight="1" x14ac:dyDescent="0.35">
      <c r="L4616" s="2"/>
      <c r="M4616" s="2"/>
      <c r="N4616" s="650"/>
      <c r="O4616" s="650"/>
      <c r="P4616" s="651"/>
      <c r="Q4616" s="651"/>
      <c r="R4616" s="651"/>
      <c r="S4616" s="651"/>
    </row>
    <row r="4617" spans="12:19" ht="15.75" customHeight="1" x14ac:dyDescent="0.35">
      <c r="L4617" s="2"/>
      <c r="M4617" s="2"/>
      <c r="N4617" s="650"/>
      <c r="O4617" s="650"/>
      <c r="P4617" s="651"/>
      <c r="Q4617" s="651"/>
      <c r="R4617" s="651"/>
      <c r="S4617" s="651"/>
    </row>
    <row r="4618" spans="12:19" ht="15.75" customHeight="1" x14ac:dyDescent="0.35">
      <c r="L4618" s="2"/>
      <c r="M4618" s="2"/>
      <c r="N4618" s="650"/>
      <c r="O4618" s="650"/>
      <c r="P4618" s="651"/>
      <c r="Q4618" s="651"/>
      <c r="R4618" s="651"/>
      <c r="S4618" s="651"/>
    </row>
    <row r="4619" spans="12:19" ht="15.75" customHeight="1" x14ac:dyDescent="0.35">
      <c r="L4619" s="2"/>
      <c r="M4619" s="2"/>
      <c r="N4619" s="650"/>
      <c r="O4619" s="650"/>
      <c r="P4619" s="651"/>
      <c r="Q4619" s="651"/>
      <c r="R4619" s="651"/>
      <c r="S4619" s="651"/>
    </row>
    <row r="4620" spans="12:19" ht="15.75" customHeight="1" x14ac:dyDescent="0.35">
      <c r="L4620" s="2"/>
      <c r="M4620" s="2"/>
      <c r="N4620" s="650"/>
      <c r="O4620" s="650"/>
      <c r="P4620" s="651"/>
      <c r="Q4620" s="651"/>
      <c r="R4620" s="651"/>
      <c r="S4620" s="651"/>
    </row>
    <row r="4621" spans="12:19" ht="15.75" customHeight="1" x14ac:dyDescent="0.35">
      <c r="L4621" s="2"/>
      <c r="M4621" s="2"/>
      <c r="N4621" s="650"/>
      <c r="O4621" s="650"/>
      <c r="P4621" s="651"/>
      <c r="Q4621" s="651"/>
      <c r="R4621" s="651"/>
      <c r="S4621" s="651"/>
    </row>
    <row r="4622" spans="12:19" ht="15.75" customHeight="1" x14ac:dyDescent="0.35">
      <c r="L4622" s="2"/>
      <c r="M4622" s="2"/>
      <c r="N4622" s="650"/>
      <c r="O4622" s="650"/>
      <c r="P4622" s="651"/>
      <c r="Q4622" s="651"/>
      <c r="R4622" s="651"/>
      <c r="S4622" s="651"/>
    </row>
    <row r="4623" spans="12:19" ht="15.75" customHeight="1" x14ac:dyDescent="0.35">
      <c r="L4623" s="2"/>
      <c r="M4623" s="2"/>
      <c r="N4623" s="650"/>
      <c r="O4623" s="650"/>
      <c r="P4623" s="651"/>
      <c r="Q4623" s="651"/>
      <c r="R4623" s="651"/>
      <c r="S4623" s="651"/>
    </row>
    <row r="4624" spans="12:19" ht="15.75" customHeight="1" x14ac:dyDescent="0.35">
      <c r="L4624" s="2"/>
      <c r="M4624" s="2"/>
      <c r="N4624" s="650"/>
      <c r="O4624" s="650"/>
      <c r="P4624" s="651"/>
      <c r="Q4624" s="651"/>
      <c r="R4624" s="651"/>
      <c r="S4624" s="651"/>
    </row>
    <row r="4625" spans="12:19" ht="15.75" customHeight="1" x14ac:dyDescent="0.35">
      <c r="L4625" s="2"/>
      <c r="M4625" s="2"/>
      <c r="N4625" s="650"/>
      <c r="O4625" s="650"/>
      <c r="P4625" s="651"/>
      <c r="Q4625" s="651"/>
      <c r="R4625" s="651"/>
      <c r="S4625" s="651"/>
    </row>
    <row r="4626" spans="12:19" ht="15.75" customHeight="1" x14ac:dyDescent="0.35">
      <c r="L4626" s="2"/>
      <c r="M4626" s="2"/>
      <c r="N4626" s="650"/>
      <c r="O4626" s="650"/>
      <c r="P4626" s="651"/>
      <c r="Q4626" s="651"/>
      <c r="R4626" s="651"/>
      <c r="S4626" s="651"/>
    </row>
    <row r="4627" spans="12:19" ht="15.75" customHeight="1" x14ac:dyDescent="0.35">
      <c r="L4627" s="2"/>
      <c r="M4627" s="2"/>
      <c r="N4627" s="650"/>
      <c r="O4627" s="650"/>
      <c r="P4627" s="651"/>
      <c r="Q4627" s="651"/>
      <c r="R4627" s="651"/>
      <c r="S4627" s="651"/>
    </row>
    <row r="4628" spans="12:19" ht="15.75" customHeight="1" x14ac:dyDescent="0.35">
      <c r="L4628" s="2"/>
      <c r="M4628" s="2"/>
      <c r="N4628" s="650"/>
      <c r="O4628" s="650"/>
      <c r="P4628" s="651"/>
      <c r="Q4628" s="651"/>
      <c r="R4628" s="651"/>
      <c r="S4628" s="651"/>
    </row>
    <row r="4629" spans="12:19" ht="15.75" customHeight="1" x14ac:dyDescent="0.35">
      <c r="L4629" s="2"/>
      <c r="M4629" s="2"/>
      <c r="N4629" s="650"/>
      <c r="O4629" s="650"/>
      <c r="P4629" s="651"/>
      <c r="Q4629" s="651"/>
      <c r="R4629" s="651"/>
      <c r="S4629" s="651"/>
    </row>
    <row r="4630" spans="12:19" ht="15.75" customHeight="1" x14ac:dyDescent="0.35">
      <c r="L4630" s="2"/>
      <c r="M4630" s="2"/>
      <c r="N4630" s="650"/>
      <c r="O4630" s="650"/>
      <c r="P4630" s="651"/>
      <c r="Q4630" s="651"/>
      <c r="R4630" s="651"/>
      <c r="S4630" s="651"/>
    </row>
    <row r="4631" spans="12:19" ht="15.75" customHeight="1" x14ac:dyDescent="0.35">
      <c r="L4631" s="2"/>
      <c r="M4631" s="2"/>
      <c r="N4631" s="650"/>
      <c r="O4631" s="650"/>
      <c r="P4631" s="651"/>
      <c r="Q4631" s="651"/>
      <c r="R4631" s="651"/>
      <c r="S4631" s="651"/>
    </row>
    <row r="4632" spans="12:19" ht="15.75" customHeight="1" x14ac:dyDescent="0.35">
      <c r="L4632" s="2"/>
      <c r="M4632" s="2"/>
      <c r="N4632" s="650"/>
      <c r="O4632" s="650"/>
      <c r="P4632" s="651"/>
      <c r="Q4632" s="651"/>
      <c r="R4632" s="651"/>
      <c r="S4632" s="651"/>
    </row>
    <row r="4633" spans="12:19" ht="15.75" customHeight="1" x14ac:dyDescent="0.35">
      <c r="L4633" s="2"/>
      <c r="M4633" s="2"/>
      <c r="N4633" s="650"/>
      <c r="O4633" s="650"/>
      <c r="P4633" s="651"/>
      <c r="Q4633" s="651"/>
      <c r="R4633" s="651"/>
      <c r="S4633" s="651"/>
    </row>
    <row r="4634" spans="12:19" ht="15.75" customHeight="1" x14ac:dyDescent="0.35">
      <c r="L4634" s="2"/>
      <c r="M4634" s="2"/>
      <c r="N4634" s="650"/>
      <c r="O4634" s="650"/>
      <c r="P4634" s="651"/>
      <c r="Q4634" s="651"/>
      <c r="R4634" s="651"/>
      <c r="S4634" s="651"/>
    </row>
    <row r="4635" spans="12:19" ht="15.75" customHeight="1" x14ac:dyDescent="0.35">
      <c r="L4635" s="2"/>
      <c r="M4635" s="2"/>
      <c r="N4635" s="650"/>
      <c r="O4635" s="650"/>
      <c r="P4635" s="651"/>
      <c r="Q4635" s="651"/>
      <c r="R4635" s="651"/>
      <c r="S4635" s="651"/>
    </row>
    <row r="4636" spans="12:19" ht="15.75" customHeight="1" x14ac:dyDescent="0.35">
      <c r="L4636" s="2"/>
      <c r="M4636" s="2"/>
      <c r="N4636" s="650"/>
      <c r="O4636" s="650"/>
      <c r="P4636" s="651"/>
      <c r="Q4636" s="651"/>
      <c r="R4636" s="651"/>
      <c r="S4636" s="651"/>
    </row>
    <row r="4637" spans="12:19" ht="15.75" customHeight="1" x14ac:dyDescent="0.35">
      <c r="L4637" s="2"/>
      <c r="M4637" s="2"/>
      <c r="N4637" s="650"/>
      <c r="O4637" s="650"/>
      <c r="P4637" s="651"/>
      <c r="Q4637" s="651"/>
      <c r="R4637" s="651"/>
      <c r="S4637" s="651"/>
    </row>
    <row r="4638" spans="12:19" ht="15.75" customHeight="1" x14ac:dyDescent="0.35">
      <c r="L4638" s="2"/>
      <c r="M4638" s="2"/>
      <c r="N4638" s="650"/>
      <c r="O4638" s="650"/>
      <c r="P4638" s="651"/>
      <c r="Q4638" s="651"/>
      <c r="R4638" s="651"/>
      <c r="S4638" s="651"/>
    </row>
    <row r="4639" spans="12:19" ht="15.75" customHeight="1" x14ac:dyDescent="0.35">
      <c r="L4639" s="2"/>
      <c r="M4639" s="2"/>
      <c r="N4639" s="650"/>
      <c r="O4639" s="650"/>
      <c r="P4639" s="651"/>
      <c r="Q4639" s="651"/>
      <c r="R4639" s="651"/>
      <c r="S4639" s="651"/>
    </row>
    <row r="4640" spans="12:19" ht="15.75" customHeight="1" x14ac:dyDescent="0.35">
      <c r="L4640" s="2"/>
      <c r="M4640" s="2"/>
      <c r="N4640" s="650"/>
      <c r="O4640" s="650"/>
      <c r="P4640" s="651"/>
      <c r="Q4640" s="651"/>
      <c r="R4640" s="651"/>
      <c r="S4640" s="651"/>
    </row>
    <row r="4641" spans="12:19" ht="15.75" customHeight="1" x14ac:dyDescent="0.35">
      <c r="L4641" s="2"/>
      <c r="M4641" s="2"/>
      <c r="N4641" s="650"/>
      <c r="O4641" s="650"/>
      <c r="P4641" s="651"/>
      <c r="Q4641" s="651"/>
      <c r="R4641" s="651"/>
      <c r="S4641" s="651"/>
    </row>
    <row r="4642" spans="12:19" ht="15.75" customHeight="1" x14ac:dyDescent="0.35">
      <c r="L4642" s="2"/>
      <c r="M4642" s="2"/>
      <c r="N4642" s="650"/>
      <c r="O4642" s="650"/>
      <c r="P4642" s="651"/>
      <c r="Q4642" s="651"/>
      <c r="R4642" s="651"/>
      <c r="S4642" s="651"/>
    </row>
    <row r="4643" spans="12:19" ht="15.75" customHeight="1" x14ac:dyDescent="0.35">
      <c r="L4643" s="2"/>
      <c r="M4643" s="2"/>
      <c r="N4643" s="650"/>
      <c r="O4643" s="650"/>
      <c r="P4643" s="651"/>
      <c r="Q4643" s="651"/>
      <c r="R4643" s="651"/>
      <c r="S4643" s="651"/>
    </row>
    <row r="4644" spans="12:19" ht="15.75" customHeight="1" x14ac:dyDescent="0.35">
      <c r="L4644" s="2"/>
      <c r="M4644" s="2"/>
      <c r="N4644" s="650"/>
      <c r="O4644" s="650"/>
      <c r="P4644" s="651"/>
      <c r="Q4644" s="651"/>
      <c r="R4644" s="651"/>
      <c r="S4644" s="651"/>
    </row>
    <row r="4645" spans="12:19" ht="15.75" customHeight="1" x14ac:dyDescent="0.35">
      <c r="L4645" s="2"/>
      <c r="M4645" s="2"/>
      <c r="N4645" s="650"/>
      <c r="O4645" s="650"/>
      <c r="P4645" s="651"/>
      <c r="Q4645" s="651"/>
      <c r="R4645" s="651"/>
      <c r="S4645" s="651"/>
    </row>
    <row r="4646" spans="12:19" ht="15.75" customHeight="1" x14ac:dyDescent="0.35">
      <c r="L4646" s="2"/>
      <c r="M4646" s="2"/>
      <c r="N4646" s="650"/>
      <c r="O4646" s="650"/>
      <c r="P4646" s="651"/>
      <c r="Q4646" s="651"/>
      <c r="R4646" s="651"/>
      <c r="S4646" s="651"/>
    </row>
    <row r="4647" spans="12:19" ht="15.75" customHeight="1" x14ac:dyDescent="0.35">
      <c r="L4647" s="2"/>
      <c r="M4647" s="2"/>
      <c r="N4647" s="650"/>
      <c r="O4647" s="650"/>
      <c r="P4647" s="651"/>
      <c r="Q4647" s="651"/>
      <c r="R4647" s="651"/>
      <c r="S4647" s="651"/>
    </row>
    <row r="4648" spans="12:19" ht="15.75" customHeight="1" x14ac:dyDescent="0.35">
      <c r="L4648" s="2"/>
      <c r="M4648" s="2"/>
      <c r="N4648" s="650"/>
      <c r="O4648" s="650"/>
      <c r="P4648" s="651"/>
      <c r="Q4648" s="651"/>
      <c r="R4648" s="651"/>
      <c r="S4648" s="651"/>
    </row>
    <row r="4649" spans="12:19" ht="15.75" customHeight="1" x14ac:dyDescent="0.35">
      <c r="L4649" s="2"/>
      <c r="M4649" s="2"/>
      <c r="N4649" s="650"/>
      <c r="O4649" s="650"/>
      <c r="P4649" s="651"/>
      <c r="Q4649" s="651"/>
      <c r="R4649" s="651"/>
      <c r="S4649" s="651"/>
    </row>
    <row r="4650" spans="12:19" ht="15.75" customHeight="1" x14ac:dyDescent="0.35">
      <c r="L4650" s="2"/>
      <c r="M4650" s="2"/>
      <c r="N4650" s="650"/>
      <c r="O4650" s="650"/>
      <c r="P4650" s="651"/>
      <c r="Q4650" s="651"/>
      <c r="R4650" s="651"/>
      <c r="S4650" s="651"/>
    </row>
    <row r="4651" spans="12:19" ht="15.75" customHeight="1" x14ac:dyDescent="0.35">
      <c r="L4651" s="2"/>
      <c r="M4651" s="2"/>
      <c r="N4651" s="650"/>
      <c r="O4651" s="650"/>
      <c r="P4651" s="651"/>
      <c r="Q4651" s="651"/>
      <c r="R4651" s="651"/>
      <c r="S4651" s="651"/>
    </row>
    <row r="4652" spans="12:19" ht="15.75" customHeight="1" x14ac:dyDescent="0.35">
      <c r="L4652" s="2"/>
      <c r="M4652" s="2"/>
      <c r="N4652" s="650"/>
      <c r="O4652" s="650"/>
      <c r="P4652" s="651"/>
      <c r="Q4652" s="651"/>
      <c r="R4652" s="651"/>
      <c r="S4652" s="651"/>
    </row>
    <row r="4653" spans="12:19" ht="15.75" customHeight="1" x14ac:dyDescent="0.35">
      <c r="L4653" s="2"/>
      <c r="M4653" s="2"/>
      <c r="N4653" s="650"/>
      <c r="O4653" s="650"/>
      <c r="P4653" s="651"/>
      <c r="Q4653" s="651"/>
      <c r="R4653" s="651"/>
      <c r="S4653" s="651"/>
    </row>
    <row r="4654" spans="12:19" ht="15.75" customHeight="1" x14ac:dyDescent="0.35">
      <c r="L4654" s="2"/>
      <c r="M4654" s="2"/>
      <c r="N4654" s="650"/>
      <c r="O4654" s="650"/>
      <c r="P4654" s="651"/>
      <c r="Q4654" s="651"/>
      <c r="R4654" s="651"/>
      <c r="S4654" s="651"/>
    </row>
    <row r="4655" spans="12:19" ht="15.75" customHeight="1" x14ac:dyDescent="0.35">
      <c r="L4655" s="2"/>
      <c r="M4655" s="2"/>
      <c r="N4655" s="650"/>
      <c r="O4655" s="650"/>
      <c r="P4655" s="651"/>
      <c r="Q4655" s="651"/>
      <c r="R4655" s="651"/>
      <c r="S4655" s="651"/>
    </row>
    <row r="4656" spans="12:19" ht="15.75" customHeight="1" x14ac:dyDescent="0.35">
      <c r="L4656" s="2"/>
      <c r="M4656" s="2"/>
      <c r="N4656" s="650"/>
      <c r="O4656" s="650"/>
      <c r="P4656" s="651"/>
      <c r="Q4656" s="651"/>
      <c r="R4656" s="651"/>
      <c r="S4656" s="651"/>
    </row>
    <row r="4657" spans="12:19" ht="15.75" customHeight="1" x14ac:dyDescent="0.35">
      <c r="L4657" s="2"/>
      <c r="M4657" s="2"/>
      <c r="N4657" s="650"/>
      <c r="O4657" s="650"/>
      <c r="P4657" s="651"/>
      <c r="Q4657" s="651"/>
      <c r="R4657" s="651"/>
      <c r="S4657" s="651"/>
    </row>
    <row r="4658" spans="12:19" ht="15.75" customHeight="1" x14ac:dyDescent="0.35">
      <c r="L4658" s="2"/>
      <c r="M4658" s="2"/>
      <c r="N4658" s="650"/>
      <c r="O4658" s="650"/>
      <c r="P4658" s="651"/>
      <c r="Q4658" s="651"/>
      <c r="R4658" s="651"/>
      <c r="S4658" s="651"/>
    </row>
    <row r="4659" spans="12:19" ht="15.75" customHeight="1" x14ac:dyDescent="0.35">
      <c r="L4659" s="2"/>
      <c r="M4659" s="2"/>
      <c r="N4659" s="650"/>
      <c r="O4659" s="650"/>
      <c r="P4659" s="651"/>
      <c r="Q4659" s="651"/>
      <c r="R4659" s="651"/>
      <c r="S4659" s="651"/>
    </row>
    <row r="4660" spans="12:19" ht="15.75" customHeight="1" x14ac:dyDescent="0.35">
      <c r="L4660" s="2"/>
      <c r="M4660" s="2"/>
      <c r="N4660" s="650"/>
      <c r="O4660" s="650"/>
      <c r="P4660" s="651"/>
      <c r="Q4660" s="651"/>
      <c r="R4660" s="651"/>
      <c r="S4660" s="651"/>
    </row>
    <row r="4661" spans="12:19" ht="15.75" customHeight="1" x14ac:dyDescent="0.35">
      <c r="L4661" s="2"/>
      <c r="M4661" s="2"/>
      <c r="N4661" s="650"/>
      <c r="O4661" s="650"/>
      <c r="P4661" s="651"/>
      <c r="Q4661" s="651"/>
      <c r="R4661" s="651"/>
      <c r="S4661" s="651"/>
    </row>
    <row r="4662" spans="12:19" ht="15.75" customHeight="1" x14ac:dyDescent="0.35">
      <c r="L4662" s="2"/>
      <c r="M4662" s="2"/>
      <c r="N4662" s="650"/>
      <c r="O4662" s="650"/>
      <c r="P4662" s="651"/>
      <c r="Q4662" s="651"/>
      <c r="R4662" s="651"/>
      <c r="S4662" s="651"/>
    </row>
    <row r="4663" spans="12:19" ht="15.75" customHeight="1" x14ac:dyDescent="0.35">
      <c r="L4663" s="2"/>
      <c r="M4663" s="2"/>
      <c r="N4663" s="650"/>
      <c r="O4663" s="650"/>
      <c r="P4663" s="651"/>
      <c r="Q4663" s="651"/>
      <c r="R4663" s="651"/>
      <c r="S4663" s="651"/>
    </row>
    <row r="4664" spans="12:19" ht="15.75" customHeight="1" x14ac:dyDescent="0.35">
      <c r="L4664" s="2"/>
      <c r="M4664" s="2"/>
      <c r="N4664" s="650"/>
      <c r="O4664" s="650"/>
      <c r="P4664" s="651"/>
      <c r="Q4664" s="651"/>
      <c r="R4664" s="651"/>
      <c r="S4664" s="651"/>
    </row>
    <row r="4665" spans="12:19" ht="15.75" customHeight="1" x14ac:dyDescent="0.35">
      <c r="L4665" s="2"/>
      <c r="M4665" s="2"/>
      <c r="N4665" s="650"/>
      <c r="O4665" s="650"/>
      <c r="P4665" s="651"/>
      <c r="Q4665" s="651"/>
      <c r="R4665" s="651"/>
      <c r="S4665" s="651"/>
    </row>
    <row r="4666" spans="12:19" ht="15.75" customHeight="1" x14ac:dyDescent="0.35">
      <c r="L4666" s="2"/>
      <c r="M4666" s="2"/>
      <c r="N4666" s="650"/>
      <c r="O4666" s="650"/>
      <c r="P4666" s="651"/>
      <c r="Q4666" s="651"/>
      <c r="R4666" s="651"/>
      <c r="S4666" s="651"/>
    </row>
    <row r="4667" spans="12:19" ht="15.75" customHeight="1" x14ac:dyDescent="0.35">
      <c r="L4667" s="2"/>
      <c r="M4667" s="2"/>
      <c r="N4667" s="650"/>
      <c r="O4667" s="650"/>
      <c r="P4667" s="651"/>
      <c r="Q4667" s="651"/>
      <c r="R4667" s="651"/>
      <c r="S4667" s="651"/>
    </row>
    <row r="4668" spans="12:19" ht="15.75" customHeight="1" x14ac:dyDescent="0.35">
      <c r="L4668" s="2"/>
      <c r="M4668" s="2"/>
      <c r="N4668" s="650"/>
      <c r="O4668" s="650"/>
      <c r="P4668" s="651"/>
      <c r="Q4668" s="651"/>
      <c r="R4668" s="651"/>
      <c r="S4668" s="651"/>
    </row>
    <row r="4669" spans="12:19" ht="15.75" customHeight="1" x14ac:dyDescent="0.35">
      <c r="L4669" s="2"/>
      <c r="M4669" s="2"/>
      <c r="N4669" s="650"/>
      <c r="O4669" s="650"/>
      <c r="P4669" s="651"/>
      <c r="Q4669" s="651"/>
      <c r="R4669" s="651"/>
      <c r="S4669" s="651"/>
    </row>
    <row r="4670" spans="12:19" ht="15.75" customHeight="1" x14ac:dyDescent="0.35">
      <c r="L4670" s="2"/>
      <c r="M4670" s="2"/>
      <c r="N4670" s="650"/>
      <c r="O4670" s="650"/>
      <c r="P4670" s="651"/>
      <c r="Q4670" s="651"/>
      <c r="R4670" s="651"/>
      <c r="S4670" s="651"/>
    </row>
    <row r="4671" spans="12:19" ht="15.75" customHeight="1" x14ac:dyDescent="0.35">
      <c r="L4671" s="2"/>
      <c r="M4671" s="2"/>
      <c r="N4671" s="650"/>
      <c r="O4671" s="650"/>
      <c r="P4671" s="651"/>
      <c r="Q4671" s="651"/>
      <c r="R4671" s="651"/>
      <c r="S4671" s="651"/>
    </row>
    <row r="4672" spans="12:19" ht="15.75" customHeight="1" x14ac:dyDescent="0.35">
      <c r="L4672" s="2"/>
      <c r="M4672" s="2"/>
      <c r="N4672" s="650"/>
      <c r="O4672" s="650"/>
      <c r="P4672" s="651"/>
      <c r="Q4672" s="651"/>
      <c r="R4672" s="651"/>
      <c r="S4672" s="651"/>
    </row>
    <row r="4673" spans="12:19" ht="15.75" customHeight="1" x14ac:dyDescent="0.35">
      <c r="L4673" s="2"/>
      <c r="M4673" s="2"/>
      <c r="N4673" s="650"/>
      <c r="O4673" s="650"/>
      <c r="P4673" s="651"/>
      <c r="Q4673" s="651"/>
      <c r="R4673" s="651"/>
      <c r="S4673" s="651"/>
    </row>
    <row r="4674" spans="12:19" ht="15.75" customHeight="1" x14ac:dyDescent="0.35">
      <c r="L4674" s="2"/>
      <c r="M4674" s="2"/>
      <c r="N4674" s="650"/>
      <c r="O4674" s="650"/>
      <c r="P4674" s="651"/>
      <c r="Q4674" s="651"/>
      <c r="R4674" s="651"/>
      <c r="S4674" s="651"/>
    </row>
    <row r="4675" spans="12:19" ht="15.75" customHeight="1" x14ac:dyDescent="0.35">
      <c r="L4675" s="2"/>
      <c r="M4675" s="2"/>
      <c r="N4675" s="650"/>
      <c r="O4675" s="650"/>
      <c r="P4675" s="651"/>
      <c r="Q4675" s="651"/>
      <c r="R4675" s="651"/>
      <c r="S4675" s="651"/>
    </row>
    <row r="4676" spans="12:19" ht="15.75" customHeight="1" x14ac:dyDescent="0.35">
      <c r="L4676" s="2"/>
      <c r="M4676" s="2"/>
      <c r="N4676" s="650"/>
      <c r="O4676" s="650"/>
      <c r="P4676" s="651"/>
      <c r="Q4676" s="651"/>
      <c r="R4676" s="651"/>
      <c r="S4676" s="651"/>
    </row>
    <row r="4677" spans="12:19" ht="15.75" customHeight="1" x14ac:dyDescent="0.35">
      <c r="L4677" s="2"/>
      <c r="M4677" s="2"/>
      <c r="N4677" s="650"/>
      <c r="O4677" s="650"/>
      <c r="P4677" s="651"/>
      <c r="Q4677" s="651"/>
      <c r="R4677" s="651"/>
      <c r="S4677" s="651"/>
    </row>
    <row r="4678" spans="12:19" ht="15.75" customHeight="1" x14ac:dyDescent="0.35">
      <c r="L4678" s="2"/>
      <c r="M4678" s="2"/>
      <c r="N4678" s="650"/>
      <c r="O4678" s="650"/>
      <c r="P4678" s="651"/>
      <c r="Q4678" s="651"/>
      <c r="R4678" s="651"/>
      <c r="S4678" s="651"/>
    </row>
    <row r="4679" spans="12:19" ht="15.75" customHeight="1" x14ac:dyDescent="0.35">
      <c r="L4679" s="2"/>
      <c r="M4679" s="2"/>
      <c r="N4679" s="650"/>
      <c r="O4679" s="650"/>
      <c r="P4679" s="651"/>
      <c r="Q4679" s="651"/>
      <c r="R4679" s="651"/>
      <c r="S4679" s="651"/>
    </row>
    <row r="4680" spans="12:19" ht="15.75" customHeight="1" x14ac:dyDescent="0.35">
      <c r="L4680" s="2"/>
      <c r="M4680" s="2"/>
      <c r="N4680" s="650"/>
      <c r="O4680" s="650"/>
      <c r="P4680" s="651"/>
      <c r="Q4680" s="651"/>
      <c r="R4680" s="651"/>
      <c r="S4680" s="651"/>
    </row>
    <row r="4681" spans="12:19" ht="15.75" customHeight="1" x14ac:dyDescent="0.35">
      <c r="L4681" s="2"/>
      <c r="M4681" s="2"/>
      <c r="N4681" s="650"/>
      <c r="O4681" s="650"/>
      <c r="P4681" s="651"/>
      <c r="Q4681" s="651"/>
      <c r="R4681" s="651"/>
      <c r="S4681" s="651"/>
    </row>
    <row r="4682" spans="12:19" ht="15.75" customHeight="1" x14ac:dyDescent="0.35">
      <c r="L4682" s="2"/>
      <c r="M4682" s="2"/>
      <c r="N4682" s="650"/>
      <c r="O4682" s="650"/>
      <c r="P4682" s="651"/>
      <c r="Q4682" s="651"/>
      <c r="R4682" s="651"/>
      <c r="S4682" s="651"/>
    </row>
    <row r="4683" spans="12:19" ht="15.75" customHeight="1" x14ac:dyDescent="0.35">
      <c r="L4683" s="2"/>
      <c r="M4683" s="2"/>
      <c r="N4683" s="650"/>
      <c r="O4683" s="650"/>
      <c r="P4683" s="651"/>
      <c r="Q4683" s="651"/>
      <c r="R4683" s="651"/>
      <c r="S4683" s="651"/>
    </row>
    <row r="4684" spans="12:19" ht="15.75" customHeight="1" x14ac:dyDescent="0.35">
      <c r="L4684" s="2"/>
      <c r="M4684" s="2"/>
      <c r="N4684" s="650"/>
      <c r="O4684" s="650"/>
      <c r="P4684" s="651"/>
      <c r="Q4684" s="651"/>
      <c r="R4684" s="651"/>
      <c r="S4684" s="651"/>
    </row>
    <row r="4685" spans="12:19" ht="15.75" customHeight="1" x14ac:dyDescent="0.35">
      <c r="L4685" s="2"/>
      <c r="M4685" s="2"/>
      <c r="N4685" s="650"/>
      <c r="O4685" s="650"/>
      <c r="P4685" s="651"/>
      <c r="Q4685" s="651"/>
      <c r="R4685" s="651"/>
      <c r="S4685" s="651"/>
    </row>
    <row r="4686" spans="12:19" ht="15.75" customHeight="1" x14ac:dyDescent="0.35">
      <c r="L4686" s="2"/>
      <c r="M4686" s="2"/>
      <c r="N4686" s="650"/>
      <c r="O4686" s="650"/>
      <c r="P4686" s="651"/>
      <c r="Q4686" s="651"/>
      <c r="R4686" s="651"/>
      <c r="S4686" s="651"/>
    </row>
    <row r="4687" spans="12:19" ht="15.75" customHeight="1" x14ac:dyDescent="0.35">
      <c r="L4687" s="2"/>
      <c r="M4687" s="2"/>
      <c r="N4687" s="650"/>
      <c r="O4687" s="650"/>
      <c r="P4687" s="651"/>
      <c r="Q4687" s="651"/>
      <c r="R4687" s="651"/>
      <c r="S4687" s="651"/>
    </row>
    <row r="4688" spans="12:19" ht="15.75" customHeight="1" x14ac:dyDescent="0.35">
      <c r="L4688" s="2"/>
      <c r="M4688" s="2"/>
      <c r="N4688" s="650"/>
      <c r="O4688" s="650"/>
      <c r="P4688" s="651"/>
      <c r="Q4688" s="651"/>
      <c r="R4688" s="651"/>
      <c r="S4688" s="651"/>
    </row>
    <row r="4689" spans="12:19" ht="15.75" customHeight="1" x14ac:dyDescent="0.35">
      <c r="L4689" s="2"/>
      <c r="M4689" s="2"/>
      <c r="N4689" s="650"/>
      <c r="O4689" s="650"/>
      <c r="P4689" s="651"/>
      <c r="Q4689" s="651"/>
      <c r="R4689" s="651"/>
      <c r="S4689" s="651"/>
    </row>
    <row r="4690" spans="12:19" ht="15.75" customHeight="1" x14ac:dyDescent="0.35">
      <c r="L4690" s="2"/>
      <c r="M4690" s="2"/>
      <c r="N4690" s="650"/>
      <c r="O4690" s="650"/>
      <c r="P4690" s="651"/>
      <c r="Q4690" s="651"/>
      <c r="R4690" s="651"/>
      <c r="S4690" s="651"/>
    </row>
    <row r="4691" spans="12:19" ht="15.75" customHeight="1" x14ac:dyDescent="0.35">
      <c r="L4691" s="2"/>
      <c r="M4691" s="2"/>
      <c r="N4691" s="650"/>
      <c r="O4691" s="650"/>
      <c r="P4691" s="651"/>
      <c r="Q4691" s="651"/>
      <c r="R4691" s="651"/>
      <c r="S4691" s="651"/>
    </row>
    <row r="4692" spans="12:19" ht="15.75" customHeight="1" x14ac:dyDescent="0.35">
      <c r="L4692" s="2"/>
      <c r="M4692" s="2"/>
      <c r="N4692" s="650"/>
      <c r="O4692" s="650"/>
      <c r="P4692" s="651"/>
      <c r="Q4692" s="651"/>
      <c r="R4692" s="651"/>
      <c r="S4692" s="651"/>
    </row>
    <row r="4693" spans="12:19" ht="15.75" customHeight="1" x14ac:dyDescent="0.35">
      <c r="L4693" s="2"/>
      <c r="M4693" s="2"/>
      <c r="N4693" s="650"/>
      <c r="O4693" s="650"/>
      <c r="P4693" s="651"/>
      <c r="Q4693" s="651"/>
      <c r="R4693" s="651"/>
      <c r="S4693" s="651"/>
    </row>
    <row r="4694" spans="12:19" ht="15.75" customHeight="1" x14ac:dyDescent="0.35">
      <c r="L4694" s="2"/>
      <c r="M4694" s="2"/>
      <c r="N4694" s="650"/>
      <c r="O4694" s="650"/>
      <c r="P4694" s="651"/>
      <c r="Q4694" s="651"/>
      <c r="R4694" s="651"/>
      <c r="S4694" s="651"/>
    </row>
    <row r="4695" spans="12:19" ht="15.75" customHeight="1" x14ac:dyDescent="0.35">
      <c r="L4695" s="2"/>
      <c r="M4695" s="2"/>
      <c r="N4695" s="650"/>
      <c r="O4695" s="650"/>
      <c r="P4695" s="651"/>
      <c r="Q4695" s="651"/>
      <c r="R4695" s="651"/>
      <c r="S4695" s="651"/>
    </row>
    <row r="4696" spans="12:19" ht="15.75" customHeight="1" x14ac:dyDescent="0.35">
      <c r="L4696" s="2"/>
      <c r="M4696" s="2"/>
      <c r="N4696" s="650"/>
      <c r="O4696" s="650"/>
      <c r="P4696" s="651"/>
      <c r="Q4696" s="651"/>
      <c r="R4696" s="651"/>
      <c r="S4696" s="651"/>
    </row>
    <row r="4697" spans="12:19" ht="15.75" customHeight="1" x14ac:dyDescent="0.35">
      <c r="L4697" s="2"/>
      <c r="M4697" s="2"/>
      <c r="N4697" s="650"/>
      <c r="O4697" s="650"/>
      <c r="P4697" s="651"/>
      <c r="Q4697" s="651"/>
      <c r="R4697" s="651"/>
      <c r="S4697" s="651"/>
    </row>
    <row r="4698" spans="12:19" ht="15.75" customHeight="1" x14ac:dyDescent="0.35">
      <c r="L4698" s="2"/>
      <c r="M4698" s="2"/>
      <c r="N4698" s="650"/>
      <c r="O4698" s="650"/>
      <c r="P4698" s="651"/>
      <c r="Q4698" s="651"/>
      <c r="R4698" s="651"/>
      <c r="S4698" s="651"/>
    </row>
    <row r="4699" spans="12:19" ht="15.75" customHeight="1" x14ac:dyDescent="0.35">
      <c r="L4699" s="2"/>
      <c r="M4699" s="2"/>
      <c r="N4699" s="650"/>
      <c r="O4699" s="650"/>
      <c r="P4699" s="651"/>
      <c r="Q4699" s="651"/>
      <c r="R4699" s="651"/>
      <c r="S4699" s="651"/>
    </row>
    <row r="4700" spans="12:19" ht="15.75" customHeight="1" x14ac:dyDescent="0.35">
      <c r="L4700" s="2"/>
      <c r="M4700" s="2"/>
      <c r="N4700" s="650"/>
      <c r="O4700" s="650"/>
      <c r="P4700" s="651"/>
      <c r="Q4700" s="651"/>
      <c r="R4700" s="651"/>
      <c r="S4700" s="651"/>
    </row>
    <row r="4701" spans="12:19" ht="15.75" customHeight="1" x14ac:dyDescent="0.35">
      <c r="L4701" s="2"/>
      <c r="M4701" s="2"/>
      <c r="N4701" s="650"/>
      <c r="O4701" s="650"/>
      <c r="P4701" s="651"/>
      <c r="Q4701" s="651"/>
      <c r="R4701" s="651"/>
      <c r="S4701" s="651"/>
    </row>
    <row r="4702" spans="12:19" ht="15.75" customHeight="1" x14ac:dyDescent="0.35">
      <c r="L4702" s="2"/>
      <c r="M4702" s="2"/>
      <c r="N4702" s="650"/>
      <c r="O4702" s="650"/>
      <c r="P4702" s="651"/>
      <c r="Q4702" s="651"/>
      <c r="R4702" s="651"/>
      <c r="S4702" s="651"/>
    </row>
    <row r="4703" spans="12:19" ht="15.75" customHeight="1" x14ac:dyDescent="0.35">
      <c r="L4703" s="2"/>
      <c r="M4703" s="2"/>
      <c r="N4703" s="650"/>
      <c r="O4703" s="650"/>
      <c r="P4703" s="651"/>
      <c r="Q4703" s="651"/>
      <c r="R4703" s="651"/>
      <c r="S4703" s="651"/>
    </row>
    <row r="4704" spans="12:19" ht="15.75" customHeight="1" x14ac:dyDescent="0.35">
      <c r="L4704" s="2"/>
      <c r="M4704" s="2"/>
      <c r="N4704" s="650"/>
      <c r="O4704" s="650"/>
      <c r="P4704" s="651"/>
      <c r="Q4704" s="651"/>
      <c r="R4704" s="651"/>
      <c r="S4704" s="651"/>
    </row>
    <row r="4705" spans="12:19" ht="15.75" customHeight="1" x14ac:dyDescent="0.35">
      <c r="L4705" s="2"/>
      <c r="M4705" s="2"/>
      <c r="N4705" s="650"/>
      <c r="O4705" s="650"/>
      <c r="P4705" s="651"/>
      <c r="Q4705" s="651"/>
      <c r="R4705" s="651"/>
      <c r="S4705" s="651"/>
    </row>
    <row r="4706" spans="12:19" ht="15.75" customHeight="1" x14ac:dyDescent="0.35">
      <c r="L4706" s="2"/>
      <c r="M4706" s="2"/>
      <c r="N4706" s="650"/>
      <c r="O4706" s="650"/>
      <c r="P4706" s="651"/>
      <c r="Q4706" s="651"/>
      <c r="R4706" s="651"/>
      <c r="S4706" s="651"/>
    </row>
    <row r="4707" spans="12:19" ht="15.75" customHeight="1" x14ac:dyDescent="0.35">
      <c r="L4707" s="2"/>
      <c r="M4707" s="2"/>
      <c r="N4707" s="650"/>
      <c r="O4707" s="650"/>
      <c r="P4707" s="651"/>
      <c r="Q4707" s="651"/>
      <c r="R4707" s="651"/>
      <c r="S4707" s="651"/>
    </row>
    <row r="4708" spans="12:19" ht="15.75" customHeight="1" x14ac:dyDescent="0.35">
      <c r="L4708" s="2"/>
      <c r="M4708" s="2"/>
      <c r="N4708" s="650"/>
      <c r="O4708" s="650"/>
      <c r="P4708" s="651"/>
      <c r="Q4708" s="651"/>
      <c r="R4708" s="651"/>
      <c r="S4708" s="651"/>
    </row>
    <row r="4709" spans="12:19" ht="15.75" customHeight="1" x14ac:dyDescent="0.35">
      <c r="L4709" s="2"/>
      <c r="M4709" s="2"/>
      <c r="N4709" s="650"/>
      <c r="O4709" s="650"/>
      <c r="P4709" s="651"/>
      <c r="Q4709" s="651"/>
      <c r="R4709" s="651"/>
      <c r="S4709" s="651"/>
    </row>
    <row r="4710" spans="12:19" ht="15.75" customHeight="1" x14ac:dyDescent="0.35">
      <c r="L4710" s="2"/>
      <c r="M4710" s="2"/>
      <c r="N4710" s="650"/>
      <c r="O4710" s="650"/>
      <c r="P4710" s="651"/>
      <c r="Q4710" s="651"/>
      <c r="R4710" s="651"/>
      <c r="S4710" s="651"/>
    </row>
    <row r="4711" spans="12:19" ht="15.75" customHeight="1" x14ac:dyDescent="0.35">
      <c r="L4711" s="2"/>
      <c r="M4711" s="2"/>
      <c r="N4711" s="650"/>
      <c r="O4711" s="650"/>
      <c r="P4711" s="651"/>
      <c r="Q4711" s="651"/>
      <c r="R4711" s="651"/>
      <c r="S4711" s="651"/>
    </row>
    <row r="4712" spans="12:19" ht="15.75" customHeight="1" x14ac:dyDescent="0.35">
      <c r="L4712" s="2"/>
      <c r="M4712" s="2"/>
      <c r="N4712" s="650"/>
      <c r="O4712" s="650"/>
      <c r="P4712" s="651"/>
      <c r="Q4712" s="651"/>
      <c r="R4712" s="651"/>
      <c r="S4712" s="651"/>
    </row>
    <row r="4713" spans="12:19" ht="15.75" customHeight="1" x14ac:dyDescent="0.35">
      <c r="L4713" s="2"/>
      <c r="M4713" s="2"/>
      <c r="N4713" s="650"/>
      <c r="O4713" s="650"/>
      <c r="P4713" s="651"/>
      <c r="Q4713" s="651"/>
      <c r="R4713" s="651"/>
      <c r="S4713" s="651"/>
    </row>
    <row r="4714" spans="12:19" ht="15.75" customHeight="1" x14ac:dyDescent="0.35">
      <c r="L4714" s="2"/>
      <c r="M4714" s="2"/>
      <c r="N4714" s="650"/>
      <c r="O4714" s="650"/>
      <c r="P4714" s="651"/>
      <c r="Q4714" s="651"/>
      <c r="R4714" s="651"/>
      <c r="S4714" s="651"/>
    </row>
    <row r="4715" spans="12:19" ht="15.75" customHeight="1" x14ac:dyDescent="0.35">
      <c r="L4715" s="2"/>
      <c r="M4715" s="2"/>
      <c r="N4715" s="650"/>
      <c r="O4715" s="650"/>
      <c r="P4715" s="651"/>
      <c r="Q4715" s="651"/>
      <c r="R4715" s="651"/>
      <c r="S4715" s="651"/>
    </row>
    <row r="4716" spans="12:19" ht="15.75" customHeight="1" x14ac:dyDescent="0.35">
      <c r="L4716" s="2"/>
      <c r="M4716" s="2"/>
      <c r="N4716" s="650"/>
      <c r="O4716" s="650"/>
      <c r="P4716" s="651"/>
      <c r="Q4716" s="651"/>
      <c r="R4716" s="651"/>
      <c r="S4716" s="651"/>
    </row>
    <row r="4717" spans="12:19" ht="15.75" customHeight="1" x14ac:dyDescent="0.35">
      <c r="L4717" s="2"/>
      <c r="M4717" s="2"/>
      <c r="N4717" s="650"/>
      <c r="O4717" s="650"/>
      <c r="P4717" s="651"/>
      <c r="Q4717" s="651"/>
      <c r="R4717" s="651"/>
      <c r="S4717" s="651"/>
    </row>
    <row r="4718" spans="12:19" ht="15.75" customHeight="1" x14ac:dyDescent="0.35">
      <c r="L4718" s="2"/>
      <c r="M4718" s="2"/>
      <c r="N4718" s="650"/>
      <c r="O4718" s="650"/>
      <c r="P4718" s="651"/>
      <c r="Q4718" s="651"/>
      <c r="R4718" s="651"/>
      <c r="S4718" s="651"/>
    </row>
    <row r="4719" spans="12:19" ht="15.75" customHeight="1" x14ac:dyDescent="0.35">
      <c r="L4719" s="2"/>
      <c r="M4719" s="2"/>
      <c r="N4719" s="650"/>
      <c r="O4719" s="650"/>
      <c r="P4719" s="651"/>
      <c r="Q4719" s="651"/>
      <c r="R4719" s="651"/>
      <c r="S4719" s="651"/>
    </row>
    <row r="4720" spans="12:19" ht="15.75" customHeight="1" x14ac:dyDescent="0.35">
      <c r="L4720" s="2"/>
      <c r="M4720" s="2"/>
      <c r="N4720" s="650"/>
      <c r="O4720" s="650"/>
      <c r="P4720" s="651"/>
      <c r="Q4720" s="651"/>
      <c r="R4720" s="651"/>
      <c r="S4720" s="651"/>
    </row>
    <row r="4721" spans="12:19" ht="15.75" customHeight="1" x14ac:dyDescent="0.35">
      <c r="L4721" s="2"/>
      <c r="M4721" s="2"/>
      <c r="N4721" s="650"/>
      <c r="O4721" s="650"/>
      <c r="P4721" s="651"/>
      <c r="Q4721" s="651"/>
      <c r="R4721" s="651"/>
      <c r="S4721" s="651"/>
    </row>
    <row r="4722" spans="12:19" ht="15.75" customHeight="1" x14ac:dyDescent="0.35">
      <c r="L4722" s="2"/>
      <c r="M4722" s="2"/>
      <c r="N4722" s="650"/>
      <c r="O4722" s="650"/>
      <c r="P4722" s="651"/>
      <c r="Q4722" s="651"/>
      <c r="R4722" s="651"/>
      <c r="S4722" s="651"/>
    </row>
    <row r="4723" spans="12:19" ht="15.75" customHeight="1" x14ac:dyDescent="0.35">
      <c r="L4723" s="2"/>
      <c r="M4723" s="2"/>
      <c r="N4723" s="650"/>
      <c r="O4723" s="650"/>
      <c r="P4723" s="651"/>
      <c r="Q4723" s="651"/>
      <c r="R4723" s="651"/>
      <c r="S4723" s="651"/>
    </row>
    <row r="4724" spans="12:19" ht="15.75" customHeight="1" x14ac:dyDescent="0.35">
      <c r="L4724" s="2"/>
      <c r="M4724" s="2"/>
      <c r="N4724" s="650"/>
      <c r="O4724" s="650"/>
      <c r="P4724" s="651"/>
      <c r="Q4724" s="651"/>
      <c r="R4724" s="651"/>
      <c r="S4724" s="651"/>
    </row>
    <row r="4725" spans="12:19" ht="15.75" customHeight="1" x14ac:dyDescent="0.35">
      <c r="L4725" s="2"/>
      <c r="M4725" s="2"/>
      <c r="N4725" s="650"/>
      <c r="O4725" s="650"/>
      <c r="P4725" s="651"/>
      <c r="Q4725" s="651"/>
      <c r="R4725" s="651"/>
      <c r="S4725" s="651"/>
    </row>
    <row r="4726" spans="12:19" ht="15.75" customHeight="1" x14ac:dyDescent="0.35">
      <c r="L4726" s="2"/>
      <c r="M4726" s="2"/>
      <c r="N4726" s="650"/>
      <c r="O4726" s="650"/>
      <c r="P4726" s="651"/>
      <c r="Q4726" s="651"/>
      <c r="R4726" s="651"/>
      <c r="S4726" s="651"/>
    </row>
    <row r="4727" spans="12:19" ht="15.75" customHeight="1" x14ac:dyDescent="0.35">
      <c r="L4727" s="2"/>
      <c r="M4727" s="2"/>
      <c r="N4727" s="650"/>
      <c r="O4727" s="650"/>
      <c r="P4727" s="651"/>
      <c r="Q4727" s="651"/>
      <c r="R4727" s="651"/>
      <c r="S4727" s="651"/>
    </row>
    <row r="4728" spans="12:19" ht="15.75" customHeight="1" x14ac:dyDescent="0.35">
      <c r="L4728" s="2"/>
      <c r="M4728" s="2"/>
      <c r="N4728" s="650"/>
      <c r="O4728" s="650"/>
      <c r="P4728" s="651"/>
      <c r="Q4728" s="651"/>
      <c r="R4728" s="651"/>
      <c r="S4728" s="651"/>
    </row>
    <row r="4729" spans="12:19" ht="15.75" customHeight="1" x14ac:dyDescent="0.35">
      <c r="L4729" s="2"/>
      <c r="M4729" s="2"/>
      <c r="N4729" s="650"/>
      <c r="O4729" s="650"/>
      <c r="P4729" s="651"/>
      <c r="Q4729" s="651"/>
      <c r="R4729" s="651"/>
      <c r="S4729" s="651"/>
    </row>
    <row r="4730" spans="12:19" ht="15.75" customHeight="1" x14ac:dyDescent="0.35">
      <c r="L4730" s="2"/>
      <c r="M4730" s="2"/>
      <c r="N4730" s="650"/>
      <c r="O4730" s="650"/>
      <c r="P4730" s="651"/>
      <c r="Q4730" s="651"/>
      <c r="R4730" s="651"/>
      <c r="S4730" s="651"/>
    </row>
    <row r="4731" spans="12:19" ht="15.75" customHeight="1" x14ac:dyDescent="0.35">
      <c r="L4731" s="2"/>
      <c r="M4731" s="2"/>
      <c r="N4731" s="650"/>
      <c r="O4731" s="650"/>
      <c r="P4731" s="651"/>
      <c r="Q4731" s="651"/>
      <c r="R4731" s="651"/>
      <c r="S4731" s="651"/>
    </row>
    <row r="4732" spans="12:19" ht="15.75" customHeight="1" x14ac:dyDescent="0.35">
      <c r="L4732" s="2"/>
      <c r="M4732" s="2"/>
      <c r="N4732" s="650"/>
      <c r="O4732" s="650"/>
      <c r="P4732" s="651"/>
      <c r="Q4732" s="651"/>
      <c r="R4732" s="651"/>
      <c r="S4732" s="651"/>
    </row>
    <row r="4733" spans="12:19" ht="15.75" customHeight="1" x14ac:dyDescent="0.35">
      <c r="L4733" s="2"/>
      <c r="M4733" s="2"/>
      <c r="N4733" s="650"/>
      <c r="O4733" s="650"/>
      <c r="P4733" s="651"/>
      <c r="Q4733" s="651"/>
      <c r="R4733" s="651"/>
      <c r="S4733" s="651"/>
    </row>
    <row r="4734" spans="12:19" ht="15.75" customHeight="1" x14ac:dyDescent="0.35">
      <c r="L4734" s="2"/>
      <c r="M4734" s="2"/>
      <c r="N4734" s="650"/>
      <c r="O4734" s="650"/>
      <c r="P4734" s="651"/>
      <c r="Q4734" s="651"/>
      <c r="R4734" s="651"/>
      <c r="S4734" s="651"/>
    </row>
    <row r="4735" spans="12:19" ht="15.75" customHeight="1" x14ac:dyDescent="0.35">
      <c r="L4735" s="2"/>
      <c r="M4735" s="2"/>
      <c r="N4735" s="650"/>
      <c r="O4735" s="650"/>
      <c r="P4735" s="651"/>
      <c r="Q4735" s="651"/>
      <c r="R4735" s="651"/>
      <c r="S4735" s="651"/>
    </row>
    <row r="4736" spans="12:19" ht="15.75" customHeight="1" x14ac:dyDescent="0.35">
      <c r="L4736" s="2"/>
      <c r="M4736" s="2"/>
      <c r="N4736" s="650"/>
      <c r="O4736" s="650"/>
      <c r="P4736" s="651"/>
      <c r="Q4736" s="651"/>
      <c r="R4736" s="651"/>
      <c r="S4736" s="651"/>
    </row>
    <row r="4737" spans="12:19" ht="15.75" customHeight="1" x14ac:dyDescent="0.35">
      <c r="L4737" s="2"/>
      <c r="M4737" s="2"/>
      <c r="N4737" s="650"/>
      <c r="O4737" s="650"/>
      <c r="P4737" s="651"/>
      <c r="Q4737" s="651"/>
      <c r="R4737" s="651"/>
      <c r="S4737" s="651"/>
    </row>
    <row r="4738" spans="12:19" ht="15.75" customHeight="1" x14ac:dyDescent="0.35">
      <c r="L4738" s="2"/>
      <c r="M4738" s="2"/>
      <c r="N4738" s="650"/>
      <c r="O4738" s="650"/>
      <c r="P4738" s="651"/>
      <c r="Q4738" s="651"/>
      <c r="R4738" s="651"/>
      <c r="S4738" s="651"/>
    </row>
    <row r="4739" spans="12:19" ht="15.75" customHeight="1" x14ac:dyDescent="0.35">
      <c r="L4739" s="2"/>
      <c r="M4739" s="2"/>
      <c r="N4739" s="650"/>
      <c r="O4739" s="650"/>
      <c r="P4739" s="651"/>
      <c r="Q4739" s="651"/>
      <c r="R4739" s="651"/>
      <c r="S4739" s="651"/>
    </row>
    <row r="4740" spans="12:19" ht="15.75" customHeight="1" x14ac:dyDescent="0.35">
      <c r="L4740" s="2"/>
      <c r="M4740" s="2"/>
      <c r="N4740" s="650"/>
      <c r="O4740" s="650"/>
      <c r="P4740" s="651"/>
      <c r="Q4740" s="651"/>
      <c r="R4740" s="651"/>
      <c r="S4740" s="651"/>
    </row>
    <row r="4741" spans="12:19" ht="15.75" customHeight="1" x14ac:dyDescent="0.35">
      <c r="L4741" s="2"/>
      <c r="M4741" s="2"/>
      <c r="N4741" s="650"/>
      <c r="O4741" s="650"/>
      <c r="P4741" s="651"/>
      <c r="Q4741" s="651"/>
      <c r="R4741" s="651"/>
      <c r="S4741" s="651"/>
    </row>
    <row r="4742" spans="12:19" ht="15.75" customHeight="1" x14ac:dyDescent="0.35">
      <c r="L4742" s="2"/>
      <c r="M4742" s="2"/>
      <c r="N4742" s="650"/>
      <c r="O4742" s="650"/>
      <c r="P4742" s="651"/>
      <c r="Q4742" s="651"/>
      <c r="R4742" s="651"/>
      <c r="S4742" s="651"/>
    </row>
    <row r="4743" spans="12:19" ht="15.75" customHeight="1" x14ac:dyDescent="0.35">
      <c r="L4743" s="2"/>
      <c r="M4743" s="2"/>
      <c r="N4743" s="650"/>
      <c r="O4743" s="650"/>
      <c r="P4743" s="651"/>
      <c r="Q4743" s="651"/>
      <c r="R4743" s="651"/>
      <c r="S4743" s="651"/>
    </row>
    <row r="4744" spans="12:19" ht="15.75" customHeight="1" x14ac:dyDescent="0.35">
      <c r="L4744" s="2"/>
      <c r="M4744" s="2"/>
      <c r="N4744" s="650"/>
      <c r="O4744" s="650"/>
      <c r="P4744" s="651"/>
      <c r="Q4744" s="651"/>
      <c r="R4744" s="651"/>
      <c r="S4744" s="651"/>
    </row>
    <row r="4745" spans="12:19" ht="15.75" customHeight="1" x14ac:dyDescent="0.35">
      <c r="L4745" s="2"/>
      <c r="M4745" s="2"/>
      <c r="N4745" s="650"/>
      <c r="O4745" s="650"/>
      <c r="P4745" s="651"/>
      <c r="Q4745" s="651"/>
      <c r="R4745" s="651"/>
      <c r="S4745" s="651"/>
    </row>
    <row r="4746" spans="12:19" ht="15.75" customHeight="1" x14ac:dyDescent="0.35">
      <c r="L4746" s="2"/>
      <c r="M4746" s="2"/>
      <c r="N4746" s="650"/>
      <c r="O4746" s="650"/>
      <c r="P4746" s="651"/>
      <c r="Q4746" s="651"/>
      <c r="R4746" s="651"/>
      <c r="S4746" s="651"/>
    </row>
    <row r="4747" spans="12:19" ht="15.75" customHeight="1" x14ac:dyDescent="0.35">
      <c r="L4747" s="2"/>
      <c r="M4747" s="2"/>
      <c r="N4747" s="650"/>
      <c r="O4747" s="650"/>
      <c r="P4747" s="651"/>
      <c r="Q4747" s="651"/>
      <c r="R4747" s="651"/>
      <c r="S4747" s="651"/>
    </row>
    <row r="4748" spans="12:19" ht="15.75" customHeight="1" x14ac:dyDescent="0.35">
      <c r="L4748" s="2"/>
      <c r="M4748" s="2"/>
      <c r="N4748" s="650"/>
      <c r="O4748" s="650"/>
      <c r="P4748" s="651"/>
      <c r="Q4748" s="651"/>
      <c r="R4748" s="651"/>
      <c r="S4748" s="651"/>
    </row>
    <row r="4749" spans="12:19" ht="15.75" customHeight="1" x14ac:dyDescent="0.35">
      <c r="L4749" s="2"/>
      <c r="M4749" s="2"/>
      <c r="N4749" s="650"/>
      <c r="O4749" s="650"/>
      <c r="P4749" s="651"/>
      <c r="Q4749" s="651"/>
      <c r="R4749" s="651"/>
      <c r="S4749" s="651"/>
    </row>
    <row r="4750" spans="12:19" ht="15.75" customHeight="1" x14ac:dyDescent="0.35">
      <c r="L4750" s="2"/>
      <c r="M4750" s="2"/>
      <c r="N4750" s="650"/>
      <c r="O4750" s="650"/>
      <c r="P4750" s="651"/>
      <c r="Q4750" s="651"/>
      <c r="R4750" s="651"/>
      <c r="S4750" s="651"/>
    </row>
    <row r="4751" spans="12:19" ht="15.75" customHeight="1" x14ac:dyDescent="0.35">
      <c r="L4751" s="2"/>
      <c r="M4751" s="2"/>
      <c r="N4751" s="650"/>
      <c r="O4751" s="650"/>
      <c r="P4751" s="651"/>
      <c r="Q4751" s="651"/>
      <c r="R4751" s="651"/>
      <c r="S4751" s="651"/>
    </row>
    <row r="4752" spans="12:19" ht="15.75" customHeight="1" x14ac:dyDescent="0.35">
      <c r="L4752" s="2"/>
      <c r="M4752" s="2"/>
      <c r="N4752" s="650"/>
      <c r="O4752" s="650"/>
      <c r="P4752" s="651"/>
      <c r="Q4752" s="651"/>
      <c r="R4752" s="651"/>
      <c r="S4752" s="651"/>
    </row>
    <row r="4753" spans="12:19" ht="15.75" customHeight="1" x14ac:dyDescent="0.35">
      <c r="L4753" s="2"/>
      <c r="M4753" s="2"/>
      <c r="N4753" s="650"/>
      <c r="O4753" s="650"/>
      <c r="P4753" s="651"/>
      <c r="Q4753" s="651"/>
      <c r="R4753" s="651"/>
      <c r="S4753" s="651"/>
    </row>
    <row r="4754" spans="12:19" ht="15.75" customHeight="1" x14ac:dyDescent="0.35">
      <c r="L4754" s="2"/>
      <c r="M4754" s="2"/>
      <c r="N4754" s="650"/>
      <c r="O4754" s="650"/>
      <c r="P4754" s="651"/>
      <c r="Q4754" s="651"/>
      <c r="R4754" s="651"/>
      <c r="S4754" s="651"/>
    </row>
    <row r="4755" spans="12:19" ht="15.75" customHeight="1" x14ac:dyDescent="0.35">
      <c r="L4755" s="2"/>
      <c r="M4755" s="2"/>
      <c r="N4755" s="650"/>
      <c r="O4755" s="650"/>
      <c r="P4755" s="651"/>
      <c r="Q4755" s="651"/>
      <c r="R4755" s="651"/>
      <c r="S4755" s="651"/>
    </row>
    <row r="4756" spans="12:19" ht="15.75" customHeight="1" x14ac:dyDescent="0.35">
      <c r="L4756" s="2"/>
      <c r="M4756" s="2"/>
      <c r="N4756" s="650"/>
      <c r="O4756" s="650"/>
      <c r="P4756" s="651"/>
      <c r="Q4756" s="651"/>
      <c r="R4756" s="651"/>
      <c r="S4756" s="651"/>
    </row>
    <row r="4757" spans="12:19" ht="15.75" customHeight="1" x14ac:dyDescent="0.35">
      <c r="L4757" s="2"/>
      <c r="M4757" s="2"/>
      <c r="N4757" s="650"/>
      <c r="O4757" s="650"/>
      <c r="P4757" s="651"/>
      <c r="Q4757" s="651"/>
      <c r="R4757" s="651"/>
      <c r="S4757" s="651"/>
    </row>
    <row r="4758" spans="12:19" ht="15.75" customHeight="1" x14ac:dyDescent="0.35">
      <c r="L4758" s="2"/>
      <c r="M4758" s="2"/>
      <c r="N4758" s="650"/>
      <c r="O4758" s="650"/>
      <c r="P4758" s="651"/>
      <c r="Q4758" s="651"/>
      <c r="R4758" s="651"/>
      <c r="S4758" s="651"/>
    </row>
    <row r="4759" spans="12:19" ht="15.75" customHeight="1" x14ac:dyDescent="0.35">
      <c r="L4759" s="2"/>
      <c r="M4759" s="2"/>
      <c r="N4759" s="650"/>
      <c r="O4759" s="650"/>
      <c r="P4759" s="651"/>
      <c r="Q4759" s="651"/>
      <c r="R4759" s="651"/>
      <c r="S4759" s="651"/>
    </row>
    <row r="4760" spans="12:19" ht="15.75" customHeight="1" x14ac:dyDescent="0.35">
      <c r="L4760" s="2"/>
      <c r="M4760" s="2"/>
      <c r="N4760" s="650"/>
      <c r="O4760" s="650"/>
      <c r="P4760" s="651"/>
      <c r="Q4760" s="651"/>
      <c r="R4760" s="651"/>
      <c r="S4760" s="651"/>
    </row>
    <row r="4761" spans="12:19" ht="15.75" customHeight="1" x14ac:dyDescent="0.35">
      <c r="L4761" s="2"/>
      <c r="M4761" s="2"/>
      <c r="N4761" s="650"/>
      <c r="O4761" s="650"/>
      <c r="P4761" s="651"/>
      <c r="Q4761" s="651"/>
      <c r="R4761" s="651"/>
      <c r="S4761" s="651"/>
    </row>
    <row r="4762" spans="12:19" ht="15.75" customHeight="1" x14ac:dyDescent="0.35">
      <c r="L4762" s="2"/>
      <c r="M4762" s="2"/>
      <c r="N4762" s="650"/>
      <c r="O4762" s="650"/>
      <c r="P4762" s="651"/>
      <c r="Q4762" s="651"/>
      <c r="R4762" s="651"/>
      <c r="S4762" s="651"/>
    </row>
    <row r="4763" spans="12:19" ht="15.75" customHeight="1" x14ac:dyDescent="0.35">
      <c r="L4763" s="2"/>
      <c r="M4763" s="2"/>
      <c r="N4763" s="650"/>
      <c r="O4763" s="650"/>
      <c r="P4763" s="651"/>
      <c r="Q4763" s="651"/>
      <c r="R4763" s="651"/>
      <c r="S4763" s="651"/>
    </row>
    <row r="4764" spans="12:19" ht="15.75" customHeight="1" x14ac:dyDescent="0.35">
      <c r="L4764" s="2"/>
      <c r="M4764" s="2"/>
      <c r="N4764" s="650"/>
      <c r="O4764" s="650"/>
      <c r="P4764" s="651"/>
      <c r="Q4764" s="651"/>
      <c r="R4764" s="651"/>
      <c r="S4764" s="651"/>
    </row>
    <row r="4765" spans="12:19" ht="15.75" customHeight="1" x14ac:dyDescent="0.35">
      <c r="L4765" s="2"/>
      <c r="M4765" s="2"/>
      <c r="N4765" s="650"/>
      <c r="O4765" s="650"/>
      <c r="P4765" s="651"/>
      <c r="Q4765" s="651"/>
      <c r="R4765" s="651"/>
      <c r="S4765" s="651"/>
    </row>
    <row r="4766" spans="12:19" ht="15.75" customHeight="1" x14ac:dyDescent="0.35">
      <c r="L4766" s="2"/>
      <c r="M4766" s="2"/>
      <c r="N4766" s="650"/>
      <c r="O4766" s="650"/>
      <c r="P4766" s="651"/>
      <c r="Q4766" s="651"/>
      <c r="R4766" s="651"/>
      <c r="S4766" s="651"/>
    </row>
    <row r="4767" spans="12:19" ht="15.75" customHeight="1" x14ac:dyDescent="0.35">
      <c r="L4767" s="2"/>
      <c r="M4767" s="2"/>
      <c r="N4767" s="650"/>
      <c r="O4767" s="650"/>
      <c r="P4767" s="651"/>
      <c r="Q4767" s="651"/>
      <c r="R4767" s="651"/>
      <c r="S4767" s="651"/>
    </row>
    <row r="4768" spans="12:19" ht="15.75" customHeight="1" x14ac:dyDescent="0.35">
      <c r="L4768" s="2"/>
      <c r="M4768" s="2"/>
      <c r="N4768" s="650"/>
      <c r="O4768" s="650"/>
      <c r="P4768" s="651"/>
      <c r="Q4768" s="651"/>
      <c r="R4768" s="651"/>
      <c r="S4768" s="651"/>
    </row>
    <row r="4769" spans="12:19" ht="15.75" customHeight="1" x14ac:dyDescent="0.35">
      <c r="L4769" s="2"/>
      <c r="M4769" s="2"/>
      <c r="N4769" s="650"/>
      <c r="O4769" s="650"/>
      <c r="P4769" s="651"/>
      <c r="Q4769" s="651"/>
      <c r="R4769" s="651"/>
      <c r="S4769" s="651"/>
    </row>
    <row r="4770" spans="12:19" ht="15.75" customHeight="1" x14ac:dyDescent="0.35">
      <c r="L4770" s="2"/>
      <c r="M4770" s="2"/>
      <c r="N4770" s="650"/>
      <c r="O4770" s="650"/>
      <c r="P4770" s="651"/>
      <c r="Q4770" s="651"/>
      <c r="R4770" s="651"/>
      <c r="S4770" s="651"/>
    </row>
    <row r="4771" spans="12:19" ht="15.75" customHeight="1" x14ac:dyDescent="0.35">
      <c r="L4771" s="2"/>
      <c r="M4771" s="2"/>
      <c r="N4771" s="650"/>
      <c r="O4771" s="650"/>
      <c r="P4771" s="651"/>
      <c r="Q4771" s="651"/>
      <c r="R4771" s="651"/>
      <c r="S4771" s="651"/>
    </row>
    <row r="4772" spans="12:19" ht="15.75" customHeight="1" x14ac:dyDescent="0.35">
      <c r="L4772" s="2"/>
      <c r="M4772" s="2"/>
      <c r="N4772" s="650"/>
      <c r="O4772" s="650"/>
      <c r="P4772" s="651"/>
      <c r="Q4772" s="651"/>
      <c r="R4772" s="651"/>
      <c r="S4772" s="651"/>
    </row>
    <row r="4773" spans="12:19" ht="15.75" customHeight="1" x14ac:dyDescent="0.35">
      <c r="L4773" s="2"/>
      <c r="M4773" s="2"/>
      <c r="N4773" s="650"/>
      <c r="O4773" s="650"/>
      <c r="P4773" s="651"/>
      <c r="Q4773" s="651"/>
      <c r="R4773" s="651"/>
      <c r="S4773" s="651"/>
    </row>
    <row r="4774" spans="12:19" ht="15.75" customHeight="1" x14ac:dyDescent="0.35">
      <c r="L4774" s="2"/>
      <c r="M4774" s="2"/>
      <c r="N4774" s="650"/>
      <c r="O4774" s="650"/>
      <c r="P4774" s="651"/>
      <c r="Q4774" s="651"/>
      <c r="R4774" s="651"/>
      <c r="S4774" s="651"/>
    </row>
    <row r="4775" spans="12:19" ht="15.75" customHeight="1" x14ac:dyDescent="0.35">
      <c r="L4775" s="2"/>
      <c r="M4775" s="2"/>
      <c r="N4775" s="650"/>
      <c r="O4775" s="650"/>
      <c r="P4775" s="651"/>
      <c r="Q4775" s="651"/>
      <c r="R4775" s="651"/>
      <c r="S4775" s="651"/>
    </row>
    <row r="4776" spans="12:19" ht="15.75" customHeight="1" x14ac:dyDescent="0.35">
      <c r="L4776" s="2"/>
      <c r="M4776" s="2"/>
      <c r="N4776" s="650"/>
      <c r="O4776" s="650"/>
      <c r="P4776" s="651"/>
      <c r="Q4776" s="651"/>
      <c r="R4776" s="651"/>
      <c r="S4776" s="651"/>
    </row>
    <row r="4777" spans="12:19" ht="15.75" customHeight="1" x14ac:dyDescent="0.35">
      <c r="L4777" s="2"/>
      <c r="M4777" s="2"/>
      <c r="N4777" s="650"/>
      <c r="O4777" s="650"/>
      <c r="P4777" s="651"/>
      <c r="Q4777" s="651"/>
      <c r="R4777" s="651"/>
      <c r="S4777" s="651"/>
    </row>
    <row r="4778" spans="12:19" ht="15.75" customHeight="1" x14ac:dyDescent="0.35">
      <c r="L4778" s="2"/>
      <c r="M4778" s="2"/>
      <c r="N4778" s="650"/>
      <c r="O4778" s="650"/>
      <c r="P4778" s="651"/>
      <c r="Q4778" s="651"/>
      <c r="R4778" s="651"/>
      <c r="S4778" s="651"/>
    </row>
    <row r="4779" spans="12:19" ht="15.75" customHeight="1" x14ac:dyDescent="0.35">
      <c r="L4779" s="2"/>
      <c r="M4779" s="2"/>
      <c r="N4779" s="650"/>
      <c r="O4779" s="650"/>
      <c r="P4779" s="651"/>
      <c r="Q4779" s="651"/>
      <c r="R4779" s="651"/>
      <c r="S4779" s="651"/>
    </row>
    <row r="4780" spans="12:19" ht="15.75" customHeight="1" x14ac:dyDescent="0.35">
      <c r="L4780" s="2"/>
      <c r="M4780" s="2"/>
      <c r="N4780" s="650"/>
      <c r="O4780" s="650"/>
      <c r="P4780" s="651"/>
      <c r="Q4780" s="651"/>
      <c r="R4780" s="651"/>
      <c r="S4780" s="651"/>
    </row>
    <row r="4781" spans="12:19" ht="15.75" customHeight="1" x14ac:dyDescent="0.35">
      <c r="L4781" s="2"/>
      <c r="M4781" s="2"/>
      <c r="N4781" s="650"/>
      <c r="O4781" s="650"/>
      <c r="P4781" s="651"/>
      <c r="Q4781" s="651"/>
      <c r="R4781" s="651"/>
      <c r="S4781" s="651"/>
    </row>
    <row r="4782" spans="12:19" ht="15.75" customHeight="1" x14ac:dyDescent="0.35">
      <c r="L4782" s="2"/>
      <c r="M4782" s="2"/>
      <c r="N4782" s="650"/>
      <c r="O4782" s="650"/>
      <c r="P4782" s="651"/>
      <c r="Q4782" s="651"/>
      <c r="R4782" s="651"/>
      <c r="S4782" s="651"/>
    </row>
    <row r="4783" spans="12:19" ht="15.75" customHeight="1" x14ac:dyDescent="0.35">
      <c r="L4783" s="2"/>
      <c r="M4783" s="2"/>
      <c r="N4783" s="650"/>
      <c r="O4783" s="650"/>
      <c r="P4783" s="651"/>
      <c r="Q4783" s="651"/>
      <c r="R4783" s="651"/>
      <c r="S4783" s="651"/>
    </row>
    <row r="4784" spans="12:19" ht="15.75" customHeight="1" x14ac:dyDescent="0.35">
      <c r="L4784" s="2"/>
      <c r="M4784" s="2"/>
      <c r="N4784" s="650"/>
      <c r="O4784" s="650"/>
      <c r="P4784" s="651"/>
      <c r="Q4784" s="651"/>
      <c r="R4784" s="651"/>
      <c r="S4784" s="651"/>
    </row>
    <row r="4785" spans="12:19" ht="15.75" customHeight="1" x14ac:dyDescent="0.35">
      <c r="L4785" s="2"/>
      <c r="M4785" s="2"/>
      <c r="N4785" s="650"/>
      <c r="O4785" s="650"/>
      <c r="P4785" s="651"/>
      <c r="Q4785" s="651"/>
      <c r="R4785" s="651"/>
      <c r="S4785" s="651"/>
    </row>
    <row r="4786" spans="12:19" ht="15.75" customHeight="1" x14ac:dyDescent="0.35">
      <c r="L4786" s="2"/>
      <c r="M4786" s="2"/>
      <c r="N4786" s="650"/>
      <c r="O4786" s="650"/>
      <c r="P4786" s="651"/>
      <c r="Q4786" s="651"/>
      <c r="R4786" s="651"/>
      <c r="S4786" s="651"/>
    </row>
    <row r="4787" spans="12:19" ht="15.75" customHeight="1" x14ac:dyDescent="0.35">
      <c r="L4787" s="2"/>
      <c r="M4787" s="2"/>
      <c r="N4787" s="650"/>
      <c r="O4787" s="650"/>
      <c r="P4787" s="651"/>
      <c r="Q4787" s="651"/>
      <c r="R4787" s="651"/>
      <c r="S4787" s="651"/>
    </row>
    <row r="4788" spans="12:19" ht="15.75" customHeight="1" x14ac:dyDescent="0.35">
      <c r="L4788" s="2"/>
      <c r="M4788" s="2"/>
      <c r="N4788" s="650"/>
      <c r="O4788" s="650"/>
      <c r="P4788" s="651"/>
      <c r="Q4788" s="651"/>
      <c r="R4788" s="651"/>
      <c r="S4788" s="651"/>
    </row>
    <row r="4789" spans="12:19" ht="15.75" customHeight="1" x14ac:dyDescent="0.35">
      <c r="L4789" s="2"/>
      <c r="M4789" s="2"/>
      <c r="N4789" s="650"/>
      <c r="O4789" s="650"/>
      <c r="P4789" s="651"/>
      <c r="Q4789" s="651"/>
      <c r="R4789" s="651"/>
      <c r="S4789" s="651"/>
    </row>
    <row r="4790" spans="12:19" ht="15.75" customHeight="1" x14ac:dyDescent="0.35">
      <c r="L4790" s="2"/>
      <c r="M4790" s="2"/>
      <c r="N4790" s="650"/>
      <c r="O4790" s="650"/>
      <c r="P4790" s="651"/>
      <c r="Q4790" s="651"/>
      <c r="R4790" s="651"/>
      <c r="S4790" s="651"/>
    </row>
    <row r="4791" spans="12:19" ht="15.75" customHeight="1" x14ac:dyDescent="0.35">
      <c r="L4791" s="2"/>
      <c r="M4791" s="2"/>
      <c r="N4791" s="650"/>
      <c r="O4791" s="650"/>
      <c r="P4791" s="651"/>
      <c r="Q4791" s="651"/>
      <c r="R4791" s="651"/>
      <c r="S4791" s="651"/>
    </row>
    <row r="4792" spans="12:19" ht="15.75" customHeight="1" x14ac:dyDescent="0.35">
      <c r="L4792" s="2"/>
      <c r="M4792" s="2"/>
      <c r="N4792" s="650"/>
      <c r="O4792" s="650"/>
      <c r="P4792" s="651"/>
      <c r="Q4792" s="651"/>
      <c r="R4792" s="651"/>
      <c r="S4792" s="651"/>
    </row>
    <row r="4793" spans="12:19" ht="15.75" customHeight="1" x14ac:dyDescent="0.35">
      <c r="L4793" s="2"/>
      <c r="M4793" s="2"/>
      <c r="N4793" s="650"/>
      <c r="O4793" s="650"/>
      <c r="P4793" s="651"/>
      <c r="Q4793" s="651"/>
      <c r="R4793" s="651"/>
      <c r="S4793" s="651"/>
    </row>
    <row r="4794" spans="12:19" ht="15.75" customHeight="1" x14ac:dyDescent="0.35">
      <c r="L4794" s="2"/>
      <c r="M4794" s="2"/>
      <c r="N4794" s="650"/>
      <c r="O4794" s="650"/>
      <c r="P4794" s="651"/>
      <c r="Q4794" s="651"/>
      <c r="R4794" s="651"/>
      <c r="S4794" s="651"/>
    </row>
    <row r="4795" spans="12:19" ht="15.75" customHeight="1" x14ac:dyDescent="0.35">
      <c r="L4795" s="2"/>
      <c r="M4795" s="2"/>
      <c r="N4795" s="650"/>
      <c r="O4795" s="650"/>
      <c r="P4795" s="651"/>
      <c r="Q4795" s="651"/>
      <c r="R4795" s="651"/>
      <c r="S4795" s="651"/>
    </row>
    <row r="4796" spans="12:19" ht="15.75" customHeight="1" x14ac:dyDescent="0.35">
      <c r="L4796" s="2"/>
      <c r="M4796" s="2"/>
      <c r="N4796" s="650"/>
      <c r="O4796" s="650"/>
      <c r="P4796" s="651"/>
      <c r="Q4796" s="651"/>
      <c r="R4796" s="651"/>
      <c r="S4796" s="651"/>
    </row>
    <row r="4797" spans="12:19" ht="15.75" customHeight="1" x14ac:dyDescent="0.35">
      <c r="L4797" s="2"/>
      <c r="M4797" s="2"/>
      <c r="N4797" s="650"/>
      <c r="O4797" s="650"/>
      <c r="P4797" s="651"/>
      <c r="Q4797" s="651"/>
      <c r="R4797" s="651"/>
      <c r="S4797" s="651"/>
    </row>
    <row r="4798" spans="12:19" ht="15.75" customHeight="1" x14ac:dyDescent="0.35">
      <c r="L4798" s="2"/>
      <c r="M4798" s="2"/>
      <c r="N4798" s="650"/>
      <c r="O4798" s="650"/>
      <c r="P4798" s="651"/>
      <c r="Q4798" s="651"/>
      <c r="R4798" s="651"/>
      <c r="S4798" s="651"/>
    </row>
    <row r="4799" spans="12:19" ht="15.75" customHeight="1" x14ac:dyDescent="0.35">
      <c r="L4799" s="2"/>
      <c r="M4799" s="2"/>
      <c r="N4799" s="650"/>
      <c r="O4799" s="650"/>
      <c r="P4799" s="651"/>
      <c r="Q4799" s="651"/>
      <c r="R4799" s="651"/>
      <c r="S4799" s="651"/>
    </row>
    <row r="4800" spans="12:19" ht="15.75" customHeight="1" x14ac:dyDescent="0.35">
      <c r="L4800" s="2"/>
      <c r="M4800" s="2"/>
      <c r="N4800" s="650"/>
      <c r="O4800" s="650"/>
      <c r="P4800" s="651"/>
      <c r="Q4800" s="651"/>
      <c r="R4800" s="651"/>
      <c r="S4800" s="651"/>
    </row>
    <row r="4801" spans="12:19" ht="15.75" customHeight="1" x14ac:dyDescent="0.35">
      <c r="L4801" s="2"/>
      <c r="M4801" s="2"/>
      <c r="N4801" s="650"/>
      <c r="O4801" s="650"/>
      <c r="P4801" s="651"/>
      <c r="Q4801" s="651"/>
      <c r="R4801" s="651"/>
      <c r="S4801" s="651"/>
    </row>
    <row r="4802" spans="12:19" ht="15.75" customHeight="1" x14ac:dyDescent="0.35">
      <c r="L4802" s="2"/>
      <c r="M4802" s="2"/>
      <c r="N4802" s="650"/>
      <c r="O4802" s="650"/>
      <c r="P4802" s="651"/>
      <c r="Q4802" s="651"/>
      <c r="R4802" s="651"/>
      <c r="S4802" s="651"/>
    </row>
    <row r="4803" spans="12:19" ht="15.75" customHeight="1" x14ac:dyDescent="0.35">
      <c r="L4803" s="2"/>
      <c r="M4803" s="2"/>
      <c r="N4803" s="650"/>
      <c r="O4803" s="650"/>
      <c r="P4803" s="651"/>
      <c r="Q4803" s="651"/>
      <c r="R4803" s="651"/>
      <c r="S4803" s="651"/>
    </row>
    <row r="4804" spans="12:19" ht="15.75" customHeight="1" x14ac:dyDescent="0.35">
      <c r="L4804" s="2"/>
      <c r="M4804" s="2"/>
      <c r="N4804" s="650"/>
      <c r="O4804" s="650"/>
      <c r="P4804" s="651"/>
      <c r="Q4804" s="651"/>
      <c r="R4804" s="651"/>
      <c r="S4804" s="651"/>
    </row>
    <row r="4805" spans="12:19" ht="15.75" customHeight="1" x14ac:dyDescent="0.35">
      <c r="L4805" s="2"/>
      <c r="M4805" s="2"/>
      <c r="N4805" s="650"/>
      <c r="O4805" s="650"/>
      <c r="P4805" s="651"/>
      <c r="Q4805" s="651"/>
      <c r="R4805" s="651"/>
      <c r="S4805" s="651"/>
    </row>
    <row r="4806" spans="12:19" ht="15.75" customHeight="1" x14ac:dyDescent="0.35">
      <c r="L4806" s="2"/>
      <c r="M4806" s="2"/>
      <c r="N4806" s="650"/>
      <c r="O4806" s="650"/>
      <c r="P4806" s="651"/>
      <c r="Q4806" s="651"/>
      <c r="R4806" s="651"/>
      <c r="S4806" s="651"/>
    </row>
    <row r="4807" spans="12:19" ht="15.75" customHeight="1" x14ac:dyDescent="0.35">
      <c r="L4807" s="2"/>
      <c r="M4807" s="2"/>
      <c r="N4807" s="650"/>
      <c r="O4807" s="650"/>
      <c r="P4807" s="651"/>
      <c r="Q4807" s="651"/>
      <c r="R4807" s="651"/>
      <c r="S4807" s="651"/>
    </row>
    <row r="4808" spans="12:19" ht="15.75" customHeight="1" x14ac:dyDescent="0.35">
      <c r="L4808" s="2"/>
      <c r="M4808" s="2"/>
      <c r="N4808" s="650"/>
      <c r="O4808" s="650"/>
      <c r="P4808" s="651"/>
      <c r="Q4808" s="651"/>
      <c r="R4808" s="651"/>
      <c r="S4808" s="651"/>
    </row>
    <row r="4809" spans="12:19" ht="15.75" customHeight="1" x14ac:dyDescent="0.35">
      <c r="L4809" s="2"/>
      <c r="M4809" s="2"/>
      <c r="N4809" s="650"/>
      <c r="O4809" s="650"/>
      <c r="P4809" s="651"/>
      <c r="Q4809" s="651"/>
      <c r="R4809" s="651"/>
      <c r="S4809" s="651"/>
    </row>
    <row r="4810" spans="12:19" ht="15.75" customHeight="1" x14ac:dyDescent="0.35">
      <c r="L4810" s="2"/>
      <c r="M4810" s="2"/>
      <c r="N4810" s="650"/>
      <c r="O4810" s="650"/>
      <c r="P4810" s="651"/>
      <c r="Q4810" s="651"/>
      <c r="R4810" s="651"/>
      <c r="S4810" s="651"/>
    </row>
    <row r="4811" spans="12:19" ht="15.75" customHeight="1" x14ac:dyDescent="0.35">
      <c r="L4811" s="2"/>
      <c r="M4811" s="2"/>
      <c r="N4811" s="650"/>
      <c r="O4811" s="650"/>
      <c r="P4811" s="651"/>
      <c r="Q4811" s="651"/>
      <c r="R4811" s="651"/>
      <c r="S4811" s="651"/>
    </row>
    <row r="4812" spans="12:19" ht="15.75" customHeight="1" x14ac:dyDescent="0.35">
      <c r="L4812" s="2"/>
      <c r="M4812" s="2"/>
      <c r="N4812" s="650"/>
      <c r="O4812" s="650"/>
      <c r="P4812" s="651"/>
      <c r="Q4812" s="651"/>
      <c r="R4812" s="651"/>
      <c r="S4812" s="651"/>
    </row>
    <row r="4813" spans="12:19" ht="15.75" customHeight="1" x14ac:dyDescent="0.35">
      <c r="L4813" s="2"/>
      <c r="M4813" s="2"/>
      <c r="N4813" s="650"/>
      <c r="O4813" s="650"/>
      <c r="P4813" s="651"/>
      <c r="Q4813" s="651"/>
      <c r="R4813" s="651"/>
      <c r="S4813" s="651"/>
    </row>
    <row r="4814" spans="12:19" ht="15.75" customHeight="1" x14ac:dyDescent="0.35">
      <c r="L4814" s="2"/>
      <c r="M4814" s="2"/>
      <c r="N4814" s="650"/>
      <c r="O4814" s="650"/>
      <c r="P4814" s="651"/>
      <c r="Q4814" s="651"/>
      <c r="R4814" s="651"/>
      <c r="S4814" s="651"/>
    </row>
    <row r="4815" spans="12:19" ht="15.75" customHeight="1" x14ac:dyDescent="0.35">
      <c r="L4815" s="2"/>
      <c r="M4815" s="2"/>
      <c r="N4815" s="650"/>
      <c r="O4815" s="650"/>
      <c r="P4815" s="651"/>
      <c r="Q4815" s="651"/>
      <c r="R4815" s="651"/>
      <c r="S4815" s="651"/>
    </row>
    <row r="4816" spans="12:19" ht="15.75" customHeight="1" x14ac:dyDescent="0.35">
      <c r="L4816" s="2"/>
      <c r="M4816" s="2"/>
      <c r="N4816" s="650"/>
      <c r="O4816" s="650"/>
      <c r="P4816" s="651"/>
      <c r="Q4816" s="651"/>
      <c r="R4816" s="651"/>
      <c r="S4816" s="651"/>
    </row>
    <row r="4817" spans="12:19" ht="15.75" customHeight="1" x14ac:dyDescent="0.35">
      <c r="L4817" s="2"/>
      <c r="M4817" s="2"/>
      <c r="N4817" s="650"/>
      <c r="O4817" s="650"/>
      <c r="P4817" s="651"/>
      <c r="Q4817" s="651"/>
      <c r="R4817" s="651"/>
      <c r="S4817" s="651"/>
    </row>
    <row r="4818" spans="12:19" ht="15.75" customHeight="1" x14ac:dyDescent="0.35">
      <c r="L4818" s="2"/>
      <c r="M4818" s="2"/>
      <c r="N4818" s="650"/>
      <c r="O4818" s="650"/>
      <c r="P4818" s="651"/>
      <c r="Q4818" s="651"/>
      <c r="R4818" s="651"/>
      <c r="S4818" s="651"/>
    </row>
    <row r="4819" spans="12:19" ht="15.75" customHeight="1" x14ac:dyDescent="0.35">
      <c r="L4819" s="2"/>
      <c r="M4819" s="2"/>
      <c r="N4819" s="650"/>
      <c r="O4819" s="650"/>
      <c r="P4819" s="651"/>
      <c r="Q4819" s="651"/>
      <c r="R4819" s="651"/>
      <c r="S4819" s="651"/>
    </row>
    <row r="4820" spans="12:19" ht="15.75" customHeight="1" x14ac:dyDescent="0.35">
      <c r="L4820" s="2"/>
      <c r="M4820" s="2"/>
      <c r="N4820" s="650"/>
      <c r="O4820" s="650"/>
      <c r="P4820" s="651"/>
      <c r="Q4820" s="651"/>
      <c r="R4820" s="651"/>
      <c r="S4820" s="651"/>
    </row>
    <row r="4821" spans="12:19" ht="15.75" customHeight="1" x14ac:dyDescent="0.35">
      <c r="L4821" s="2"/>
      <c r="M4821" s="2"/>
      <c r="N4821" s="650"/>
      <c r="O4821" s="650"/>
      <c r="P4821" s="651"/>
      <c r="Q4821" s="651"/>
      <c r="R4821" s="651"/>
      <c r="S4821" s="651"/>
    </row>
    <row r="4822" spans="12:19" ht="15.75" customHeight="1" x14ac:dyDescent="0.35">
      <c r="L4822" s="2"/>
      <c r="M4822" s="2"/>
      <c r="N4822" s="650"/>
      <c r="O4822" s="650"/>
      <c r="P4822" s="651"/>
      <c r="Q4822" s="651"/>
      <c r="R4822" s="651"/>
      <c r="S4822" s="651"/>
    </row>
    <row r="4823" spans="12:19" ht="15.75" customHeight="1" x14ac:dyDescent="0.35">
      <c r="L4823" s="2"/>
      <c r="M4823" s="2"/>
      <c r="N4823" s="650"/>
      <c r="O4823" s="650"/>
      <c r="P4823" s="651"/>
      <c r="Q4823" s="651"/>
      <c r="R4823" s="651"/>
      <c r="S4823" s="651"/>
    </row>
    <row r="4824" spans="12:19" ht="15.75" customHeight="1" x14ac:dyDescent="0.35">
      <c r="L4824" s="2"/>
      <c r="M4824" s="2"/>
      <c r="N4824" s="650"/>
      <c r="O4824" s="650"/>
      <c r="P4824" s="651"/>
      <c r="Q4824" s="651"/>
      <c r="R4824" s="651"/>
      <c r="S4824" s="651"/>
    </row>
    <row r="4825" spans="12:19" ht="15.75" customHeight="1" x14ac:dyDescent="0.35">
      <c r="L4825" s="2"/>
      <c r="M4825" s="2"/>
      <c r="N4825" s="650"/>
      <c r="O4825" s="650"/>
      <c r="P4825" s="651"/>
      <c r="Q4825" s="651"/>
      <c r="R4825" s="651"/>
      <c r="S4825" s="651"/>
    </row>
    <row r="4826" spans="12:19" ht="15.75" customHeight="1" x14ac:dyDescent="0.35">
      <c r="L4826" s="2"/>
      <c r="M4826" s="2"/>
      <c r="N4826" s="650"/>
      <c r="O4826" s="650"/>
      <c r="P4826" s="651"/>
      <c r="Q4826" s="651"/>
      <c r="R4826" s="651"/>
      <c r="S4826" s="651"/>
    </row>
    <row r="4827" spans="12:19" ht="15.75" customHeight="1" x14ac:dyDescent="0.35">
      <c r="L4827" s="2"/>
      <c r="M4827" s="2"/>
      <c r="N4827" s="650"/>
      <c r="O4827" s="650"/>
      <c r="P4827" s="651"/>
      <c r="Q4827" s="651"/>
      <c r="R4827" s="651"/>
      <c r="S4827" s="651"/>
    </row>
    <row r="4828" spans="12:19" ht="15.75" customHeight="1" x14ac:dyDescent="0.35">
      <c r="L4828" s="2"/>
      <c r="M4828" s="2"/>
      <c r="N4828" s="650"/>
      <c r="O4828" s="650"/>
      <c r="P4828" s="651"/>
      <c r="Q4828" s="651"/>
      <c r="R4828" s="651"/>
      <c r="S4828" s="651"/>
    </row>
    <row r="4829" spans="12:19" ht="15.75" customHeight="1" x14ac:dyDescent="0.35">
      <c r="L4829" s="2"/>
      <c r="M4829" s="2"/>
      <c r="N4829" s="650"/>
      <c r="O4829" s="650"/>
      <c r="P4829" s="651"/>
      <c r="Q4829" s="651"/>
      <c r="R4829" s="651"/>
      <c r="S4829" s="651"/>
    </row>
    <row r="4830" spans="12:19" ht="15.75" customHeight="1" x14ac:dyDescent="0.35">
      <c r="L4830" s="2"/>
      <c r="M4830" s="2"/>
      <c r="N4830" s="650"/>
      <c r="O4830" s="650"/>
      <c r="P4830" s="651"/>
      <c r="Q4830" s="651"/>
      <c r="R4830" s="651"/>
      <c r="S4830" s="651"/>
    </row>
    <row r="4831" spans="12:19" ht="15.75" customHeight="1" x14ac:dyDescent="0.35">
      <c r="L4831" s="2"/>
      <c r="M4831" s="2"/>
      <c r="N4831" s="650"/>
      <c r="O4831" s="650"/>
      <c r="P4831" s="651"/>
      <c r="Q4831" s="651"/>
      <c r="R4831" s="651"/>
      <c r="S4831" s="651"/>
    </row>
    <row r="4832" spans="12:19" ht="15.75" customHeight="1" x14ac:dyDescent="0.35">
      <c r="L4832" s="2"/>
      <c r="M4832" s="2"/>
      <c r="N4832" s="650"/>
      <c r="O4832" s="650"/>
      <c r="P4832" s="651"/>
      <c r="Q4832" s="651"/>
      <c r="R4832" s="651"/>
      <c r="S4832" s="651"/>
    </row>
    <row r="4833" spans="12:19" ht="15.75" customHeight="1" x14ac:dyDescent="0.35">
      <c r="L4833" s="2"/>
      <c r="M4833" s="2"/>
      <c r="N4833" s="650"/>
      <c r="O4833" s="650"/>
      <c r="P4833" s="651"/>
      <c r="Q4833" s="651"/>
      <c r="R4833" s="651"/>
      <c r="S4833" s="651"/>
    </row>
    <row r="4834" spans="12:19" ht="15.75" customHeight="1" x14ac:dyDescent="0.35">
      <c r="L4834" s="2"/>
      <c r="M4834" s="2"/>
      <c r="N4834" s="650"/>
      <c r="O4834" s="650"/>
      <c r="P4834" s="651"/>
      <c r="Q4834" s="651"/>
      <c r="R4834" s="651"/>
      <c r="S4834" s="651"/>
    </row>
    <row r="4835" spans="12:19" ht="15.75" customHeight="1" x14ac:dyDescent="0.35">
      <c r="L4835" s="2"/>
      <c r="M4835" s="2"/>
      <c r="N4835" s="650"/>
      <c r="O4835" s="650"/>
      <c r="P4835" s="651"/>
      <c r="Q4835" s="651"/>
      <c r="R4835" s="651"/>
      <c r="S4835" s="651"/>
    </row>
    <row r="4836" spans="12:19" ht="15.75" customHeight="1" x14ac:dyDescent="0.35">
      <c r="L4836" s="2"/>
      <c r="M4836" s="2"/>
      <c r="N4836" s="650"/>
      <c r="O4836" s="650"/>
      <c r="P4836" s="651"/>
      <c r="Q4836" s="651"/>
      <c r="R4836" s="651"/>
      <c r="S4836" s="651"/>
    </row>
    <row r="4837" spans="12:19" ht="15.75" customHeight="1" x14ac:dyDescent="0.35">
      <c r="L4837" s="2"/>
      <c r="M4837" s="2"/>
      <c r="N4837" s="650"/>
      <c r="O4837" s="650"/>
      <c r="P4837" s="651"/>
      <c r="Q4837" s="651"/>
      <c r="R4837" s="651"/>
      <c r="S4837" s="651"/>
    </row>
    <row r="4838" spans="12:19" ht="15.75" customHeight="1" x14ac:dyDescent="0.35">
      <c r="L4838" s="2"/>
      <c r="M4838" s="2"/>
      <c r="N4838" s="650"/>
      <c r="O4838" s="650"/>
      <c r="P4838" s="651"/>
      <c r="Q4838" s="651"/>
      <c r="R4838" s="651"/>
      <c r="S4838" s="651"/>
    </row>
    <row r="4839" spans="12:19" ht="15.75" customHeight="1" x14ac:dyDescent="0.35">
      <c r="L4839" s="2"/>
      <c r="M4839" s="2"/>
      <c r="N4839" s="650"/>
      <c r="O4839" s="650"/>
      <c r="P4839" s="651"/>
      <c r="Q4839" s="651"/>
      <c r="R4839" s="651"/>
      <c r="S4839" s="651"/>
    </row>
    <row r="4840" spans="12:19" ht="15.75" customHeight="1" x14ac:dyDescent="0.35">
      <c r="L4840" s="2"/>
      <c r="M4840" s="2"/>
      <c r="N4840" s="650"/>
      <c r="O4840" s="650"/>
      <c r="P4840" s="651"/>
      <c r="Q4840" s="651"/>
      <c r="R4840" s="651"/>
      <c r="S4840" s="651"/>
    </row>
    <row r="4841" spans="12:19" ht="15.75" customHeight="1" x14ac:dyDescent="0.35">
      <c r="L4841" s="2"/>
      <c r="M4841" s="2"/>
      <c r="N4841" s="650"/>
      <c r="O4841" s="650"/>
      <c r="P4841" s="651"/>
      <c r="Q4841" s="651"/>
      <c r="R4841" s="651"/>
      <c r="S4841" s="651"/>
    </row>
    <row r="4842" spans="12:19" ht="15.75" customHeight="1" x14ac:dyDescent="0.35">
      <c r="L4842" s="2"/>
      <c r="M4842" s="2"/>
      <c r="N4842" s="650"/>
      <c r="O4842" s="650"/>
      <c r="P4842" s="651"/>
      <c r="Q4842" s="651"/>
      <c r="R4842" s="651"/>
      <c r="S4842" s="651"/>
    </row>
    <row r="4843" spans="12:19" ht="15.75" customHeight="1" x14ac:dyDescent="0.35">
      <c r="L4843" s="2"/>
      <c r="M4843" s="2"/>
      <c r="N4843" s="650"/>
      <c r="O4843" s="650"/>
      <c r="P4843" s="651"/>
      <c r="Q4843" s="651"/>
      <c r="R4843" s="651"/>
      <c r="S4843" s="651"/>
    </row>
    <row r="4844" spans="12:19" ht="15.75" customHeight="1" x14ac:dyDescent="0.35">
      <c r="L4844" s="2"/>
      <c r="M4844" s="2"/>
      <c r="N4844" s="650"/>
      <c r="O4844" s="650"/>
      <c r="P4844" s="651"/>
      <c r="Q4844" s="651"/>
      <c r="R4844" s="651"/>
      <c r="S4844" s="651"/>
    </row>
    <row r="4845" spans="12:19" ht="15.75" customHeight="1" x14ac:dyDescent="0.35">
      <c r="L4845" s="2"/>
      <c r="M4845" s="2"/>
      <c r="N4845" s="650"/>
      <c r="O4845" s="650"/>
      <c r="P4845" s="651"/>
      <c r="Q4845" s="651"/>
      <c r="R4845" s="651"/>
      <c r="S4845" s="651"/>
    </row>
    <row r="4846" spans="12:19" ht="15.75" customHeight="1" x14ac:dyDescent="0.35">
      <c r="L4846" s="2"/>
      <c r="M4846" s="2"/>
      <c r="N4846" s="650"/>
      <c r="O4846" s="650"/>
      <c r="P4846" s="651"/>
      <c r="Q4846" s="651"/>
      <c r="R4846" s="651"/>
      <c r="S4846" s="651"/>
    </row>
    <row r="4847" spans="12:19" ht="15.75" customHeight="1" x14ac:dyDescent="0.35">
      <c r="L4847" s="2"/>
      <c r="M4847" s="2"/>
      <c r="N4847" s="650"/>
      <c r="O4847" s="650"/>
      <c r="P4847" s="651"/>
      <c r="Q4847" s="651"/>
      <c r="R4847" s="651"/>
      <c r="S4847" s="651"/>
    </row>
    <row r="4848" spans="12:19" ht="15.75" customHeight="1" x14ac:dyDescent="0.35">
      <c r="L4848" s="2"/>
      <c r="M4848" s="2"/>
      <c r="N4848" s="650"/>
      <c r="O4848" s="650"/>
      <c r="P4848" s="651"/>
      <c r="Q4848" s="651"/>
      <c r="R4848" s="651"/>
      <c r="S4848" s="651"/>
    </row>
    <row r="4849" spans="12:19" ht="15.75" customHeight="1" x14ac:dyDescent="0.35">
      <c r="L4849" s="2"/>
      <c r="M4849" s="2"/>
      <c r="N4849" s="650"/>
      <c r="O4849" s="650"/>
      <c r="P4849" s="651"/>
      <c r="Q4849" s="651"/>
      <c r="R4849" s="651"/>
      <c r="S4849" s="651"/>
    </row>
    <row r="4850" spans="12:19" ht="15.75" customHeight="1" x14ac:dyDescent="0.35">
      <c r="L4850" s="2"/>
      <c r="M4850" s="2"/>
      <c r="N4850" s="650"/>
      <c r="O4850" s="650"/>
      <c r="P4850" s="651"/>
      <c r="Q4850" s="651"/>
      <c r="R4850" s="651"/>
      <c r="S4850" s="651"/>
    </row>
    <row r="4851" spans="12:19" ht="15.75" customHeight="1" x14ac:dyDescent="0.35">
      <c r="L4851" s="2"/>
      <c r="M4851" s="2"/>
      <c r="N4851" s="650"/>
      <c r="O4851" s="650"/>
      <c r="P4851" s="651"/>
      <c r="Q4851" s="651"/>
      <c r="R4851" s="651"/>
      <c r="S4851" s="651"/>
    </row>
    <row r="4852" spans="12:19" ht="15.75" customHeight="1" x14ac:dyDescent="0.35">
      <c r="L4852" s="2"/>
      <c r="M4852" s="2"/>
      <c r="N4852" s="650"/>
      <c r="O4852" s="650"/>
      <c r="P4852" s="651"/>
      <c r="Q4852" s="651"/>
      <c r="R4852" s="651"/>
      <c r="S4852" s="651"/>
    </row>
    <row r="4853" spans="12:19" ht="15.75" customHeight="1" x14ac:dyDescent="0.35">
      <c r="L4853" s="2"/>
      <c r="M4853" s="2"/>
      <c r="N4853" s="650"/>
      <c r="O4853" s="650"/>
      <c r="P4853" s="651"/>
      <c r="Q4853" s="651"/>
      <c r="R4853" s="651"/>
      <c r="S4853" s="651"/>
    </row>
    <row r="4854" spans="12:19" ht="15.75" customHeight="1" x14ac:dyDescent="0.35">
      <c r="L4854" s="2"/>
      <c r="M4854" s="2"/>
      <c r="N4854" s="650"/>
      <c r="O4854" s="650"/>
      <c r="P4854" s="651"/>
      <c r="Q4854" s="651"/>
      <c r="R4854" s="651"/>
      <c r="S4854" s="651"/>
    </row>
    <row r="4855" spans="12:19" ht="15.75" customHeight="1" x14ac:dyDescent="0.35">
      <c r="L4855" s="2"/>
      <c r="M4855" s="2"/>
      <c r="N4855" s="650"/>
      <c r="O4855" s="650"/>
      <c r="P4855" s="651"/>
      <c r="Q4855" s="651"/>
      <c r="R4855" s="651"/>
      <c r="S4855" s="651"/>
    </row>
    <row r="4856" spans="12:19" ht="15.75" customHeight="1" x14ac:dyDescent="0.35">
      <c r="L4856" s="2"/>
      <c r="M4856" s="2"/>
      <c r="N4856" s="650"/>
      <c r="O4856" s="650"/>
      <c r="P4856" s="651"/>
      <c r="Q4856" s="651"/>
      <c r="R4856" s="651"/>
      <c r="S4856" s="651"/>
    </row>
    <row r="4857" spans="12:19" ht="15.75" customHeight="1" x14ac:dyDescent="0.35">
      <c r="L4857" s="2"/>
      <c r="M4857" s="2"/>
      <c r="N4857" s="650"/>
      <c r="O4857" s="650"/>
      <c r="P4857" s="651"/>
      <c r="Q4857" s="651"/>
      <c r="R4857" s="651"/>
      <c r="S4857" s="651"/>
    </row>
    <row r="4858" spans="12:19" ht="15.75" customHeight="1" x14ac:dyDescent="0.35">
      <c r="L4858" s="2"/>
      <c r="M4858" s="2"/>
      <c r="N4858" s="650"/>
      <c r="O4858" s="650"/>
      <c r="P4858" s="651"/>
      <c r="Q4858" s="651"/>
      <c r="R4858" s="651"/>
      <c r="S4858" s="651"/>
    </row>
    <row r="4859" spans="12:19" ht="15.75" customHeight="1" x14ac:dyDescent="0.35">
      <c r="L4859" s="2"/>
      <c r="M4859" s="2"/>
      <c r="N4859" s="650"/>
      <c r="O4859" s="650"/>
      <c r="P4859" s="651"/>
      <c r="Q4859" s="651"/>
      <c r="R4859" s="651"/>
      <c r="S4859" s="651"/>
    </row>
    <row r="4860" spans="12:19" ht="15.75" customHeight="1" x14ac:dyDescent="0.35">
      <c r="L4860" s="2"/>
      <c r="M4860" s="2"/>
      <c r="N4860" s="650"/>
      <c r="O4860" s="650"/>
      <c r="P4860" s="651"/>
      <c r="Q4860" s="651"/>
      <c r="R4860" s="651"/>
      <c r="S4860" s="651"/>
    </row>
    <row r="4861" spans="12:19" ht="15.75" customHeight="1" x14ac:dyDescent="0.35">
      <c r="L4861" s="2"/>
      <c r="M4861" s="2"/>
      <c r="N4861" s="650"/>
      <c r="O4861" s="650"/>
      <c r="P4861" s="651"/>
      <c r="Q4861" s="651"/>
      <c r="R4861" s="651"/>
      <c r="S4861" s="651"/>
    </row>
    <row r="4862" spans="12:19" ht="15.75" customHeight="1" x14ac:dyDescent="0.35">
      <c r="L4862" s="2"/>
      <c r="M4862" s="2"/>
      <c r="N4862" s="650"/>
      <c r="O4862" s="650"/>
      <c r="P4862" s="651"/>
      <c r="Q4862" s="651"/>
      <c r="R4862" s="651"/>
      <c r="S4862" s="651"/>
    </row>
    <row r="4863" spans="12:19" ht="15.75" customHeight="1" x14ac:dyDescent="0.35">
      <c r="L4863" s="2"/>
      <c r="M4863" s="2"/>
      <c r="N4863" s="650"/>
      <c r="O4863" s="650"/>
      <c r="P4863" s="651"/>
      <c r="Q4863" s="651"/>
      <c r="R4863" s="651"/>
      <c r="S4863" s="651"/>
    </row>
    <row r="4864" spans="12:19" ht="15.75" customHeight="1" x14ac:dyDescent="0.35">
      <c r="L4864" s="2"/>
      <c r="M4864" s="2"/>
      <c r="N4864" s="650"/>
      <c r="O4864" s="650"/>
      <c r="P4864" s="651"/>
      <c r="Q4864" s="651"/>
      <c r="R4864" s="651"/>
      <c r="S4864" s="651"/>
    </row>
    <row r="4865" spans="12:19" ht="15.75" customHeight="1" x14ac:dyDescent="0.35">
      <c r="L4865" s="2"/>
      <c r="M4865" s="2"/>
      <c r="N4865" s="650"/>
      <c r="O4865" s="650"/>
      <c r="P4865" s="651"/>
      <c r="Q4865" s="651"/>
      <c r="R4865" s="651"/>
      <c r="S4865" s="651"/>
    </row>
    <row r="4866" spans="12:19" ht="15.75" customHeight="1" x14ac:dyDescent="0.35">
      <c r="L4866" s="2"/>
      <c r="M4866" s="2"/>
      <c r="N4866" s="650"/>
      <c r="O4866" s="650"/>
      <c r="P4866" s="651"/>
      <c r="Q4866" s="651"/>
      <c r="R4866" s="651"/>
      <c r="S4866" s="651"/>
    </row>
    <row r="4867" spans="12:19" ht="15.75" customHeight="1" x14ac:dyDescent="0.35">
      <c r="L4867" s="2"/>
      <c r="M4867" s="2"/>
      <c r="N4867" s="650"/>
      <c r="O4867" s="650"/>
      <c r="P4867" s="651"/>
      <c r="Q4867" s="651"/>
      <c r="R4867" s="651"/>
      <c r="S4867" s="651"/>
    </row>
    <row r="4868" spans="12:19" ht="15.75" customHeight="1" x14ac:dyDescent="0.35">
      <c r="L4868" s="2"/>
      <c r="M4868" s="2"/>
      <c r="N4868" s="650"/>
      <c r="O4868" s="650"/>
      <c r="P4868" s="651"/>
      <c r="Q4868" s="651"/>
      <c r="R4868" s="651"/>
      <c r="S4868" s="651"/>
    </row>
    <row r="4869" spans="12:19" ht="15.75" customHeight="1" x14ac:dyDescent="0.35">
      <c r="L4869" s="2"/>
      <c r="M4869" s="2"/>
      <c r="N4869" s="650"/>
      <c r="O4869" s="650"/>
      <c r="P4869" s="651"/>
      <c r="Q4869" s="651"/>
      <c r="R4869" s="651"/>
      <c r="S4869" s="651"/>
    </row>
    <row r="4870" spans="12:19" ht="15.75" customHeight="1" x14ac:dyDescent="0.35">
      <c r="L4870" s="2"/>
      <c r="M4870" s="2"/>
      <c r="N4870" s="650"/>
      <c r="O4870" s="650"/>
      <c r="P4870" s="651"/>
      <c r="Q4870" s="651"/>
      <c r="R4870" s="651"/>
      <c r="S4870" s="651"/>
    </row>
    <row r="4871" spans="12:19" ht="15.75" customHeight="1" x14ac:dyDescent="0.35">
      <c r="L4871" s="2"/>
      <c r="M4871" s="2"/>
      <c r="N4871" s="650"/>
      <c r="O4871" s="650"/>
      <c r="P4871" s="651"/>
      <c r="Q4871" s="651"/>
      <c r="R4871" s="651"/>
      <c r="S4871" s="651"/>
    </row>
    <row r="4872" spans="12:19" ht="15.75" customHeight="1" x14ac:dyDescent="0.35">
      <c r="L4872" s="2"/>
      <c r="M4872" s="2"/>
      <c r="N4872" s="650"/>
      <c r="O4872" s="650"/>
      <c r="P4872" s="651"/>
      <c r="Q4872" s="651"/>
      <c r="R4872" s="651"/>
      <c r="S4872" s="651"/>
    </row>
    <row r="4873" spans="12:19" ht="15.75" customHeight="1" x14ac:dyDescent="0.35">
      <c r="L4873" s="2"/>
      <c r="M4873" s="2"/>
      <c r="N4873" s="650"/>
      <c r="O4873" s="650"/>
      <c r="P4873" s="651"/>
      <c r="Q4873" s="651"/>
      <c r="R4873" s="651"/>
      <c r="S4873" s="651"/>
    </row>
    <row r="4874" spans="12:19" ht="15.75" customHeight="1" x14ac:dyDescent="0.35">
      <c r="L4874" s="2"/>
      <c r="M4874" s="2"/>
      <c r="N4874" s="650"/>
      <c r="O4874" s="650"/>
      <c r="P4874" s="651"/>
      <c r="Q4874" s="651"/>
      <c r="R4874" s="651"/>
      <c r="S4874" s="651"/>
    </row>
    <row r="4875" spans="12:19" ht="15.75" customHeight="1" x14ac:dyDescent="0.35">
      <c r="L4875" s="2"/>
      <c r="M4875" s="2"/>
      <c r="N4875" s="650"/>
      <c r="O4875" s="650"/>
      <c r="P4875" s="651"/>
      <c r="Q4875" s="651"/>
      <c r="R4875" s="651"/>
      <c r="S4875" s="651"/>
    </row>
    <row r="4876" spans="12:19" ht="15.75" customHeight="1" x14ac:dyDescent="0.35">
      <c r="L4876" s="2"/>
      <c r="M4876" s="2"/>
      <c r="N4876" s="650"/>
      <c r="O4876" s="650"/>
      <c r="P4876" s="651"/>
      <c r="Q4876" s="651"/>
      <c r="R4876" s="651"/>
      <c r="S4876" s="651"/>
    </row>
    <row r="4877" spans="12:19" ht="15.75" customHeight="1" x14ac:dyDescent="0.35">
      <c r="L4877" s="2"/>
      <c r="M4877" s="2"/>
      <c r="N4877" s="650"/>
      <c r="O4877" s="650"/>
      <c r="P4877" s="651"/>
      <c r="Q4877" s="651"/>
      <c r="R4877" s="651"/>
      <c r="S4877" s="651"/>
    </row>
    <row r="4878" spans="12:19" ht="15.75" customHeight="1" x14ac:dyDescent="0.35">
      <c r="L4878" s="2"/>
      <c r="M4878" s="2"/>
      <c r="N4878" s="650"/>
      <c r="O4878" s="650"/>
      <c r="P4878" s="651"/>
      <c r="Q4878" s="651"/>
      <c r="R4878" s="651"/>
      <c r="S4878" s="651"/>
    </row>
    <row r="4879" spans="12:19" ht="15.75" customHeight="1" x14ac:dyDescent="0.35">
      <c r="L4879" s="2"/>
      <c r="M4879" s="2"/>
      <c r="N4879" s="650"/>
      <c r="O4879" s="650"/>
      <c r="P4879" s="651"/>
      <c r="Q4879" s="651"/>
      <c r="R4879" s="651"/>
      <c r="S4879" s="651"/>
    </row>
    <row r="4880" spans="12:19" ht="15.75" customHeight="1" x14ac:dyDescent="0.35">
      <c r="L4880" s="2"/>
      <c r="M4880" s="2"/>
      <c r="N4880" s="650"/>
      <c r="O4880" s="650"/>
      <c r="P4880" s="651"/>
      <c r="Q4880" s="651"/>
      <c r="R4880" s="651"/>
      <c r="S4880" s="651"/>
    </row>
    <row r="4881" spans="12:19" ht="15.75" customHeight="1" x14ac:dyDescent="0.35">
      <c r="L4881" s="2"/>
      <c r="M4881" s="2"/>
      <c r="N4881" s="650"/>
      <c r="O4881" s="650"/>
      <c r="P4881" s="651"/>
      <c r="Q4881" s="651"/>
      <c r="R4881" s="651"/>
      <c r="S4881" s="651"/>
    </row>
    <row r="4882" spans="12:19" ht="15.75" customHeight="1" x14ac:dyDescent="0.35">
      <c r="L4882" s="2"/>
      <c r="M4882" s="2"/>
      <c r="N4882" s="650"/>
      <c r="O4882" s="650"/>
      <c r="P4882" s="651"/>
      <c r="Q4882" s="651"/>
      <c r="R4882" s="651"/>
      <c r="S4882" s="651"/>
    </row>
    <row r="4883" spans="12:19" ht="15.75" customHeight="1" x14ac:dyDescent="0.35">
      <c r="L4883" s="2"/>
      <c r="M4883" s="2"/>
      <c r="N4883" s="650"/>
      <c r="O4883" s="650"/>
      <c r="P4883" s="651"/>
      <c r="Q4883" s="651"/>
      <c r="R4883" s="651"/>
      <c r="S4883" s="651"/>
    </row>
    <row r="4884" spans="12:19" ht="15.75" customHeight="1" x14ac:dyDescent="0.35">
      <c r="L4884" s="2"/>
      <c r="M4884" s="2"/>
      <c r="N4884" s="650"/>
      <c r="O4884" s="650"/>
      <c r="P4884" s="651"/>
      <c r="Q4884" s="651"/>
      <c r="R4884" s="651"/>
      <c r="S4884" s="651"/>
    </row>
    <row r="4885" spans="12:19" ht="15.75" customHeight="1" x14ac:dyDescent="0.35">
      <c r="L4885" s="2"/>
      <c r="M4885" s="2"/>
      <c r="N4885" s="650"/>
      <c r="O4885" s="650"/>
      <c r="P4885" s="651"/>
      <c r="Q4885" s="651"/>
      <c r="R4885" s="651"/>
      <c r="S4885" s="651"/>
    </row>
    <row r="4886" spans="12:19" ht="15.75" customHeight="1" x14ac:dyDescent="0.35">
      <c r="L4886" s="2"/>
      <c r="M4886" s="2"/>
      <c r="N4886" s="650"/>
      <c r="O4886" s="650"/>
      <c r="P4886" s="651"/>
      <c r="Q4886" s="651"/>
      <c r="R4886" s="651"/>
      <c r="S4886" s="651"/>
    </row>
    <row r="4887" spans="12:19" ht="15.75" customHeight="1" x14ac:dyDescent="0.35">
      <c r="L4887" s="2"/>
      <c r="M4887" s="2"/>
      <c r="N4887" s="650"/>
      <c r="O4887" s="650"/>
      <c r="P4887" s="651"/>
      <c r="Q4887" s="651"/>
      <c r="R4887" s="651"/>
      <c r="S4887" s="651"/>
    </row>
    <row r="4888" spans="12:19" ht="15.75" customHeight="1" x14ac:dyDescent="0.35">
      <c r="L4888" s="2"/>
      <c r="M4888" s="2"/>
      <c r="N4888" s="650"/>
      <c r="O4888" s="650"/>
      <c r="P4888" s="651"/>
      <c r="Q4888" s="651"/>
      <c r="R4888" s="651"/>
      <c r="S4888" s="651"/>
    </row>
    <row r="4889" spans="12:19" ht="15.75" customHeight="1" x14ac:dyDescent="0.35">
      <c r="L4889" s="2"/>
      <c r="M4889" s="2"/>
      <c r="N4889" s="650"/>
      <c r="O4889" s="650"/>
      <c r="P4889" s="651"/>
      <c r="Q4889" s="651"/>
      <c r="R4889" s="651"/>
      <c r="S4889" s="651"/>
    </row>
    <row r="4890" spans="12:19" ht="15.75" customHeight="1" x14ac:dyDescent="0.35">
      <c r="L4890" s="2"/>
      <c r="M4890" s="2"/>
      <c r="N4890" s="650"/>
      <c r="O4890" s="650"/>
      <c r="P4890" s="651"/>
      <c r="Q4890" s="651"/>
      <c r="R4890" s="651"/>
      <c r="S4890" s="651"/>
    </row>
    <row r="4891" spans="12:19" ht="15.75" customHeight="1" x14ac:dyDescent="0.35">
      <c r="L4891" s="2"/>
      <c r="M4891" s="2"/>
      <c r="N4891" s="650"/>
      <c r="O4891" s="650"/>
      <c r="P4891" s="651"/>
      <c r="Q4891" s="651"/>
      <c r="R4891" s="651"/>
      <c r="S4891" s="651"/>
    </row>
    <row r="4892" spans="12:19" ht="15.75" customHeight="1" x14ac:dyDescent="0.35">
      <c r="L4892" s="2"/>
      <c r="M4892" s="2"/>
      <c r="N4892" s="650"/>
      <c r="O4892" s="650"/>
      <c r="P4892" s="651"/>
      <c r="Q4892" s="651"/>
      <c r="R4892" s="651"/>
      <c r="S4892" s="651"/>
    </row>
    <row r="4893" spans="12:19" ht="15.75" customHeight="1" x14ac:dyDescent="0.35">
      <c r="L4893" s="2"/>
      <c r="M4893" s="2"/>
      <c r="N4893" s="650"/>
      <c r="O4893" s="650"/>
      <c r="P4893" s="651"/>
      <c r="Q4893" s="651"/>
      <c r="R4893" s="651"/>
      <c r="S4893" s="651"/>
    </row>
    <row r="4894" spans="12:19" ht="15.75" customHeight="1" x14ac:dyDescent="0.35">
      <c r="L4894" s="2"/>
      <c r="M4894" s="2"/>
      <c r="N4894" s="650"/>
      <c r="O4894" s="650"/>
      <c r="P4894" s="651"/>
      <c r="Q4894" s="651"/>
      <c r="R4894" s="651"/>
      <c r="S4894" s="651"/>
    </row>
    <row r="4895" spans="12:19" ht="15.75" customHeight="1" x14ac:dyDescent="0.35">
      <c r="L4895" s="2"/>
      <c r="M4895" s="2"/>
      <c r="N4895" s="650"/>
      <c r="O4895" s="650"/>
      <c r="P4895" s="651"/>
      <c r="Q4895" s="651"/>
      <c r="R4895" s="651"/>
      <c r="S4895" s="651"/>
    </row>
    <row r="4896" spans="12:19" ht="15.75" customHeight="1" x14ac:dyDescent="0.35">
      <c r="L4896" s="2"/>
      <c r="M4896" s="2"/>
      <c r="N4896" s="650"/>
      <c r="O4896" s="650"/>
      <c r="P4896" s="651"/>
      <c r="Q4896" s="651"/>
      <c r="R4896" s="651"/>
      <c r="S4896" s="651"/>
    </row>
    <row r="4897" spans="12:19" ht="15.75" customHeight="1" x14ac:dyDescent="0.35">
      <c r="L4897" s="2"/>
      <c r="M4897" s="2"/>
      <c r="N4897" s="650"/>
      <c r="O4897" s="650"/>
      <c r="P4897" s="651"/>
      <c r="Q4897" s="651"/>
      <c r="R4897" s="651"/>
      <c r="S4897" s="651"/>
    </row>
    <row r="4898" spans="12:19" ht="15.75" customHeight="1" x14ac:dyDescent="0.35">
      <c r="L4898" s="2"/>
      <c r="M4898" s="2"/>
      <c r="N4898" s="650"/>
      <c r="O4898" s="650"/>
      <c r="P4898" s="651"/>
      <c r="Q4898" s="651"/>
      <c r="R4898" s="651"/>
      <c r="S4898" s="651"/>
    </row>
    <row r="4899" spans="12:19" ht="15.75" customHeight="1" x14ac:dyDescent="0.35">
      <c r="L4899" s="2"/>
      <c r="M4899" s="2"/>
      <c r="N4899" s="650"/>
      <c r="O4899" s="650"/>
      <c r="P4899" s="651"/>
      <c r="Q4899" s="651"/>
      <c r="R4899" s="651"/>
      <c r="S4899" s="651"/>
    </row>
    <row r="4900" spans="12:19" ht="15.75" customHeight="1" x14ac:dyDescent="0.35">
      <c r="L4900" s="2"/>
      <c r="M4900" s="2"/>
      <c r="N4900" s="650"/>
      <c r="O4900" s="650"/>
      <c r="P4900" s="651"/>
      <c r="Q4900" s="651"/>
      <c r="R4900" s="651"/>
      <c r="S4900" s="651"/>
    </row>
    <row r="4901" spans="12:19" ht="15.75" customHeight="1" x14ac:dyDescent="0.35">
      <c r="L4901" s="2"/>
      <c r="M4901" s="2"/>
      <c r="N4901" s="650"/>
      <c r="O4901" s="650"/>
      <c r="P4901" s="651"/>
      <c r="Q4901" s="651"/>
      <c r="R4901" s="651"/>
      <c r="S4901" s="651"/>
    </row>
    <row r="4902" spans="12:19" ht="15.75" customHeight="1" x14ac:dyDescent="0.35">
      <c r="L4902" s="2"/>
      <c r="M4902" s="2"/>
      <c r="N4902" s="650"/>
      <c r="O4902" s="650"/>
      <c r="P4902" s="651"/>
      <c r="Q4902" s="651"/>
      <c r="R4902" s="651"/>
      <c r="S4902" s="651"/>
    </row>
    <row r="4903" spans="12:19" ht="15.75" customHeight="1" x14ac:dyDescent="0.35">
      <c r="L4903" s="2"/>
      <c r="M4903" s="2"/>
      <c r="N4903" s="650"/>
      <c r="O4903" s="650"/>
      <c r="P4903" s="651"/>
      <c r="Q4903" s="651"/>
      <c r="R4903" s="651"/>
      <c r="S4903" s="651"/>
    </row>
    <row r="4904" spans="12:19" ht="15.75" customHeight="1" x14ac:dyDescent="0.35">
      <c r="L4904" s="2"/>
      <c r="M4904" s="2"/>
      <c r="N4904" s="650"/>
      <c r="O4904" s="650"/>
      <c r="P4904" s="651"/>
      <c r="Q4904" s="651"/>
      <c r="R4904" s="651"/>
      <c r="S4904" s="651"/>
    </row>
    <row r="4905" spans="12:19" ht="15.75" customHeight="1" x14ac:dyDescent="0.35">
      <c r="L4905" s="2"/>
      <c r="M4905" s="2"/>
      <c r="N4905" s="650"/>
      <c r="O4905" s="650"/>
      <c r="P4905" s="651"/>
      <c r="Q4905" s="651"/>
      <c r="R4905" s="651"/>
      <c r="S4905" s="651"/>
    </row>
    <row r="4906" spans="12:19" ht="15.75" customHeight="1" x14ac:dyDescent="0.35">
      <c r="L4906" s="2"/>
      <c r="M4906" s="2"/>
      <c r="N4906" s="650"/>
      <c r="O4906" s="650"/>
      <c r="P4906" s="651"/>
      <c r="Q4906" s="651"/>
      <c r="R4906" s="651"/>
      <c r="S4906" s="651"/>
    </row>
    <row r="4907" spans="12:19" ht="15.75" customHeight="1" x14ac:dyDescent="0.35">
      <c r="L4907" s="2"/>
      <c r="M4907" s="2"/>
      <c r="N4907" s="650"/>
      <c r="O4907" s="650"/>
      <c r="P4907" s="651"/>
      <c r="Q4907" s="651"/>
      <c r="R4907" s="651"/>
      <c r="S4907" s="651"/>
    </row>
    <row r="4908" spans="12:19" ht="15.75" customHeight="1" x14ac:dyDescent="0.35">
      <c r="L4908" s="2"/>
      <c r="M4908" s="2"/>
      <c r="N4908" s="650"/>
      <c r="O4908" s="650"/>
      <c r="P4908" s="651"/>
      <c r="Q4908" s="651"/>
      <c r="R4908" s="651"/>
      <c r="S4908" s="651"/>
    </row>
    <row r="4909" spans="12:19" ht="15.75" customHeight="1" x14ac:dyDescent="0.35">
      <c r="L4909" s="2"/>
      <c r="M4909" s="2"/>
      <c r="N4909" s="650"/>
      <c r="O4909" s="650"/>
      <c r="P4909" s="651"/>
      <c r="Q4909" s="651"/>
      <c r="R4909" s="651"/>
      <c r="S4909" s="651"/>
    </row>
    <row r="4910" spans="12:19" ht="15.75" customHeight="1" x14ac:dyDescent="0.35">
      <c r="L4910" s="2"/>
      <c r="M4910" s="2"/>
      <c r="N4910" s="650"/>
      <c r="O4910" s="650"/>
      <c r="P4910" s="651"/>
      <c r="Q4910" s="651"/>
      <c r="R4910" s="651"/>
      <c r="S4910" s="651"/>
    </row>
    <row r="4911" spans="12:19" ht="15.75" customHeight="1" x14ac:dyDescent="0.35">
      <c r="L4911" s="2"/>
      <c r="M4911" s="2"/>
      <c r="N4911" s="650"/>
      <c r="O4911" s="650"/>
      <c r="P4911" s="651"/>
      <c r="Q4911" s="651"/>
      <c r="R4911" s="651"/>
      <c r="S4911" s="651"/>
    </row>
    <row r="4912" spans="12:19" ht="15.75" customHeight="1" x14ac:dyDescent="0.35">
      <c r="L4912" s="2"/>
      <c r="M4912" s="2"/>
      <c r="N4912" s="650"/>
      <c r="O4912" s="650"/>
      <c r="P4912" s="651"/>
      <c r="Q4912" s="651"/>
      <c r="R4912" s="651"/>
      <c r="S4912" s="651"/>
    </row>
    <row r="4913" spans="12:19" ht="15.75" customHeight="1" x14ac:dyDescent="0.35">
      <c r="L4913" s="2"/>
      <c r="M4913" s="2"/>
      <c r="N4913" s="650"/>
      <c r="O4913" s="650"/>
      <c r="P4913" s="651"/>
      <c r="Q4913" s="651"/>
      <c r="R4913" s="651"/>
      <c r="S4913" s="651"/>
    </row>
    <row r="4914" spans="12:19" ht="15.75" customHeight="1" x14ac:dyDescent="0.35">
      <c r="L4914" s="2"/>
      <c r="M4914" s="2"/>
      <c r="N4914" s="650"/>
      <c r="O4914" s="650"/>
      <c r="P4914" s="651"/>
      <c r="Q4914" s="651"/>
      <c r="R4914" s="651"/>
      <c r="S4914" s="651"/>
    </row>
    <row r="4915" spans="12:19" ht="15.75" customHeight="1" x14ac:dyDescent="0.35">
      <c r="L4915" s="2"/>
      <c r="M4915" s="2"/>
      <c r="N4915" s="650"/>
      <c r="O4915" s="650"/>
      <c r="P4915" s="651"/>
      <c r="Q4915" s="651"/>
      <c r="R4915" s="651"/>
      <c r="S4915" s="651"/>
    </row>
    <row r="4916" spans="12:19" ht="15.75" customHeight="1" x14ac:dyDescent="0.35">
      <c r="L4916" s="2"/>
      <c r="M4916" s="2"/>
      <c r="N4916" s="650"/>
      <c r="O4916" s="650"/>
      <c r="P4916" s="651"/>
      <c r="Q4916" s="651"/>
      <c r="R4916" s="651"/>
      <c r="S4916" s="651"/>
    </row>
    <row r="4917" spans="12:19" ht="15.75" customHeight="1" x14ac:dyDescent="0.35">
      <c r="L4917" s="2"/>
      <c r="M4917" s="2"/>
      <c r="N4917" s="650"/>
      <c r="O4917" s="650"/>
      <c r="P4917" s="651"/>
      <c r="Q4917" s="651"/>
      <c r="R4917" s="651"/>
      <c r="S4917" s="651"/>
    </row>
    <row r="4918" spans="12:19" ht="15.75" customHeight="1" x14ac:dyDescent="0.35">
      <c r="L4918" s="2"/>
      <c r="M4918" s="2"/>
      <c r="N4918" s="650"/>
      <c r="O4918" s="650"/>
      <c r="P4918" s="651"/>
      <c r="Q4918" s="651"/>
      <c r="R4918" s="651"/>
      <c r="S4918" s="651"/>
    </row>
    <row r="4919" spans="12:19" ht="15.75" customHeight="1" x14ac:dyDescent="0.35">
      <c r="L4919" s="2"/>
      <c r="M4919" s="2"/>
      <c r="N4919" s="650"/>
      <c r="O4919" s="650"/>
      <c r="P4919" s="651"/>
      <c r="Q4919" s="651"/>
      <c r="R4919" s="651"/>
      <c r="S4919" s="651"/>
    </row>
    <row r="4920" spans="12:19" ht="15.75" customHeight="1" x14ac:dyDescent="0.35">
      <c r="L4920" s="2"/>
      <c r="M4920" s="2"/>
      <c r="N4920" s="650"/>
      <c r="O4920" s="650"/>
      <c r="P4920" s="651"/>
      <c r="Q4920" s="651"/>
      <c r="R4920" s="651"/>
      <c r="S4920" s="651"/>
    </row>
    <row r="4921" spans="12:19" ht="15.75" customHeight="1" x14ac:dyDescent="0.35">
      <c r="L4921" s="2"/>
      <c r="M4921" s="2"/>
      <c r="N4921" s="650"/>
      <c r="O4921" s="650"/>
      <c r="P4921" s="651"/>
      <c r="Q4921" s="651"/>
      <c r="R4921" s="651"/>
      <c r="S4921" s="651"/>
    </row>
    <row r="4922" spans="12:19" ht="15.75" customHeight="1" x14ac:dyDescent="0.35">
      <c r="L4922" s="2"/>
      <c r="M4922" s="2"/>
      <c r="N4922" s="650"/>
      <c r="O4922" s="650"/>
      <c r="P4922" s="651"/>
      <c r="Q4922" s="651"/>
      <c r="R4922" s="651"/>
      <c r="S4922" s="651"/>
    </row>
    <row r="4923" spans="12:19" ht="15.75" customHeight="1" x14ac:dyDescent="0.35">
      <c r="L4923" s="2"/>
      <c r="M4923" s="2"/>
      <c r="N4923" s="650"/>
      <c r="O4923" s="650"/>
      <c r="P4923" s="651"/>
      <c r="Q4923" s="651"/>
      <c r="R4923" s="651"/>
      <c r="S4923" s="651"/>
    </row>
    <row r="4924" spans="12:19" ht="15.75" customHeight="1" x14ac:dyDescent="0.35">
      <c r="L4924" s="2"/>
      <c r="M4924" s="2"/>
      <c r="N4924" s="650"/>
      <c r="O4924" s="650"/>
      <c r="P4924" s="651"/>
      <c r="Q4924" s="651"/>
      <c r="R4924" s="651"/>
      <c r="S4924" s="651"/>
    </row>
    <row r="4925" spans="12:19" ht="15.75" customHeight="1" x14ac:dyDescent="0.35">
      <c r="L4925" s="2"/>
      <c r="M4925" s="2"/>
      <c r="N4925" s="650"/>
      <c r="O4925" s="650"/>
      <c r="P4925" s="651"/>
      <c r="Q4925" s="651"/>
      <c r="R4925" s="651"/>
      <c r="S4925" s="651"/>
    </row>
    <row r="4926" spans="12:19" ht="15.75" customHeight="1" x14ac:dyDescent="0.35">
      <c r="L4926" s="2"/>
      <c r="M4926" s="2"/>
      <c r="N4926" s="650"/>
      <c r="O4926" s="650"/>
      <c r="P4926" s="651"/>
      <c r="Q4926" s="651"/>
      <c r="R4926" s="651"/>
      <c r="S4926" s="651"/>
    </row>
    <row r="4927" spans="12:19" ht="15.75" customHeight="1" x14ac:dyDescent="0.35">
      <c r="L4927" s="2"/>
      <c r="M4927" s="2"/>
      <c r="N4927" s="650"/>
      <c r="O4927" s="650"/>
      <c r="P4927" s="651"/>
      <c r="Q4927" s="651"/>
      <c r="R4927" s="651"/>
      <c r="S4927" s="651"/>
    </row>
    <row r="4928" spans="12:19" ht="15.75" customHeight="1" x14ac:dyDescent="0.35">
      <c r="L4928" s="2"/>
      <c r="M4928" s="2"/>
      <c r="N4928" s="650"/>
      <c r="O4928" s="650"/>
      <c r="P4928" s="651"/>
      <c r="Q4928" s="651"/>
      <c r="R4928" s="651"/>
      <c r="S4928" s="651"/>
    </row>
    <row r="4929" spans="12:19" ht="15.75" customHeight="1" x14ac:dyDescent="0.35">
      <c r="L4929" s="2"/>
      <c r="M4929" s="2"/>
      <c r="N4929" s="650"/>
      <c r="O4929" s="650"/>
      <c r="P4929" s="651"/>
      <c r="Q4929" s="651"/>
      <c r="R4929" s="651"/>
      <c r="S4929" s="651"/>
    </row>
    <row r="4930" spans="12:19" ht="15.75" customHeight="1" x14ac:dyDescent="0.35">
      <c r="L4930" s="2"/>
      <c r="M4930" s="2"/>
      <c r="N4930" s="650"/>
      <c r="O4930" s="650"/>
      <c r="P4930" s="651"/>
      <c r="Q4930" s="651"/>
      <c r="R4930" s="651"/>
      <c r="S4930" s="651"/>
    </row>
    <row r="4931" spans="12:19" ht="15.75" customHeight="1" x14ac:dyDescent="0.35">
      <c r="L4931" s="2"/>
      <c r="M4931" s="2"/>
      <c r="N4931" s="650"/>
      <c r="O4931" s="650"/>
      <c r="P4931" s="651"/>
      <c r="Q4931" s="651"/>
      <c r="R4931" s="651"/>
      <c r="S4931" s="651"/>
    </row>
    <row r="4932" spans="12:19" ht="15.75" customHeight="1" x14ac:dyDescent="0.35">
      <c r="L4932" s="2"/>
      <c r="M4932" s="2"/>
      <c r="N4932" s="650"/>
      <c r="O4932" s="650"/>
      <c r="P4932" s="651"/>
      <c r="Q4932" s="651"/>
      <c r="R4932" s="651"/>
      <c r="S4932" s="651"/>
    </row>
    <row r="4933" spans="12:19" ht="15.75" customHeight="1" x14ac:dyDescent="0.35">
      <c r="L4933" s="2"/>
      <c r="M4933" s="2"/>
      <c r="N4933" s="650"/>
      <c r="O4933" s="650"/>
      <c r="P4933" s="651"/>
      <c r="Q4933" s="651"/>
      <c r="R4933" s="651"/>
      <c r="S4933" s="651"/>
    </row>
    <row r="4934" spans="12:19" ht="15.75" customHeight="1" x14ac:dyDescent="0.35">
      <c r="L4934" s="2"/>
      <c r="M4934" s="2"/>
      <c r="N4934" s="650"/>
      <c r="O4934" s="650"/>
      <c r="P4934" s="651"/>
      <c r="Q4934" s="651"/>
      <c r="R4934" s="651"/>
      <c r="S4934" s="651"/>
    </row>
    <row r="4935" spans="12:19" ht="15.75" customHeight="1" x14ac:dyDescent="0.35">
      <c r="L4935" s="2"/>
      <c r="M4935" s="2"/>
      <c r="N4935" s="650"/>
      <c r="O4935" s="650"/>
      <c r="P4935" s="651"/>
      <c r="Q4935" s="651"/>
      <c r="R4935" s="651"/>
      <c r="S4935" s="651"/>
    </row>
    <row r="4936" spans="12:19" ht="15.75" customHeight="1" x14ac:dyDescent="0.35">
      <c r="L4936" s="2"/>
      <c r="M4936" s="2"/>
      <c r="N4936" s="650"/>
      <c r="O4936" s="650"/>
      <c r="P4936" s="651"/>
      <c r="Q4936" s="651"/>
      <c r="R4936" s="651"/>
      <c r="S4936" s="651"/>
    </row>
    <row r="4937" spans="12:19" ht="15.75" customHeight="1" x14ac:dyDescent="0.35">
      <c r="L4937" s="2"/>
      <c r="M4937" s="2"/>
      <c r="N4937" s="650"/>
      <c r="O4937" s="650"/>
      <c r="P4937" s="651"/>
      <c r="Q4937" s="651"/>
      <c r="R4937" s="651"/>
      <c r="S4937" s="651"/>
    </row>
    <row r="4938" spans="12:19" ht="15.75" customHeight="1" x14ac:dyDescent="0.35">
      <c r="L4938" s="2"/>
      <c r="M4938" s="2"/>
      <c r="N4938" s="650"/>
      <c r="O4938" s="650"/>
      <c r="P4938" s="651"/>
      <c r="Q4938" s="651"/>
      <c r="R4938" s="651"/>
      <c r="S4938" s="651"/>
    </row>
    <row r="4939" spans="12:19" ht="15.75" customHeight="1" x14ac:dyDescent="0.35">
      <c r="L4939" s="2"/>
      <c r="M4939" s="2"/>
      <c r="N4939" s="650"/>
      <c r="O4939" s="650"/>
      <c r="P4939" s="651"/>
      <c r="Q4939" s="651"/>
      <c r="R4939" s="651"/>
      <c r="S4939" s="651"/>
    </row>
    <row r="4940" spans="12:19" ht="15.75" customHeight="1" x14ac:dyDescent="0.35">
      <c r="L4940" s="2"/>
      <c r="M4940" s="2"/>
      <c r="N4940" s="650"/>
      <c r="O4940" s="650"/>
      <c r="P4940" s="651"/>
      <c r="Q4940" s="651"/>
      <c r="R4940" s="651"/>
      <c r="S4940" s="651"/>
    </row>
    <row r="4941" spans="12:19" ht="15.75" customHeight="1" x14ac:dyDescent="0.35">
      <c r="L4941" s="2"/>
      <c r="M4941" s="2"/>
      <c r="N4941" s="650"/>
      <c r="O4941" s="650"/>
      <c r="P4941" s="651"/>
      <c r="Q4941" s="651"/>
      <c r="R4941" s="651"/>
      <c r="S4941" s="651"/>
    </row>
    <row r="4942" spans="12:19" ht="15.75" customHeight="1" x14ac:dyDescent="0.35">
      <c r="L4942" s="2"/>
      <c r="M4942" s="2"/>
      <c r="N4942" s="650"/>
      <c r="O4942" s="650"/>
      <c r="P4942" s="651"/>
      <c r="Q4942" s="651"/>
      <c r="R4942" s="651"/>
      <c r="S4942" s="651"/>
    </row>
    <row r="4943" spans="12:19" ht="15.75" customHeight="1" x14ac:dyDescent="0.35">
      <c r="L4943" s="2"/>
      <c r="M4943" s="2"/>
      <c r="N4943" s="650"/>
      <c r="O4943" s="650"/>
      <c r="P4943" s="651"/>
      <c r="Q4943" s="651"/>
      <c r="R4943" s="651"/>
      <c r="S4943" s="651"/>
    </row>
    <row r="4944" spans="12:19" ht="15.75" customHeight="1" x14ac:dyDescent="0.35">
      <c r="L4944" s="2"/>
      <c r="M4944" s="2"/>
      <c r="N4944" s="650"/>
      <c r="O4944" s="650"/>
      <c r="P4944" s="651"/>
      <c r="Q4944" s="651"/>
      <c r="R4944" s="651"/>
      <c r="S4944" s="651"/>
    </row>
    <row r="4945" spans="12:19" ht="15.75" customHeight="1" x14ac:dyDescent="0.35">
      <c r="L4945" s="2"/>
      <c r="M4945" s="2"/>
      <c r="N4945" s="650"/>
      <c r="O4945" s="650"/>
      <c r="P4945" s="651"/>
      <c r="Q4945" s="651"/>
      <c r="R4945" s="651"/>
      <c r="S4945" s="651"/>
    </row>
    <row r="4946" spans="12:19" ht="15.75" customHeight="1" x14ac:dyDescent="0.35">
      <c r="L4946" s="2"/>
      <c r="M4946" s="2"/>
      <c r="N4946" s="650"/>
      <c r="O4946" s="650"/>
      <c r="P4946" s="651"/>
      <c r="Q4946" s="651"/>
      <c r="R4946" s="651"/>
      <c r="S4946" s="651"/>
    </row>
    <row r="4947" spans="12:19" ht="15.75" customHeight="1" x14ac:dyDescent="0.35">
      <c r="L4947" s="2"/>
      <c r="M4947" s="2"/>
      <c r="N4947" s="650"/>
      <c r="O4947" s="650"/>
      <c r="P4947" s="651"/>
      <c r="Q4947" s="651"/>
      <c r="R4947" s="651"/>
      <c r="S4947" s="651"/>
    </row>
    <row r="4948" spans="12:19" ht="15.75" customHeight="1" x14ac:dyDescent="0.35">
      <c r="L4948" s="2"/>
      <c r="M4948" s="2"/>
      <c r="N4948" s="650"/>
      <c r="O4948" s="650"/>
      <c r="P4948" s="651"/>
      <c r="Q4948" s="651"/>
      <c r="R4948" s="651"/>
      <c r="S4948" s="651"/>
    </row>
    <row r="4949" spans="12:19" ht="15.75" customHeight="1" x14ac:dyDescent="0.35">
      <c r="L4949" s="2"/>
      <c r="M4949" s="2"/>
      <c r="N4949" s="650"/>
      <c r="O4949" s="650"/>
      <c r="P4949" s="651"/>
      <c r="Q4949" s="651"/>
      <c r="R4949" s="651"/>
      <c r="S4949" s="651"/>
    </row>
    <row r="4950" spans="12:19" ht="15.75" customHeight="1" x14ac:dyDescent="0.35">
      <c r="L4950" s="2"/>
      <c r="M4950" s="2"/>
      <c r="N4950" s="650"/>
      <c r="O4950" s="650"/>
      <c r="P4950" s="651"/>
      <c r="Q4950" s="651"/>
      <c r="R4950" s="651"/>
      <c r="S4950" s="651"/>
    </row>
    <row r="4951" spans="12:19" ht="15.75" customHeight="1" x14ac:dyDescent="0.35">
      <c r="L4951" s="2"/>
      <c r="M4951" s="2"/>
      <c r="N4951" s="650"/>
      <c r="O4951" s="650"/>
      <c r="P4951" s="651"/>
      <c r="Q4951" s="651"/>
      <c r="R4951" s="651"/>
      <c r="S4951" s="651"/>
    </row>
    <row r="4952" spans="12:19" ht="15.75" customHeight="1" x14ac:dyDescent="0.35">
      <c r="L4952" s="2"/>
      <c r="M4952" s="2"/>
      <c r="N4952" s="650"/>
      <c r="O4952" s="650"/>
      <c r="P4952" s="651"/>
      <c r="Q4952" s="651"/>
      <c r="R4952" s="651"/>
      <c r="S4952" s="651"/>
    </row>
    <row r="4953" spans="12:19" ht="15.75" customHeight="1" x14ac:dyDescent="0.35">
      <c r="L4953" s="2"/>
      <c r="M4953" s="2"/>
      <c r="N4953" s="650"/>
      <c r="O4953" s="650"/>
      <c r="P4953" s="651"/>
      <c r="Q4953" s="651"/>
      <c r="R4953" s="651"/>
      <c r="S4953" s="651"/>
    </row>
    <row r="4954" spans="12:19" ht="15.75" customHeight="1" x14ac:dyDescent="0.35">
      <c r="L4954" s="2"/>
      <c r="M4954" s="2"/>
      <c r="N4954" s="650"/>
      <c r="O4954" s="650"/>
      <c r="P4954" s="651"/>
      <c r="Q4954" s="651"/>
      <c r="R4954" s="651"/>
      <c r="S4954" s="651"/>
    </row>
    <row r="4955" spans="12:19" ht="15.75" customHeight="1" x14ac:dyDescent="0.35">
      <c r="L4955" s="2"/>
      <c r="M4955" s="2"/>
      <c r="N4955" s="650"/>
      <c r="O4955" s="650"/>
      <c r="P4955" s="651"/>
      <c r="Q4955" s="651"/>
      <c r="R4955" s="651"/>
      <c r="S4955" s="651"/>
    </row>
    <row r="4956" spans="12:19" ht="15.75" customHeight="1" x14ac:dyDescent="0.35">
      <c r="L4956" s="2"/>
      <c r="M4956" s="2"/>
      <c r="N4956" s="650"/>
      <c r="O4956" s="650"/>
      <c r="P4956" s="651"/>
      <c r="Q4956" s="651"/>
      <c r="R4956" s="651"/>
      <c r="S4956" s="651"/>
    </row>
    <row r="4957" spans="12:19" ht="15.75" customHeight="1" x14ac:dyDescent="0.35">
      <c r="L4957" s="2"/>
      <c r="M4957" s="2"/>
      <c r="N4957" s="650"/>
      <c r="O4957" s="650"/>
      <c r="P4957" s="651"/>
      <c r="Q4957" s="651"/>
      <c r="R4957" s="651"/>
      <c r="S4957" s="651"/>
    </row>
    <row r="4958" spans="12:19" ht="15.75" customHeight="1" x14ac:dyDescent="0.35">
      <c r="L4958" s="2"/>
      <c r="M4958" s="2"/>
      <c r="N4958" s="650"/>
      <c r="O4958" s="650"/>
      <c r="P4958" s="651"/>
      <c r="Q4958" s="651"/>
      <c r="R4958" s="651"/>
      <c r="S4958" s="651"/>
    </row>
    <row r="4959" spans="12:19" ht="15.75" customHeight="1" x14ac:dyDescent="0.35">
      <c r="L4959" s="2"/>
      <c r="M4959" s="2"/>
      <c r="N4959" s="650"/>
      <c r="O4959" s="650"/>
      <c r="P4959" s="651"/>
      <c r="Q4959" s="651"/>
      <c r="R4959" s="651"/>
      <c r="S4959" s="651"/>
    </row>
    <row r="4960" spans="12:19" ht="15.75" customHeight="1" x14ac:dyDescent="0.35">
      <c r="L4960" s="2"/>
      <c r="M4960" s="2"/>
      <c r="N4960" s="650"/>
      <c r="O4960" s="650"/>
      <c r="P4960" s="651"/>
      <c r="Q4960" s="651"/>
      <c r="R4960" s="651"/>
      <c r="S4960" s="651"/>
    </row>
    <row r="4961" spans="12:19" ht="15.75" customHeight="1" x14ac:dyDescent="0.35">
      <c r="L4961" s="2"/>
      <c r="M4961" s="2"/>
      <c r="N4961" s="650"/>
      <c r="O4961" s="650"/>
      <c r="P4961" s="651"/>
      <c r="Q4961" s="651"/>
      <c r="R4961" s="651"/>
      <c r="S4961" s="651"/>
    </row>
    <row r="4962" spans="12:19" ht="15.75" customHeight="1" x14ac:dyDescent="0.35">
      <c r="L4962" s="2"/>
      <c r="M4962" s="2"/>
      <c r="N4962" s="650"/>
      <c r="O4962" s="650"/>
      <c r="P4962" s="651"/>
      <c r="Q4962" s="651"/>
      <c r="R4962" s="651"/>
      <c r="S4962" s="651"/>
    </row>
    <row r="4963" spans="12:19" ht="15.75" customHeight="1" x14ac:dyDescent="0.35">
      <c r="L4963" s="2"/>
      <c r="M4963" s="2"/>
      <c r="N4963" s="650"/>
      <c r="O4963" s="650"/>
      <c r="P4963" s="651"/>
      <c r="Q4963" s="651"/>
      <c r="R4963" s="651"/>
      <c r="S4963" s="651"/>
    </row>
    <row r="4964" spans="12:19" ht="15.75" customHeight="1" x14ac:dyDescent="0.35">
      <c r="L4964" s="2"/>
      <c r="M4964" s="2"/>
      <c r="N4964" s="650"/>
      <c r="O4964" s="650"/>
      <c r="P4964" s="651"/>
      <c r="Q4964" s="651"/>
      <c r="R4964" s="651"/>
      <c r="S4964" s="651"/>
    </row>
    <row r="4965" spans="12:19" ht="15.75" customHeight="1" x14ac:dyDescent="0.35">
      <c r="L4965" s="2"/>
      <c r="M4965" s="2"/>
      <c r="N4965" s="650"/>
      <c r="O4965" s="650"/>
      <c r="P4965" s="651"/>
      <c r="Q4965" s="651"/>
      <c r="R4965" s="651"/>
      <c r="S4965" s="651"/>
    </row>
    <row r="4966" spans="12:19" ht="15.75" customHeight="1" x14ac:dyDescent="0.35">
      <c r="L4966" s="2"/>
      <c r="M4966" s="2"/>
      <c r="N4966" s="650"/>
      <c r="O4966" s="650"/>
      <c r="P4966" s="651"/>
      <c r="Q4966" s="651"/>
      <c r="R4966" s="651"/>
      <c r="S4966" s="651"/>
    </row>
    <row r="4967" spans="12:19" ht="15.75" customHeight="1" x14ac:dyDescent="0.35">
      <c r="L4967" s="2"/>
      <c r="M4967" s="2"/>
      <c r="N4967" s="650"/>
      <c r="O4967" s="650"/>
      <c r="P4967" s="651"/>
      <c r="Q4967" s="651"/>
      <c r="R4967" s="651"/>
      <c r="S4967" s="651"/>
    </row>
    <row r="4968" spans="12:19" ht="15.75" customHeight="1" x14ac:dyDescent="0.35">
      <c r="L4968" s="2"/>
      <c r="M4968" s="2"/>
      <c r="N4968" s="650"/>
      <c r="O4968" s="650"/>
      <c r="P4968" s="651"/>
      <c r="Q4968" s="651"/>
      <c r="R4968" s="651"/>
      <c r="S4968" s="651"/>
    </row>
    <row r="4969" spans="12:19" ht="15.75" customHeight="1" x14ac:dyDescent="0.35">
      <c r="L4969" s="2"/>
      <c r="M4969" s="2"/>
      <c r="N4969" s="650"/>
      <c r="O4969" s="650"/>
      <c r="P4969" s="651"/>
      <c r="Q4969" s="651"/>
      <c r="R4969" s="651"/>
      <c r="S4969" s="651"/>
    </row>
    <row r="4970" spans="12:19" ht="15.75" customHeight="1" x14ac:dyDescent="0.35">
      <c r="L4970" s="2"/>
      <c r="M4970" s="2"/>
      <c r="N4970" s="650"/>
      <c r="O4970" s="650"/>
      <c r="P4970" s="651"/>
      <c r="Q4970" s="651"/>
      <c r="R4970" s="651"/>
      <c r="S4970" s="651"/>
    </row>
    <row r="4971" spans="12:19" ht="15.75" customHeight="1" x14ac:dyDescent="0.35">
      <c r="L4971" s="2"/>
      <c r="M4971" s="2"/>
      <c r="N4971" s="650"/>
      <c r="O4971" s="650"/>
      <c r="P4971" s="651"/>
      <c r="Q4971" s="651"/>
      <c r="R4971" s="651"/>
      <c r="S4971" s="651"/>
    </row>
    <row r="4972" spans="12:19" ht="15.75" customHeight="1" x14ac:dyDescent="0.35">
      <c r="L4972" s="2"/>
      <c r="M4972" s="2"/>
      <c r="N4972" s="650"/>
      <c r="O4972" s="650"/>
      <c r="P4972" s="651"/>
      <c r="Q4972" s="651"/>
      <c r="R4972" s="651"/>
      <c r="S4972" s="651"/>
    </row>
    <row r="4973" spans="12:19" ht="15.75" customHeight="1" x14ac:dyDescent="0.35">
      <c r="L4973" s="2"/>
      <c r="M4973" s="2"/>
      <c r="N4973" s="650"/>
      <c r="O4973" s="650"/>
      <c r="P4973" s="651"/>
      <c r="Q4973" s="651"/>
      <c r="R4973" s="651"/>
      <c r="S4973" s="651"/>
    </row>
    <row r="4974" spans="12:19" ht="15.75" customHeight="1" x14ac:dyDescent="0.35">
      <c r="L4974" s="2"/>
      <c r="M4974" s="2"/>
      <c r="N4974" s="650"/>
      <c r="O4974" s="650"/>
      <c r="P4974" s="651"/>
      <c r="Q4974" s="651"/>
      <c r="R4974" s="651"/>
      <c r="S4974" s="651"/>
    </row>
    <row r="4975" spans="12:19" ht="15.75" customHeight="1" x14ac:dyDescent="0.35">
      <c r="L4975" s="2"/>
      <c r="M4975" s="2"/>
      <c r="N4975" s="650"/>
      <c r="O4975" s="650"/>
      <c r="P4975" s="651"/>
      <c r="Q4975" s="651"/>
      <c r="R4975" s="651"/>
      <c r="S4975" s="651"/>
    </row>
    <row r="4976" spans="12:19" ht="15.75" customHeight="1" x14ac:dyDescent="0.35">
      <c r="L4976" s="2"/>
      <c r="M4976" s="2"/>
      <c r="N4976" s="650"/>
      <c r="O4976" s="650"/>
      <c r="P4976" s="651"/>
      <c r="Q4976" s="651"/>
      <c r="R4976" s="651"/>
      <c r="S4976" s="651"/>
    </row>
    <row r="4977" spans="12:19" ht="15.75" customHeight="1" x14ac:dyDescent="0.35">
      <c r="L4977" s="2"/>
      <c r="M4977" s="2"/>
      <c r="N4977" s="650"/>
      <c r="O4977" s="650"/>
      <c r="P4977" s="651"/>
      <c r="Q4977" s="651"/>
      <c r="R4977" s="651"/>
      <c r="S4977" s="651"/>
    </row>
    <row r="4978" spans="12:19" ht="15.75" customHeight="1" x14ac:dyDescent="0.35">
      <c r="L4978" s="2"/>
      <c r="M4978" s="2"/>
      <c r="N4978" s="650"/>
      <c r="O4978" s="650"/>
      <c r="P4978" s="651"/>
      <c r="Q4978" s="651"/>
      <c r="R4978" s="651"/>
      <c r="S4978" s="651"/>
    </row>
    <row r="4979" spans="12:19" ht="15.75" customHeight="1" x14ac:dyDescent="0.35">
      <c r="L4979" s="2"/>
      <c r="M4979" s="2"/>
      <c r="N4979" s="650"/>
      <c r="O4979" s="650"/>
      <c r="P4979" s="651"/>
      <c r="Q4979" s="651"/>
      <c r="R4979" s="651"/>
      <c r="S4979" s="651"/>
    </row>
    <row r="4980" spans="12:19" ht="15.75" customHeight="1" x14ac:dyDescent="0.35">
      <c r="L4980" s="2"/>
      <c r="M4980" s="2"/>
      <c r="N4980" s="650"/>
      <c r="O4980" s="650"/>
      <c r="P4980" s="651"/>
      <c r="Q4980" s="651"/>
      <c r="R4980" s="651"/>
      <c r="S4980" s="651"/>
    </row>
    <row r="4981" spans="12:19" ht="15.75" customHeight="1" x14ac:dyDescent="0.35">
      <c r="L4981" s="2"/>
      <c r="M4981" s="2"/>
      <c r="N4981" s="650"/>
      <c r="O4981" s="650"/>
      <c r="P4981" s="651"/>
      <c r="Q4981" s="651"/>
      <c r="R4981" s="651"/>
      <c r="S4981" s="651"/>
    </row>
    <row r="4982" spans="12:19" ht="15.75" customHeight="1" x14ac:dyDescent="0.35">
      <c r="L4982" s="2"/>
      <c r="M4982" s="2"/>
      <c r="N4982" s="650"/>
      <c r="O4982" s="650"/>
      <c r="P4982" s="651"/>
      <c r="Q4982" s="651"/>
      <c r="R4982" s="651"/>
      <c r="S4982" s="651"/>
    </row>
    <row r="4983" spans="12:19" ht="15.75" customHeight="1" x14ac:dyDescent="0.35">
      <c r="L4983" s="2"/>
      <c r="M4983" s="2"/>
      <c r="N4983" s="650"/>
      <c r="O4983" s="650"/>
      <c r="P4983" s="651"/>
      <c r="Q4983" s="651"/>
      <c r="R4983" s="651"/>
      <c r="S4983" s="651"/>
    </row>
    <row r="4984" spans="12:19" ht="15.75" customHeight="1" x14ac:dyDescent="0.35">
      <c r="L4984" s="2"/>
      <c r="M4984" s="2"/>
      <c r="N4984" s="650"/>
      <c r="O4984" s="650"/>
      <c r="P4984" s="651"/>
      <c r="Q4984" s="651"/>
      <c r="R4984" s="651"/>
      <c r="S4984" s="651"/>
    </row>
    <row r="4985" spans="12:19" ht="15.75" customHeight="1" x14ac:dyDescent="0.35">
      <c r="L4985" s="2"/>
      <c r="M4985" s="2"/>
      <c r="N4985" s="650"/>
      <c r="O4985" s="650"/>
      <c r="P4985" s="651"/>
      <c r="Q4985" s="651"/>
      <c r="R4985" s="651"/>
      <c r="S4985" s="651"/>
    </row>
    <row r="4986" spans="12:19" ht="15.75" customHeight="1" x14ac:dyDescent="0.35">
      <c r="L4986" s="2"/>
      <c r="M4986" s="2"/>
      <c r="N4986" s="650"/>
      <c r="O4986" s="650"/>
      <c r="P4986" s="651"/>
      <c r="Q4986" s="651"/>
      <c r="R4986" s="651"/>
      <c r="S4986" s="651"/>
    </row>
    <row r="4987" spans="12:19" ht="15.75" customHeight="1" x14ac:dyDescent="0.35">
      <c r="L4987" s="2"/>
      <c r="M4987" s="2"/>
      <c r="N4987" s="650"/>
      <c r="O4987" s="650"/>
      <c r="P4987" s="651"/>
      <c r="Q4987" s="651"/>
      <c r="R4987" s="651"/>
      <c r="S4987" s="651"/>
    </row>
    <row r="4988" spans="12:19" ht="15.75" customHeight="1" x14ac:dyDescent="0.35">
      <c r="L4988" s="2"/>
      <c r="M4988" s="2"/>
      <c r="N4988" s="650"/>
      <c r="O4988" s="650"/>
      <c r="P4988" s="651"/>
      <c r="Q4988" s="651"/>
      <c r="R4988" s="651"/>
      <c r="S4988" s="651"/>
    </row>
    <row r="4989" spans="12:19" ht="15.75" customHeight="1" x14ac:dyDescent="0.35">
      <c r="L4989" s="2"/>
      <c r="M4989" s="2"/>
      <c r="N4989" s="650"/>
      <c r="O4989" s="650"/>
      <c r="P4989" s="651"/>
      <c r="Q4989" s="651"/>
      <c r="R4989" s="651"/>
      <c r="S4989" s="651"/>
    </row>
    <row r="4990" spans="12:19" ht="15.75" customHeight="1" x14ac:dyDescent="0.35">
      <c r="L4990" s="2"/>
      <c r="M4990" s="2"/>
      <c r="N4990" s="650"/>
      <c r="O4990" s="650"/>
      <c r="P4990" s="651"/>
      <c r="Q4990" s="651"/>
      <c r="R4990" s="651"/>
      <c r="S4990" s="651"/>
    </row>
    <row r="4991" spans="12:19" ht="15.75" customHeight="1" x14ac:dyDescent="0.35">
      <c r="L4991" s="2"/>
      <c r="M4991" s="2"/>
      <c r="N4991" s="650"/>
      <c r="O4991" s="650"/>
      <c r="P4991" s="651"/>
      <c r="Q4991" s="651"/>
      <c r="R4991" s="651"/>
      <c r="S4991" s="651"/>
    </row>
    <row r="4992" spans="12:19" ht="15.75" customHeight="1" x14ac:dyDescent="0.35">
      <c r="L4992" s="2"/>
      <c r="M4992" s="2"/>
      <c r="N4992" s="650"/>
      <c r="O4992" s="650"/>
      <c r="P4992" s="651"/>
      <c r="Q4992" s="651"/>
      <c r="R4992" s="651"/>
      <c r="S4992" s="651"/>
    </row>
    <row r="4993" spans="12:19" ht="15.75" customHeight="1" x14ac:dyDescent="0.35">
      <c r="L4993" s="2"/>
      <c r="M4993" s="2"/>
      <c r="N4993" s="650"/>
      <c r="O4993" s="650"/>
      <c r="P4993" s="651"/>
      <c r="Q4993" s="651"/>
      <c r="R4993" s="651"/>
      <c r="S4993" s="651"/>
    </row>
    <row r="4994" spans="12:19" ht="15.75" customHeight="1" x14ac:dyDescent="0.35">
      <c r="L4994" s="2"/>
      <c r="M4994" s="2"/>
      <c r="N4994" s="650"/>
      <c r="O4994" s="650"/>
      <c r="P4994" s="651"/>
      <c r="Q4994" s="651"/>
      <c r="R4994" s="651"/>
      <c r="S4994" s="651"/>
    </row>
    <row r="4995" spans="12:19" ht="15.75" customHeight="1" x14ac:dyDescent="0.35">
      <c r="L4995" s="2"/>
      <c r="M4995" s="2"/>
      <c r="N4995" s="650"/>
      <c r="O4995" s="650"/>
      <c r="P4995" s="651"/>
      <c r="Q4995" s="651"/>
      <c r="R4995" s="651"/>
      <c r="S4995" s="651"/>
    </row>
    <row r="4996" spans="12:19" ht="15.75" customHeight="1" x14ac:dyDescent="0.35">
      <c r="L4996" s="2"/>
      <c r="M4996" s="2"/>
      <c r="N4996" s="650"/>
      <c r="O4996" s="650"/>
      <c r="P4996" s="651"/>
      <c r="Q4996" s="651"/>
      <c r="R4996" s="651"/>
      <c r="S4996" s="651"/>
    </row>
    <row r="4997" spans="12:19" ht="15.75" customHeight="1" x14ac:dyDescent="0.35">
      <c r="L4997" s="2"/>
      <c r="M4997" s="2"/>
      <c r="N4997" s="650"/>
      <c r="O4997" s="650"/>
      <c r="P4997" s="651"/>
      <c r="Q4997" s="651"/>
      <c r="R4997" s="651"/>
      <c r="S4997" s="651"/>
    </row>
    <row r="4998" spans="12:19" ht="15.75" customHeight="1" x14ac:dyDescent="0.35">
      <c r="L4998" s="2"/>
      <c r="M4998" s="2"/>
      <c r="N4998" s="650"/>
      <c r="O4998" s="650"/>
      <c r="P4998" s="651"/>
      <c r="Q4998" s="651"/>
      <c r="R4998" s="651"/>
      <c r="S4998" s="651"/>
    </row>
    <row r="4999" spans="12:19" ht="15.75" customHeight="1" x14ac:dyDescent="0.35">
      <c r="L4999" s="2"/>
      <c r="M4999" s="2"/>
      <c r="N4999" s="650"/>
      <c r="O4999" s="650"/>
      <c r="P4999" s="651"/>
      <c r="Q4999" s="651"/>
      <c r="R4999" s="651"/>
      <c r="S4999" s="651"/>
    </row>
    <row r="5000" spans="12:19" ht="15.75" customHeight="1" x14ac:dyDescent="0.35">
      <c r="L5000" s="2"/>
      <c r="M5000" s="2"/>
      <c r="N5000" s="650"/>
      <c r="O5000" s="650"/>
      <c r="P5000" s="651"/>
      <c r="Q5000" s="651"/>
      <c r="R5000" s="651"/>
      <c r="S5000" s="651"/>
    </row>
    <row r="5001" spans="12:19" ht="15.75" customHeight="1" x14ac:dyDescent="0.35">
      <c r="L5001" s="2"/>
      <c r="M5001" s="2"/>
      <c r="N5001" s="650"/>
      <c r="O5001" s="650"/>
      <c r="P5001" s="651"/>
      <c r="Q5001" s="651"/>
      <c r="R5001" s="651"/>
      <c r="S5001" s="651"/>
    </row>
    <row r="5002" spans="12:19" ht="15.75" customHeight="1" x14ac:dyDescent="0.35">
      <c r="L5002" s="2"/>
      <c r="M5002" s="2"/>
      <c r="N5002" s="650"/>
      <c r="O5002" s="650"/>
      <c r="P5002" s="651"/>
      <c r="Q5002" s="651"/>
      <c r="R5002" s="651"/>
      <c r="S5002" s="651"/>
    </row>
    <row r="5003" spans="12:19" ht="15.75" customHeight="1" x14ac:dyDescent="0.35">
      <c r="L5003" s="2"/>
      <c r="M5003" s="2"/>
      <c r="N5003" s="650"/>
      <c r="O5003" s="650"/>
      <c r="P5003" s="651"/>
      <c r="Q5003" s="651"/>
      <c r="R5003" s="651"/>
      <c r="S5003" s="651"/>
    </row>
    <row r="5004" spans="12:19" ht="15.75" customHeight="1" x14ac:dyDescent="0.35">
      <c r="L5004" s="2"/>
      <c r="M5004" s="2"/>
      <c r="N5004" s="650"/>
      <c r="O5004" s="650"/>
      <c r="P5004" s="651"/>
      <c r="Q5004" s="651"/>
      <c r="R5004" s="651"/>
      <c r="S5004" s="651"/>
    </row>
    <row r="5005" spans="12:19" ht="15.75" customHeight="1" x14ac:dyDescent="0.35">
      <c r="L5005" s="2"/>
      <c r="M5005" s="2"/>
      <c r="N5005" s="650"/>
      <c r="O5005" s="650"/>
      <c r="P5005" s="651"/>
      <c r="Q5005" s="651"/>
      <c r="R5005" s="651"/>
      <c r="S5005" s="651"/>
    </row>
    <row r="5006" spans="12:19" ht="15.75" customHeight="1" x14ac:dyDescent="0.35">
      <c r="L5006" s="2"/>
      <c r="M5006" s="2"/>
      <c r="N5006" s="650"/>
      <c r="O5006" s="650"/>
      <c r="P5006" s="651"/>
      <c r="Q5006" s="651"/>
      <c r="R5006" s="651"/>
      <c r="S5006" s="651"/>
    </row>
    <row r="5007" spans="12:19" ht="15.75" customHeight="1" x14ac:dyDescent="0.35">
      <c r="L5007" s="2"/>
      <c r="M5007" s="2"/>
      <c r="N5007" s="650"/>
      <c r="O5007" s="650"/>
      <c r="P5007" s="651"/>
      <c r="Q5007" s="651"/>
      <c r="R5007" s="651"/>
      <c r="S5007" s="651"/>
    </row>
    <row r="5008" spans="12:19" ht="15.75" customHeight="1" x14ac:dyDescent="0.35">
      <c r="L5008" s="2"/>
      <c r="M5008" s="2"/>
      <c r="N5008" s="650"/>
      <c r="O5008" s="650"/>
      <c r="P5008" s="651"/>
      <c r="Q5008" s="651"/>
      <c r="R5008" s="651"/>
      <c r="S5008" s="651"/>
    </row>
    <row r="5009" spans="12:19" ht="15.75" customHeight="1" x14ac:dyDescent="0.35">
      <c r="L5009" s="2"/>
      <c r="M5009" s="2"/>
      <c r="N5009" s="650"/>
      <c r="O5009" s="650"/>
      <c r="P5009" s="651"/>
      <c r="Q5009" s="651"/>
      <c r="R5009" s="651"/>
      <c r="S5009" s="651"/>
    </row>
    <row r="5010" spans="12:19" ht="15.75" customHeight="1" x14ac:dyDescent="0.35">
      <c r="L5010" s="2"/>
      <c r="M5010" s="2"/>
      <c r="N5010" s="650"/>
      <c r="O5010" s="650"/>
      <c r="P5010" s="651"/>
      <c r="Q5010" s="651"/>
      <c r="R5010" s="651"/>
      <c r="S5010" s="651"/>
    </row>
    <row r="5011" spans="12:19" ht="15.75" customHeight="1" x14ac:dyDescent="0.35">
      <c r="L5011" s="2"/>
      <c r="M5011" s="2"/>
      <c r="N5011" s="650"/>
      <c r="O5011" s="650"/>
      <c r="P5011" s="651"/>
      <c r="Q5011" s="651"/>
      <c r="R5011" s="651"/>
      <c r="S5011" s="651"/>
    </row>
    <row r="5012" spans="12:19" ht="15.75" customHeight="1" x14ac:dyDescent="0.35">
      <c r="L5012" s="2"/>
      <c r="M5012" s="2"/>
      <c r="N5012" s="650"/>
      <c r="O5012" s="650"/>
      <c r="P5012" s="651"/>
      <c r="Q5012" s="651"/>
      <c r="R5012" s="651"/>
      <c r="S5012" s="651"/>
    </row>
    <row r="5013" spans="12:19" ht="15.75" customHeight="1" x14ac:dyDescent="0.35">
      <c r="L5013" s="2"/>
      <c r="M5013" s="2"/>
      <c r="N5013" s="650"/>
      <c r="O5013" s="650"/>
      <c r="P5013" s="651"/>
      <c r="Q5013" s="651"/>
      <c r="R5013" s="651"/>
      <c r="S5013" s="651"/>
    </row>
    <row r="5014" spans="12:19" ht="15.75" customHeight="1" x14ac:dyDescent="0.35">
      <c r="L5014" s="2"/>
      <c r="M5014" s="2"/>
      <c r="N5014" s="650"/>
      <c r="O5014" s="650"/>
      <c r="P5014" s="651"/>
      <c r="Q5014" s="651"/>
      <c r="R5014" s="651"/>
      <c r="S5014" s="651"/>
    </row>
    <row r="5015" spans="12:19" ht="15.75" customHeight="1" x14ac:dyDescent="0.35">
      <c r="L5015" s="2"/>
      <c r="M5015" s="2"/>
      <c r="N5015" s="650"/>
      <c r="O5015" s="650"/>
      <c r="P5015" s="651"/>
      <c r="Q5015" s="651"/>
      <c r="R5015" s="651"/>
      <c r="S5015" s="651"/>
    </row>
    <row r="5016" spans="12:19" ht="15.75" customHeight="1" x14ac:dyDescent="0.35">
      <c r="L5016" s="2"/>
      <c r="M5016" s="2"/>
      <c r="N5016" s="650"/>
      <c r="O5016" s="650"/>
      <c r="P5016" s="651"/>
      <c r="Q5016" s="651"/>
      <c r="R5016" s="651"/>
      <c r="S5016" s="651"/>
    </row>
    <row r="5017" spans="12:19" ht="15.75" customHeight="1" x14ac:dyDescent="0.35">
      <c r="L5017" s="2"/>
      <c r="M5017" s="2"/>
      <c r="N5017" s="650"/>
      <c r="O5017" s="650"/>
      <c r="P5017" s="651"/>
      <c r="Q5017" s="651"/>
      <c r="R5017" s="651"/>
      <c r="S5017" s="651"/>
    </row>
    <row r="5018" spans="12:19" ht="15.75" customHeight="1" x14ac:dyDescent="0.35">
      <c r="L5018" s="2"/>
      <c r="M5018" s="2"/>
      <c r="N5018" s="650"/>
      <c r="O5018" s="650"/>
      <c r="P5018" s="651"/>
      <c r="Q5018" s="651"/>
      <c r="R5018" s="651"/>
      <c r="S5018" s="651"/>
    </row>
    <row r="5019" spans="12:19" ht="15.75" customHeight="1" x14ac:dyDescent="0.35">
      <c r="L5019" s="2"/>
      <c r="M5019" s="2"/>
      <c r="N5019" s="650"/>
      <c r="O5019" s="650"/>
      <c r="P5019" s="651"/>
      <c r="Q5019" s="651"/>
      <c r="R5019" s="651"/>
      <c r="S5019" s="651"/>
    </row>
    <row r="5020" spans="12:19" ht="15.75" customHeight="1" x14ac:dyDescent="0.35">
      <c r="L5020" s="2"/>
      <c r="M5020" s="2"/>
      <c r="N5020" s="650"/>
      <c r="O5020" s="650"/>
      <c r="P5020" s="651"/>
      <c r="Q5020" s="651"/>
      <c r="R5020" s="651"/>
      <c r="S5020" s="651"/>
    </row>
    <row r="5021" spans="12:19" ht="15.75" customHeight="1" x14ac:dyDescent="0.35">
      <c r="L5021" s="2"/>
      <c r="M5021" s="2"/>
      <c r="N5021" s="650"/>
      <c r="O5021" s="650"/>
      <c r="P5021" s="651"/>
      <c r="Q5021" s="651"/>
      <c r="R5021" s="651"/>
      <c r="S5021" s="651"/>
    </row>
    <row r="5022" spans="12:19" ht="15.75" customHeight="1" x14ac:dyDescent="0.35">
      <c r="L5022" s="2"/>
      <c r="M5022" s="2"/>
      <c r="N5022" s="650"/>
      <c r="O5022" s="650"/>
      <c r="P5022" s="651"/>
      <c r="Q5022" s="651"/>
      <c r="R5022" s="651"/>
      <c r="S5022" s="651"/>
    </row>
    <row r="5023" spans="12:19" ht="15.75" customHeight="1" x14ac:dyDescent="0.35">
      <c r="L5023" s="2"/>
      <c r="M5023" s="2"/>
      <c r="N5023" s="650"/>
      <c r="O5023" s="650"/>
      <c r="P5023" s="651"/>
      <c r="Q5023" s="651"/>
      <c r="R5023" s="651"/>
      <c r="S5023" s="651"/>
    </row>
    <row r="5024" spans="12:19" ht="15.75" customHeight="1" x14ac:dyDescent="0.35">
      <c r="L5024" s="2"/>
      <c r="M5024" s="2"/>
      <c r="N5024" s="650"/>
      <c r="O5024" s="650"/>
      <c r="P5024" s="651"/>
      <c r="Q5024" s="651"/>
      <c r="R5024" s="651"/>
      <c r="S5024" s="651"/>
    </row>
    <row r="5025" spans="12:19" ht="15.75" customHeight="1" x14ac:dyDescent="0.35">
      <c r="L5025" s="2"/>
      <c r="M5025" s="2"/>
      <c r="N5025" s="650"/>
      <c r="O5025" s="650"/>
      <c r="P5025" s="651"/>
      <c r="Q5025" s="651"/>
      <c r="R5025" s="651"/>
      <c r="S5025" s="651"/>
    </row>
    <row r="5026" spans="12:19" ht="15.75" customHeight="1" x14ac:dyDescent="0.35">
      <c r="L5026" s="2"/>
      <c r="M5026" s="2"/>
      <c r="N5026" s="650"/>
      <c r="O5026" s="650"/>
      <c r="P5026" s="651"/>
      <c r="Q5026" s="651"/>
      <c r="R5026" s="651"/>
      <c r="S5026" s="651"/>
    </row>
    <row r="5027" spans="12:19" ht="15.75" customHeight="1" x14ac:dyDescent="0.35">
      <c r="L5027" s="2"/>
      <c r="M5027" s="2"/>
      <c r="N5027" s="650"/>
      <c r="O5027" s="650"/>
      <c r="P5027" s="651"/>
      <c r="Q5027" s="651"/>
      <c r="R5027" s="651"/>
      <c r="S5027" s="651"/>
    </row>
    <row r="5028" spans="12:19" ht="15.75" customHeight="1" x14ac:dyDescent="0.35">
      <c r="L5028" s="2"/>
      <c r="M5028" s="2"/>
      <c r="N5028" s="650"/>
      <c r="O5028" s="650"/>
      <c r="P5028" s="651"/>
      <c r="Q5028" s="651"/>
      <c r="R5028" s="651"/>
      <c r="S5028" s="651"/>
    </row>
    <row r="5029" spans="12:19" ht="15.75" customHeight="1" x14ac:dyDescent="0.35">
      <c r="L5029" s="2"/>
      <c r="M5029" s="2"/>
      <c r="N5029" s="650"/>
      <c r="O5029" s="650"/>
      <c r="P5029" s="651"/>
      <c r="Q5029" s="651"/>
      <c r="R5029" s="651"/>
      <c r="S5029" s="651"/>
    </row>
    <row r="5030" spans="12:19" ht="15.75" customHeight="1" x14ac:dyDescent="0.35">
      <c r="L5030" s="2"/>
      <c r="M5030" s="2"/>
      <c r="N5030" s="650"/>
      <c r="O5030" s="650"/>
      <c r="P5030" s="651"/>
      <c r="Q5030" s="651"/>
      <c r="R5030" s="651"/>
      <c r="S5030" s="651"/>
    </row>
    <row r="5031" spans="12:19" ht="15.75" customHeight="1" x14ac:dyDescent="0.35">
      <c r="L5031" s="2"/>
      <c r="M5031" s="2"/>
      <c r="N5031" s="650"/>
      <c r="O5031" s="650"/>
      <c r="P5031" s="651"/>
      <c r="Q5031" s="651"/>
      <c r="R5031" s="651"/>
      <c r="S5031" s="651"/>
    </row>
    <row r="5032" spans="12:19" ht="15.75" customHeight="1" x14ac:dyDescent="0.35">
      <c r="L5032" s="2"/>
      <c r="M5032" s="2"/>
      <c r="N5032" s="650"/>
      <c r="O5032" s="650"/>
      <c r="P5032" s="651"/>
      <c r="Q5032" s="651"/>
      <c r="R5032" s="651"/>
      <c r="S5032" s="651"/>
    </row>
    <row r="5033" spans="12:19" ht="15.75" customHeight="1" x14ac:dyDescent="0.35">
      <c r="L5033" s="2"/>
      <c r="M5033" s="2"/>
      <c r="N5033" s="650"/>
      <c r="O5033" s="650"/>
      <c r="P5033" s="651"/>
      <c r="Q5033" s="651"/>
      <c r="R5033" s="651"/>
      <c r="S5033" s="651"/>
    </row>
    <row r="5034" spans="12:19" ht="15.75" customHeight="1" x14ac:dyDescent="0.35">
      <c r="L5034" s="2"/>
      <c r="M5034" s="2"/>
      <c r="N5034" s="650"/>
      <c r="O5034" s="650"/>
      <c r="P5034" s="651"/>
      <c r="Q5034" s="651"/>
      <c r="R5034" s="651"/>
      <c r="S5034" s="651"/>
    </row>
    <row r="5035" spans="12:19" ht="15.75" customHeight="1" x14ac:dyDescent="0.35">
      <c r="L5035" s="2"/>
      <c r="M5035" s="2"/>
      <c r="N5035" s="650"/>
      <c r="O5035" s="650"/>
      <c r="P5035" s="651"/>
      <c r="Q5035" s="651"/>
      <c r="R5035" s="651"/>
      <c r="S5035" s="651"/>
    </row>
    <row r="5036" spans="12:19" ht="15.75" customHeight="1" x14ac:dyDescent="0.35">
      <c r="L5036" s="2"/>
      <c r="M5036" s="2"/>
      <c r="N5036" s="650"/>
      <c r="O5036" s="650"/>
      <c r="P5036" s="651"/>
      <c r="Q5036" s="651"/>
      <c r="R5036" s="651"/>
      <c r="S5036" s="651"/>
    </row>
    <row r="5037" spans="12:19" ht="15.75" customHeight="1" x14ac:dyDescent="0.35">
      <c r="L5037" s="2"/>
      <c r="M5037" s="2"/>
      <c r="N5037" s="650"/>
      <c r="O5037" s="650"/>
      <c r="P5037" s="651"/>
      <c r="Q5037" s="651"/>
      <c r="R5037" s="651"/>
      <c r="S5037" s="651"/>
    </row>
    <row r="5038" spans="12:19" ht="15.75" customHeight="1" x14ac:dyDescent="0.35">
      <c r="L5038" s="2"/>
      <c r="M5038" s="2"/>
      <c r="N5038" s="650"/>
      <c r="O5038" s="650"/>
      <c r="P5038" s="651"/>
      <c r="Q5038" s="651"/>
      <c r="R5038" s="651"/>
      <c r="S5038" s="651"/>
    </row>
    <row r="5039" spans="12:19" ht="15.75" customHeight="1" x14ac:dyDescent="0.35">
      <c r="L5039" s="2"/>
      <c r="M5039" s="2"/>
      <c r="N5039" s="650"/>
      <c r="O5039" s="650"/>
      <c r="P5039" s="651"/>
      <c r="Q5039" s="651"/>
      <c r="R5039" s="651"/>
      <c r="S5039" s="651"/>
    </row>
    <row r="5040" spans="12:19" ht="15.75" customHeight="1" x14ac:dyDescent="0.35">
      <c r="L5040" s="2"/>
      <c r="M5040" s="2"/>
      <c r="N5040" s="650"/>
      <c r="O5040" s="650"/>
      <c r="P5040" s="651"/>
      <c r="Q5040" s="651"/>
      <c r="R5040" s="651"/>
      <c r="S5040" s="651"/>
    </row>
    <row r="5041" spans="12:19" ht="15.75" customHeight="1" x14ac:dyDescent="0.35">
      <c r="L5041" s="2"/>
      <c r="M5041" s="2"/>
      <c r="N5041" s="650"/>
      <c r="O5041" s="650"/>
      <c r="P5041" s="651"/>
      <c r="Q5041" s="651"/>
      <c r="R5041" s="651"/>
      <c r="S5041" s="651"/>
    </row>
    <row r="5042" spans="12:19" ht="15.75" customHeight="1" x14ac:dyDescent="0.35">
      <c r="L5042" s="2"/>
      <c r="M5042" s="2"/>
      <c r="N5042" s="650"/>
      <c r="O5042" s="650"/>
      <c r="P5042" s="651"/>
      <c r="Q5042" s="651"/>
      <c r="R5042" s="651"/>
      <c r="S5042" s="651"/>
    </row>
    <row r="5043" spans="12:19" ht="15.75" customHeight="1" x14ac:dyDescent="0.35">
      <c r="L5043" s="2"/>
      <c r="M5043" s="2"/>
      <c r="N5043" s="650"/>
      <c r="O5043" s="650"/>
      <c r="P5043" s="651"/>
      <c r="Q5043" s="651"/>
      <c r="R5043" s="651"/>
      <c r="S5043" s="651"/>
    </row>
    <row r="5044" spans="12:19" ht="15.75" customHeight="1" x14ac:dyDescent="0.35">
      <c r="L5044" s="2"/>
      <c r="M5044" s="2"/>
      <c r="N5044" s="650"/>
      <c r="O5044" s="650"/>
      <c r="P5044" s="651"/>
      <c r="Q5044" s="651"/>
      <c r="R5044" s="651"/>
      <c r="S5044" s="651"/>
    </row>
    <row r="5045" spans="12:19" ht="15.75" customHeight="1" x14ac:dyDescent="0.35">
      <c r="L5045" s="2"/>
      <c r="M5045" s="2"/>
      <c r="N5045" s="650"/>
      <c r="O5045" s="650"/>
      <c r="P5045" s="651"/>
      <c r="Q5045" s="651"/>
      <c r="R5045" s="651"/>
      <c r="S5045" s="651"/>
    </row>
    <row r="5046" spans="12:19" ht="15.75" customHeight="1" x14ac:dyDescent="0.35">
      <c r="L5046" s="2"/>
      <c r="M5046" s="2"/>
      <c r="N5046" s="650"/>
      <c r="O5046" s="650"/>
      <c r="P5046" s="651"/>
      <c r="Q5046" s="651"/>
      <c r="R5046" s="651"/>
      <c r="S5046" s="651"/>
    </row>
    <row r="5047" spans="12:19" ht="15.75" customHeight="1" x14ac:dyDescent="0.35">
      <c r="L5047" s="2"/>
      <c r="M5047" s="2"/>
      <c r="N5047" s="650"/>
      <c r="O5047" s="650"/>
      <c r="P5047" s="651"/>
      <c r="Q5047" s="651"/>
      <c r="R5047" s="651"/>
      <c r="S5047" s="651"/>
    </row>
    <row r="5048" spans="12:19" ht="15.75" customHeight="1" x14ac:dyDescent="0.35">
      <c r="L5048" s="2"/>
      <c r="M5048" s="2"/>
      <c r="N5048" s="650"/>
      <c r="O5048" s="650"/>
      <c r="P5048" s="651"/>
      <c r="Q5048" s="651"/>
      <c r="R5048" s="651"/>
      <c r="S5048" s="651"/>
    </row>
    <row r="5049" spans="12:19" ht="15.75" customHeight="1" x14ac:dyDescent="0.35">
      <c r="L5049" s="2"/>
      <c r="M5049" s="2"/>
      <c r="N5049" s="650"/>
      <c r="O5049" s="650"/>
      <c r="P5049" s="651"/>
      <c r="Q5049" s="651"/>
      <c r="R5049" s="651"/>
      <c r="S5049" s="651"/>
    </row>
    <row r="5050" spans="12:19" ht="15.75" customHeight="1" x14ac:dyDescent="0.35">
      <c r="L5050" s="2"/>
      <c r="M5050" s="2"/>
      <c r="N5050" s="650"/>
      <c r="O5050" s="650"/>
      <c r="P5050" s="651"/>
      <c r="Q5050" s="651"/>
      <c r="R5050" s="651"/>
      <c r="S5050" s="651"/>
    </row>
    <row r="5051" spans="12:19" ht="15.75" customHeight="1" x14ac:dyDescent="0.35">
      <c r="L5051" s="2"/>
      <c r="M5051" s="2"/>
      <c r="N5051" s="650"/>
      <c r="O5051" s="650"/>
      <c r="P5051" s="651"/>
      <c r="Q5051" s="651"/>
      <c r="R5051" s="651"/>
      <c r="S5051" s="651"/>
    </row>
    <row r="5052" spans="12:19" ht="15.75" customHeight="1" x14ac:dyDescent="0.35">
      <c r="L5052" s="2"/>
      <c r="M5052" s="2"/>
      <c r="N5052" s="650"/>
      <c r="O5052" s="650"/>
      <c r="P5052" s="651"/>
      <c r="Q5052" s="651"/>
      <c r="R5052" s="651"/>
      <c r="S5052" s="651"/>
    </row>
    <row r="5053" spans="12:19" ht="15.75" customHeight="1" x14ac:dyDescent="0.35">
      <c r="L5053" s="2"/>
      <c r="M5053" s="2"/>
      <c r="N5053" s="650"/>
      <c r="O5053" s="650"/>
      <c r="P5053" s="651"/>
      <c r="Q5053" s="651"/>
      <c r="R5053" s="651"/>
      <c r="S5053" s="651"/>
    </row>
    <row r="5054" spans="12:19" ht="15.75" customHeight="1" x14ac:dyDescent="0.35">
      <c r="L5054" s="2"/>
      <c r="M5054" s="2"/>
      <c r="N5054" s="650"/>
      <c r="O5054" s="650"/>
      <c r="P5054" s="651"/>
      <c r="Q5054" s="651"/>
      <c r="R5054" s="651"/>
      <c r="S5054" s="651"/>
    </row>
    <row r="5055" spans="12:19" ht="15.75" customHeight="1" x14ac:dyDescent="0.35">
      <c r="L5055" s="2"/>
      <c r="M5055" s="2"/>
      <c r="N5055" s="650"/>
      <c r="O5055" s="650"/>
      <c r="P5055" s="651"/>
      <c r="Q5055" s="651"/>
      <c r="R5055" s="651"/>
      <c r="S5055" s="651"/>
    </row>
    <row r="5056" spans="12:19" ht="15.75" customHeight="1" x14ac:dyDescent="0.35">
      <c r="L5056" s="2"/>
      <c r="M5056" s="2"/>
      <c r="N5056" s="650"/>
      <c r="O5056" s="650"/>
      <c r="P5056" s="651"/>
      <c r="Q5056" s="651"/>
      <c r="R5056" s="651"/>
      <c r="S5056" s="651"/>
    </row>
    <row r="5057" spans="12:19" ht="15.75" customHeight="1" x14ac:dyDescent="0.35">
      <c r="L5057" s="2"/>
      <c r="M5057" s="2"/>
      <c r="N5057" s="650"/>
      <c r="O5057" s="650"/>
      <c r="P5057" s="651"/>
      <c r="Q5057" s="651"/>
      <c r="R5057" s="651"/>
      <c r="S5057" s="651"/>
    </row>
    <row r="5058" spans="12:19" ht="15.75" customHeight="1" x14ac:dyDescent="0.35">
      <c r="L5058" s="2"/>
      <c r="M5058" s="2"/>
      <c r="N5058" s="650"/>
      <c r="O5058" s="650"/>
      <c r="P5058" s="651"/>
      <c r="Q5058" s="651"/>
      <c r="R5058" s="651"/>
      <c r="S5058" s="651"/>
    </row>
    <row r="5059" spans="12:19" ht="15.75" customHeight="1" x14ac:dyDescent="0.35">
      <c r="L5059" s="2"/>
      <c r="M5059" s="2"/>
      <c r="N5059" s="650"/>
      <c r="O5059" s="650"/>
      <c r="P5059" s="651"/>
      <c r="Q5059" s="651"/>
      <c r="R5059" s="651"/>
      <c r="S5059" s="651"/>
    </row>
    <row r="5060" spans="12:19" ht="15.75" customHeight="1" x14ac:dyDescent="0.35">
      <c r="L5060" s="2"/>
      <c r="M5060" s="2"/>
      <c r="N5060" s="650"/>
      <c r="O5060" s="650"/>
      <c r="P5060" s="651"/>
      <c r="Q5060" s="651"/>
      <c r="R5060" s="651"/>
      <c r="S5060" s="651"/>
    </row>
    <row r="5061" spans="12:19" ht="15.75" customHeight="1" x14ac:dyDescent="0.35">
      <c r="L5061" s="2"/>
      <c r="M5061" s="2"/>
      <c r="N5061" s="650"/>
      <c r="O5061" s="650"/>
      <c r="P5061" s="651"/>
      <c r="Q5061" s="651"/>
      <c r="R5061" s="651"/>
      <c r="S5061" s="651"/>
    </row>
    <row r="5062" spans="12:19" ht="15.75" customHeight="1" x14ac:dyDescent="0.35">
      <c r="L5062" s="2"/>
      <c r="M5062" s="2"/>
      <c r="N5062" s="650"/>
      <c r="O5062" s="650"/>
      <c r="P5062" s="651"/>
      <c r="Q5062" s="651"/>
      <c r="R5062" s="651"/>
      <c r="S5062" s="651"/>
    </row>
    <row r="5063" spans="12:19" ht="15.75" customHeight="1" x14ac:dyDescent="0.35">
      <c r="L5063" s="2"/>
      <c r="M5063" s="2"/>
      <c r="N5063" s="650"/>
      <c r="O5063" s="650"/>
      <c r="P5063" s="651"/>
      <c r="Q5063" s="651"/>
      <c r="R5063" s="651"/>
      <c r="S5063" s="651"/>
    </row>
    <row r="5064" spans="12:19" ht="15.75" customHeight="1" x14ac:dyDescent="0.35">
      <c r="L5064" s="2"/>
      <c r="M5064" s="2"/>
      <c r="N5064" s="650"/>
      <c r="O5064" s="650"/>
      <c r="P5064" s="651"/>
      <c r="Q5064" s="651"/>
      <c r="R5064" s="651"/>
      <c r="S5064" s="651"/>
    </row>
    <row r="5065" spans="12:19" ht="15.75" customHeight="1" x14ac:dyDescent="0.35">
      <c r="L5065" s="2"/>
      <c r="M5065" s="2"/>
      <c r="N5065" s="650"/>
      <c r="O5065" s="650"/>
      <c r="P5065" s="651"/>
      <c r="Q5065" s="651"/>
      <c r="R5065" s="651"/>
      <c r="S5065" s="651"/>
    </row>
    <row r="5066" spans="12:19" ht="15.75" customHeight="1" x14ac:dyDescent="0.35">
      <c r="L5066" s="2"/>
      <c r="M5066" s="2"/>
      <c r="N5066" s="650"/>
      <c r="O5066" s="650"/>
      <c r="P5066" s="651"/>
      <c r="Q5066" s="651"/>
      <c r="R5066" s="651"/>
      <c r="S5066" s="651"/>
    </row>
    <row r="5067" spans="12:19" ht="15.75" customHeight="1" x14ac:dyDescent="0.35">
      <c r="L5067" s="2"/>
      <c r="M5067" s="2"/>
      <c r="N5067" s="650"/>
      <c r="O5067" s="650"/>
      <c r="P5067" s="651"/>
      <c r="Q5067" s="651"/>
      <c r="R5067" s="651"/>
      <c r="S5067" s="651"/>
    </row>
    <row r="5068" spans="12:19" ht="15.75" customHeight="1" x14ac:dyDescent="0.35">
      <c r="L5068" s="2"/>
      <c r="M5068" s="2"/>
      <c r="N5068" s="650"/>
      <c r="O5068" s="650"/>
      <c r="P5068" s="651"/>
      <c r="Q5068" s="651"/>
      <c r="R5068" s="651"/>
      <c r="S5068" s="651"/>
    </row>
    <row r="5069" spans="12:19" ht="15.75" customHeight="1" x14ac:dyDescent="0.35">
      <c r="L5069" s="2"/>
      <c r="M5069" s="2"/>
      <c r="N5069" s="650"/>
      <c r="O5069" s="650"/>
      <c r="P5069" s="651"/>
      <c r="Q5069" s="651"/>
      <c r="R5069" s="651"/>
      <c r="S5069" s="651"/>
    </row>
    <row r="5070" spans="12:19" ht="15.75" customHeight="1" x14ac:dyDescent="0.35">
      <c r="L5070" s="2"/>
      <c r="M5070" s="2"/>
      <c r="N5070" s="650"/>
      <c r="O5070" s="650"/>
      <c r="P5070" s="651"/>
      <c r="Q5070" s="651"/>
      <c r="R5070" s="651"/>
      <c r="S5070" s="651"/>
    </row>
    <row r="5071" spans="12:19" ht="15.75" customHeight="1" x14ac:dyDescent="0.35">
      <c r="L5071" s="2"/>
      <c r="M5071" s="2"/>
      <c r="N5071" s="650"/>
      <c r="O5071" s="650"/>
      <c r="P5071" s="651"/>
      <c r="Q5071" s="651"/>
      <c r="R5071" s="651"/>
      <c r="S5071" s="651"/>
    </row>
    <row r="5072" spans="12:19" ht="15.75" customHeight="1" x14ac:dyDescent="0.35">
      <c r="L5072" s="2"/>
      <c r="M5072" s="2"/>
      <c r="N5072" s="650"/>
      <c r="O5072" s="650"/>
      <c r="P5072" s="651"/>
      <c r="Q5072" s="651"/>
      <c r="R5072" s="651"/>
      <c r="S5072" s="651"/>
    </row>
    <row r="5073" spans="12:19" ht="15.75" customHeight="1" x14ac:dyDescent="0.35">
      <c r="L5073" s="2"/>
      <c r="M5073" s="2"/>
      <c r="N5073" s="650"/>
      <c r="O5073" s="650"/>
      <c r="P5073" s="651"/>
      <c r="Q5073" s="651"/>
      <c r="R5073" s="651"/>
      <c r="S5073" s="651"/>
    </row>
    <row r="5074" spans="12:19" ht="15.75" customHeight="1" x14ac:dyDescent="0.35">
      <c r="L5074" s="2"/>
      <c r="M5074" s="2"/>
      <c r="N5074" s="650"/>
      <c r="O5074" s="650"/>
      <c r="P5074" s="651"/>
      <c r="Q5074" s="651"/>
      <c r="R5074" s="651"/>
      <c r="S5074" s="651"/>
    </row>
    <row r="5075" spans="12:19" ht="15.75" customHeight="1" x14ac:dyDescent="0.35">
      <c r="L5075" s="2"/>
      <c r="M5075" s="2"/>
      <c r="N5075" s="650"/>
      <c r="O5075" s="650"/>
      <c r="P5075" s="651"/>
      <c r="Q5075" s="651"/>
      <c r="R5075" s="651"/>
      <c r="S5075" s="651"/>
    </row>
    <row r="5076" spans="12:19" ht="15.75" customHeight="1" x14ac:dyDescent="0.35">
      <c r="L5076" s="2"/>
      <c r="M5076" s="2"/>
      <c r="N5076" s="650"/>
      <c r="O5076" s="650"/>
      <c r="P5076" s="651"/>
      <c r="Q5076" s="651"/>
      <c r="R5076" s="651"/>
      <c r="S5076" s="651"/>
    </row>
    <row r="5077" spans="12:19" ht="15.75" customHeight="1" x14ac:dyDescent="0.35">
      <c r="L5077" s="2"/>
      <c r="M5077" s="2"/>
      <c r="N5077" s="650"/>
      <c r="O5077" s="650"/>
      <c r="P5077" s="651"/>
      <c r="Q5077" s="651"/>
      <c r="R5077" s="651"/>
      <c r="S5077" s="651"/>
    </row>
    <row r="5078" spans="12:19" ht="15.75" customHeight="1" x14ac:dyDescent="0.35">
      <c r="L5078" s="2"/>
      <c r="M5078" s="2"/>
      <c r="N5078" s="650"/>
      <c r="O5078" s="650"/>
      <c r="P5078" s="651"/>
      <c r="Q5078" s="651"/>
      <c r="R5078" s="651"/>
      <c r="S5078" s="651"/>
    </row>
    <row r="5079" spans="12:19" ht="15.75" customHeight="1" x14ac:dyDescent="0.35">
      <c r="L5079" s="2"/>
      <c r="M5079" s="2"/>
      <c r="N5079" s="650"/>
      <c r="O5079" s="650"/>
      <c r="P5079" s="651"/>
      <c r="Q5079" s="651"/>
      <c r="R5079" s="651"/>
      <c r="S5079" s="651"/>
    </row>
    <row r="5080" spans="12:19" ht="15.75" customHeight="1" x14ac:dyDescent="0.35">
      <c r="L5080" s="2"/>
      <c r="M5080" s="2"/>
      <c r="N5080" s="650"/>
      <c r="O5080" s="650"/>
      <c r="P5080" s="651"/>
      <c r="Q5080" s="651"/>
      <c r="R5080" s="651"/>
      <c r="S5080" s="651"/>
    </row>
    <row r="5081" spans="12:19" ht="15.75" customHeight="1" x14ac:dyDescent="0.35">
      <c r="L5081" s="2"/>
      <c r="M5081" s="2"/>
      <c r="N5081" s="650"/>
      <c r="O5081" s="650"/>
      <c r="P5081" s="651"/>
      <c r="Q5081" s="651"/>
      <c r="R5081" s="651"/>
      <c r="S5081" s="651"/>
    </row>
    <row r="5082" spans="12:19" ht="15.75" customHeight="1" x14ac:dyDescent="0.35">
      <c r="L5082" s="2"/>
      <c r="M5082" s="2"/>
      <c r="N5082" s="650"/>
      <c r="O5082" s="650"/>
      <c r="P5082" s="651"/>
      <c r="Q5082" s="651"/>
      <c r="R5082" s="651"/>
      <c r="S5082" s="651"/>
    </row>
    <row r="5083" spans="12:19" ht="15.75" customHeight="1" x14ac:dyDescent="0.35">
      <c r="L5083" s="2"/>
      <c r="M5083" s="2"/>
      <c r="N5083" s="650"/>
      <c r="O5083" s="650"/>
      <c r="P5083" s="651"/>
      <c r="Q5083" s="651"/>
      <c r="R5083" s="651"/>
      <c r="S5083" s="651"/>
    </row>
    <row r="5084" spans="12:19" ht="15.75" customHeight="1" x14ac:dyDescent="0.35">
      <c r="L5084" s="2"/>
      <c r="M5084" s="2"/>
      <c r="N5084" s="650"/>
      <c r="O5084" s="650"/>
      <c r="P5084" s="651"/>
      <c r="Q5084" s="651"/>
      <c r="R5084" s="651"/>
      <c r="S5084" s="651"/>
    </row>
    <row r="5085" spans="12:19" ht="15.75" customHeight="1" x14ac:dyDescent="0.35">
      <c r="L5085" s="2"/>
      <c r="M5085" s="2"/>
      <c r="N5085" s="650"/>
      <c r="O5085" s="650"/>
      <c r="P5085" s="651"/>
      <c r="Q5085" s="651"/>
      <c r="R5085" s="651"/>
      <c r="S5085" s="651"/>
    </row>
    <row r="5086" spans="12:19" ht="15.75" customHeight="1" x14ac:dyDescent="0.35">
      <c r="L5086" s="2"/>
      <c r="M5086" s="2"/>
      <c r="N5086" s="650"/>
      <c r="O5086" s="650"/>
      <c r="P5086" s="651"/>
      <c r="Q5086" s="651"/>
      <c r="R5086" s="651"/>
      <c r="S5086" s="651"/>
    </row>
    <row r="5087" spans="12:19" ht="15.75" customHeight="1" x14ac:dyDescent="0.35">
      <c r="L5087" s="2"/>
      <c r="M5087" s="2"/>
      <c r="N5087" s="650"/>
      <c r="O5087" s="650"/>
      <c r="P5087" s="651"/>
      <c r="Q5087" s="651"/>
      <c r="R5087" s="651"/>
      <c r="S5087" s="651"/>
    </row>
    <row r="5088" spans="12:19" ht="15.75" customHeight="1" x14ac:dyDescent="0.35">
      <c r="L5088" s="2"/>
      <c r="M5088" s="2"/>
      <c r="N5088" s="650"/>
      <c r="O5088" s="650"/>
      <c r="P5088" s="651"/>
      <c r="Q5088" s="651"/>
      <c r="R5088" s="651"/>
      <c r="S5088" s="651"/>
    </row>
    <row r="5089" spans="12:19" ht="15.75" customHeight="1" x14ac:dyDescent="0.35">
      <c r="L5089" s="2"/>
      <c r="M5089" s="2"/>
      <c r="N5089" s="650"/>
      <c r="O5089" s="650"/>
      <c r="P5089" s="651"/>
      <c r="Q5089" s="651"/>
      <c r="R5089" s="651"/>
      <c r="S5089" s="651"/>
    </row>
    <row r="5090" spans="12:19" ht="15.75" customHeight="1" x14ac:dyDescent="0.35">
      <c r="L5090" s="2"/>
      <c r="M5090" s="2"/>
      <c r="N5090" s="650"/>
      <c r="O5090" s="650"/>
      <c r="P5090" s="651"/>
      <c r="Q5090" s="651"/>
      <c r="R5090" s="651"/>
      <c r="S5090" s="651"/>
    </row>
    <row r="5091" spans="12:19" ht="15.75" customHeight="1" x14ac:dyDescent="0.35">
      <c r="L5091" s="2"/>
      <c r="M5091" s="2"/>
      <c r="N5091" s="650"/>
      <c r="O5091" s="650"/>
      <c r="P5091" s="651"/>
      <c r="Q5091" s="651"/>
      <c r="R5091" s="651"/>
      <c r="S5091" s="651"/>
    </row>
    <row r="5092" spans="12:19" ht="15.75" customHeight="1" x14ac:dyDescent="0.35">
      <c r="L5092" s="2"/>
      <c r="M5092" s="2"/>
      <c r="N5092" s="650"/>
      <c r="O5092" s="650"/>
      <c r="P5092" s="651"/>
      <c r="Q5092" s="651"/>
      <c r="R5092" s="651"/>
      <c r="S5092" s="651"/>
    </row>
    <row r="5093" spans="12:19" ht="15.75" customHeight="1" x14ac:dyDescent="0.35">
      <c r="L5093" s="2"/>
      <c r="M5093" s="2"/>
      <c r="N5093" s="650"/>
      <c r="O5093" s="650"/>
      <c r="P5093" s="651"/>
      <c r="Q5093" s="651"/>
      <c r="R5093" s="651"/>
      <c r="S5093" s="651"/>
    </row>
    <row r="5094" spans="12:19" ht="15.75" customHeight="1" x14ac:dyDescent="0.35">
      <c r="L5094" s="2"/>
      <c r="M5094" s="2"/>
      <c r="N5094" s="650"/>
      <c r="O5094" s="650"/>
      <c r="P5094" s="651"/>
      <c r="Q5094" s="651"/>
      <c r="R5094" s="651"/>
      <c r="S5094" s="651"/>
    </row>
    <row r="5095" spans="12:19" ht="15.75" customHeight="1" x14ac:dyDescent="0.35">
      <c r="L5095" s="2"/>
      <c r="M5095" s="2"/>
      <c r="N5095" s="650"/>
      <c r="O5095" s="650"/>
      <c r="P5095" s="651"/>
      <c r="Q5095" s="651"/>
      <c r="R5095" s="651"/>
      <c r="S5095" s="651"/>
    </row>
    <row r="5096" spans="12:19" ht="15.75" customHeight="1" x14ac:dyDescent="0.35">
      <c r="L5096" s="2"/>
      <c r="M5096" s="2"/>
      <c r="N5096" s="650"/>
      <c r="O5096" s="650"/>
      <c r="P5096" s="651"/>
      <c r="Q5096" s="651"/>
      <c r="R5096" s="651"/>
      <c r="S5096" s="651"/>
    </row>
    <row r="5097" spans="12:19" ht="15.75" customHeight="1" x14ac:dyDescent="0.35">
      <c r="L5097" s="2"/>
      <c r="M5097" s="2"/>
      <c r="N5097" s="650"/>
      <c r="O5097" s="650"/>
      <c r="P5097" s="651"/>
      <c r="Q5097" s="651"/>
      <c r="R5097" s="651"/>
      <c r="S5097" s="651"/>
    </row>
    <row r="5098" spans="12:19" ht="15.75" customHeight="1" x14ac:dyDescent="0.35">
      <c r="L5098" s="2"/>
      <c r="M5098" s="2"/>
      <c r="N5098" s="650"/>
      <c r="O5098" s="650"/>
      <c r="P5098" s="651"/>
      <c r="Q5098" s="651"/>
      <c r="R5098" s="651"/>
      <c r="S5098" s="651"/>
    </row>
    <row r="5099" spans="12:19" ht="15.75" customHeight="1" x14ac:dyDescent="0.35">
      <c r="L5099" s="2"/>
      <c r="M5099" s="2"/>
      <c r="N5099" s="650"/>
      <c r="O5099" s="650"/>
      <c r="P5099" s="651"/>
      <c r="Q5099" s="651"/>
      <c r="R5099" s="651"/>
      <c r="S5099" s="651"/>
    </row>
    <row r="5100" spans="12:19" ht="15.75" customHeight="1" x14ac:dyDescent="0.35">
      <c r="L5100" s="2"/>
      <c r="M5100" s="2"/>
      <c r="N5100" s="650"/>
      <c r="O5100" s="650"/>
      <c r="P5100" s="651"/>
      <c r="Q5100" s="651"/>
      <c r="R5100" s="651"/>
      <c r="S5100" s="651"/>
    </row>
    <row r="5101" spans="12:19" ht="15.75" customHeight="1" x14ac:dyDescent="0.35">
      <c r="L5101" s="2"/>
      <c r="M5101" s="2"/>
      <c r="N5101" s="650"/>
      <c r="O5101" s="650"/>
      <c r="P5101" s="651"/>
      <c r="Q5101" s="651"/>
      <c r="R5101" s="651"/>
      <c r="S5101" s="651"/>
    </row>
    <row r="5102" spans="12:19" ht="15.75" customHeight="1" x14ac:dyDescent="0.35">
      <c r="L5102" s="2"/>
      <c r="M5102" s="2"/>
      <c r="N5102" s="650"/>
      <c r="O5102" s="650"/>
      <c r="P5102" s="651"/>
      <c r="Q5102" s="651"/>
      <c r="R5102" s="651"/>
      <c r="S5102" s="651"/>
    </row>
    <row r="5103" spans="12:19" ht="15.75" customHeight="1" x14ac:dyDescent="0.35">
      <c r="L5103" s="2"/>
      <c r="M5103" s="2"/>
      <c r="N5103" s="650"/>
      <c r="O5103" s="650"/>
      <c r="P5103" s="651"/>
      <c r="Q5103" s="651"/>
      <c r="R5103" s="651"/>
      <c r="S5103" s="651"/>
    </row>
    <row r="5104" spans="12:19" ht="15.75" customHeight="1" x14ac:dyDescent="0.35">
      <c r="L5104" s="2"/>
      <c r="M5104" s="2"/>
      <c r="N5104" s="650"/>
      <c r="O5104" s="650"/>
      <c r="P5104" s="651"/>
      <c r="Q5104" s="651"/>
      <c r="R5104" s="651"/>
      <c r="S5104" s="651"/>
    </row>
    <row r="5105" spans="12:19" ht="15.75" customHeight="1" x14ac:dyDescent="0.35">
      <c r="L5105" s="2"/>
      <c r="M5105" s="2"/>
      <c r="N5105" s="650"/>
      <c r="O5105" s="650"/>
      <c r="P5105" s="651"/>
      <c r="Q5105" s="651"/>
      <c r="R5105" s="651"/>
      <c r="S5105" s="651"/>
    </row>
    <row r="5106" spans="12:19" ht="15.75" customHeight="1" x14ac:dyDescent="0.35">
      <c r="L5106" s="2"/>
      <c r="M5106" s="2"/>
      <c r="N5106" s="650"/>
      <c r="O5106" s="650"/>
      <c r="P5106" s="651"/>
      <c r="Q5106" s="651"/>
      <c r="R5106" s="651"/>
      <c r="S5106" s="651"/>
    </row>
    <row r="5107" spans="12:19" ht="15.75" customHeight="1" x14ac:dyDescent="0.35">
      <c r="L5107" s="2"/>
      <c r="M5107" s="2"/>
      <c r="N5107" s="650"/>
      <c r="O5107" s="650"/>
      <c r="P5107" s="651"/>
      <c r="Q5107" s="651"/>
      <c r="R5107" s="651"/>
      <c r="S5107" s="651"/>
    </row>
    <row r="5108" spans="12:19" ht="15.75" customHeight="1" x14ac:dyDescent="0.35">
      <c r="L5108" s="2"/>
      <c r="M5108" s="2"/>
      <c r="N5108" s="650"/>
      <c r="O5108" s="650"/>
      <c r="P5108" s="651"/>
      <c r="Q5108" s="651"/>
      <c r="R5108" s="651"/>
      <c r="S5108" s="651"/>
    </row>
    <row r="5109" spans="12:19" ht="15.75" customHeight="1" x14ac:dyDescent="0.35">
      <c r="L5109" s="2"/>
      <c r="M5109" s="2"/>
      <c r="N5109" s="650"/>
      <c r="O5109" s="650"/>
      <c r="P5109" s="651"/>
      <c r="Q5109" s="651"/>
      <c r="R5109" s="651"/>
      <c r="S5109" s="651"/>
    </row>
    <row r="5110" spans="12:19" ht="15.75" customHeight="1" x14ac:dyDescent="0.35">
      <c r="L5110" s="2"/>
      <c r="M5110" s="2"/>
      <c r="N5110" s="650"/>
      <c r="O5110" s="650"/>
      <c r="P5110" s="651"/>
      <c r="Q5110" s="651"/>
      <c r="R5110" s="651"/>
      <c r="S5110" s="651"/>
    </row>
    <row r="5111" spans="12:19" ht="15.75" customHeight="1" x14ac:dyDescent="0.35">
      <c r="L5111" s="2"/>
      <c r="M5111" s="2"/>
      <c r="N5111" s="650"/>
      <c r="O5111" s="650"/>
      <c r="P5111" s="651"/>
      <c r="Q5111" s="651"/>
      <c r="R5111" s="651"/>
      <c r="S5111" s="651"/>
    </row>
    <row r="5112" spans="12:19" ht="15.75" customHeight="1" x14ac:dyDescent="0.35">
      <c r="L5112" s="2"/>
      <c r="M5112" s="2"/>
      <c r="N5112" s="650"/>
      <c r="O5112" s="650"/>
      <c r="P5112" s="651"/>
      <c r="Q5112" s="651"/>
      <c r="R5112" s="651"/>
      <c r="S5112" s="651"/>
    </row>
    <row r="5113" spans="12:19" ht="15.75" customHeight="1" x14ac:dyDescent="0.35">
      <c r="L5113" s="2"/>
      <c r="M5113" s="2"/>
      <c r="N5113" s="650"/>
      <c r="O5113" s="650"/>
      <c r="P5113" s="651"/>
      <c r="Q5113" s="651"/>
      <c r="R5113" s="651"/>
      <c r="S5113" s="651"/>
    </row>
    <row r="5114" spans="12:19" ht="15.75" customHeight="1" x14ac:dyDescent="0.35">
      <c r="L5114" s="2"/>
      <c r="M5114" s="2"/>
      <c r="N5114" s="650"/>
      <c r="O5114" s="650"/>
      <c r="P5114" s="651"/>
      <c r="Q5114" s="651"/>
      <c r="R5114" s="651"/>
      <c r="S5114" s="651"/>
    </row>
    <row r="5115" spans="12:19" ht="15.75" customHeight="1" x14ac:dyDescent="0.35">
      <c r="L5115" s="2"/>
      <c r="M5115" s="2"/>
      <c r="N5115" s="650"/>
      <c r="O5115" s="650"/>
      <c r="P5115" s="651"/>
      <c r="Q5115" s="651"/>
      <c r="R5115" s="651"/>
      <c r="S5115" s="651"/>
    </row>
    <row r="5116" spans="12:19" ht="15.75" customHeight="1" x14ac:dyDescent="0.35">
      <c r="L5116" s="2"/>
      <c r="M5116" s="2"/>
      <c r="N5116" s="650"/>
      <c r="O5116" s="650"/>
      <c r="P5116" s="651"/>
      <c r="Q5116" s="651"/>
      <c r="R5116" s="651"/>
      <c r="S5116" s="651"/>
    </row>
    <row r="5117" spans="12:19" ht="15.75" customHeight="1" x14ac:dyDescent="0.35">
      <c r="L5117" s="2"/>
      <c r="M5117" s="2"/>
      <c r="N5117" s="650"/>
      <c r="O5117" s="650"/>
      <c r="P5117" s="651"/>
      <c r="Q5117" s="651"/>
      <c r="R5117" s="651"/>
      <c r="S5117" s="651"/>
    </row>
    <row r="5118" spans="12:19" ht="15.75" customHeight="1" x14ac:dyDescent="0.35">
      <c r="L5118" s="2"/>
      <c r="M5118" s="2"/>
      <c r="N5118" s="650"/>
      <c r="O5118" s="650"/>
      <c r="P5118" s="651"/>
      <c r="Q5118" s="651"/>
      <c r="R5118" s="651"/>
      <c r="S5118" s="651"/>
    </row>
    <row r="5119" spans="12:19" ht="15.75" customHeight="1" x14ac:dyDescent="0.35">
      <c r="L5119" s="2"/>
      <c r="M5119" s="2"/>
      <c r="N5119" s="650"/>
      <c r="O5119" s="650"/>
      <c r="P5119" s="651"/>
      <c r="Q5119" s="651"/>
      <c r="R5119" s="651"/>
      <c r="S5119" s="651"/>
    </row>
    <row r="5120" spans="12:19" ht="15.75" customHeight="1" x14ac:dyDescent="0.35">
      <c r="L5120" s="2"/>
      <c r="M5120" s="2"/>
      <c r="N5120" s="650"/>
      <c r="O5120" s="650"/>
      <c r="P5120" s="651"/>
      <c r="Q5120" s="651"/>
      <c r="R5120" s="651"/>
      <c r="S5120" s="651"/>
    </row>
    <row r="5121" spans="12:19" ht="15.75" customHeight="1" x14ac:dyDescent="0.35">
      <c r="L5121" s="2"/>
      <c r="M5121" s="2"/>
      <c r="N5121" s="650"/>
      <c r="O5121" s="650"/>
      <c r="P5121" s="651"/>
      <c r="Q5121" s="651"/>
      <c r="R5121" s="651"/>
      <c r="S5121" s="651"/>
    </row>
    <row r="5122" spans="12:19" ht="15.75" customHeight="1" x14ac:dyDescent="0.35">
      <c r="L5122" s="2"/>
      <c r="M5122" s="2"/>
      <c r="N5122" s="650"/>
      <c r="O5122" s="650"/>
      <c r="P5122" s="651"/>
      <c r="Q5122" s="651"/>
      <c r="R5122" s="651"/>
      <c r="S5122" s="651"/>
    </row>
    <row r="5123" spans="12:19" ht="15.75" customHeight="1" x14ac:dyDescent="0.35">
      <c r="L5123" s="2"/>
      <c r="M5123" s="2"/>
      <c r="N5123" s="650"/>
      <c r="O5123" s="650"/>
      <c r="P5123" s="651"/>
      <c r="Q5123" s="651"/>
      <c r="R5123" s="651"/>
      <c r="S5123" s="651"/>
    </row>
    <row r="5124" spans="12:19" ht="15.75" customHeight="1" x14ac:dyDescent="0.35">
      <c r="L5124" s="2"/>
      <c r="M5124" s="2"/>
      <c r="N5124" s="650"/>
      <c r="O5124" s="650"/>
      <c r="P5124" s="651"/>
      <c r="Q5124" s="651"/>
      <c r="R5124" s="651"/>
      <c r="S5124" s="651"/>
    </row>
    <row r="5125" spans="12:19" ht="15.75" customHeight="1" x14ac:dyDescent="0.35">
      <c r="L5125" s="2"/>
      <c r="M5125" s="2"/>
      <c r="N5125" s="650"/>
      <c r="O5125" s="650"/>
      <c r="P5125" s="651"/>
      <c r="Q5125" s="651"/>
      <c r="R5125" s="651"/>
      <c r="S5125" s="651"/>
    </row>
    <row r="5126" spans="12:19" ht="15.75" customHeight="1" x14ac:dyDescent="0.35">
      <c r="L5126" s="2"/>
      <c r="M5126" s="2"/>
      <c r="N5126" s="650"/>
      <c r="O5126" s="650"/>
      <c r="P5126" s="651"/>
      <c r="Q5126" s="651"/>
      <c r="R5126" s="651"/>
      <c r="S5126" s="651"/>
    </row>
    <row r="5127" spans="12:19" ht="15.75" customHeight="1" x14ac:dyDescent="0.35">
      <c r="L5127" s="2"/>
      <c r="M5127" s="2"/>
      <c r="N5127" s="650"/>
      <c r="O5127" s="650"/>
      <c r="P5127" s="651"/>
      <c r="Q5127" s="651"/>
      <c r="R5127" s="651"/>
      <c r="S5127" s="651"/>
    </row>
    <row r="5128" spans="12:19" ht="15.75" customHeight="1" x14ac:dyDescent="0.35">
      <c r="L5128" s="2"/>
      <c r="M5128" s="2"/>
      <c r="N5128" s="650"/>
      <c r="O5128" s="650"/>
      <c r="P5128" s="651"/>
      <c r="Q5128" s="651"/>
      <c r="R5128" s="651"/>
      <c r="S5128" s="651"/>
    </row>
    <row r="5129" spans="12:19" ht="15.75" customHeight="1" x14ac:dyDescent="0.35">
      <c r="L5129" s="2"/>
      <c r="M5129" s="2"/>
      <c r="N5129" s="650"/>
      <c r="O5129" s="650"/>
      <c r="P5129" s="651"/>
      <c r="Q5129" s="651"/>
      <c r="R5129" s="651"/>
      <c r="S5129" s="651"/>
    </row>
    <row r="5130" spans="12:19" ht="15.75" customHeight="1" x14ac:dyDescent="0.35">
      <c r="L5130" s="2"/>
      <c r="M5130" s="2"/>
      <c r="N5130" s="650"/>
      <c r="O5130" s="650"/>
      <c r="P5130" s="651"/>
      <c r="Q5130" s="651"/>
      <c r="R5130" s="651"/>
      <c r="S5130" s="651"/>
    </row>
    <row r="5131" spans="12:19" ht="15.75" customHeight="1" x14ac:dyDescent="0.35">
      <c r="L5131" s="2"/>
      <c r="M5131" s="2"/>
      <c r="N5131" s="650"/>
      <c r="O5131" s="650"/>
      <c r="P5131" s="651"/>
      <c r="Q5131" s="651"/>
      <c r="R5131" s="651"/>
      <c r="S5131" s="651"/>
    </row>
    <row r="5132" spans="12:19" ht="15.75" customHeight="1" x14ac:dyDescent="0.35">
      <c r="L5132" s="2"/>
      <c r="M5132" s="2"/>
      <c r="N5132" s="650"/>
      <c r="O5132" s="650"/>
      <c r="P5132" s="651"/>
      <c r="Q5132" s="651"/>
      <c r="R5132" s="651"/>
      <c r="S5132" s="651"/>
    </row>
    <row r="5133" spans="12:19" ht="15.75" customHeight="1" x14ac:dyDescent="0.35">
      <c r="L5133" s="2"/>
      <c r="M5133" s="2"/>
      <c r="N5133" s="650"/>
      <c r="O5133" s="650"/>
      <c r="P5133" s="651"/>
      <c r="Q5133" s="651"/>
      <c r="R5133" s="651"/>
      <c r="S5133" s="651"/>
    </row>
    <row r="5134" spans="12:19" ht="15.75" customHeight="1" x14ac:dyDescent="0.35">
      <c r="L5134" s="2"/>
      <c r="M5134" s="2"/>
      <c r="N5134" s="650"/>
      <c r="O5134" s="650"/>
      <c r="P5134" s="651"/>
      <c r="Q5134" s="651"/>
      <c r="R5134" s="651"/>
      <c r="S5134" s="651"/>
    </row>
    <row r="5135" spans="12:19" ht="15.75" customHeight="1" x14ac:dyDescent="0.35">
      <c r="L5135" s="2"/>
      <c r="M5135" s="2"/>
      <c r="N5135" s="650"/>
      <c r="O5135" s="650"/>
      <c r="P5135" s="651"/>
      <c r="Q5135" s="651"/>
      <c r="R5135" s="651"/>
      <c r="S5135" s="651"/>
    </row>
    <row r="5136" spans="12:19" ht="15.75" customHeight="1" x14ac:dyDescent="0.35">
      <c r="L5136" s="2"/>
      <c r="M5136" s="2"/>
      <c r="N5136" s="650"/>
      <c r="O5136" s="650"/>
      <c r="P5136" s="651"/>
      <c r="Q5136" s="651"/>
      <c r="R5136" s="651"/>
      <c r="S5136" s="651"/>
    </row>
    <row r="5137" spans="12:19" ht="15.75" customHeight="1" x14ac:dyDescent="0.35">
      <c r="L5137" s="2"/>
      <c r="M5137" s="2"/>
      <c r="N5137" s="650"/>
      <c r="O5137" s="650"/>
      <c r="P5137" s="651"/>
      <c r="Q5137" s="651"/>
      <c r="R5137" s="651"/>
      <c r="S5137" s="651"/>
    </row>
    <row r="5138" spans="12:19" ht="15.75" customHeight="1" x14ac:dyDescent="0.35">
      <c r="L5138" s="2"/>
      <c r="M5138" s="2"/>
      <c r="N5138" s="650"/>
      <c r="O5138" s="650"/>
      <c r="P5138" s="651"/>
      <c r="Q5138" s="651"/>
      <c r="R5138" s="651"/>
      <c r="S5138" s="651"/>
    </row>
    <row r="5139" spans="12:19" ht="15.75" customHeight="1" x14ac:dyDescent="0.35">
      <c r="L5139" s="2"/>
      <c r="M5139" s="2"/>
      <c r="N5139" s="650"/>
      <c r="O5139" s="650"/>
      <c r="P5139" s="651"/>
      <c r="Q5139" s="651"/>
      <c r="R5139" s="651"/>
      <c r="S5139" s="651"/>
    </row>
    <row r="5140" spans="12:19" ht="15.75" customHeight="1" x14ac:dyDescent="0.35">
      <c r="L5140" s="2"/>
      <c r="M5140" s="2"/>
      <c r="N5140" s="650"/>
      <c r="O5140" s="650"/>
      <c r="P5140" s="651"/>
      <c r="Q5140" s="651"/>
      <c r="R5140" s="651"/>
      <c r="S5140" s="651"/>
    </row>
    <row r="5141" spans="12:19" ht="15.75" customHeight="1" x14ac:dyDescent="0.35">
      <c r="L5141" s="2"/>
      <c r="M5141" s="2"/>
      <c r="N5141" s="650"/>
      <c r="O5141" s="650"/>
      <c r="P5141" s="651"/>
      <c r="Q5141" s="651"/>
      <c r="R5141" s="651"/>
      <c r="S5141" s="651"/>
    </row>
    <row r="5142" spans="12:19" ht="15.75" customHeight="1" x14ac:dyDescent="0.35">
      <c r="L5142" s="2"/>
      <c r="M5142" s="2"/>
      <c r="N5142" s="650"/>
      <c r="O5142" s="650"/>
      <c r="P5142" s="651"/>
      <c r="Q5142" s="651"/>
      <c r="R5142" s="651"/>
      <c r="S5142" s="651"/>
    </row>
    <row r="5143" spans="12:19" ht="15.75" customHeight="1" x14ac:dyDescent="0.35">
      <c r="L5143" s="2"/>
      <c r="M5143" s="2"/>
      <c r="N5143" s="650"/>
      <c r="O5143" s="650"/>
      <c r="P5143" s="651"/>
      <c r="Q5143" s="651"/>
      <c r="R5143" s="651"/>
      <c r="S5143" s="651"/>
    </row>
    <row r="5144" spans="12:19" ht="15.75" customHeight="1" x14ac:dyDescent="0.35">
      <c r="L5144" s="2"/>
      <c r="M5144" s="2"/>
      <c r="N5144" s="650"/>
      <c r="O5144" s="650"/>
      <c r="P5144" s="651"/>
      <c r="Q5144" s="651"/>
      <c r="R5144" s="651"/>
      <c r="S5144" s="651"/>
    </row>
    <row r="5145" spans="12:19" ht="15.75" customHeight="1" x14ac:dyDescent="0.35">
      <c r="L5145" s="2"/>
      <c r="M5145" s="2"/>
      <c r="N5145" s="650"/>
      <c r="O5145" s="650"/>
      <c r="P5145" s="651"/>
      <c r="Q5145" s="651"/>
      <c r="R5145" s="651"/>
      <c r="S5145" s="651"/>
    </row>
    <row r="5146" spans="12:19" ht="15.75" customHeight="1" x14ac:dyDescent="0.35">
      <c r="L5146" s="2"/>
      <c r="M5146" s="2"/>
      <c r="N5146" s="650"/>
      <c r="O5146" s="650"/>
      <c r="P5146" s="651"/>
      <c r="Q5146" s="651"/>
      <c r="R5146" s="651"/>
      <c r="S5146" s="651"/>
    </row>
    <row r="5147" spans="12:19" ht="15.75" customHeight="1" x14ac:dyDescent="0.35">
      <c r="L5147" s="2"/>
      <c r="M5147" s="2"/>
      <c r="N5147" s="650"/>
      <c r="O5147" s="650"/>
      <c r="P5147" s="651"/>
      <c r="Q5147" s="651"/>
      <c r="R5147" s="651"/>
      <c r="S5147" s="651"/>
    </row>
    <row r="5148" spans="12:19" ht="15.75" customHeight="1" x14ac:dyDescent="0.35">
      <c r="L5148" s="2"/>
      <c r="M5148" s="2"/>
      <c r="N5148" s="650"/>
      <c r="O5148" s="650"/>
      <c r="P5148" s="651"/>
      <c r="Q5148" s="651"/>
      <c r="R5148" s="651"/>
      <c r="S5148" s="651"/>
    </row>
    <row r="5149" spans="12:19" ht="15.75" customHeight="1" x14ac:dyDescent="0.35">
      <c r="L5149" s="2"/>
      <c r="M5149" s="2"/>
      <c r="N5149" s="650"/>
      <c r="O5149" s="650"/>
      <c r="P5149" s="651"/>
      <c r="Q5149" s="651"/>
      <c r="R5149" s="651"/>
      <c r="S5149" s="651"/>
    </row>
    <row r="5150" spans="12:19" ht="15.75" customHeight="1" x14ac:dyDescent="0.35">
      <c r="L5150" s="2"/>
      <c r="M5150" s="2"/>
      <c r="N5150" s="650"/>
      <c r="O5150" s="650"/>
      <c r="P5150" s="651"/>
      <c r="Q5150" s="651"/>
      <c r="R5150" s="651"/>
      <c r="S5150" s="651"/>
    </row>
    <row r="5151" spans="12:19" ht="15.75" customHeight="1" x14ac:dyDescent="0.35">
      <c r="L5151" s="2"/>
      <c r="M5151" s="2"/>
      <c r="N5151" s="650"/>
      <c r="O5151" s="650"/>
      <c r="P5151" s="651"/>
      <c r="Q5151" s="651"/>
      <c r="R5151" s="651"/>
      <c r="S5151" s="651"/>
    </row>
    <row r="5152" spans="12:19" ht="15.75" customHeight="1" x14ac:dyDescent="0.35">
      <c r="L5152" s="2"/>
      <c r="M5152" s="2"/>
      <c r="N5152" s="650"/>
      <c r="O5152" s="650"/>
      <c r="P5152" s="651"/>
      <c r="Q5152" s="651"/>
      <c r="R5152" s="651"/>
      <c r="S5152" s="651"/>
    </row>
    <row r="5153" spans="12:19" ht="15.75" customHeight="1" x14ac:dyDescent="0.35">
      <c r="L5153" s="2"/>
      <c r="M5153" s="2"/>
      <c r="N5153" s="650"/>
      <c r="O5153" s="650"/>
      <c r="P5153" s="651"/>
      <c r="Q5153" s="651"/>
      <c r="R5153" s="651"/>
      <c r="S5153" s="651"/>
    </row>
    <row r="5154" spans="12:19" ht="15.75" customHeight="1" x14ac:dyDescent="0.35">
      <c r="L5154" s="2"/>
      <c r="M5154" s="2"/>
      <c r="N5154" s="650"/>
      <c r="O5154" s="650"/>
      <c r="P5154" s="651"/>
      <c r="Q5154" s="651"/>
      <c r="R5154" s="651"/>
      <c r="S5154" s="651"/>
    </row>
    <row r="5155" spans="12:19" ht="15.75" customHeight="1" x14ac:dyDescent="0.35">
      <c r="L5155" s="2"/>
      <c r="M5155" s="2"/>
      <c r="N5155" s="650"/>
      <c r="O5155" s="650"/>
      <c r="P5155" s="651"/>
      <c r="Q5155" s="651"/>
      <c r="R5155" s="651"/>
      <c r="S5155" s="651"/>
    </row>
    <row r="5156" spans="12:19" ht="15.75" customHeight="1" x14ac:dyDescent="0.35">
      <c r="L5156" s="2"/>
      <c r="M5156" s="2"/>
      <c r="N5156" s="650"/>
      <c r="O5156" s="650"/>
      <c r="P5156" s="651"/>
      <c r="Q5156" s="651"/>
      <c r="R5156" s="651"/>
      <c r="S5156" s="651"/>
    </row>
    <row r="5157" spans="12:19" ht="15.75" customHeight="1" x14ac:dyDescent="0.35">
      <c r="L5157" s="2"/>
      <c r="M5157" s="2"/>
      <c r="N5157" s="650"/>
      <c r="O5157" s="650"/>
      <c r="P5157" s="651"/>
      <c r="Q5157" s="651"/>
      <c r="R5157" s="651"/>
      <c r="S5157" s="651"/>
    </row>
    <row r="5158" spans="12:19" ht="15.75" customHeight="1" x14ac:dyDescent="0.35">
      <c r="L5158" s="2"/>
      <c r="M5158" s="2"/>
      <c r="N5158" s="650"/>
      <c r="O5158" s="650"/>
      <c r="P5158" s="651"/>
      <c r="Q5158" s="651"/>
      <c r="R5158" s="651"/>
      <c r="S5158" s="651"/>
    </row>
    <row r="5159" spans="12:19" ht="15.75" customHeight="1" x14ac:dyDescent="0.35">
      <c r="L5159" s="2"/>
      <c r="M5159" s="2"/>
      <c r="N5159" s="650"/>
      <c r="O5159" s="650"/>
      <c r="P5159" s="651"/>
      <c r="Q5159" s="651"/>
      <c r="R5159" s="651"/>
      <c r="S5159" s="651"/>
    </row>
    <row r="5160" spans="12:19" ht="15.75" customHeight="1" x14ac:dyDescent="0.35">
      <c r="L5160" s="2"/>
      <c r="M5160" s="2"/>
      <c r="N5160" s="650"/>
      <c r="O5160" s="650"/>
      <c r="P5160" s="651"/>
      <c r="Q5160" s="651"/>
      <c r="R5160" s="651"/>
      <c r="S5160" s="651"/>
    </row>
    <row r="5161" spans="12:19" ht="15.75" customHeight="1" x14ac:dyDescent="0.35">
      <c r="L5161" s="2"/>
      <c r="M5161" s="2"/>
      <c r="N5161" s="650"/>
      <c r="O5161" s="650"/>
      <c r="P5161" s="651"/>
      <c r="Q5161" s="651"/>
      <c r="R5161" s="651"/>
      <c r="S5161" s="651"/>
    </row>
    <row r="5162" spans="12:19" ht="15.75" customHeight="1" x14ac:dyDescent="0.35">
      <c r="L5162" s="2"/>
      <c r="M5162" s="2"/>
      <c r="N5162" s="650"/>
      <c r="O5162" s="650"/>
      <c r="P5162" s="651"/>
      <c r="Q5162" s="651"/>
      <c r="R5162" s="651"/>
      <c r="S5162" s="651"/>
    </row>
    <row r="5163" spans="12:19" ht="15.75" customHeight="1" x14ac:dyDescent="0.35">
      <c r="L5163" s="2"/>
      <c r="M5163" s="2"/>
      <c r="N5163" s="650"/>
      <c r="O5163" s="650"/>
      <c r="P5163" s="651"/>
      <c r="Q5163" s="651"/>
      <c r="R5163" s="651"/>
      <c r="S5163" s="651"/>
    </row>
    <row r="5164" spans="12:19" ht="15.75" customHeight="1" x14ac:dyDescent="0.35">
      <c r="L5164" s="2"/>
      <c r="M5164" s="2"/>
      <c r="N5164" s="650"/>
      <c r="O5164" s="650"/>
      <c r="P5164" s="651"/>
      <c r="Q5164" s="651"/>
      <c r="R5164" s="651"/>
      <c r="S5164" s="651"/>
    </row>
    <row r="5165" spans="12:19" ht="15.75" customHeight="1" x14ac:dyDescent="0.35">
      <c r="L5165" s="2"/>
      <c r="M5165" s="2"/>
      <c r="N5165" s="650"/>
      <c r="O5165" s="650"/>
      <c r="P5165" s="651"/>
      <c r="Q5165" s="651"/>
      <c r="R5165" s="651"/>
      <c r="S5165" s="651"/>
    </row>
    <row r="5166" spans="12:19" ht="15.75" customHeight="1" x14ac:dyDescent="0.35">
      <c r="L5166" s="2"/>
      <c r="M5166" s="2"/>
      <c r="N5166" s="650"/>
      <c r="O5166" s="650"/>
      <c r="P5166" s="651"/>
      <c r="Q5166" s="651"/>
      <c r="R5166" s="651"/>
      <c r="S5166" s="651"/>
    </row>
    <row r="5167" spans="12:19" ht="15.75" customHeight="1" x14ac:dyDescent="0.35">
      <c r="L5167" s="2"/>
      <c r="M5167" s="2"/>
      <c r="N5167" s="650"/>
      <c r="O5167" s="650"/>
      <c r="P5167" s="651"/>
      <c r="Q5167" s="651"/>
      <c r="R5167" s="651"/>
      <c r="S5167" s="651"/>
    </row>
    <row r="5168" spans="12:19" ht="15.75" customHeight="1" x14ac:dyDescent="0.35">
      <c r="L5168" s="2"/>
      <c r="M5168" s="2"/>
      <c r="N5168" s="650"/>
      <c r="O5168" s="650"/>
      <c r="P5168" s="651"/>
      <c r="Q5168" s="651"/>
      <c r="R5168" s="651"/>
      <c r="S5168" s="651"/>
    </row>
    <row r="5169" spans="12:19" ht="15.75" customHeight="1" x14ac:dyDescent="0.35">
      <c r="L5169" s="2"/>
      <c r="M5169" s="2"/>
      <c r="N5169" s="650"/>
      <c r="O5169" s="650"/>
      <c r="P5169" s="651"/>
      <c r="Q5169" s="651"/>
      <c r="R5169" s="651"/>
      <c r="S5169" s="651"/>
    </row>
    <row r="5170" spans="12:19" ht="15.75" customHeight="1" x14ac:dyDescent="0.35">
      <c r="L5170" s="2"/>
      <c r="M5170" s="2"/>
      <c r="N5170" s="650"/>
      <c r="O5170" s="650"/>
      <c r="P5170" s="651"/>
      <c r="Q5170" s="651"/>
      <c r="R5170" s="651"/>
      <c r="S5170" s="651"/>
    </row>
    <row r="5171" spans="12:19" ht="15.75" customHeight="1" x14ac:dyDescent="0.35">
      <c r="L5171" s="2"/>
      <c r="M5171" s="2"/>
      <c r="N5171" s="650"/>
      <c r="O5171" s="650"/>
      <c r="P5171" s="651"/>
      <c r="Q5171" s="651"/>
      <c r="R5171" s="651"/>
      <c r="S5171" s="651"/>
    </row>
    <row r="5172" spans="12:19" ht="15.75" customHeight="1" x14ac:dyDescent="0.35">
      <c r="L5172" s="2"/>
      <c r="M5172" s="2"/>
      <c r="N5172" s="650"/>
      <c r="O5172" s="650"/>
      <c r="P5172" s="651"/>
      <c r="Q5172" s="651"/>
      <c r="R5172" s="651"/>
      <c r="S5172" s="651"/>
    </row>
    <row r="5173" spans="12:19" ht="15.75" customHeight="1" x14ac:dyDescent="0.35">
      <c r="L5173" s="2"/>
      <c r="M5173" s="2"/>
      <c r="N5173" s="650"/>
      <c r="O5173" s="650"/>
      <c r="P5173" s="651"/>
      <c r="Q5173" s="651"/>
      <c r="R5173" s="651"/>
      <c r="S5173" s="651"/>
    </row>
    <row r="5174" spans="12:19" ht="15.75" customHeight="1" x14ac:dyDescent="0.35">
      <c r="L5174" s="2"/>
      <c r="M5174" s="2"/>
      <c r="N5174" s="650"/>
      <c r="O5174" s="650"/>
      <c r="P5174" s="651"/>
      <c r="Q5174" s="651"/>
      <c r="R5174" s="651"/>
      <c r="S5174" s="651"/>
    </row>
    <row r="5175" spans="12:19" ht="15.75" customHeight="1" x14ac:dyDescent="0.35">
      <c r="L5175" s="2"/>
      <c r="M5175" s="2"/>
      <c r="N5175" s="650"/>
      <c r="O5175" s="650"/>
      <c r="P5175" s="651"/>
      <c r="Q5175" s="651"/>
      <c r="R5175" s="651"/>
      <c r="S5175" s="651"/>
    </row>
    <row r="5176" spans="12:19" ht="15.75" customHeight="1" x14ac:dyDescent="0.35">
      <c r="L5176" s="2"/>
      <c r="M5176" s="2"/>
      <c r="N5176" s="650"/>
      <c r="O5176" s="650"/>
      <c r="P5176" s="651"/>
      <c r="Q5176" s="651"/>
      <c r="R5176" s="651"/>
      <c r="S5176" s="651"/>
    </row>
    <row r="5177" spans="12:19" ht="15.75" customHeight="1" x14ac:dyDescent="0.35">
      <c r="L5177" s="2"/>
      <c r="M5177" s="2"/>
      <c r="N5177" s="650"/>
      <c r="O5177" s="650"/>
      <c r="P5177" s="651"/>
      <c r="Q5177" s="651"/>
      <c r="R5177" s="651"/>
      <c r="S5177" s="651"/>
    </row>
    <row r="5178" spans="12:19" ht="15.75" customHeight="1" x14ac:dyDescent="0.35">
      <c r="L5178" s="2"/>
      <c r="M5178" s="2"/>
      <c r="N5178" s="650"/>
      <c r="O5178" s="650"/>
      <c r="P5178" s="651"/>
      <c r="Q5178" s="651"/>
      <c r="R5178" s="651"/>
      <c r="S5178" s="651"/>
    </row>
    <row r="5179" spans="12:19" ht="15.75" customHeight="1" x14ac:dyDescent="0.35">
      <c r="L5179" s="2"/>
      <c r="M5179" s="2"/>
      <c r="N5179" s="650"/>
      <c r="O5179" s="650"/>
      <c r="P5179" s="651"/>
      <c r="Q5179" s="651"/>
      <c r="R5179" s="651"/>
      <c r="S5179" s="651"/>
    </row>
    <row r="5180" spans="12:19" ht="15.75" customHeight="1" x14ac:dyDescent="0.35">
      <c r="L5180" s="2"/>
      <c r="M5180" s="2"/>
      <c r="N5180" s="650"/>
      <c r="O5180" s="650"/>
      <c r="P5180" s="651"/>
      <c r="Q5180" s="651"/>
      <c r="R5180" s="651"/>
      <c r="S5180" s="651"/>
    </row>
    <row r="5181" spans="12:19" ht="15.75" customHeight="1" x14ac:dyDescent="0.35">
      <c r="L5181" s="2"/>
      <c r="M5181" s="2"/>
      <c r="N5181" s="650"/>
      <c r="O5181" s="650"/>
      <c r="P5181" s="651"/>
      <c r="Q5181" s="651"/>
      <c r="R5181" s="651"/>
      <c r="S5181" s="651"/>
    </row>
    <row r="5182" spans="12:19" ht="15.75" customHeight="1" x14ac:dyDescent="0.35">
      <c r="L5182" s="2"/>
      <c r="M5182" s="2"/>
      <c r="N5182" s="650"/>
      <c r="O5182" s="650"/>
      <c r="P5182" s="651"/>
      <c r="Q5182" s="651"/>
      <c r="R5182" s="651"/>
      <c r="S5182" s="651"/>
    </row>
    <row r="5183" spans="12:19" ht="15.75" customHeight="1" x14ac:dyDescent="0.35">
      <c r="L5183" s="2"/>
      <c r="M5183" s="2"/>
      <c r="N5183" s="650"/>
      <c r="O5183" s="650"/>
      <c r="P5183" s="651"/>
      <c r="Q5183" s="651"/>
      <c r="R5183" s="651"/>
      <c r="S5183" s="651"/>
    </row>
    <row r="5184" spans="12:19" ht="15.75" customHeight="1" x14ac:dyDescent="0.35">
      <c r="L5184" s="2"/>
      <c r="M5184" s="2"/>
      <c r="N5184" s="650"/>
      <c r="O5184" s="650"/>
      <c r="P5184" s="651"/>
      <c r="Q5184" s="651"/>
      <c r="R5184" s="651"/>
      <c r="S5184" s="651"/>
    </row>
    <row r="5185" spans="12:19" ht="15.75" customHeight="1" x14ac:dyDescent="0.35">
      <c r="L5185" s="2"/>
      <c r="M5185" s="2"/>
      <c r="N5185" s="650"/>
      <c r="O5185" s="650"/>
      <c r="P5185" s="651"/>
      <c r="Q5185" s="651"/>
      <c r="R5185" s="651"/>
      <c r="S5185" s="651"/>
    </row>
    <row r="5186" spans="12:19" ht="15.75" customHeight="1" x14ac:dyDescent="0.35">
      <c r="L5186" s="2"/>
      <c r="M5186" s="2"/>
      <c r="N5186" s="650"/>
      <c r="O5186" s="650"/>
      <c r="P5186" s="651"/>
      <c r="Q5186" s="651"/>
      <c r="R5186" s="651"/>
      <c r="S5186" s="651"/>
    </row>
    <row r="5187" spans="12:19" ht="15.75" customHeight="1" x14ac:dyDescent="0.35">
      <c r="L5187" s="2"/>
      <c r="M5187" s="2"/>
      <c r="N5187" s="650"/>
      <c r="O5187" s="650"/>
      <c r="P5187" s="651"/>
      <c r="Q5187" s="651"/>
      <c r="R5187" s="651"/>
      <c r="S5187" s="651"/>
    </row>
    <row r="5188" spans="12:19" ht="15.75" customHeight="1" x14ac:dyDescent="0.35">
      <c r="L5188" s="2"/>
      <c r="M5188" s="2"/>
      <c r="N5188" s="650"/>
      <c r="O5188" s="650"/>
      <c r="P5188" s="651"/>
      <c r="Q5188" s="651"/>
      <c r="R5188" s="651"/>
      <c r="S5188" s="651"/>
    </row>
    <row r="5189" spans="12:19" ht="15.75" customHeight="1" x14ac:dyDescent="0.35">
      <c r="L5189" s="2"/>
      <c r="M5189" s="2"/>
      <c r="N5189" s="650"/>
      <c r="O5189" s="650"/>
      <c r="P5189" s="651"/>
      <c r="Q5189" s="651"/>
      <c r="R5189" s="651"/>
      <c r="S5189" s="651"/>
    </row>
    <row r="5190" spans="12:19" ht="15.75" customHeight="1" x14ac:dyDescent="0.35">
      <c r="L5190" s="2"/>
      <c r="M5190" s="2"/>
      <c r="N5190" s="650"/>
      <c r="O5190" s="650"/>
      <c r="P5190" s="651"/>
      <c r="Q5190" s="651"/>
      <c r="R5190" s="651"/>
      <c r="S5190" s="651"/>
    </row>
    <row r="5191" spans="12:19" ht="15.75" customHeight="1" x14ac:dyDescent="0.35">
      <c r="L5191" s="2"/>
      <c r="M5191" s="2"/>
      <c r="N5191" s="650"/>
      <c r="O5191" s="650"/>
      <c r="P5191" s="651"/>
      <c r="Q5191" s="651"/>
      <c r="R5191" s="651"/>
      <c r="S5191" s="651"/>
    </row>
    <row r="5192" spans="12:19" ht="15.75" customHeight="1" x14ac:dyDescent="0.35">
      <c r="L5192" s="2"/>
      <c r="M5192" s="2"/>
      <c r="N5192" s="650"/>
      <c r="O5192" s="650"/>
      <c r="P5192" s="651"/>
      <c r="Q5192" s="651"/>
      <c r="R5192" s="651"/>
      <c r="S5192" s="651"/>
    </row>
    <row r="5193" spans="12:19" ht="15.75" customHeight="1" x14ac:dyDescent="0.35">
      <c r="L5193" s="2"/>
      <c r="M5193" s="2"/>
      <c r="N5193" s="650"/>
      <c r="O5193" s="650"/>
      <c r="P5193" s="651"/>
      <c r="Q5193" s="651"/>
      <c r="R5193" s="651"/>
      <c r="S5193" s="651"/>
    </row>
    <row r="5194" spans="12:19" ht="15.75" customHeight="1" x14ac:dyDescent="0.35">
      <c r="L5194" s="2"/>
      <c r="M5194" s="2"/>
      <c r="N5194" s="650"/>
      <c r="O5194" s="650"/>
      <c r="P5194" s="651"/>
      <c r="Q5194" s="651"/>
      <c r="R5194" s="651"/>
      <c r="S5194" s="651"/>
    </row>
    <row r="5195" spans="12:19" ht="15.75" customHeight="1" x14ac:dyDescent="0.35">
      <c r="L5195" s="2"/>
      <c r="M5195" s="2"/>
      <c r="N5195" s="650"/>
      <c r="O5195" s="650"/>
      <c r="P5195" s="651"/>
      <c r="Q5195" s="651"/>
      <c r="R5195" s="651"/>
      <c r="S5195" s="651"/>
    </row>
    <row r="5196" spans="12:19" ht="15.75" customHeight="1" x14ac:dyDescent="0.35">
      <c r="L5196" s="2"/>
      <c r="M5196" s="2"/>
      <c r="N5196" s="650"/>
      <c r="O5196" s="650"/>
      <c r="P5196" s="651"/>
      <c r="Q5196" s="651"/>
      <c r="R5196" s="651"/>
      <c r="S5196" s="651"/>
    </row>
    <row r="5197" spans="12:19" ht="15.75" customHeight="1" x14ac:dyDescent="0.35">
      <c r="L5197" s="2"/>
      <c r="M5197" s="2"/>
      <c r="N5197" s="650"/>
      <c r="O5197" s="650"/>
      <c r="P5197" s="651"/>
      <c r="Q5197" s="651"/>
      <c r="R5197" s="651"/>
      <c r="S5197" s="651"/>
    </row>
    <row r="5198" spans="12:19" ht="15.75" customHeight="1" x14ac:dyDescent="0.35">
      <c r="L5198" s="2"/>
      <c r="M5198" s="2"/>
      <c r="N5198" s="650"/>
      <c r="O5198" s="650"/>
      <c r="P5198" s="651"/>
      <c r="Q5198" s="651"/>
      <c r="R5198" s="651"/>
      <c r="S5198" s="651"/>
    </row>
    <row r="5199" spans="12:19" ht="15.75" customHeight="1" x14ac:dyDescent="0.35">
      <c r="L5199" s="2"/>
      <c r="M5199" s="2"/>
      <c r="N5199" s="650"/>
      <c r="O5199" s="650"/>
      <c r="P5199" s="651"/>
      <c r="Q5199" s="651"/>
      <c r="R5199" s="651"/>
      <c r="S5199" s="651"/>
    </row>
    <row r="5200" spans="12:19" ht="15.75" customHeight="1" x14ac:dyDescent="0.35">
      <c r="L5200" s="2"/>
      <c r="M5200" s="2"/>
      <c r="N5200" s="650"/>
      <c r="O5200" s="650"/>
      <c r="P5200" s="651"/>
      <c r="Q5200" s="651"/>
      <c r="R5200" s="651"/>
      <c r="S5200" s="651"/>
    </row>
    <row r="5201" spans="12:19" ht="15.75" customHeight="1" x14ac:dyDescent="0.35">
      <c r="L5201" s="2"/>
      <c r="M5201" s="2"/>
      <c r="N5201" s="650"/>
      <c r="O5201" s="650"/>
      <c r="P5201" s="651"/>
      <c r="Q5201" s="651"/>
      <c r="R5201" s="651"/>
      <c r="S5201" s="651"/>
    </row>
    <row r="5202" spans="12:19" ht="15.75" customHeight="1" x14ac:dyDescent="0.35">
      <c r="L5202" s="2"/>
      <c r="M5202" s="2"/>
      <c r="N5202" s="650"/>
      <c r="O5202" s="650"/>
      <c r="P5202" s="651"/>
      <c r="Q5202" s="651"/>
      <c r="R5202" s="651"/>
      <c r="S5202" s="651"/>
    </row>
    <row r="5203" spans="12:19" ht="15.75" customHeight="1" x14ac:dyDescent="0.35">
      <c r="L5203" s="2"/>
      <c r="M5203" s="2"/>
      <c r="N5203" s="650"/>
      <c r="O5203" s="650"/>
      <c r="P5203" s="651"/>
      <c r="Q5203" s="651"/>
      <c r="R5203" s="651"/>
      <c r="S5203" s="651"/>
    </row>
    <row r="5204" spans="12:19" ht="15.75" customHeight="1" x14ac:dyDescent="0.35">
      <c r="L5204" s="2"/>
      <c r="M5204" s="2"/>
      <c r="N5204" s="650"/>
      <c r="O5204" s="650"/>
      <c r="P5204" s="651"/>
      <c r="Q5204" s="651"/>
      <c r="R5204" s="651"/>
      <c r="S5204" s="651"/>
    </row>
    <row r="5205" spans="12:19" ht="15.75" customHeight="1" x14ac:dyDescent="0.35">
      <c r="L5205" s="2"/>
      <c r="M5205" s="2"/>
      <c r="N5205" s="650"/>
      <c r="O5205" s="650"/>
      <c r="P5205" s="651"/>
      <c r="Q5205" s="651"/>
      <c r="R5205" s="651"/>
      <c r="S5205" s="651"/>
    </row>
    <row r="5206" spans="12:19" ht="15.75" customHeight="1" x14ac:dyDescent="0.35">
      <c r="L5206" s="2"/>
      <c r="M5206" s="2"/>
      <c r="N5206" s="650"/>
      <c r="O5206" s="650"/>
      <c r="P5206" s="651"/>
      <c r="Q5206" s="651"/>
      <c r="R5206" s="651"/>
      <c r="S5206" s="651"/>
    </row>
    <row r="5207" spans="12:19" ht="15.75" customHeight="1" x14ac:dyDescent="0.35">
      <c r="L5207" s="2"/>
      <c r="M5207" s="2"/>
      <c r="N5207" s="650"/>
      <c r="O5207" s="650"/>
      <c r="P5207" s="651"/>
      <c r="Q5207" s="651"/>
      <c r="R5207" s="651"/>
      <c r="S5207" s="651"/>
    </row>
    <row r="5208" spans="12:19" ht="15.75" customHeight="1" x14ac:dyDescent="0.35">
      <c r="L5208" s="2"/>
      <c r="M5208" s="2"/>
      <c r="N5208" s="650"/>
      <c r="O5208" s="650"/>
      <c r="P5208" s="651"/>
      <c r="Q5208" s="651"/>
      <c r="R5208" s="651"/>
      <c r="S5208" s="651"/>
    </row>
    <row r="5209" spans="12:19" ht="15.75" customHeight="1" x14ac:dyDescent="0.35">
      <c r="L5209" s="2"/>
      <c r="M5209" s="2"/>
      <c r="N5209" s="650"/>
      <c r="O5209" s="650"/>
      <c r="P5209" s="651"/>
      <c r="Q5209" s="651"/>
      <c r="R5209" s="651"/>
      <c r="S5209" s="651"/>
    </row>
    <row r="5210" spans="12:19" ht="15.75" customHeight="1" x14ac:dyDescent="0.35">
      <c r="L5210" s="2"/>
      <c r="M5210" s="2"/>
      <c r="N5210" s="650"/>
      <c r="O5210" s="650"/>
      <c r="P5210" s="651"/>
      <c r="Q5210" s="651"/>
      <c r="R5210" s="651"/>
      <c r="S5210" s="651"/>
    </row>
    <row r="5211" spans="12:19" ht="15.75" customHeight="1" x14ac:dyDescent="0.35">
      <c r="L5211" s="2"/>
      <c r="M5211" s="2"/>
      <c r="N5211" s="650"/>
      <c r="O5211" s="650"/>
      <c r="P5211" s="651"/>
      <c r="Q5211" s="651"/>
      <c r="R5211" s="651"/>
      <c r="S5211" s="651"/>
    </row>
    <row r="5212" spans="12:19" ht="15.75" customHeight="1" x14ac:dyDescent="0.35">
      <c r="L5212" s="2"/>
      <c r="M5212" s="2"/>
      <c r="N5212" s="650"/>
      <c r="O5212" s="650"/>
      <c r="P5212" s="651"/>
      <c r="Q5212" s="651"/>
      <c r="R5212" s="651"/>
      <c r="S5212" s="651"/>
    </row>
    <row r="5213" spans="12:19" ht="15.75" customHeight="1" x14ac:dyDescent="0.35">
      <c r="L5213" s="2"/>
      <c r="M5213" s="2"/>
      <c r="N5213" s="650"/>
      <c r="O5213" s="650"/>
      <c r="P5213" s="651"/>
      <c r="Q5213" s="651"/>
      <c r="R5213" s="651"/>
      <c r="S5213" s="651"/>
    </row>
    <row r="5214" spans="12:19" ht="15.75" customHeight="1" x14ac:dyDescent="0.35">
      <c r="L5214" s="2"/>
      <c r="M5214" s="2"/>
      <c r="N5214" s="650"/>
      <c r="O5214" s="650"/>
      <c r="P5214" s="651"/>
      <c r="Q5214" s="651"/>
      <c r="R5214" s="651"/>
      <c r="S5214" s="651"/>
    </row>
    <row r="5215" spans="12:19" ht="15.75" customHeight="1" x14ac:dyDescent="0.35">
      <c r="L5215" s="2"/>
      <c r="M5215" s="2"/>
      <c r="N5215" s="650"/>
      <c r="O5215" s="650"/>
      <c r="P5215" s="651"/>
      <c r="Q5215" s="651"/>
      <c r="R5215" s="651"/>
      <c r="S5215" s="651"/>
    </row>
    <row r="5216" spans="12:19" ht="15.75" customHeight="1" x14ac:dyDescent="0.35">
      <c r="L5216" s="2"/>
      <c r="M5216" s="2"/>
      <c r="N5216" s="650"/>
      <c r="O5216" s="650"/>
      <c r="P5216" s="651"/>
      <c r="Q5216" s="651"/>
      <c r="R5216" s="651"/>
      <c r="S5216" s="651"/>
    </row>
    <row r="5217" spans="12:19" ht="15.75" customHeight="1" x14ac:dyDescent="0.35">
      <c r="L5217" s="2"/>
      <c r="M5217" s="2"/>
      <c r="N5217" s="650"/>
      <c r="O5217" s="650"/>
      <c r="P5217" s="651"/>
      <c r="Q5217" s="651"/>
      <c r="R5217" s="651"/>
      <c r="S5217" s="651"/>
    </row>
    <row r="5218" spans="12:19" ht="15.75" customHeight="1" x14ac:dyDescent="0.35">
      <c r="L5218" s="2"/>
      <c r="M5218" s="2"/>
      <c r="N5218" s="650"/>
      <c r="O5218" s="650"/>
      <c r="P5218" s="651"/>
      <c r="Q5218" s="651"/>
      <c r="R5218" s="651"/>
      <c r="S5218" s="651"/>
    </row>
    <row r="5219" spans="12:19" ht="15.75" customHeight="1" x14ac:dyDescent="0.35">
      <c r="L5219" s="2"/>
      <c r="M5219" s="2"/>
      <c r="N5219" s="650"/>
      <c r="O5219" s="650"/>
      <c r="P5219" s="651"/>
      <c r="Q5219" s="651"/>
      <c r="R5219" s="651"/>
      <c r="S5219" s="651"/>
    </row>
    <row r="5220" spans="12:19" ht="15.75" customHeight="1" x14ac:dyDescent="0.35">
      <c r="L5220" s="2"/>
      <c r="M5220" s="2"/>
      <c r="N5220" s="650"/>
      <c r="O5220" s="650"/>
      <c r="P5220" s="651"/>
      <c r="Q5220" s="651"/>
      <c r="R5220" s="651"/>
      <c r="S5220" s="651"/>
    </row>
    <row r="5221" spans="12:19" ht="15.75" customHeight="1" x14ac:dyDescent="0.35">
      <c r="L5221" s="2"/>
      <c r="M5221" s="2"/>
      <c r="N5221" s="650"/>
      <c r="O5221" s="650"/>
      <c r="P5221" s="651"/>
      <c r="Q5221" s="651"/>
      <c r="R5221" s="651"/>
      <c r="S5221" s="651"/>
    </row>
    <row r="5222" spans="12:19" ht="15.75" customHeight="1" x14ac:dyDescent="0.35">
      <c r="L5222" s="2"/>
      <c r="M5222" s="2"/>
      <c r="N5222" s="650"/>
      <c r="O5222" s="650"/>
      <c r="P5222" s="651"/>
      <c r="Q5222" s="651"/>
      <c r="R5222" s="651"/>
      <c r="S5222" s="651"/>
    </row>
    <row r="5223" spans="12:19" ht="15.75" customHeight="1" x14ac:dyDescent="0.35">
      <c r="L5223" s="2"/>
      <c r="M5223" s="2"/>
      <c r="N5223" s="650"/>
      <c r="O5223" s="650"/>
      <c r="P5223" s="651"/>
      <c r="Q5223" s="651"/>
      <c r="R5223" s="651"/>
      <c r="S5223" s="651"/>
    </row>
    <row r="5224" spans="12:19" ht="15.75" customHeight="1" x14ac:dyDescent="0.35">
      <c r="L5224" s="2"/>
      <c r="M5224" s="2"/>
      <c r="N5224" s="650"/>
      <c r="O5224" s="650"/>
      <c r="P5224" s="651"/>
      <c r="Q5224" s="651"/>
      <c r="R5224" s="651"/>
      <c r="S5224" s="651"/>
    </row>
    <row r="5225" spans="12:19" ht="15.75" customHeight="1" x14ac:dyDescent="0.35">
      <c r="L5225" s="2"/>
      <c r="M5225" s="2"/>
      <c r="N5225" s="650"/>
      <c r="O5225" s="650"/>
      <c r="P5225" s="651"/>
      <c r="Q5225" s="651"/>
      <c r="R5225" s="651"/>
      <c r="S5225" s="651"/>
    </row>
    <row r="5226" spans="12:19" ht="15.75" customHeight="1" x14ac:dyDescent="0.35">
      <c r="L5226" s="2"/>
      <c r="M5226" s="2"/>
      <c r="N5226" s="650"/>
      <c r="O5226" s="650"/>
      <c r="P5226" s="651"/>
      <c r="Q5226" s="651"/>
      <c r="R5226" s="651"/>
      <c r="S5226" s="651"/>
    </row>
    <row r="5227" spans="12:19" ht="15.75" customHeight="1" x14ac:dyDescent="0.35">
      <c r="L5227" s="2"/>
      <c r="M5227" s="2"/>
      <c r="N5227" s="650"/>
      <c r="O5227" s="650"/>
      <c r="P5227" s="651"/>
      <c r="Q5227" s="651"/>
      <c r="R5227" s="651"/>
      <c r="S5227" s="651"/>
    </row>
    <row r="5228" spans="12:19" ht="15.75" customHeight="1" x14ac:dyDescent="0.35">
      <c r="L5228" s="2"/>
      <c r="M5228" s="2"/>
      <c r="N5228" s="650"/>
      <c r="O5228" s="650"/>
      <c r="P5228" s="651"/>
      <c r="Q5228" s="651"/>
      <c r="R5228" s="651"/>
      <c r="S5228" s="651"/>
    </row>
    <row r="5229" spans="12:19" ht="15.75" customHeight="1" x14ac:dyDescent="0.35">
      <c r="L5229" s="2"/>
      <c r="M5229" s="2"/>
      <c r="N5229" s="650"/>
      <c r="O5229" s="650"/>
      <c r="P5229" s="651"/>
      <c r="Q5229" s="651"/>
      <c r="R5229" s="651"/>
      <c r="S5229" s="651"/>
    </row>
    <row r="5230" spans="12:19" ht="15.75" customHeight="1" x14ac:dyDescent="0.35">
      <c r="L5230" s="2"/>
      <c r="M5230" s="2"/>
      <c r="N5230" s="650"/>
      <c r="O5230" s="650"/>
      <c r="P5230" s="651"/>
      <c r="Q5230" s="651"/>
      <c r="R5230" s="651"/>
      <c r="S5230" s="651"/>
    </row>
    <row r="5231" spans="12:19" ht="15.75" customHeight="1" x14ac:dyDescent="0.35">
      <c r="L5231" s="2"/>
      <c r="M5231" s="2"/>
      <c r="N5231" s="650"/>
      <c r="O5231" s="650"/>
      <c r="P5231" s="651"/>
      <c r="Q5231" s="651"/>
      <c r="R5231" s="651"/>
      <c r="S5231" s="651"/>
    </row>
    <row r="5232" spans="12:19" ht="15.75" customHeight="1" x14ac:dyDescent="0.35">
      <c r="L5232" s="2"/>
      <c r="M5232" s="2"/>
      <c r="N5232" s="650"/>
      <c r="O5232" s="650"/>
      <c r="P5232" s="651"/>
      <c r="Q5232" s="651"/>
      <c r="R5232" s="651"/>
      <c r="S5232" s="651"/>
    </row>
    <row r="5233" spans="12:19" ht="15.75" customHeight="1" x14ac:dyDescent="0.35">
      <c r="L5233" s="2"/>
      <c r="M5233" s="2"/>
      <c r="N5233" s="650"/>
      <c r="O5233" s="650"/>
      <c r="P5233" s="651"/>
      <c r="Q5233" s="651"/>
      <c r="R5233" s="651"/>
      <c r="S5233" s="651"/>
    </row>
    <row r="5234" spans="12:19" ht="15.75" customHeight="1" x14ac:dyDescent="0.35">
      <c r="L5234" s="2"/>
      <c r="M5234" s="2"/>
      <c r="N5234" s="650"/>
      <c r="O5234" s="650"/>
      <c r="P5234" s="651"/>
      <c r="Q5234" s="651"/>
      <c r="R5234" s="651"/>
      <c r="S5234" s="651"/>
    </row>
    <row r="5235" spans="12:19" ht="15.75" customHeight="1" x14ac:dyDescent="0.35">
      <c r="L5235" s="2"/>
      <c r="M5235" s="2"/>
      <c r="N5235" s="650"/>
      <c r="O5235" s="650"/>
      <c r="P5235" s="651"/>
      <c r="Q5235" s="651"/>
      <c r="R5235" s="651"/>
      <c r="S5235" s="651"/>
    </row>
    <row r="5236" spans="12:19" ht="15.75" customHeight="1" x14ac:dyDescent="0.35">
      <c r="L5236" s="2"/>
      <c r="M5236" s="2"/>
      <c r="N5236" s="650"/>
      <c r="O5236" s="650"/>
      <c r="P5236" s="651"/>
      <c r="Q5236" s="651"/>
      <c r="R5236" s="651"/>
      <c r="S5236" s="651"/>
    </row>
    <row r="5237" spans="12:19" ht="15.75" customHeight="1" x14ac:dyDescent="0.35">
      <c r="L5237" s="2"/>
      <c r="M5237" s="2"/>
      <c r="N5237" s="650"/>
      <c r="O5237" s="650"/>
      <c r="P5237" s="651"/>
      <c r="Q5237" s="651"/>
      <c r="R5237" s="651"/>
      <c r="S5237" s="651"/>
    </row>
    <row r="5238" spans="12:19" ht="15.75" customHeight="1" x14ac:dyDescent="0.35">
      <c r="L5238" s="2"/>
      <c r="M5238" s="2"/>
      <c r="N5238" s="650"/>
      <c r="O5238" s="650"/>
      <c r="P5238" s="651"/>
      <c r="Q5238" s="651"/>
      <c r="R5238" s="651"/>
      <c r="S5238" s="651"/>
    </row>
    <row r="5239" spans="12:19" ht="15.75" customHeight="1" x14ac:dyDescent="0.35">
      <c r="L5239" s="2"/>
      <c r="M5239" s="2"/>
      <c r="N5239" s="650"/>
      <c r="O5239" s="650"/>
      <c r="P5239" s="651"/>
      <c r="Q5239" s="651"/>
      <c r="R5239" s="651"/>
      <c r="S5239" s="651"/>
    </row>
    <row r="5240" spans="12:19" ht="15.75" customHeight="1" x14ac:dyDescent="0.35">
      <c r="L5240" s="2"/>
      <c r="M5240" s="2"/>
      <c r="N5240" s="650"/>
      <c r="O5240" s="650"/>
      <c r="P5240" s="651"/>
      <c r="Q5240" s="651"/>
      <c r="R5240" s="651"/>
      <c r="S5240" s="651"/>
    </row>
    <row r="5241" spans="12:19" ht="15.75" customHeight="1" x14ac:dyDescent="0.35">
      <c r="L5241" s="2"/>
      <c r="M5241" s="2"/>
      <c r="N5241" s="650"/>
      <c r="O5241" s="650"/>
      <c r="P5241" s="651"/>
      <c r="Q5241" s="651"/>
      <c r="R5241" s="651"/>
      <c r="S5241" s="651"/>
    </row>
    <row r="5242" spans="12:19" ht="15.75" customHeight="1" x14ac:dyDescent="0.35">
      <c r="L5242" s="2"/>
      <c r="M5242" s="2"/>
      <c r="N5242" s="650"/>
      <c r="O5242" s="650"/>
      <c r="P5242" s="651"/>
      <c r="Q5242" s="651"/>
      <c r="R5242" s="651"/>
      <c r="S5242" s="651"/>
    </row>
    <row r="5243" spans="12:19" ht="15.75" customHeight="1" x14ac:dyDescent="0.35">
      <c r="L5243" s="2"/>
      <c r="M5243" s="2"/>
      <c r="N5243" s="650"/>
      <c r="O5243" s="650"/>
      <c r="P5243" s="651"/>
      <c r="Q5243" s="651"/>
      <c r="R5243" s="651"/>
      <c r="S5243" s="651"/>
    </row>
    <row r="5244" spans="12:19" ht="15.75" customHeight="1" x14ac:dyDescent="0.35">
      <c r="L5244" s="2"/>
      <c r="M5244" s="2"/>
      <c r="N5244" s="650"/>
      <c r="O5244" s="650"/>
      <c r="P5244" s="651"/>
      <c r="Q5244" s="651"/>
      <c r="R5244" s="651"/>
      <c r="S5244" s="651"/>
    </row>
    <row r="5245" spans="12:19" ht="15.75" customHeight="1" x14ac:dyDescent="0.35">
      <c r="L5245" s="2"/>
      <c r="M5245" s="2"/>
      <c r="N5245" s="650"/>
      <c r="O5245" s="650"/>
      <c r="P5245" s="651"/>
      <c r="Q5245" s="651"/>
      <c r="R5245" s="651"/>
      <c r="S5245" s="651"/>
    </row>
    <row r="5246" spans="12:19" ht="15.75" customHeight="1" x14ac:dyDescent="0.35">
      <c r="L5246" s="2"/>
      <c r="M5246" s="2"/>
      <c r="N5246" s="650"/>
      <c r="O5246" s="650"/>
      <c r="P5246" s="651"/>
      <c r="Q5246" s="651"/>
      <c r="R5246" s="651"/>
      <c r="S5246" s="651"/>
    </row>
    <row r="5247" spans="12:19" ht="15.75" customHeight="1" x14ac:dyDescent="0.35">
      <c r="L5247" s="2"/>
      <c r="M5247" s="2"/>
      <c r="N5247" s="650"/>
      <c r="O5247" s="650"/>
      <c r="P5247" s="651"/>
      <c r="Q5247" s="651"/>
      <c r="R5247" s="651"/>
      <c r="S5247" s="651"/>
    </row>
    <row r="5248" spans="12:19" ht="15.75" customHeight="1" x14ac:dyDescent="0.35">
      <c r="L5248" s="2"/>
      <c r="M5248" s="2"/>
      <c r="N5248" s="650"/>
      <c r="O5248" s="650"/>
      <c r="P5248" s="651"/>
      <c r="Q5248" s="651"/>
      <c r="R5248" s="651"/>
      <c r="S5248" s="651"/>
    </row>
    <row r="5249" spans="12:19" ht="15.75" customHeight="1" x14ac:dyDescent="0.35">
      <c r="L5249" s="2"/>
      <c r="M5249" s="2"/>
      <c r="N5249" s="650"/>
      <c r="O5249" s="650"/>
      <c r="P5249" s="651"/>
      <c r="Q5249" s="651"/>
      <c r="R5249" s="651"/>
      <c r="S5249" s="651"/>
    </row>
    <row r="5250" spans="12:19" ht="15.75" customHeight="1" x14ac:dyDescent="0.35">
      <c r="L5250" s="2"/>
      <c r="M5250" s="2"/>
      <c r="N5250" s="650"/>
      <c r="O5250" s="650"/>
      <c r="P5250" s="651"/>
      <c r="Q5250" s="651"/>
      <c r="R5250" s="651"/>
      <c r="S5250" s="651"/>
    </row>
    <row r="5251" spans="12:19" ht="15.75" customHeight="1" x14ac:dyDescent="0.35">
      <c r="L5251" s="2"/>
      <c r="M5251" s="2"/>
      <c r="N5251" s="650"/>
      <c r="O5251" s="650"/>
      <c r="P5251" s="651"/>
      <c r="Q5251" s="651"/>
      <c r="R5251" s="651"/>
      <c r="S5251" s="651"/>
    </row>
    <row r="5252" spans="12:19" ht="15.75" customHeight="1" x14ac:dyDescent="0.35">
      <c r="L5252" s="2"/>
      <c r="M5252" s="2"/>
      <c r="N5252" s="650"/>
      <c r="O5252" s="650"/>
      <c r="P5252" s="651"/>
      <c r="Q5252" s="651"/>
      <c r="R5252" s="651"/>
      <c r="S5252" s="651"/>
    </row>
    <row r="5253" spans="12:19" ht="15.75" customHeight="1" x14ac:dyDescent="0.35">
      <c r="L5253" s="2"/>
      <c r="M5253" s="2"/>
      <c r="N5253" s="650"/>
      <c r="O5253" s="650"/>
      <c r="P5253" s="651"/>
      <c r="Q5253" s="651"/>
      <c r="R5253" s="651"/>
      <c r="S5253" s="651"/>
    </row>
    <row r="5254" spans="12:19" ht="15.75" customHeight="1" x14ac:dyDescent="0.35">
      <c r="L5254" s="2"/>
      <c r="M5254" s="2"/>
      <c r="N5254" s="650"/>
      <c r="O5254" s="650"/>
      <c r="P5254" s="651"/>
      <c r="Q5254" s="651"/>
      <c r="R5254" s="651"/>
      <c r="S5254" s="651"/>
    </row>
    <row r="5255" spans="12:19" ht="15.75" customHeight="1" x14ac:dyDescent="0.35">
      <c r="L5255" s="2"/>
      <c r="M5255" s="2"/>
      <c r="N5255" s="650"/>
      <c r="O5255" s="650"/>
      <c r="P5255" s="651"/>
      <c r="Q5255" s="651"/>
      <c r="R5255" s="651"/>
      <c r="S5255" s="651"/>
    </row>
    <row r="5256" spans="12:19" ht="15.75" customHeight="1" x14ac:dyDescent="0.35">
      <c r="L5256" s="2"/>
      <c r="M5256" s="2"/>
      <c r="N5256" s="650"/>
      <c r="O5256" s="650"/>
      <c r="P5256" s="651"/>
      <c r="Q5256" s="651"/>
      <c r="R5256" s="651"/>
      <c r="S5256" s="651"/>
    </row>
    <row r="5257" spans="12:19" ht="15.75" customHeight="1" x14ac:dyDescent="0.35">
      <c r="L5257" s="2"/>
      <c r="M5257" s="2"/>
      <c r="N5257" s="650"/>
      <c r="O5257" s="650"/>
      <c r="P5257" s="651"/>
      <c r="Q5257" s="651"/>
      <c r="R5257" s="651"/>
      <c r="S5257" s="651"/>
    </row>
    <row r="5258" spans="12:19" ht="15.75" customHeight="1" x14ac:dyDescent="0.35">
      <c r="L5258" s="2"/>
      <c r="M5258" s="2"/>
      <c r="N5258" s="650"/>
      <c r="O5258" s="650"/>
      <c r="P5258" s="651"/>
      <c r="Q5258" s="651"/>
      <c r="R5258" s="651"/>
      <c r="S5258" s="651"/>
    </row>
    <row r="5259" spans="12:19" ht="15.75" customHeight="1" x14ac:dyDescent="0.35">
      <c r="L5259" s="2"/>
      <c r="M5259" s="2"/>
      <c r="N5259" s="650"/>
      <c r="O5259" s="650"/>
      <c r="P5259" s="651"/>
      <c r="Q5259" s="651"/>
      <c r="R5259" s="651"/>
      <c r="S5259" s="651"/>
    </row>
    <row r="5260" spans="12:19" ht="15.75" customHeight="1" x14ac:dyDescent="0.35">
      <c r="L5260" s="2"/>
      <c r="M5260" s="2"/>
      <c r="N5260" s="650"/>
      <c r="O5260" s="650"/>
      <c r="P5260" s="651"/>
      <c r="Q5260" s="651"/>
      <c r="R5260" s="651"/>
      <c r="S5260" s="651"/>
    </row>
    <row r="5261" spans="12:19" ht="15.75" customHeight="1" x14ac:dyDescent="0.35">
      <c r="L5261" s="2"/>
      <c r="M5261" s="2"/>
      <c r="N5261" s="650"/>
      <c r="O5261" s="650"/>
      <c r="P5261" s="651"/>
      <c r="Q5261" s="651"/>
      <c r="R5261" s="651"/>
      <c r="S5261" s="651"/>
    </row>
    <row r="5262" spans="12:19" ht="15.75" customHeight="1" x14ac:dyDescent="0.35">
      <c r="L5262" s="2"/>
      <c r="M5262" s="2"/>
      <c r="N5262" s="650"/>
      <c r="O5262" s="650"/>
      <c r="P5262" s="651"/>
      <c r="Q5262" s="651"/>
      <c r="R5262" s="651"/>
      <c r="S5262" s="651"/>
    </row>
    <row r="5263" spans="12:19" ht="15.75" customHeight="1" x14ac:dyDescent="0.35">
      <c r="L5263" s="2"/>
      <c r="M5263" s="2"/>
      <c r="N5263" s="650"/>
      <c r="O5263" s="650"/>
      <c r="P5263" s="651"/>
      <c r="Q5263" s="651"/>
      <c r="R5263" s="651"/>
      <c r="S5263" s="651"/>
    </row>
    <row r="5264" spans="12:19" ht="15.75" customHeight="1" x14ac:dyDescent="0.35">
      <c r="L5264" s="2"/>
      <c r="M5264" s="2"/>
      <c r="N5264" s="650"/>
      <c r="O5264" s="650"/>
      <c r="P5264" s="651"/>
      <c r="Q5264" s="651"/>
      <c r="R5264" s="651"/>
      <c r="S5264" s="651"/>
    </row>
    <row r="5265" spans="12:19" ht="15.75" customHeight="1" x14ac:dyDescent="0.35">
      <c r="L5265" s="2"/>
      <c r="M5265" s="2"/>
      <c r="N5265" s="650"/>
      <c r="O5265" s="650"/>
      <c r="P5265" s="651"/>
      <c r="Q5265" s="651"/>
      <c r="R5265" s="651"/>
      <c r="S5265" s="651"/>
    </row>
    <row r="5266" spans="12:19" ht="15.75" customHeight="1" x14ac:dyDescent="0.35">
      <c r="L5266" s="2"/>
      <c r="M5266" s="2"/>
      <c r="N5266" s="650"/>
      <c r="O5266" s="650"/>
      <c r="P5266" s="651"/>
      <c r="Q5266" s="651"/>
      <c r="R5266" s="651"/>
      <c r="S5266" s="651"/>
    </row>
    <row r="5267" spans="12:19" ht="15.75" customHeight="1" x14ac:dyDescent="0.35">
      <c r="L5267" s="2"/>
      <c r="M5267" s="2"/>
      <c r="N5267" s="650"/>
      <c r="O5267" s="650"/>
      <c r="P5267" s="651"/>
      <c r="Q5267" s="651"/>
      <c r="R5267" s="651"/>
      <c r="S5267" s="651"/>
    </row>
    <row r="5268" spans="12:19" ht="15.75" customHeight="1" x14ac:dyDescent="0.35">
      <c r="L5268" s="2"/>
      <c r="M5268" s="2"/>
      <c r="N5268" s="650"/>
      <c r="O5268" s="650"/>
      <c r="P5268" s="651"/>
      <c r="Q5268" s="651"/>
      <c r="R5268" s="651"/>
      <c r="S5268" s="651"/>
    </row>
    <row r="5269" spans="12:19" ht="15.75" customHeight="1" x14ac:dyDescent="0.35">
      <c r="L5269" s="2"/>
      <c r="M5269" s="2"/>
      <c r="N5269" s="650"/>
      <c r="O5269" s="650"/>
      <c r="P5269" s="651"/>
      <c r="Q5269" s="651"/>
      <c r="R5269" s="651"/>
      <c r="S5269" s="651"/>
    </row>
    <row r="5270" spans="12:19" ht="15.75" customHeight="1" x14ac:dyDescent="0.35">
      <c r="L5270" s="2"/>
      <c r="M5270" s="2"/>
      <c r="N5270" s="650"/>
      <c r="O5270" s="650"/>
      <c r="P5270" s="651"/>
      <c r="Q5270" s="651"/>
      <c r="R5270" s="651"/>
      <c r="S5270" s="651"/>
    </row>
    <row r="5271" spans="12:19" ht="15.75" customHeight="1" x14ac:dyDescent="0.35">
      <c r="L5271" s="2"/>
      <c r="M5271" s="2"/>
      <c r="N5271" s="650"/>
      <c r="O5271" s="650"/>
      <c r="P5271" s="651"/>
      <c r="Q5271" s="651"/>
      <c r="R5271" s="651"/>
      <c r="S5271" s="651"/>
    </row>
    <row r="5272" spans="12:19" ht="15.75" customHeight="1" x14ac:dyDescent="0.35">
      <c r="L5272" s="2"/>
      <c r="M5272" s="2"/>
      <c r="N5272" s="650"/>
      <c r="O5272" s="650"/>
      <c r="P5272" s="651"/>
      <c r="Q5272" s="651"/>
      <c r="R5272" s="651"/>
      <c r="S5272" s="651"/>
    </row>
    <row r="5273" spans="12:19" ht="15.75" customHeight="1" x14ac:dyDescent="0.35">
      <c r="L5273" s="2"/>
      <c r="M5273" s="2"/>
      <c r="N5273" s="650"/>
      <c r="O5273" s="650"/>
      <c r="P5273" s="651"/>
      <c r="Q5273" s="651"/>
      <c r="R5273" s="651"/>
      <c r="S5273" s="651"/>
    </row>
    <row r="5274" spans="12:19" ht="15.75" customHeight="1" x14ac:dyDescent="0.35">
      <c r="L5274" s="2"/>
      <c r="M5274" s="2"/>
      <c r="N5274" s="650"/>
      <c r="O5274" s="650"/>
      <c r="P5274" s="651"/>
      <c r="Q5274" s="651"/>
      <c r="R5274" s="651"/>
      <c r="S5274" s="651"/>
    </row>
    <row r="5275" spans="12:19" ht="15.75" customHeight="1" x14ac:dyDescent="0.35">
      <c r="L5275" s="2"/>
      <c r="M5275" s="2"/>
      <c r="N5275" s="650"/>
      <c r="O5275" s="650"/>
      <c r="P5275" s="651"/>
      <c r="Q5275" s="651"/>
      <c r="R5275" s="651"/>
      <c r="S5275" s="651"/>
    </row>
    <row r="5276" spans="12:19" ht="15.75" customHeight="1" x14ac:dyDescent="0.35">
      <c r="L5276" s="2"/>
      <c r="M5276" s="2"/>
      <c r="N5276" s="650"/>
      <c r="O5276" s="650"/>
      <c r="P5276" s="651"/>
      <c r="Q5276" s="651"/>
      <c r="R5276" s="651"/>
      <c r="S5276" s="651"/>
    </row>
    <row r="5277" spans="12:19" ht="15.75" customHeight="1" x14ac:dyDescent="0.35">
      <c r="L5277" s="2"/>
      <c r="M5277" s="2"/>
      <c r="N5277" s="650"/>
      <c r="O5277" s="650"/>
      <c r="P5277" s="651"/>
      <c r="Q5277" s="651"/>
      <c r="R5277" s="651"/>
      <c r="S5277" s="651"/>
    </row>
    <row r="5278" spans="12:19" ht="15.75" customHeight="1" x14ac:dyDescent="0.35">
      <c r="L5278" s="2"/>
      <c r="M5278" s="2"/>
      <c r="N5278" s="650"/>
      <c r="O5278" s="650"/>
      <c r="P5278" s="651"/>
      <c r="Q5278" s="651"/>
      <c r="R5278" s="651"/>
      <c r="S5278" s="651"/>
    </row>
    <row r="5279" spans="12:19" ht="15.75" customHeight="1" x14ac:dyDescent="0.35">
      <c r="L5279" s="2"/>
      <c r="M5279" s="2"/>
      <c r="N5279" s="650"/>
      <c r="O5279" s="650"/>
      <c r="P5279" s="651"/>
      <c r="Q5279" s="651"/>
      <c r="R5279" s="651"/>
      <c r="S5279" s="651"/>
    </row>
    <row r="5280" spans="12:19" ht="15.75" customHeight="1" x14ac:dyDescent="0.35">
      <c r="L5280" s="2"/>
      <c r="M5280" s="2"/>
      <c r="N5280" s="650"/>
      <c r="O5280" s="650"/>
      <c r="P5280" s="651"/>
      <c r="Q5280" s="651"/>
      <c r="R5280" s="651"/>
      <c r="S5280" s="651"/>
    </row>
    <row r="5281" spans="12:19" ht="15.75" customHeight="1" x14ac:dyDescent="0.35">
      <c r="L5281" s="2"/>
      <c r="M5281" s="2"/>
      <c r="N5281" s="650"/>
      <c r="O5281" s="650"/>
      <c r="P5281" s="651"/>
      <c r="Q5281" s="651"/>
      <c r="R5281" s="651"/>
      <c r="S5281" s="651"/>
    </row>
    <row r="5282" spans="12:19" ht="15.75" customHeight="1" x14ac:dyDescent="0.35">
      <c r="L5282" s="2"/>
      <c r="M5282" s="2"/>
      <c r="N5282" s="650"/>
      <c r="O5282" s="650"/>
      <c r="P5282" s="651"/>
      <c r="Q5282" s="651"/>
      <c r="R5282" s="651"/>
      <c r="S5282" s="651"/>
    </row>
    <row r="5283" spans="12:19" ht="15.75" customHeight="1" x14ac:dyDescent="0.35">
      <c r="L5283" s="2"/>
      <c r="M5283" s="2"/>
      <c r="N5283" s="650"/>
      <c r="O5283" s="650"/>
      <c r="P5283" s="651"/>
      <c r="Q5283" s="651"/>
      <c r="R5283" s="651"/>
      <c r="S5283" s="651"/>
    </row>
    <row r="5284" spans="12:19" ht="15.75" customHeight="1" x14ac:dyDescent="0.35">
      <c r="L5284" s="2"/>
      <c r="M5284" s="2"/>
      <c r="N5284" s="650"/>
      <c r="O5284" s="650"/>
      <c r="P5284" s="651"/>
      <c r="Q5284" s="651"/>
      <c r="R5284" s="651"/>
      <c r="S5284" s="651"/>
    </row>
    <row r="5285" spans="12:19" ht="15.75" customHeight="1" x14ac:dyDescent="0.35">
      <c r="L5285" s="2"/>
      <c r="M5285" s="2"/>
      <c r="N5285" s="650"/>
      <c r="O5285" s="650"/>
      <c r="P5285" s="651"/>
      <c r="Q5285" s="651"/>
      <c r="R5285" s="651"/>
      <c r="S5285" s="651"/>
    </row>
    <row r="5286" spans="12:19" ht="15.75" customHeight="1" x14ac:dyDescent="0.35">
      <c r="L5286" s="2"/>
      <c r="M5286" s="2"/>
      <c r="N5286" s="650"/>
      <c r="O5286" s="650"/>
      <c r="P5286" s="651"/>
      <c r="Q5286" s="651"/>
      <c r="R5286" s="651"/>
      <c r="S5286" s="651"/>
    </row>
    <row r="5287" spans="12:19" ht="15.75" customHeight="1" x14ac:dyDescent="0.35">
      <c r="L5287" s="2"/>
      <c r="M5287" s="2"/>
      <c r="N5287" s="650"/>
      <c r="O5287" s="650"/>
      <c r="P5287" s="651"/>
      <c r="Q5287" s="651"/>
      <c r="R5287" s="651"/>
      <c r="S5287" s="651"/>
    </row>
    <row r="5288" spans="12:19" ht="15.75" customHeight="1" x14ac:dyDescent="0.35">
      <c r="L5288" s="2"/>
      <c r="M5288" s="2"/>
      <c r="N5288" s="650"/>
      <c r="O5288" s="650"/>
      <c r="P5288" s="651"/>
      <c r="Q5288" s="651"/>
      <c r="R5288" s="651"/>
      <c r="S5288" s="651"/>
    </row>
    <row r="5289" spans="12:19" ht="15.75" customHeight="1" x14ac:dyDescent="0.35">
      <c r="L5289" s="2"/>
      <c r="M5289" s="2"/>
      <c r="N5289" s="650"/>
      <c r="O5289" s="650"/>
      <c r="P5289" s="651"/>
      <c r="Q5289" s="651"/>
      <c r="R5289" s="651"/>
      <c r="S5289" s="651"/>
    </row>
    <row r="5290" spans="12:19" ht="15.75" customHeight="1" x14ac:dyDescent="0.35">
      <c r="L5290" s="2"/>
      <c r="M5290" s="2"/>
      <c r="N5290" s="650"/>
      <c r="O5290" s="650"/>
      <c r="P5290" s="651"/>
      <c r="Q5290" s="651"/>
      <c r="R5290" s="651"/>
      <c r="S5290" s="651"/>
    </row>
    <row r="5291" spans="12:19" ht="15.75" customHeight="1" x14ac:dyDescent="0.35">
      <c r="L5291" s="2"/>
      <c r="M5291" s="2"/>
      <c r="N5291" s="650"/>
      <c r="O5291" s="650"/>
      <c r="P5291" s="651"/>
      <c r="Q5291" s="651"/>
      <c r="R5291" s="651"/>
      <c r="S5291" s="651"/>
    </row>
    <row r="5292" spans="12:19" ht="15.75" customHeight="1" x14ac:dyDescent="0.35">
      <c r="L5292" s="2"/>
      <c r="M5292" s="2"/>
      <c r="N5292" s="650"/>
      <c r="O5292" s="650"/>
      <c r="P5292" s="651"/>
      <c r="Q5292" s="651"/>
      <c r="R5292" s="651"/>
      <c r="S5292" s="651"/>
    </row>
    <row r="5293" spans="12:19" ht="15.75" customHeight="1" x14ac:dyDescent="0.35">
      <c r="L5293" s="2"/>
      <c r="M5293" s="2"/>
      <c r="N5293" s="650"/>
      <c r="O5293" s="650"/>
      <c r="P5293" s="651"/>
      <c r="Q5293" s="651"/>
      <c r="R5293" s="651"/>
      <c r="S5293" s="651"/>
    </row>
    <row r="5294" spans="12:19" ht="15.75" customHeight="1" x14ac:dyDescent="0.35">
      <c r="L5294" s="2"/>
      <c r="M5294" s="2"/>
      <c r="N5294" s="650"/>
      <c r="O5294" s="650"/>
      <c r="P5294" s="651"/>
      <c r="Q5294" s="651"/>
      <c r="R5294" s="651"/>
      <c r="S5294" s="651"/>
    </row>
    <row r="5295" spans="12:19" ht="15.75" customHeight="1" x14ac:dyDescent="0.35">
      <c r="L5295" s="2"/>
      <c r="M5295" s="2"/>
      <c r="N5295" s="650"/>
      <c r="O5295" s="650"/>
      <c r="P5295" s="651"/>
      <c r="Q5295" s="651"/>
      <c r="R5295" s="651"/>
      <c r="S5295" s="651"/>
    </row>
    <row r="5296" spans="12:19" ht="15.75" customHeight="1" x14ac:dyDescent="0.35">
      <c r="L5296" s="2"/>
      <c r="M5296" s="2"/>
      <c r="N5296" s="650"/>
      <c r="O5296" s="650"/>
      <c r="P5296" s="651"/>
      <c r="Q5296" s="651"/>
      <c r="R5296" s="651"/>
      <c r="S5296" s="651"/>
    </row>
    <row r="5297" spans="12:19" ht="15.75" customHeight="1" x14ac:dyDescent="0.35">
      <c r="L5297" s="2"/>
      <c r="M5297" s="2"/>
      <c r="N5297" s="650"/>
      <c r="O5297" s="650"/>
      <c r="P5297" s="651"/>
      <c r="Q5297" s="651"/>
      <c r="R5297" s="651"/>
      <c r="S5297" s="651"/>
    </row>
    <row r="5298" spans="12:19" ht="15.75" customHeight="1" x14ac:dyDescent="0.35">
      <c r="L5298" s="2"/>
      <c r="M5298" s="2"/>
      <c r="N5298" s="650"/>
      <c r="O5298" s="650"/>
      <c r="P5298" s="651"/>
      <c r="Q5298" s="651"/>
      <c r="R5298" s="651"/>
      <c r="S5298" s="651"/>
    </row>
    <row r="5299" spans="12:19" ht="15.75" customHeight="1" x14ac:dyDescent="0.35">
      <c r="L5299" s="2"/>
      <c r="M5299" s="2"/>
      <c r="N5299" s="650"/>
      <c r="O5299" s="650"/>
      <c r="P5299" s="651"/>
      <c r="Q5299" s="651"/>
      <c r="R5299" s="651"/>
      <c r="S5299" s="651"/>
    </row>
    <row r="5300" spans="12:19" ht="15.75" customHeight="1" x14ac:dyDescent="0.35">
      <c r="L5300" s="2"/>
      <c r="M5300" s="2"/>
      <c r="N5300" s="650"/>
      <c r="O5300" s="650"/>
      <c r="P5300" s="651"/>
      <c r="Q5300" s="651"/>
      <c r="R5300" s="651"/>
      <c r="S5300" s="651"/>
    </row>
    <row r="5301" spans="12:19" ht="15.75" customHeight="1" x14ac:dyDescent="0.35">
      <c r="L5301" s="2"/>
      <c r="M5301" s="2"/>
      <c r="N5301" s="650"/>
      <c r="O5301" s="650"/>
      <c r="P5301" s="651"/>
      <c r="Q5301" s="651"/>
      <c r="R5301" s="651"/>
      <c r="S5301" s="651"/>
    </row>
    <row r="5302" spans="12:19" ht="15.75" customHeight="1" x14ac:dyDescent="0.35">
      <c r="L5302" s="2"/>
      <c r="M5302" s="2"/>
      <c r="N5302" s="650"/>
      <c r="O5302" s="650"/>
      <c r="P5302" s="651"/>
      <c r="Q5302" s="651"/>
      <c r="R5302" s="651"/>
      <c r="S5302" s="651"/>
    </row>
    <row r="5303" spans="12:19" ht="15.75" customHeight="1" x14ac:dyDescent="0.35">
      <c r="L5303" s="2"/>
      <c r="M5303" s="2"/>
      <c r="N5303" s="650"/>
      <c r="O5303" s="650"/>
      <c r="P5303" s="651"/>
      <c r="Q5303" s="651"/>
      <c r="R5303" s="651"/>
      <c r="S5303" s="651"/>
    </row>
    <row r="5304" spans="12:19" ht="15.75" customHeight="1" x14ac:dyDescent="0.35">
      <c r="L5304" s="2"/>
      <c r="M5304" s="2"/>
      <c r="N5304" s="650"/>
      <c r="O5304" s="650"/>
      <c r="P5304" s="651"/>
      <c r="Q5304" s="651"/>
      <c r="R5304" s="651"/>
      <c r="S5304" s="651"/>
    </row>
    <row r="5305" spans="12:19" ht="15.75" customHeight="1" x14ac:dyDescent="0.35">
      <c r="L5305" s="2"/>
      <c r="M5305" s="2"/>
      <c r="N5305" s="650"/>
      <c r="O5305" s="650"/>
      <c r="P5305" s="651"/>
      <c r="Q5305" s="651"/>
      <c r="R5305" s="651"/>
      <c r="S5305" s="651"/>
    </row>
    <row r="5306" spans="12:19" ht="15.75" customHeight="1" x14ac:dyDescent="0.35">
      <c r="L5306" s="2"/>
      <c r="M5306" s="2"/>
      <c r="N5306" s="650"/>
      <c r="O5306" s="650"/>
      <c r="P5306" s="651"/>
      <c r="Q5306" s="651"/>
      <c r="R5306" s="651"/>
      <c r="S5306" s="651"/>
    </row>
    <row r="5307" spans="12:19" ht="15.75" customHeight="1" x14ac:dyDescent="0.35">
      <c r="L5307" s="2"/>
      <c r="M5307" s="2"/>
      <c r="N5307" s="650"/>
      <c r="O5307" s="650"/>
      <c r="P5307" s="651"/>
      <c r="Q5307" s="651"/>
      <c r="R5307" s="651"/>
      <c r="S5307" s="651"/>
    </row>
    <row r="5308" spans="12:19" ht="15.75" customHeight="1" x14ac:dyDescent="0.35">
      <c r="L5308" s="2"/>
      <c r="M5308" s="2"/>
      <c r="N5308" s="650"/>
      <c r="O5308" s="650"/>
      <c r="P5308" s="651"/>
      <c r="Q5308" s="651"/>
      <c r="R5308" s="651"/>
      <c r="S5308" s="651"/>
    </row>
    <row r="5309" spans="12:19" ht="15.75" customHeight="1" x14ac:dyDescent="0.35">
      <c r="L5309" s="2"/>
      <c r="M5309" s="2"/>
      <c r="N5309" s="650"/>
      <c r="O5309" s="650"/>
      <c r="P5309" s="651"/>
      <c r="Q5309" s="651"/>
      <c r="R5309" s="651"/>
      <c r="S5309" s="651"/>
    </row>
    <row r="5310" spans="12:19" ht="15.75" customHeight="1" x14ac:dyDescent="0.35">
      <c r="L5310" s="2"/>
      <c r="M5310" s="2"/>
      <c r="N5310" s="650"/>
      <c r="O5310" s="650"/>
      <c r="P5310" s="651"/>
      <c r="Q5310" s="651"/>
      <c r="R5310" s="651"/>
      <c r="S5310" s="651"/>
    </row>
    <row r="5311" spans="12:19" ht="15.75" customHeight="1" x14ac:dyDescent="0.35">
      <c r="L5311" s="2"/>
      <c r="M5311" s="2"/>
      <c r="N5311" s="650"/>
      <c r="O5311" s="650"/>
      <c r="P5311" s="651"/>
      <c r="Q5311" s="651"/>
      <c r="R5311" s="651"/>
      <c r="S5311" s="651"/>
    </row>
    <row r="5312" spans="12:19" ht="15.75" customHeight="1" x14ac:dyDescent="0.35">
      <c r="L5312" s="2"/>
      <c r="M5312" s="2"/>
      <c r="N5312" s="650"/>
      <c r="O5312" s="650"/>
      <c r="P5312" s="651"/>
      <c r="Q5312" s="651"/>
      <c r="R5312" s="651"/>
      <c r="S5312" s="651"/>
    </row>
    <row r="5313" spans="12:19" ht="15.75" customHeight="1" x14ac:dyDescent="0.35">
      <c r="L5313" s="2"/>
      <c r="M5313" s="2"/>
      <c r="N5313" s="650"/>
      <c r="O5313" s="650"/>
      <c r="P5313" s="651"/>
      <c r="Q5313" s="651"/>
      <c r="R5313" s="651"/>
      <c r="S5313" s="651"/>
    </row>
    <row r="5314" spans="12:19" ht="15.75" customHeight="1" x14ac:dyDescent="0.35">
      <c r="L5314" s="2"/>
      <c r="M5314" s="2"/>
      <c r="N5314" s="650"/>
      <c r="O5314" s="650"/>
      <c r="P5314" s="651"/>
      <c r="Q5314" s="651"/>
      <c r="R5314" s="651"/>
      <c r="S5314" s="651"/>
    </row>
    <row r="5315" spans="12:19" ht="15.75" customHeight="1" x14ac:dyDescent="0.35">
      <c r="L5315" s="2"/>
      <c r="M5315" s="2"/>
      <c r="N5315" s="650"/>
      <c r="O5315" s="650"/>
      <c r="P5315" s="651"/>
      <c r="Q5315" s="651"/>
      <c r="R5315" s="651"/>
      <c r="S5315" s="651"/>
    </row>
    <row r="5316" spans="12:19" ht="15.75" customHeight="1" x14ac:dyDescent="0.35">
      <c r="L5316" s="2"/>
      <c r="M5316" s="2"/>
      <c r="N5316" s="650"/>
      <c r="O5316" s="650"/>
      <c r="P5316" s="651"/>
      <c r="Q5316" s="651"/>
      <c r="R5316" s="651"/>
      <c r="S5316" s="651"/>
    </row>
    <row r="5317" spans="12:19" ht="15.75" customHeight="1" x14ac:dyDescent="0.35">
      <c r="L5317" s="2"/>
      <c r="M5317" s="2"/>
      <c r="N5317" s="650"/>
      <c r="O5317" s="650"/>
      <c r="P5317" s="651"/>
      <c r="Q5317" s="651"/>
      <c r="R5317" s="651"/>
      <c r="S5317" s="651"/>
    </row>
    <row r="5318" spans="12:19" ht="15.75" customHeight="1" x14ac:dyDescent="0.35">
      <c r="L5318" s="2"/>
      <c r="M5318" s="2"/>
      <c r="N5318" s="650"/>
      <c r="O5318" s="650"/>
      <c r="P5318" s="651"/>
      <c r="Q5318" s="651"/>
      <c r="R5318" s="651"/>
      <c r="S5318" s="651"/>
    </row>
    <row r="5319" spans="12:19" ht="15.75" customHeight="1" x14ac:dyDescent="0.35">
      <c r="L5319" s="2"/>
      <c r="M5319" s="2"/>
      <c r="N5319" s="650"/>
      <c r="O5319" s="650"/>
      <c r="P5319" s="651"/>
      <c r="Q5319" s="651"/>
      <c r="R5319" s="651"/>
      <c r="S5319" s="651"/>
    </row>
    <row r="5320" spans="12:19" ht="15.75" customHeight="1" x14ac:dyDescent="0.35">
      <c r="L5320" s="2"/>
      <c r="M5320" s="2"/>
      <c r="N5320" s="650"/>
      <c r="O5320" s="650"/>
      <c r="P5320" s="651"/>
      <c r="Q5320" s="651"/>
      <c r="R5320" s="651"/>
      <c r="S5320" s="651"/>
    </row>
    <row r="5321" spans="12:19" ht="15.75" customHeight="1" x14ac:dyDescent="0.35">
      <c r="L5321" s="2"/>
      <c r="M5321" s="2"/>
      <c r="N5321" s="650"/>
      <c r="O5321" s="650"/>
      <c r="P5321" s="651"/>
      <c r="Q5321" s="651"/>
      <c r="R5321" s="651"/>
      <c r="S5321" s="651"/>
    </row>
    <row r="5322" spans="12:19" ht="15.75" customHeight="1" x14ac:dyDescent="0.35">
      <c r="L5322" s="2"/>
      <c r="M5322" s="2"/>
      <c r="N5322" s="650"/>
      <c r="O5322" s="650"/>
      <c r="P5322" s="651"/>
      <c r="Q5322" s="651"/>
      <c r="R5322" s="651"/>
      <c r="S5322" s="651"/>
    </row>
    <row r="5323" spans="12:19" ht="15.75" customHeight="1" x14ac:dyDescent="0.35">
      <c r="L5323" s="2"/>
      <c r="M5323" s="2"/>
      <c r="N5323" s="650"/>
      <c r="O5323" s="650"/>
      <c r="P5323" s="651"/>
      <c r="Q5323" s="651"/>
      <c r="R5323" s="651"/>
      <c r="S5323" s="651"/>
    </row>
    <row r="5324" spans="12:19" ht="15.75" customHeight="1" x14ac:dyDescent="0.35">
      <c r="L5324" s="2"/>
      <c r="M5324" s="2"/>
      <c r="N5324" s="650"/>
      <c r="O5324" s="650"/>
      <c r="P5324" s="651"/>
      <c r="Q5324" s="651"/>
      <c r="R5324" s="651"/>
      <c r="S5324" s="651"/>
    </row>
    <row r="5325" spans="12:19" ht="15.75" customHeight="1" x14ac:dyDescent="0.35">
      <c r="L5325" s="2"/>
      <c r="M5325" s="2"/>
      <c r="N5325" s="650"/>
      <c r="O5325" s="650"/>
      <c r="P5325" s="651"/>
      <c r="Q5325" s="651"/>
      <c r="R5325" s="651"/>
      <c r="S5325" s="651"/>
    </row>
    <row r="5326" spans="12:19" ht="15.75" customHeight="1" x14ac:dyDescent="0.35">
      <c r="L5326" s="2"/>
      <c r="M5326" s="2"/>
      <c r="N5326" s="650"/>
      <c r="O5326" s="650"/>
      <c r="P5326" s="651"/>
      <c r="Q5326" s="651"/>
      <c r="R5326" s="651"/>
      <c r="S5326" s="651"/>
    </row>
    <row r="5327" spans="12:19" ht="15.75" customHeight="1" x14ac:dyDescent="0.35">
      <c r="L5327" s="2"/>
      <c r="M5327" s="2"/>
      <c r="N5327" s="650"/>
      <c r="O5327" s="650"/>
      <c r="P5327" s="651"/>
      <c r="Q5327" s="651"/>
      <c r="R5327" s="651"/>
      <c r="S5327" s="651"/>
    </row>
    <row r="5328" spans="12:19" ht="15.75" customHeight="1" x14ac:dyDescent="0.35">
      <c r="L5328" s="2"/>
      <c r="M5328" s="2"/>
      <c r="N5328" s="650"/>
      <c r="O5328" s="650"/>
      <c r="P5328" s="651"/>
      <c r="Q5328" s="651"/>
      <c r="R5328" s="651"/>
      <c r="S5328" s="651"/>
    </row>
    <row r="5329" spans="12:19" ht="15.75" customHeight="1" x14ac:dyDescent="0.35">
      <c r="L5329" s="2"/>
      <c r="M5329" s="2"/>
      <c r="N5329" s="650"/>
      <c r="O5329" s="650"/>
      <c r="P5329" s="651"/>
      <c r="Q5329" s="651"/>
      <c r="R5329" s="651"/>
      <c r="S5329" s="651"/>
    </row>
    <row r="5330" spans="12:19" ht="15.75" customHeight="1" x14ac:dyDescent="0.35">
      <c r="L5330" s="2"/>
      <c r="M5330" s="2"/>
      <c r="N5330" s="650"/>
      <c r="O5330" s="650"/>
      <c r="P5330" s="651"/>
      <c r="Q5330" s="651"/>
      <c r="R5330" s="651"/>
      <c r="S5330" s="651"/>
    </row>
    <row r="5331" spans="12:19" ht="15.75" customHeight="1" x14ac:dyDescent="0.35">
      <c r="L5331" s="2"/>
      <c r="M5331" s="2"/>
      <c r="N5331" s="650"/>
      <c r="O5331" s="650"/>
      <c r="P5331" s="651"/>
      <c r="Q5331" s="651"/>
      <c r="R5331" s="651"/>
      <c r="S5331" s="651"/>
    </row>
    <row r="5332" spans="12:19" ht="15.75" customHeight="1" x14ac:dyDescent="0.35">
      <c r="L5332" s="2"/>
      <c r="M5332" s="2"/>
      <c r="N5332" s="650"/>
      <c r="O5332" s="650"/>
      <c r="P5332" s="651"/>
      <c r="Q5332" s="651"/>
      <c r="R5332" s="651"/>
      <c r="S5332" s="651"/>
    </row>
    <row r="5333" spans="12:19" ht="15.75" customHeight="1" x14ac:dyDescent="0.35">
      <c r="L5333" s="2"/>
      <c r="M5333" s="2"/>
      <c r="N5333" s="650"/>
      <c r="O5333" s="650"/>
      <c r="P5333" s="651"/>
      <c r="Q5333" s="651"/>
      <c r="R5333" s="651"/>
      <c r="S5333" s="651"/>
    </row>
    <row r="5334" spans="12:19" ht="15.75" customHeight="1" x14ac:dyDescent="0.35">
      <c r="L5334" s="2"/>
      <c r="M5334" s="2"/>
      <c r="N5334" s="650"/>
      <c r="O5334" s="650"/>
      <c r="P5334" s="651"/>
      <c r="Q5334" s="651"/>
      <c r="R5334" s="651"/>
      <c r="S5334" s="651"/>
    </row>
    <row r="5335" spans="12:19" ht="15.75" customHeight="1" x14ac:dyDescent="0.35">
      <c r="L5335" s="2"/>
      <c r="M5335" s="2"/>
      <c r="N5335" s="650"/>
      <c r="O5335" s="650"/>
      <c r="P5335" s="651"/>
      <c r="Q5335" s="651"/>
      <c r="R5335" s="651"/>
      <c r="S5335" s="651"/>
    </row>
    <row r="5336" spans="12:19" ht="15.75" customHeight="1" x14ac:dyDescent="0.35">
      <c r="L5336" s="2"/>
      <c r="M5336" s="2"/>
      <c r="N5336" s="650"/>
      <c r="O5336" s="650"/>
      <c r="P5336" s="651"/>
      <c r="Q5336" s="651"/>
      <c r="R5336" s="651"/>
      <c r="S5336" s="651"/>
    </row>
    <row r="5337" spans="12:19" ht="15.75" customHeight="1" x14ac:dyDescent="0.35">
      <c r="L5337" s="2"/>
      <c r="M5337" s="2"/>
      <c r="N5337" s="650"/>
      <c r="O5337" s="650"/>
      <c r="P5337" s="651"/>
      <c r="Q5337" s="651"/>
      <c r="R5337" s="651"/>
      <c r="S5337" s="651"/>
    </row>
    <row r="5338" spans="12:19" ht="15.75" customHeight="1" x14ac:dyDescent="0.35">
      <c r="L5338" s="2"/>
      <c r="M5338" s="2"/>
      <c r="N5338" s="650"/>
      <c r="O5338" s="650"/>
      <c r="P5338" s="651"/>
      <c r="Q5338" s="651"/>
      <c r="R5338" s="651"/>
      <c r="S5338" s="651"/>
    </row>
    <row r="5339" spans="12:19" ht="15.75" customHeight="1" x14ac:dyDescent="0.35">
      <c r="L5339" s="2"/>
      <c r="M5339" s="2"/>
      <c r="N5339" s="650"/>
      <c r="O5339" s="650"/>
      <c r="P5339" s="651"/>
      <c r="Q5339" s="651"/>
      <c r="R5339" s="651"/>
      <c r="S5339" s="651"/>
    </row>
    <row r="5340" spans="12:19" ht="15.75" customHeight="1" x14ac:dyDescent="0.35">
      <c r="L5340" s="2"/>
      <c r="M5340" s="2"/>
      <c r="N5340" s="650"/>
      <c r="O5340" s="650"/>
      <c r="P5340" s="651"/>
      <c r="Q5340" s="651"/>
      <c r="R5340" s="651"/>
      <c r="S5340" s="651"/>
    </row>
    <row r="5341" spans="12:19" ht="15.75" customHeight="1" x14ac:dyDescent="0.35">
      <c r="L5341" s="2"/>
      <c r="M5341" s="2"/>
      <c r="N5341" s="650"/>
      <c r="O5341" s="650"/>
      <c r="P5341" s="651"/>
      <c r="Q5341" s="651"/>
      <c r="R5341" s="651"/>
      <c r="S5341" s="651"/>
    </row>
    <row r="5342" spans="12:19" ht="15.75" customHeight="1" x14ac:dyDescent="0.35">
      <c r="L5342" s="2"/>
      <c r="M5342" s="2"/>
      <c r="N5342" s="650"/>
      <c r="O5342" s="650"/>
      <c r="P5342" s="651"/>
      <c r="Q5342" s="651"/>
      <c r="R5342" s="651"/>
      <c r="S5342" s="651"/>
    </row>
    <row r="5343" spans="12:19" ht="15.75" customHeight="1" x14ac:dyDescent="0.35">
      <c r="L5343" s="2"/>
      <c r="M5343" s="2"/>
      <c r="N5343" s="650"/>
      <c r="O5343" s="650"/>
      <c r="P5343" s="651"/>
      <c r="Q5343" s="651"/>
      <c r="R5343" s="651"/>
      <c r="S5343" s="651"/>
    </row>
    <row r="5344" spans="12:19" ht="15.75" customHeight="1" x14ac:dyDescent="0.35">
      <c r="L5344" s="2"/>
      <c r="M5344" s="2"/>
      <c r="N5344" s="650"/>
      <c r="O5344" s="650"/>
      <c r="P5344" s="651"/>
      <c r="Q5344" s="651"/>
      <c r="R5344" s="651"/>
      <c r="S5344" s="651"/>
    </row>
    <row r="5345" spans="12:19" ht="15.75" customHeight="1" x14ac:dyDescent="0.35">
      <c r="L5345" s="2"/>
      <c r="M5345" s="2"/>
      <c r="N5345" s="650"/>
      <c r="O5345" s="650"/>
      <c r="P5345" s="651"/>
      <c r="Q5345" s="651"/>
      <c r="R5345" s="651"/>
      <c r="S5345" s="651"/>
    </row>
    <row r="5346" spans="12:19" ht="15.75" customHeight="1" x14ac:dyDescent="0.35">
      <c r="L5346" s="2"/>
      <c r="M5346" s="2"/>
      <c r="N5346" s="650"/>
      <c r="O5346" s="650"/>
      <c r="P5346" s="651"/>
      <c r="Q5346" s="651"/>
      <c r="R5346" s="651"/>
      <c r="S5346" s="651"/>
    </row>
    <row r="5347" spans="12:19" ht="15.75" customHeight="1" x14ac:dyDescent="0.35">
      <c r="L5347" s="2"/>
      <c r="M5347" s="2"/>
      <c r="N5347" s="650"/>
      <c r="O5347" s="650"/>
      <c r="P5347" s="651"/>
      <c r="Q5347" s="651"/>
      <c r="R5347" s="651"/>
      <c r="S5347" s="651"/>
    </row>
    <row r="5348" spans="12:19" ht="15.75" customHeight="1" x14ac:dyDescent="0.35">
      <c r="L5348" s="2"/>
      <c r="M5348" s="2"/>
      <c r="N5348" s="650"/>
      <c r="O5348" s="650"/>
      <c r="P5348" s="651"/>
      <c r="Q5348" s="651"/>
      <c r="R5348" s="651"/>
      <c r="S5348" s="651"/>
    </row>
    <row r="5349" spans="12:19" ht="15.75" customHeight="1" x14ac:dyDescent="0.35">
      <c r="L5349" s="2"/>
      <c r="M5349" s="2"/>
      <c r="N5349" s="650"/>
      <c r="O5349" s="650"/>
      <c r="P5349" s="651"/>
      <c r="Q5349" s="651"/>
      <c r="R5349" s="651"/>
      <c r="S5349" s="651"/>
    </row>
    <row r="5350" spans="12:19" ht="15.75" customHeight="1" x14ac:dyDescent="0.35">
      <c r="L5350" s="2"/>
      <c r="M5350" s="2"/>
      <c r="N5350" s="650"/>
      <c r="O5350" s="650"/>
      <c r="P5350" s="651"/>
      <c r="Q5350" s="651"/>
      <c r="R5350" s="651"/>
      <c r="S5350" s="651"/>
    </row>
    <row r="5351" spans="12:19" ht="15.75" customHeight="1" x14ac:dyDescent="0.35">
      <c r="L5351" s="2"/>
      <c r="M5351" s="2"/>
      <c r="N5351" s="650"/>
      <c r="O5351" s="650"/>
      <c r="P5351" s="651"/>
      <c r="Q5351" s="651"/>
      <c r="R5351" s="651"/>
      <c r="S5351" s="651"/>
    </row>
    <row r="5352" spans="12:19" ht="15.75" customHeight="1" x14ac:dyDescent="0.35">
      <c r="L5352" s="2"/>
      <c r="M5352" s="2"/>
      <c r="N5352" s="650"/>
      <c r="O5352" s="650"/>
      <c r="P5352" s="651"/>
      <c r="Q5352" s="651"/>
      <c r="R5352" s="651"/>
      <c r="S5352" s="651"/>
    </row>
    <row r="5353" spans="12:19" ht="15.75" customHeight="1" x14ac:dyDescent="0.35">
      <c r="L5353" s="2"/>
      <c r="M5353" s="2"/>
      <c r="N5353" s="650"/>
      <c r="O5353" s="650"/>
      <c r="P5353" s="651"/>
      <c r="Q5353" s="651"/>
      <c r="R5353" s="651"/>
      <c r="S5353" s="651"/>
    </row>
    <row r="5354" spans="12:19" ht="15.75" customHeight="1" x14ac:dyDescent="0.35">
      <c r="L5354" s="2"/>
      <c r="M5354" s="2"/>
      <c r="N5354" s="650"/>
      <c r="O5354" s="650"/>
      <c r="P5354" s="651"/>
      <c r="Q5354" s="651"/>
      <c r="R5354" s="651"/>
      <c r="S5354" s="651"/>
    </row>
    <row r="5355" spans="12:19" ht="15.75" customHeight="1" x14ac:dyDescent="0.35">
      <c r="L5355" s="2"/>
      <c r="M5355" s="2"/>
      <c r="N5355" s="650"/>
      <c r="O5355" s="650"/>
      <c r="P5355" s="651"/>
      <c r="Q5355" s="651"/>
      <c r="R5355" s="651"/>
      <c r="S5355" s="651"/>
    </row>
    <row r="5356" spans="12:19" ht="15.75" customHeight="1" x14ac:dyDescent="0.35">
      <c r="L5356" s="2"/>
      <c r="M5356" s="2"/>
      <c r="N5356" s="650"/>
      <c r="O5356" s="650"/>
      <c r="P5356" s="651"/>
      <c r="Q5356" s="651"/>
      <c r="R5356" s="651"/>
      <c r="S5356" s="651"/>
    </row>
    <row r="5357" spans="12:19" ht="15.75" customHeight="1" x14ac:dyDescent="0.35">
      <c r="L5357" s="2"/>
      <c r="M5357" s="2"/>
      <c r="N5357" s="650"/>
      <c r="O5357" s="650"/>
      <c r="P5357" s="651"/>
      <c r="Q5357" s="651"/>
      <c r="R5357" s="651"/>
      <c r="S5357" s="651"/>
    </row>
    <row r="5358" spans="12:19" ht="15.75" customHeight="1" x14ac:dyDescent="0.35">
      <c r="L5358" s="2"/>
      <c r="M5358" s="2"/>
      <c r="N5358" s="650"/>
      <c r="O5358" s="650"/>
      <c r="P5358" s="651"/>
      <c r="Q5358" s="651"/>
      <c r="R5358" s="651"/>
      <c r="S5358" s="651"/>
    </row>
    <row r="5359" spans="12:19" ht="15.75" customHeight="1" x14ac:dyDescent="0.35">
      <c r="L5359" s="2"/>
      <c r="M5359" s="2"/>
      <c r="N5359" s="650"/>
      <c r="O5359" s="650"/>
      <c r="P5359" s="651"/>
      <c r="Q5359" s="651"/>
      <c r="R5359" s="651"/>
      <c r="S5359" s="651"/>
    </row>
    <row r="5360" spans="12:19" ht="15.75" customHeight="1" x14ac:dyDescent="0.35">
      <c r="L5360" s="2"/>
      <c r="M5360" s="2"/>
      <c r="N5360" s="650"/>
      <c r="O5360" s="650"/>
      <c r="P5360" s="651"/>
      <c r="Q5360" s="651"/>
      <c r="R5360" s="651"/>
      <c r="S5360" s="651"/>
    </row>
    <row r="5361" spans="12:19" ht="15.75" customHeight="1" x14ac:dyDescent="0.35">
      <c r="L5361" s="2"/>
      <c r="M5361" s="2"/>
      <c r="N5361" s="650"/>
      <c r="O5361" s="650"/>
      <c r="P5361" s="651"/>
      <c r="Q5361" s="651"/>
      <c r="R5361" s="651"/>
      <c r="S5361" s="651"/>
    </row>
    <row r="5362" spans="12:19" ht="15.75" customHeight="1" x14ac:dyDescent="0.35">
      <c r="L5362" s="2"/>
      <c r="M5362" s="2"/>
      <c r="N5362" s="650"/>
      <c r="O5362" s="650"/>
      <c r="P5362" s="651"/>
      <c r="Q5362" s="651"/>
      <c r="R5362" s="651"/>
      <c r="S5362" s="651"/>
    </row>
    <row r="5363" spans="12:19" ht="15.75" customHeight="1" x14ac:dyDescent="0.35">
      <c r="L5363" s="2"/>
      <c r="M5363" s="2"/>
      <c r="N5363" s="650"/>
      <c r="O5363" s="650"/>
      <c r="P5363" s="651"/>
      <c r="Q5363" s="651"/>
      <c r="R5363" s="651"/>
      <c r="S5363" s="651"/>
    </row>
    <row r="5364" spans="12:19" ht="15.75" customHeight="1" x14ac:dyDescent="0.35">
      <c r="L5364" s="2"/>
      <c r="M5364" s="2"/>
      <c r="N5364" s="650"/>
      <c r="O5364" s="650"/>
      <c r="P5364" s="651"/>
      <c r="Q5364" s="651"/>
      <c r="R5364" s="651"/>
      <c r="S5364" s="651"/>
    </row>
    <row r="5365" spans="12:19" ht="15.75" customHeight="1" x14ac:dyDescent="0.35">
      <c r="L5365" s="2"/>
      <c r="M5365" s="2"/>
      <c r="N5365" s="650"/>
      <c r="O5365" s="650"/>
      <c r="P5365" s="651"/>
      <c r="Q5365" s="651"/>
      <c r="R5365" s="651"/>
      <c r="S5365" s="651"/>
    </row>
    <row r="5366" spans="12:19" ht="15.75" customHeight="1" x14ac:dyDescent="0.35">
      <c r="L5366" s="2"/>
      <c r="M5366" s="2"/>
      <c r="N5366" s="650"/>
      <c r="O5366" s="650"/>
      <c r="P5366" s="651"/>
      <c r="Q5366" s="651"/>
      <c r="R5366" s="651"/>
      <c r="S5366" s="651"/>
    </row>
    <row r="5367" spans="12:19" ht="15.75" customHeight="1" x14ac:dyDescent="0.35">
      <c r="L5367" s="2"/>
      <c r="M5367" s="2"/>
      <c r="N5367" s="650"/>
      <c r="O5367" s="650"/>
      <c r="P5367" s="651"/>
      <c r="Q5367" s="651"/>
      <c r="R5367" s="651"/>
      <c r="S5367" s="651"/>
    </row>
    <row r="5368" spans="12:19" ht="15.75" customHeight="1" x14ac:dyDescent="0.35">
      <c r="L5368" s="2"/>
      <c r="M5368" s="2"/>
      <c r="N5368" s="650"/>
      <c r="O5368" s="650"/>
      <c r="P5368" s="651"/>
      <c r="Q5368" s="651"/>
      <c r="R5368" s="651"/>
      <c r="S5368" s="651"/>
    </row>
    <row r="5369" spans="12:19" ht="15.75" customHeight="1" x14ac:dyDescent="0.35">
      <c r="L5369" s="2"/>
      <c r="M5369" s="2"/>
      <c r="N5369" s="650"/>
      <c r="O5369" s="650"/>
      <c r="P5369" s="651"/>
      <c r="Q5369" s="651"/>
      <c r="R5369" s="651"/>
      <c r="S5369" s="651"/>
    </row>
    <row r="5370" spans="12:19" ht="15.75" customHeight="1" x14ac:dyDescent="0.35">
      <c r="L5370" s="2"/>
      <c r="M5370" s="2"/>
      <c r="N5370" s="650"/>
      <c r="O5370" s="650"/>
      <c r="P5370" s="651"/>
      <c r="Q5370" s="651"/>
      <c r="R5370" s="651"/>
      <c r="S5370" s="651"/>
    </row>
    <row r="5371" spans="12:19" ht="15.75" customHeight="1" x14ac:dyDescent="0.35">
      <c r="L5371" s="2"/>
      <c r="M5371" s="2"/>
      <c r="N5371" s="650"/>
      <c r="O5371" s="650"/>
      <c r="P5371" s="651"/>
      <c r="Q5371" s="651"/>
      <c r="R5371" s="651"/>
      <c r="S5371" s="651"/>
    </row>
    <row r="5372" spans="12:19" ht="15.75" customHeight="1" x14ac:dyDescent="0.35">
      <c r="L5372" s="2"/>
      <c r="M5372" s="2"/>
      <c r="N5372" s="650"/>
      <c r="O5372" s="650"/>
      <c r="P5372" s="651"/>
      <c r="Q5372" s="651"/>
      <c r="R5372" s="651"/>
      <c r="S5372" s="651"/>
    </row>
    <row r="5373" spans="12:19" ht="15.75" customHeight="1" x14ac:dyDescent="0.35">
      <c r="L5373" s="2"/>
      <c r="M5373" s="2"/>
      <c r="N5373" s="650"/>
      <c r="O5373" s="650"/>
      <c r="P5373" s="651"/>
      <c r="Q5373" s="651"/>
      <c r="R5373" s="651"/>
      <c r="S5373" s="651"/>
    </row>
    <row r="5374" spans="12:19" ht="15.75" customHeight="1" x14ac:dyDescent="0.35">
      <c r="L5374" s="2"/>
      <c r="M5374" s="2"/>
      <c r="N5374" s="650"/>
      <c r="O5374" s="650"/>
      <c r="P5374" s="651"/>
      <c r="Q5374" s="651"/>
      <c r="R5374" s="651"/>
      <c r="S5374" s="651"/>
    </row>
    <row r="5375" spans="12:19" ht="15.75" customHeight="1" x14ac:dyDescent="0.35">
      <c r="L5375" s="2"/>
      <c r="M5375" s="2"/>
      <c r="N5375" s="650"/>
      <c r="O5375" s="650"/>
      <c r="P5375" s="651"/>
      <c r="Q5375" s="651"/>
      <c r="R5375" s="651"/>
      <c r="S5375" s="651"/>
    </row>
    <row r="5376" spans="12:19" ht="15.75" customHeight="1" x14ac:dyDescent="0.35">
      <c r="L5376" s="2"/>
      <c r="M5376" s="2"/>
      <c r="N5376" s="650"/>
      <c r="O5376" s="650"/>
      <c r="P5376" s="651"/>
      <c r="Q5376" s="651"/>
      <c r="R5376" s="651"/>
      <c r="S5376" s="651"/>
    </row>
    <row r="5377" spans="12:19" ht="15.75" customHeight="1" x14ac:dyDescent="0.35">
      <c r="L5377" s="2"/>
      <c r="M5377" s="2"/>
      <c r="N5377" s="650"/>
      <c r="O5377" s="650"/>
      <c r="P5377" s="651"/>
      <c r="Q5377" s="651"/>
      <c r="R5377" s="651"/>
      <c r="S5377" s="651"/>
    </row>
    <row r="5378" spans="12:19" ht="15.75" customHeight="1" x14ac:dyDescent="0.35">
      <c r="L5378" s="2"/>
      <c r="M5378" s="2"/>
      <c r="N5378" s="650"/>
      <c r="O5378" s="650"/>
      <c r="P5378" s="651"/>
      <c r="Q5378" s="651"/>
      <c r="R5378" s="651"/>
      <c r="S5378" s="651"/>
    </row>
    <row r="5379" spans="12:19" ht="15.75" customHeight="1" x14ac:dyDescent="0.35">
      <c r="L5379" s="2"/>
      <c r="M5379" s="2"/>
      <c r="N5379" s="650"/>
      <c r="O5379" s="650"/>
      <c r="P5379" s="651"/>
      <c r="Q5379" s="651"/>
      <c r="R5379" s="651"/>
      <c r="S5379" s="651"/>
    </row>
    <row r="5380" spans="12:19" ht="15.75" customHeight="1" x14ac:dyDescent="0.35">
      <c r="L5380" s="2"/>
      <c r="M5380" s="2"/>
      <c r="N5380" s="650"/>
      <c r="O5380" s="650"/>
      <c r="P5380" s="651"/>
      <c r="Q5380" s="651"/>
      <c r="R5380" s="651"/>
      <c r="S5380" s="651"/>
    </row>
    <row r="5381" spans="12:19" ht="15.75" customHeight="1" x14ac:dyDescent="0.35">
      <c r="L5381" s="2"/>
      <c r="M5381" s="2"/>
      <c r="N5381" s="650"/>
      <c r="O5381" s="650"/>
      <c r="P5381" s="651"/>
      <c r="Q5381" s="651"/>
      <c r="R5381" s="651"/>
      <c r="S5381" s="651"/>
    </row>
    <row r="5382" spans="12:19" ht="15.75" customHeight="1" x14ac:dyDescent="0.35">
      <c r="L5382" s="2"/>
      <c r="M5382" s="2"/>
      <c r="N5382" s="650"/>
      <c r="O5382" s="650"/>
      <c r="P5382" s="651"/>
      <c r="Q5382" s="651"/>
      <c r="R5382" s="651"/>
      <c r="S5382" s="651"/>
    </row>
    <row r="5383" spans="12:19" ht="15.75" customHeight="1" x14ac:dyDescent="0.35">
      <c r="L5383" s="2"/>
      <c r="M5383" s="2"/>
      <c r="N5383" s="650"/>
      <c r="O5383" s="650"/>
      <c r="P5383" s="651"/>
      <c r="Q5383" s="651"/>
      <c r="R5383" s="651"/>
      <c r="S5383" s="651"/>
    </row>
    <row r="5384" spans="12:19" ht="15.75" customHeight="1" x14ac:dyDescent="0.35">
      <c r="L5384" s="2"/>
      <c r="M5384" s="2"/>
      <c r="N5384" s="650"/>
      <c r="O5384" s="650"/>
      <c r="P5384" s="651"/>
      <c r="Q5384" s="651"/>
      <c r="R5384" s="651"/>
      <c r="S5384" s="651"/>
    </row>
    <row r="5385" spans="12:19" ht="15.75" customHeight="1" x14ac:dyDescent="0.35">
      <c r="L5385" s="2"/>
      <c r="M5385" s="2"/>
      <c r="N5385" s="650"/>
      <c r="O5385" s="650"/>
      <c r="P5385" s="651"/>
      <c r="Q5385" s="651"/>
      <c r="R5385" s="651"/>
      <c r="S5385" s="651"/>
    </row>
    <row r="5386" spans="12:19" ht="15.75" customHeight="1" x14ac:dyDescent="0.35">
      <c r="L5386" s="2"/>
      <c r="M5386" s="2"/>
      <c r="N5386" s="650"/>
      <c r="O5386" s="650"/>
      <c r="P5386" s="651"/>
      <c r="Q5386" s="651"/>
      <c r="R5386" s="651"/>
      <c r="S5386" s="651"/>
    </row>
    <row r="5387" spans="12:19" ht="15.75" customHeight="1" x14ac:dyDescent="0.35">
      <c r="L5387" s="2"/>
      <c r="M5387" s="2"/>
      <c r="N5387" s="650"/>
      <c r="O5387" s="650"/>
      <c r="P5387" s="651"/>
      <c r="Q5387" s="651"/>
      <c r="R5387" s="651"/>
      <c r="S5387" s="651"/>
    </row>
    <row r="5388" spans="12:19" ht="15.75" customHeight="1" x14ac:dyDescent="0.35">
      <c r="L5388" s="2"/>
      <c r="M5388" s="2"/>
      <c r="N5388" s="650"/>
      <c r="O5388" s="650"/>
      <c r="P5388" s="651"/>
      <c r="Q5388" s="651"/>
      <c r="R5388" s="651"/>
      <c r="S5388" s="651"/>
    </row>
    <row r="5389" spans="12:19" ht="15.75" customHeight="1" x14ac:dyDescent="0.35">
      <c r="L5389" s="2"/>
      <c r="M5389" s="2"/>
      <c r="N5389" s="650"/>
      <c r="O5389" s="650"/>
      <c r="P5389" s="651"/>
      <c r="Q5389" s="651"/>
      <c r="R5389" s="651"/>
      <c r="S5389" s="651"/>
    </row>
    <row r="5390" spans="12:19" ht="15.75" customHeight="1" x14ac:dyDescent="0.35">
      <c r="L5390" s="2"/>
      <c r="M5390" s="2"/>
      <c r="N5390" s="650"/>
      <c r="O5390" s="650"/>
      <c r="P5390" s="651"/>
      <c r="Q5390" s="651"/>
      <c r="R5390" s="651"/>
      <c r="S5390" s="651"/>
    </row>
    <row r="5391" spans="12:19" ht="15.75" customHeight="1" x14ac:dyDescent="0.35">
      <c r="L5391" s="2"/>
      <c r="M5391" s="2"/>
      <c r="N5391" s="650"/>
      <c r="O5391" s="650"/>
      <c r="P5391" s="651"/>
      <c r="Q5391" s="651"/>
      <c r="R5391" s="651"/>
      <c r="S5391" s="651"/>
    </row>
    <row r="5392" spans="12:19" ht="15.75" customHeight="1" x14ac:dyDescent="0.35">
      <c r="L5392" s="2"/>
      <c r="M5392" s="2"/>
      <c r="N5392" s="650"/>
      <c r="O5392" s="650"/>
      <c r="P5392" s="651"/>
      <c r="Q5392" s="651"/>
      <c r="R5392" s="651"/>
      <c r="S5392" s="651"/>
    </row>
    <row r="5393" spans="12:19" ht="15.75" customHeight="1" x14ac:dyDescent="0.35">
      <c r="L5393" s="2"/>
      <c r="M5393" s="2"/>
      <c r="N5393" s="650"/>
      <c r="O5393" s="650"/>
      <c r="P5393" s="651"/>
      <c r="Q5393" s="651"/>
      <c r="R5393" s="651"/>
      <c r="S5393" s="651"/>
    </row>
    <row r="5394" spans="12:19" ht="15.75" customHeight="1" x14ac:dyDescent="0.35">
      <c r="L5394" s="2"/>
      <c r="M5394" s="2"/>
      <c r="N5394" s="650"/>
      <c r="O5394" s="650"/>
      <c r="P5394" s="651"/>
      <c r="Q5394" s="651"/>
      <c r="R5394" s="651"/>
      <c r="S5394" s="651"/>
    </row>
    <row r="5395" spans="12:19" ht="15.75" customHeight="1" x14ac:dyDescent="0.35">
      <c r="L5395" s="2"/>
      <c r="M5395" s="2"/>
      <c r="N5395" s="650"/>
      <c r="O5395" s="650"/>
      <c r="P5395" s="651"/>
      <c r="Q5395" s="651"/>
      <c r="R5395" s="651"/>
      <c r="S5395" s="651"/>
    </row>
    <row r="5396" spans="12:19" ht="15.75" customHeight="1" x14ac:dyDescent="0.35">
      <c r="L5396" s="2"/>
      <c r="M5396" s="2"/>
      <c r="N5396" s="650"/>
      <c r="O5396" s="650"/>
      <c r="P5396" s="651"/>
      <c r="Q5396" s="651"/>
      <c r="R5396" s="651"/>
      <c r="S5396" s="651"/>
    </row>
    <row r="5397" spans="12:19" ht="15.75" customHeight="1" x14ac:dyDescent="0.35">
      <c r="L5397" s="2"/>
      <c r="M5397" s="2"/>
      <c r="N5397" s="650"/>
      <c r="O5397" s="650"/>
      <c r="P5397" s="651"/>
      <c r="Q5397" s="651"/>
      <c r="R5397" s="651"/>
      <c r="S5397" s="651"/>
    </row>
    <row r="5398" spans="12:19" ht="15.75" customHeight="1" x14ac:dyDescent="0.35">
      <c r="L5398" s="2"/>
      <c r="M5398" s="2"/>
      <c r="N5398" s="650"/>
      <c r="O5398" s="650"/>
      <c r="P5398" s="651"/>
      <c r="Q5398" s="651"/>
      <c r="R5398" s="651"/>
      <c r="S5398" s="651"/>
    </row>
    <row r="5399" spans="12:19" ht="15.75" customHeight="1" x14ac:dyDescent="0.35">
      <c r="L5399" s="2"/>
      <c r="M5399" s="2"/>
      <c r="N5399" s="650"/>
      <c r="O5399" s="650"/>
      <c r="P5399" s="651"/>
      <c r="Q5399" s="651"/>
      <c r="R5399" s="651"/>
      <c r="S5399" s="651"/>
    </row>
    <row r="5400" spans="12:19" ht="15.75" customHeight="1" x14ac:dyDescent="0.35">
      <c r="L5400" s="2"/>
      <c r="M5400" s="2"/>
      <c r="N5400" s="650"/>
      <c r="O5400" s="650"/>
      <c r="P5400" s="651"/>
      <c r="Q5400" s="651"/>
      <c r="R5400" s="651"/>
      <c r="S5400" s="651"/>
    </row>
    <row r="5401" spans="12:19" ht="15.75" customHeight="1" x14ac:dyDescent="0.35">
      <c r="L5401" s="2"/>
      <c r="M5401" s="2"/>
      <c r="N5401" s="650"/>
      <c r="O5401" s="650"/>
      <c r="P5401" s="651"/>
      <c r="Q5401" s="651"/>
      <c r="R5401" s="651"/>
      <c r="S5401" s="651"/>
    </row>
    <row r="5402" spans="12:19" ht="15.75" customHeight="1" x14ac:dyDescent="0.35">
      <c r="L5402" s="2"/>
      <c r="M5402" s="2"/>
      <c r="N5402" s="650"/>
      <c r="O5402" s="650"/>
      <c r="P5402" s="651"/>
      <c r="Q5402" s="651"/>
      <c r="R5402" s="651"/>
      <c r="S5402" s="651"/>
    </row>
    <row r="5403" spans="12:19" ht="15.75" customHeight="1" x14ac:dyDescent="0.35">
      <c r="L5403" s="2"/>
      <c r="M5403" s="2"/>
      <c r="N5403" s="650"/>
      <c r="O5403" s="650"/>
      <c r="P5403" s="651"/>
      <c r="Q5403" s="651"/>
      <c r="R5403" s="651"/>
      <c r="S5403" s="651"/>
    </row>
    <row r="5404" spans="12:19" ht="15.75" customHeight="1" x14ac:dyDescent="0.35">
      <c r="L5404" s="2"/>
      <c r="M5404" s="2"/>
      <c r="N5404" s="650"/>
      <c r="O5404" s="650"/>
      <c r="P5404" s="651"/>
      <c r="Q5404" s="651"/>
      <c r="R5404" s="651"/>
      <c r="S5404" s="651"/>
    </row>
    <row r="5405" spans="12:19" ht="15.75" customHeight="1" x14ac:dyDescent="0.35">
      <c r="L5405" s="2"/>
      <c r="M5405" s="2"/>
      <c r="N5405" s="650"/>
      <c r="O5405" s="650"/>
      <c r="P5405" s="651"/>
      <c r="Q5405" s="651"/>
      <c r="R5405" s="651"/>
      <c r="S5405" s="651"/>
    </row>
    <row r="5406" spans="12:19" ht="15.75" customHeight="1" x14ac:dyDescent="0.35">
      <c r="L5406" s="2"/>
      <c r="M5406" s="2"/>
      <c r="N5406" s="650"/>
      <c r="O5406" s="650"/>
      <c r="P5406" s="651"/>
      <c r="Q5406" s="651"/>
      <c r="R5406" s="651"/>
      <c r="S5406" s="651"/>
    </row>
    <row r="5407" spans="12:19" ht="15.75" customHeight="1" x14ac:dyDescent="0.35">
      <c r="L5407" s="2"/>
      <c r="M5407" s="2"/>
      <c r="N5407" s="650"/>
      <c r="O5407" s="650"/>
      <c r="P5407" s="651"/>
      <c r="Q5407" s="651"/>
      <c r="R5407" s="651"/>
      <c r="S5407" s="651"/>
    </row>
    <row r="5408" spans="12:19" ht="15.75" customHeight="1" x14ac:dyDescent="0.35">
      <c r="L5408" s="2"/>
      <c r="M5408" s="2"/>
      <c r="N5408" s="650"/>
      <c r="O5408" s="650"/>
      <c r="P5408" s="651"/>
      <c r="Q5408" s="651"/>
      <c r="R5408" s="651"/>
      <c r="S5408" s="651"/>
    </row>
    <row r="5409" spans="12:19" ht="15.75" customHeight="1" x14ac:dyDescent="0.35">
      <c r="L5409" s="2"/>
      <c r="M5409" s="2"/>
      <c r="N5409" s="650"/>
      <c r="O5409" s="650"/>
      <c r="P5409" s="651"/>
      <c r="Q5409" s="651"/>
      <c r="R5409" s="651"/>
      <c r="S5409" s="651"/>
    </row>
    <row r="5410" spans="12:19" ht="15.75" customHeight="1" x14ac:dyDescent="0.35">
      <c r="L5410" s="2"/>
      <c r="M5410" s="2"/>
      <c r="N5410" s="650"/>
      <c r="O5410" s="650"/>
      <c r="P5410" s="651"/>
      <c r="Q5410" s="651"/>
      <c r="R5410" s="651"/>
      <c r="S5410" s="651"/>
    </row>
    <row r="5411" spans="12:19" ht="15.75" customHeight="1" x14ac:dyDescent="0.35">
      <c r="L5411" s="2"/>
      <c r="M5411" s="2"/>
      <c r="N5411" s="650"/>
      <c r="O5411" s="650"/>
      <c r="P5411" s="651"/>
      <c r="Q5411" s="651"/>
      <c r="R5411" s="651"/>
      <c r="S5411" s="651"/>
    </row>
    <row r="5412" spans="12:19" ht="15.75" customHeight="1" x14ac:dyDescent="0.35">
      <c r="L5412" s="2"/>
      <c r="M5412" s="2"/>
      <c r="N5412" s="650"/>
      <c r="O5412" s="650"/>
      <c r="P5412" s="651"/>
      <c r="Q5412" s="651"/>
      <c r="R5412" s="651"/>
      <c r="S5412" s="651"/>
    </row>
    <row r="5413" spans="12:19" ht="15.75" customHeight="1" x14ac:dyDescent="0.35">
      <c r="L5413" s="2"/>
      <c r="M5413" s="2"/>
      <c r="N5413" s="650"/>
      <c r="O5413" s="650"/>
      <c r="P5413" s="651"/>
      <c r="Q5413" s="651"/>
      <c r="R5413" s="651"/>
      <c r="S5413" s="651"/>
    </row>
    <row r="5414" spans="12:19" ht="15.75" customHeight="1" x14ac:dyDescent="0.35">
      <c r="L5414" s="2"/>
      <c r="M5414" s="2"/>
      <c r="N5414" s="650"/>
      <c r="O5414" s="650"/>
      <c r="P5414" s="651"/>
      <c r="Q5414" s="651"/>
      <c r="R5414" s="651"/>
      <c r="S5414" s="651"/>
    </row>
    <row r="5415" spans="12:19" ht="15.75" customHeight="1" x14ac:dyDescent="0.35">
      <c r="L5415" s="2"/>
      <c r="M5415" s="2"/>
      <c r="N5415" s="650"/>
      <c r="O5415" s="650"/>
      <c r="P5415" s="651"/>
      <c r="Q5415" s="651"/>
      <c r="R5415" s="651"/>
      <c r="S5415" s="651"/>
    </row>
    <row r="5416" spans="12:19" ht="15.75" customHeight="1" x14ac:dyDescent="0.35">
      <c r="L5416" s="2"/>
      <c r="M5416" s="2"/>
      <c r="N5416" s="650"/>
      <c r="O5416" s="650"/>
      <c r="P5416" s="651"/>
      <c r="Q5416" s="651"/>
      <c r="R5416" s="651"/>
      <c r="S5416" s="651"/>
    </row>
    <row r="5417" spans="12:19" ht="15.75" customHeight="1" x14ac:dyDescent="0.35">
      <c r="L5417" s="2"/>
      <c r="M5417" s="2"/>
      <c r="N5417" s="650"/>
      <c r="O5417" s="650"/>
      <c r="P5417" s="651"/>
      <c r="Q5417" s="651"/>
      <c r="R5417" s="651"/>
      <c r="S5417" s="651"/>
    </row>
    <row r="5418" spans="12:19" ht="15.75" customHeight="1" x14ac:dyDescent="0.35">
      <c r="L5418" s="2"/>
      <c r="M5418" s="2"/>
      <c r="N5418" s="650"/>
      <c r="O5418" s="650"/>
      <c r="P5418" s="651"/>
      <c r="Q5418" s="651"/>
      <c r="R5418" s="651"/>
      <c r="S5418" s="651"/>
    </row>
    <row r="5419" spans="12:19" ht="15.75" customHeight="1" x14ac:dyDescent="0.35">
      <c r="L5419" s="2"/>
      <c r="M5419" s="2"/>
      <c r="N5419" s="650"/>
      <c r="O5419" s="650"/>
      <c r="P5419" s="651"/>
      <c r="Q5419" s="651"/>
      <c r="R5419" s="651"/>
      <c r="S5419" s="651"/>
    </row>
    <row r="5420" spans="12:19" ht="15.75" customHeight="1" x14ac:dyDescent="0.35">
      <c r="L5420" s="2"/>
      <c r="M5420" s="2"/>
      <c r="N5420" s="650"/>
      <c r="O5420" s="650"/>
      <c r="P5420" s="651"/>
      <c r="Q5420" s="651"/>
      <c r="R5420" s="651"/>
      <c r="S5420" s="651"/>
    </row>
    <row r="5421" spans="12:19" ht="15.75" customHeight="1" x14ac:dyDescent="0.35">
      <c r="L5421" s="2"/>
      <c r="M5421" s="2"/>
      <c r="N5421" s="650"/>
      <c r="O5421" s="650"/>
      <c r="P5421" s="651"/>
      <c r="Q5421" s="651"/>
      <c r="R5421" s="651"/>
      <c r="S5421" s="651"/>
    </row>
    <row r="5422" spans="12:19" ht="15.75" customHeight="1" x14ac:dyDescent="0.35">
      <c r="L5422" s="2"/>
      <c r="M5422" s="2"/>
      <c r="N5422" s="650"/>
      <c r="O5422" s="650"/>
      <c r="P5422" s="651"/>
      <c r="Q5422" s="651"/>
      <c r="R5422" s="651"/>
      <c r="S5422" s="651"/>
    </row>
    <row r="5423" spans="12:19" ht="15.75" customHeight="1" x14ac:dyDescent="0.35">
      <c r="L5423" s="2"/>
      <c r="M5423" s="2"/>
      <c r="N5423" s="650"/>
      <c r="O5423" s="650"/>
      <c r="P5423" s="651"/>
      <c r="Q5423" s="651"/>
      <c r="R5423" s="651"/>
      <c r="S5423" s="651"/>
    </row>
    <row r="5424" spans="12:19" ht="15.75" customHeight="1" x14ac:dyDescent="0.35">
      <c r="L5424" s="2"/>
      <c r="M5424" s="2"/>
      <c r="N5424" s="650"/>
      <c r="O5424" s="650"/>
      <c r="P5424" s="651"/>
      <c r="Q5424" s="651"/>
      <c r="R5424" s="651"/>
      <c r="S5424" s="651"/>
    </row>
    <row r="5425" spans="12:19" ht="15.75" customHeight="1" x14ac:dyDescent="0.35">
      <c r="L5425" s="2"/>
      <c r="M5425" s="2"/>
      <c r="N5425" s="650"/>
      <c r="O5425" s="650"/>
      <c r="P5425" s="651"/>
      <c r="Q5425" s="651"/>
      <c r="R5425" s="651"/>
      <c r="S5425" s="651"/>
    </row>
    <row r="5426" spans="12:19" ht="15.75" customHeight="1" x14ac:dyDescent="0.35">
      <c r="L5426" s="2"/>
      <c r="M5426" s="2"/>
      <c r="N5426" s="650"/>
      <c r="O5426" s="650"/>
      <c r="P5426" s="651"/>
      <c r="Q5426" s="651"/>
      <c r="R5426" s="651"/>
      <c r="S5426" s="651"/>
    </row>
    <row r="5427" spans="12:19" ht="15.75" customHeight="1" x14ac:dyDescent="0.35">
      <c r="L5427" s="2"/>
      <c r="M5427" s="2"/>
      <c r="N5427" s="650"/>
      <c r="O5427" s="650"/>
      <c r="P5427" s="651"/>
      <c r="Q5427" s="651"/>
      <c r="R5427" s="651"/>
      <c r="S5427" s="651"/>
    </row>
    <row r="5428" spans="12:19" ht="15.75" customHeight="1" x14ac:dyDescent="0.35">
      <c r="L5428" s="2"/>
      <c r="M5428" s="2"/>
      <c r="N5428" s="650"/>
      <c r="O5428" s="650"/>
      <c r="P5428" s="651"/>
      <c r="Q5428" s="651"/>
      <c r="R5428" s="651"/>
      <c r="S5428" s="651"/>
    </row>
    <row r="5429" spans="12:19" ht="15.75" customHeight="1" x14ac:dyDescent="0.35">
      <c r="L5429" s="2"/>
      <c r="M5429" s="2"/>
      <c r="N5429" s="650"/>
      <c r="O5429" s="650"/>
      <c r="P5429" s="651"/>
      <c r="Q5429" s="651"/>
      <c r="R5429" s="651"/>
      <c r="S5429" s="651"/>
    </row>
    <row r="5430" spans="12:19" ht="15.75" customHeight="1" x14ac:dyDescent="0.35">
      <c r="L5430" s="2"/>
      <c r="M5430" s="2"/>
      <c r="N5430" s="650"/>
      <c r="O5430" s="650"/>
      <c r="P5430" s="651"/>
      <c r="Q5430" s="651"/>
      <c r="R5430" s="651"/>
      <c r="S5430" s="651"/>
    </row>
    <row r="5431" spans="12:19" ht="15.75" customHeight="1" x14ac:dyDescent="0.35">
      <c r="L5431" s="2"/>
      <c r="M5431" s="2"/>
      <c r="N5431" s="650"/>
      <c r="O5431" s="650"/>
      <c r="P5431" s="651"/>
      <c r="Q5431" s="651"/>
      <c r="R5431" s="651"/>
      <c r="S5431" s="651"/>
    </row>
    <row r="5432" spans="12:19" ht="15.75" customHeight="1" x14ac:dyDescent="0.35">
      <c r="L5432" s="2"/>
      <c r="M5432" s="2"/>
      <c r="N5432" s="650"/>
      <c r="O5432" s="650"/>
      <c r="P5432" s="651"/>
      <c r="Q5432" s="651"/>
      <c r="R5432" s="651"/>
      <c r="S5432" s="651"/>
    </row>
    <row r="5433" spans="12:19" ht="15.75" customHeight="1" x14ac:dyDescent="0.35">
      <c r="L5433" s="2"/>
      <c r="M5433" s="2"/>
      <c r="N5433" s="650"/>
      <c r="O5433" s="650"/>
      <c r="P5433" s="651"/>
      <c r="Q5433" s="651"/>
      <c r="R5433" s="651"/>
      <c r="S5433" s="651"/>
    </row>
    <row r="5434" spans="12:19" ht="15.75" customHeight="1" x14ac:dyDescent="0.35">
      <c r="L5434" s="2"/>
      <c r="M5434" s="2"/>
      <c r="N5434" s="650"/>
      <c r="O5434" s="650"/>
      <c r="P5434" s="651"/>
      <c r="Q5434" s="651"/>
      <c r="R5434" s="651"/>
      <c r="S5434" s="651"/>
    </row>
    <row r="5435" spans="12:19" ht="15.75" customHeight="1" x14ac:dyDescent="0.35">
      <c r="L5435" s="2"/>
      <c r="M5435" s="2"/>
      <c r="N5435" s="650"/>
      <c r="O5435" s="650"/>
      <c r="P5435" s="651"/>
      <c r="Q5435" s="651"/>
      <c r="R5435" s="651"/>
      <c r="S5435" s="651"/>
    </row>
    <row r="5436" spans="12:19" ht="15.75" customHeight="1" x14ac:dyDescent="0.35">
      <c r="L5436" s="2"/>
      <c r="M5436" s="2"/>
      <c r="N5436" s="650"/>
      <c r="O5436" s="650"/>
      <c r="P5436" s="651"/>
      <c r="Q5436" s="651"/>
      <c r="R5436" s="651"/>
      <c r="S5436" s="651"/>
    </row>
    <row r="5437" spans="12:19" ht="15.75" customHeight="1" x14ac:dyDescent="0.35">
      <c r="L5437" s="2"/>
      <c r="M5437" s="2"/>
      <c r="N5437" s="650"/>
      <c r="O5437" s="650"/>
      <c r="P5437" s="651"/>
      <c r="Q5437" s="651"/>
      <c r="R5437" s="651"/>
      <c r="S5437" s="651"/>
    </row>
    <row r="5438" spans="12:19" ht="15.75" customHeight="1" x14ac:dyDescent="0.35">
      <c r="L5438" s="2"/>
      <c r="M5438" s="2"/>
      <c r="N5438" s="650"/>
      <c r="O5438" s="650"/>
      <c r="P5438" s="651"/>
      <c r="Q5438" s="651"/>
      <c r="R5438" s="651"/>
      <c r="S5438" s="651"/>
    </row>
    <row r="5439" spans="12:19" ht="15.75" customHeight="1" x14ac:dyDescent="0.35">
      <c r="L5439" s="2"/>
      <c r="M5439" s="2"/>
      <c r="N5439" s="650"/>
      <c r="O5439" s="650"/>
      <c r="P5439" s="651"/>
      <c r="Q5439" s="651"/>
      <c r="R5439" s="651"/>
      <c r="S5439" s="651"/>
    </row>
    <row r="5440" spans="12:19" ht="15.75" customHeight="1" x14ac:dyDescent="0.35">
      <c r="L5440" s="2"/>
      <c r="M5440" s="2"/>
      <c r="N5440" s="650"/>
      <c r="O5440" s="650"/>
      <c r="P5440" s="651"/>
      <c r="Q5440" s="651"/>
      <c r="R5440" s="651"/>
      <c r="S5440" s="651"/>
    </row>
    <row r="5441" spans="12:19" ht="15.75" customHeight="1" x14ac:dyDescent="0.35">
      <c r="L5441" s="2"/>
      <c r="M5441" s="2"/>
      <c r="N5441" s="650"/>
      <c r="O5441" s="650"/>
      <c r="P5441" s="651"/>
      <c r="Q5441" s="651"/>
      <c r="R5441" s="651"/>
      <c r="S5441" s="651"/>
    </row>
    <row r="5442" spans="12:19" ht="15.75" customHeight="1" x14ac:dyDescent="0.35">
      <c r="L5442" s="2"/>
      <c r="M5442" s="2"/>
      <c r="N5442" s="650"/>
      <c r="O5442" s="650"/>
      <c r="P5442" s="651"/>
      <c r="Q5442" s="651"/>
      <c r="R5442" s="651"/>
      <c r="S5442" s="651"/>
    </row>
    <row r="5443" spans="12:19" ht="15.75" customHeight="1" x14ac:dyDescent="0.35">
      <c r="L5443" s="2"/>
      <c r="M5443" s="2"/>
      <c r="N5443" s="650"/>
      <c r="O5443" s="650"/>
      <c r="P5443" s="651"/>
      <c r="Q5443" s="651"/>
      <c r="R5443" s="651"/>
      <c r="S5443" s="651"/>
    </row>
    <row r="5444" spans="12:19" ht="15.75" customHeight="1" x14ac:dyDescent="0.35">
      <c r="L5444" s="2"/>
      <c r="M5444" s="2"/>
      <c r="N5444" s="650"/>
      <c r="O5444" s="650"/>
      <c r="P5444" s="651"/>
      <c r="Q5444" s="651"/>
      <c r="R5444" s="651"/>
      <c r="S5444" s="651"/>
    </row>
    <row r="5445" spans="12:19" ht="15.75" customHeight="1" x14ac:dyDescent="0.35">
      <c r="L5445" s="2"/>
      <c r="M5445" s="2"/>
      <c r="N5445" s="650"/>
      <c r="O5445" s="650"/>
      <c r="P5445" s="651"/>
      <c r="Q5445" s="651"/>
      <c r="R5445" s="651"/>
      <c r="S5445" s="651"/>
    </row>
    <row r="5446" spans="12:19" ht="15.75" customHeight="1" x14ac:dyDescent="0.35">
      <c r="L5446" s="2"/>
      <c r="M5446" s="2"/>
      <c r="N5446" s="650"/>
      <c r="O5446" s="650"/>
      <c r="P5446" s="651"/>
      <c r="Q5446" s="651"/>
      <c r="R5446" s="651"/>
      <c r="S5446" s="651"/>
    </row>
    <row r="5447" spans="12:19" ht="15.75" customHeight="1" x14ac:dyDescent="0.35">
      <c r="L5447" s="2"/>
      <c r="M5447" s="2"/>
      <c r="N5447" s="650"/>
      <c r="O5447" s="650"/>
      <c r="P5447" s="651"/>
      <c r="Q5447" s="651"/>
      <c r="R5447" s="651"/>
      <c r="S5447" s="651"/>
    </row>
    <row r="5448" spans="12:19" ht="15.75" customHeight="1" x14ac:dyDescent="0.35">
      <c r="L5448" s="2"/>
      <c r="M5448" s="2"/>
      <c r="N5448" s="650"/>
      <c r="O5448" s="650"/>
      <c r="P5448" s="651"/>
      <c r="Q5448" s="651"/>
      <c r="R5448" s="651"/>
      <c r="S5448" s="651"/>
    </row>
    <row r="5449" spans="12:19" ht="15.75" customHeight="1" x14ac:dyDescent="0.35">
      <c r="L5449" s="2"/>
      <c r="M5449" s="2"/>
      <c r="N5449" s="650"/>
      <c r="O5449" s="650"/>
      <c r="P5449" s="651"/>
      <c r="Q5449" s="651"/>
      <c r="R5449" s="651"/>
      <c r="S5449" s="651"/>
    </row>
    <row r="5450" spans="12:19" ht="15.75" customHeight="1" x14ac:dyDescent="0.35">
      <c r="L5450" s="2"/>
      <c r="M5450" s="2"/>
      <c r="N5450" s="650"/>
      <c r="O5450" s="650"/>
      <c r="P5450" s="651"/>
      <c r="Q5450" s="651"/>
      <c r="R5450" s="651"/>
      <c r="S5450" s="651"/>
    </row>
    <row r="5451" spans="12:19" ht="15.75" customHeight="1" x14ac:dyDescent="0.35">
      <c r="L5451" s="2"/>
      <c r="M5451" s="2"/>
      <c r="N5451" s="650"/>
      <c r="O5451" s="650"/>
      <c r="P5451" s="651"/>
      <c r="Q5451" s="651"/>
      <c r="R5451" s="651"/>
      <c r="S5451" s="651"/>
    </row>
    <row r="5452" spans="12:19" ht="15.75" customHeight="1" x14ac:dyDescent="0.35">
      <c r="L5452" s="2"/>
      <c r="M5452" s="2"/>
      <c r="N5452" s="650"/>
      <c r="O5452" s="650"/>
      <c r="P5452" s="651"/>
      <c r="Q5452" s="651"/>
      <c r="R5452" s="651"/>
      <c r="S5452" s="651"/>
    </row>
    <row r="5453" spans="12:19" ht="15.75" customHeight="1" x14ac:dyDescent="0.35">
      <c r="L5453" s="2"/>
      <c r="M5453" s="2"/>
      <c r="N5453" s="650"/>
      <c r="O5453" s="650"/>
      <c r="P5453" s="651"/>
      <c r="Q5453" s="651"/>
      <c r="R5453" s="651"/>
      <c r="S5453" s="651"/>
    </row>
    <row r="5454" spans="12:19" ht="15.75" customHeight="1" x14ac:dyDescent="0.35">
      <c r="L5454" s="2"/>
      <c r="M5454" s="2"/>
      <c r="N5454" s="650"/>
      <c r="O5454" s="650"/>
      <c r="P5454" s="651"/>
      <c r="Q5454" s="651"/>
      <c r="R5454" s="651"/>
      <c r="S5454" s="651"/>
    </row>
    <row r="5455" spans="12:19" ht="15.75" customHeight="1" x14ac:dyDescent="0.35">
      <c r="L5455" s="2"/>
      <c r="M5455" s="2"/>
      <c r="N5455" s="650"/>
      <c r="O5455" s="650"/>
      <c r="P5455" s="651"/>
      <c r="Q5455" s="651"/>
      <c r="R5455" s="651"/>
      <c r="S5455" s="651"/>
    </row>
    <row r="5456" spans="12:19" ht="15.75" customHeight="1" x14ac:dyDescent="0.35">
      <c r="L5456" s="2"/>
      <c r="M5456" s="2"/>
      <c r="N5456" s="650"/>
      <c r="O5456" s="650"/>
      <c r="P5456" s="651"/>
      <c r="Q5456" s="651"/>
      <c r="R5456" s="651"/>
      <c r="S5456" s="651"/>
    </row>
    <row r="5457" spans="12:19" ht="15.75" customHeight="1" x14ac:dyDescent="0.35">
      <c r="L5457" s="2"/>
      <c r="M5457" s="2"/>
      <c r="N5457" s="650"/>
      <c r="O5457" s="650"/>
      <c r="P5457" s="651"/>
      <c r="Q5457" s="651"/>
      <c r="R5457" s="651"/>
      <c r="S5457" s="651"/>
    </row>
    <row r="5458" spans="12:19" ht="15.75" customHeight="1" x14ac:dyDescent="0.35">
      <c r="L5458" s="2"/>
      <c r="M5458" s="2"/>
      <c r="N5458" s="650"/>
      <c r="O5458" s="650"/>
      <c r="P5458" s="651"/>
      <c r="Q5458" s="651"/>
      <c r="R5458" s="651"/>
      <c r="S5458" s="651"/>
    </row>
    <row r="5459" spans="12:19" ht="15.75" customHeight="1" x14ac:dyDescent="0.35">
      <c r="L5459" s="2"/>
      <c r="M5459" s="2"/>
      <c r="N5459" s="650"/>
      <c r="O5459" s="650"/>
      <c r="P5459" s="651"/>
      <c r="Q5459" s="651"/>
      <c r="R5459" s="651"/>
      <c r="S5459" s="651"/>
    </row>
    <row r="5460" spans="12:19" ht="15.75" customHeight="1" x14ac:dyDescent="0.35">
      <c r="L5460" s="2"/>
      <c r="M5460" s="2"/>
      <c r="N5460" s="650"/>
      <c r="O5460" s="650"/>
      <c r="P5460" s="651"/>
      <c r="Q5460" s="651"/>
      <c r="R5460" s="651"/>
      <c r="S5460" s="651"/>
    </row>
    <row r="5461" spans="12:19" ht="15.75" customHeight="1" x14ac:dyDescent="0.35">
      <c r="L5461" s="2"/>
      <c r="M5461" s="2"/>
      <c r="N5461" s="650"/>
      <c r="O5461" s="650"/>
      <c r="P5461" s="651"/>
      <c r="Q5461" s="651"/>
      <c r="R5461" s="651"/>
      <c r="S5461" s="651"/>
    </row>
    <row r="5462" spans="12:19" ht="15.75" customHeight="1" x14ac:dyDescent="0.35">
      <c r="L5462" s="2"/>
      <c r="M5462" s="2"/>
      <c r="N5462" s="650"/>
      <c r="O5462" s="650"/>
      <c r="P5462" s="651"/>
      <c r="Q5462" s="651"/>
      <c r="R5462" s="651"/>
      <c r="S5462" s="651"/>
    </row>
    <row r="5463" spans="12:19" ht="15.75" customHeight="1" x14ac:dyDescent="0.35">
      <c r="L5463" s="2"/>
      <c r="M5463" s="2"/>
      <c r="N5463" s="650"/>
      <c r="O5463" s="650"/>
      <c r="P5463" s="651"/>
      <c r="Q5463" s="651"/>
      <c r="R5463" s="651"/>
      <c r="S5463" s="651"/>
    </row>
    <row r="5464" spans="12:19" ht="15.75" customHeight="1" x14ac:dyDescent="0.35">
      <c r="L5464" s="2"/>
      <c r="M5464" s="2"/>
      <c r="N5464" s="650"/>
      <c r="O5464" s="650"/>
      <c r="P5464" s="651"/>
      <c r="Q5464" s="651"/>
      <c r="R5464" s="651"/>
      <c r="S5464" s="651"/>
    </row>
    <row r="5465" spans="12:19" ht="15.75" customHeight="1" x14ac:dyDescent="0.35">
      <c r="L5465" s="2"/>
      <c r="M5465" s="2"/>
      <c r="N5465" s="650"/>
      <c r="O5465" s="650"/>
      <c r="P5465" s="651"/>
      <c r="Q5465" s="651"/>
      <c r="R5465" s="651"/>
      <c r="S5465" s="651"/>
    </row>
    <row r="5466" spans="12:19" ht="15.75" customHeight="1" x14ac:dyDescent="0.35">
      <c r="L5466" s="2"/>
      <c r="M5466" s="2"/>
      <c r="N5466" s="650"/>
      <c r="O5466" s="650"/>
      <c r="P5466" s="651"/>
      <c r="Q5466" s="651"/>
      <c r="R5466" s="651"/>
      <c r="S5466" s="651"/>
    </row>
    <row r="5467" spans="12:19" ht="15.75" customHeight="1" x14ac:dyDescent="0.35">
      <c r="L5467" s="2"/>
      <c r="M5467" s="2"/>
      <c r="N5467" s="650"/>
      <c r="O5467" s="650"/>
      <c r="P5467" s="651"/>
      <c r="Q5467" s="651"/>
      <c r="R5467" s="651"/>
      <c r="S5467" s="651"/>
    </row>
    <row r="5468" spans="12:19" ht="15.75" customHeight="1" x14ac:dyDescent="0.35">
      <c r="L5468" s="2"/>
      <c r="M5468" s="2"/>
      <c r="N5468" s="650"/>
      <c r="O5468" s="650"/>
      <c r="P5468" s="651"/>
      <c r="Q5468" s="651"/>
      <c r="R5468" s="651"/>
      <c r="S5468" s="651"/>
    </row>
    <row r="5469" spans="12:19" ht="15.75" customHeight="1" x14ac:dyDescent="0.35">
      <c r="L5469" s="2"/>
      <c r="M5469" s="2"/>
      <c r="N5469" s="650"/>
      <c r="O5469" s="650"/>
      <c r="P5469" s="651"/>
      <c r="Q5469" s="651"/>
      <c r="R5469" s="651"/>
      <c r="S5469" s="651"/>
    </row>
    <row r="5470" spans="12:19" ht="15.75" customHeight="1" x14ac:dyDescent="0.35">
      <c r="L5470" s="2"/>
      <c r="M5470" s="2"/>
      <c r="N5470" s="650"/>
      <c r="O5470" s="650"/>
      <c r="P5470" s="651"/>
      <c r="Q5470" s="651"/>
      <c r="R5470" s="651"/>
      <c r="S5470" s="651"/>
    </row>
    <row r="5471" spans="12:19" ht="15.75" customHeight="1" x14ac:dyDescent="0.35">
      <c r="L5471" s="2"/>
      <c r="M5471" s="2"/>
      <c r="N5471" s="650"/>
      <c r="O5471" s="650"/>
      <c r="P5471" s="651"/>
      <c r="Q5471" s="651"/>
      <c r="R5471" s="651"/>
      <c r="S5471" s="651"/>
    </row>
    <row r="5472" spans="12:19" ht="15.75" customHeight="1" x14ac:dyDescent="0.35">
      <c r="L5472" s="2"/>
      <c r="M5472" s="2"/>
      <c r="N5472" s="650"/>
      <c r="O5472" s="650"/>
      <c r="P5472" s="651"/>
      <c r="Q5472" s="651"/>
      <c r="R5472" s="651"/>
      <c r="S5472" s="651"/>
    </row>
    <row r="5473" spans="12:19" ht="15.75" customHeight="1" x14ac:dyDescent="0.35">
      <c r="L5473" s="2"/>
      <c r="M5473" s="2"/>
      <c r="N5473" s="650"/>
      <c r="O5473" s="650"/>
      <c r="P5473" s="651"/>
      <c r="Q5473" s="651"/>
      <c r="R5473" s="651"/>
      <c r="S5473" s="651"/>
    </row>
    <row r="5474" spans="12:19" ht="15.75" customHeight="1" x14ac:dyDescent="0.35">
      <c r="L5474" s="2"/>
      <c r="M5474" s="2"/>
      <c r="N5474" s="650"/>
      <c r="O5474" s="650"/>
      <c r="P5474" s="651"/>
      <c r="Q5474" s="651"/>
      <c r="R5474" s="651"/>
      <c r="S5474" s="651"/>
    </row>
    <row r="5475" spans="12:19" ht="15.75" customHeight="1" x14ac:dyDescent="0.35">
      <c r="L5475" s="2"/>
      <c r="M5475" s="2"/>
      <c r="N5475" s="650"/>
      <c r="O5475" s="650"/>
      <c r="P5475" s="651"/>
      <c r="Q5475" s="651"/>
      <c r="R5475" s="651"/>
      <c r="S5475" s="651"/>
    </row>
    <row r="5476" spans="12:19" ht="15.75" customHeight="1" x14ac:dyDescent="0.35">
      <c r="L5476" s="2"/>
      <c r="M5476" s="2"/>
      <c r="N5476" s="650"/>
      <c r="O5476" s="650"/>
      <c r="P5476" s="651"/>
      <c r="Q5476" s="651"/>
      <c r="R5476" s="651"/>
      <c r="S5476" s="651"/>
    </row>
    <row r="5477" spans="12:19" ht="15.75" customHeight="1" x14ac:dyDescent="0.35">
      <c r="L5477" s="2"/>
      <c r="M5477" s="2"/>
      <c r="N5477" s="650"/>
      <c r="O5477" s="650"/>
      <c r="P5477" s="651"/>
      <c r="Q5477" s="651"/>
      <c r="R5477" s="651"/>
      <c r="S5477" s="651"/>
    </row>
    <row r="5478" spans="12:19" ht="15.75" customHeight="1" x14ac:dyDescent="0.35">
      <c r="L5478" s="2"/>
      <c r="M5478" s="2"/>
      <c r="N5478" s="650"/>
      <c r="O5478" s="650"/>
      <c r="P5478" s="651"/>
      <c r="Q5478" s="651"/>
      <c r="R5478" s="651"/>
      <c r="S5478" s="651"/>
    </row>
    <row r="5479" spans="12:19" ht="15.75" customHeight="1" x14ac:dyDescent="0.35">
      <c r="L5479" s="2"/>
      <c r="M5479" s="2"/>
      <c r="N5479" s="650"/>
      <c r="O5479" s="650"/>
      <c r="P5479" s="651"/>
      <c r="Q5479" s="651"/>
      <c r="R5479" s="651"/>
      <c r="S5479" s="651"/>
    </row>
    <row r="5480" spans="12:19" ht="15.75" customHeight="1" x14ac:dyDescent="0.35">
      <c r="L5480" s="2"/>
      <c r="M5480" s="2"/>
      <c r="N5480" s="650"/>
      <c r="O5480" s="650"/>
      <c r="P5480" s="651"/>
      <c r="Q5480" s="651"/>
      <c r="R5480" s="651"/>
      <c r="S5480" s="651"/>
    </row>
    <row r="5481" spans="12:19" ht="15.75" customHeight="1" x14ac:dyDescent="0.35">
      <c r="L5481" s="2"/>
      <c r="M5481" s="2"/>
      <c r="N5481" s="650"/>
      <c r="O5481" s="650"/>
      <c r="P5481" s="651"/>
      <c r="Q5481" s="651"/>
      <c r="R5481" s="651"/>
      <c r="S5481" s="651"/>
    </row>
    <row r="5482" spans="12:19" ht="15.75" customHeight="1" x14ac:dyDescent="0.35">
      <c r="L5482" s="2"/>
      <c r="M5482" s="2"/>
      <c r="N5482" s="650"/>
      <c r="O5482" s="650"/>
      <c r="P5482" s="651"/>
      <c r="Q5482" s="651"/>
      <c r="R5482" s="651"/>
      <c r="S5482" s="651"/>
    </row>
    <row r="5483" spans="12:19" ht="15.75" customHeight="1" x14ac:dyDescent="0.35">
      <c r="L5483" s="2"/>
      <c r="M5483" s="2"/>
      <c r="N5483" s="650"/>
      <c r="O5483" s="650"/>
      <c r="P5483" s="651"/>
      <c r="Q5483" s="651"/>
      <c r="R5483" s="651"/>
      <c r="S5483" s="651"/>
    </row>
    <row r="5484" spans="12:19" ht="15.75" customHeight="1" x14ac:dyDescent="0.35">
      <c r="L5484" s="2"/>
      <c r="M5484" s="2"/>
      <c r="N5484" s="650"/>
      <c r="O5484" s="650"/>
      <c r="P5484" s="651"/>
      <c r="Q5484" s="651"/>
      <c r="R5484" s="651"/>
      <c r="S5484" s="651"/>
    </row>
    <row r="5485" spans="12:19" ht="15.75" customHeight="1" x14ac:dyDescent="0.35">
      <c r="L5485" s="2"/>
      <c r="M5485" s="2"/>
      <c r="N5485" s="650"/>
      <c r="O5485" s="650"/>
      <c r="P5485" s="651"/>
      <c r="Q5485" s="651"/>
      <c r="R5485" s="651"/>
      <c r="S5485" s="651"/>
    </row>
    <row r="5486" spans="12:19" ht="15.75" customHeight="1" x14ac:dyDescent="0.35">
      <c r="L5486" s="2"/>
      <c r="M5486" s="2"/>
      <c r="N5486" s="650"/>
      <c r="O5486" s="650"/>
      <c r="P5486" s="651"/>
      <c r="Q5486" s="651"/>
      <c r="R5486" s="651"/>
      <c r="S5486" s="651"/>
    </row>
    <row r="5487" spans="12:19" ht="15.75" customHeight="1" x14ac:dyDescent="0.35">
      <c r="L5487" s="2"/>
      <c r="M5487" s="2"/>
      <c r="N5487" s="650"/>
      <c r="O5487" s="650"/>
      <c r="P5487" s="651"/>
      <c r="Q5487" s="651"/>
      <c r="R5487" s="651"/>
      <c r="S5487" s="651"/>
    </row>
    <row r="5488" spans="12:19" ht="15.75" customHeight="1" x14ac:dyDescent="0.35">
      <c r="L5488" s="2"/>
      <c r="M5488" s="2"/>
      <c r="N5488" s="650"/>
      <c r="O5488" s="650"/>
      <c r="P5488" s="651"/>
      <c r="Q5488" s="651"/>
      <c r="R5488" s="651"/>
      <c r="S5488" s="651"/>
    </row>
    <row r="5489" spans="12:19" ht="15.75" customHeight="1" x14ac:dyDescent="0.35">
      <c r="L5489" s="2"/>
      <c r="M5489" s="2"/>
      <c r="N5489" s="650"/>
      <c r="O5489" s="650"/>
      <c r="P5489" s="651"/>
      <c r="Q5489" s="651"/>
      <c r="R5489" s="651"/>
      <c r="S5489" s="651"/>
    </row>
    <row r="5490" spans="12:19" ht="15.75" customHeight="1" x14ac:dyDescent="0.35">
      <c r="L5490" s="2"/>
      <c r="M5490" s="2"/>
      <c r="N5490" s="650"/>
      <c r="O5490" s="650"/>
      <c r="P5490" s="651"/>
      <c r="Q5490" s="651"/>
      <c r="R5490" s="651"/>
      <c r="S5490" s="651"/>
    </row>
    <row r="5491" spans="12:19" ht="15.75" customHeight="1" x14ac:dyDescent="0.35">
      <c r="L5491" s="2"/>
      <c r="M5491" s="2"/>
      <c r="N5491" s="650"/>
      <c r="O5491" s="650"/>
      <c r="P5491" s="651"/>
      <c r="Q5491" s="651"/>
      <c r="R5491" s="651"/>
      <c r="S5491" s="651"/>
    </row>
    <row r="5492" spans="12:19" ht="15.75" customHeight="1" x14ac:dyDescent="0.35">
      <c r="L5492" s="2"/>
      <c r="M5492" s="2"/>
      <c r="N5492" s="650"/>
      <c r="O5492" s="650"/>
      <c r="P5492" s="651"/>
      <c r="Q5492" s="651"/>
      <c r="R5492" s="651"/>
      <c r="S5492" s="651"/>
    </row>
    <row r="5493" spans="12:19" ht="15.75" customHeight="1" x14ac:dyDescent="0.35">
      <c r="L5493" s="2"/>
      <c r="M5493" s="2"/>
      <c r="N5493" s="650"/>
      <c r="O5493" s="650"/>
      <c r="P5493" s="651"/>
      <c r="Q5493" s="651"/>
      <c r="R5493" s="651"/>
      <c r="S5493" s="651"/>
    </row>
    <row r="5494" spans="12:19" ht="15.75" customHeight="1" x14ac:dyDescent="0.35">
      <c r="L5494" s="2"/>
      <c r="M5494" s="2"/>
      <c r="N5494" s="650"/>
      <c r="O5494" s="650"/>
      <c r="P5494" s="651"/>
      <c r="Q5494" s="651"/>
      <c r="R5494" s="651"/>
      <c r="S5494" s="651"/>
    </row>
    <row r="5495" spans="12:19" ht="15.75" customHeight="1" x14ac:dyDescent="0.35">
      <c r="L5495" s="2"/>
      <c r="M5495" s="2"/>
      <c r="N5495" s="650"/>
      <c r="O5495" s="650"/>
      <c r="P5495" s="651"/>
      <c r="Q5495" s="651"/>
      <c r="R5495" s="651"/>
      <c r="S5495" s="651"/>
    </row>
    <row r="5496" spans="12:19" ht="15.75" customHeight="1" x14ac:dyDescent="0.35">
      <c r="L5496" s="2"/>
      <c r="M5496" s="2"/>
      <c r="N5496" s="650"/>
      <c r="O5496" s="650"/>
      <c r="P5496" s="651"/>
      <c r="Q5496" s="651"/>
      <c r="R5496" s="651"/>
      <c r="S5496" s="651"/>
    </row>
    <row r="5497" spans="12:19" ht="15.75" customHeight="1" x14ac:dyDescent="0.35">
      <c r="L5497" s="2"/>
      <c r="M5497" s="2"/>
      <c r="N5497" s="650"/>
      <c r="O5497" s="650"/>
      <c r="P5497" s="651"/>
      <c r="Q5497" s="651"/>
      <c r="R5497" s="651"/>
      <c r="S5497" s="651"/>
    </row>
    <row r="5498" spans="12:19" ht="15.75" customHeight="1" x14ac:dyDescent="0.35">
      <c r="L5498" s="2"/>
      <c r="M5498" s="2"/>
      <c r="N5498" s="650"/>
      <c r="O5498" s="650"/>
      <c r="P5498" s="651"/>
      <c r="Q5498" s="651"/>
      <c r="R5498" s="651"/>
      <c r="S5498" s="651"/>
    </row>
    <row r="5499" spans="12:19" ht="15.75" customHeight="1" x14ac:dyDescent="0.35">
      <c r="L5499" s="2"/>
      <c r="M5499" s="2"/>
      <c r="N5499" s="650"/>
      <c r="O5499" s="650"/>
      <c r="P5499" s="651"/>
      <c r="Q5499" s="651"/>
      <c r="R5499" s="651"/>
      <c r="S5499" s="651"/>
    </row>
    <row r="5500" spans="12:19" ht="15.75" customHeight="1" x14ac:dyDescent="0.35">
      <c r="L5500" s="2"/>
      <c r="M5500" s="2"/>
      <c r="N5500" s="650"/>
      <c r="O5500" s="650"/>
      <c r="P5500" s="651"/>
      <c r="Q5500" s="651"/>
      <c r="R5500" s="651"/>
      <c r="S5500" s="651"/>
    </row>
    <row r="5501" spans="12:19" ht="15.75" customHeight="1" x14ac:dyDescent="0.35">
      <c r="L5501" s="2"/>
      <c r="M5501" s="2"/>
      <c r="N5501" s="650"/>
      <c r="O5501" s="650"/>
      <c r="P5501" s="651"/>
      <c r="Q5501" s="651"/>
      <c r="R5501" s="651"/>
      <c r="S5501" s="651"/>
    </row>
    <row r="5502" spans="12:19" ht="15.75" customHeight="1" x14ac:dyDescent="0.35">
      <c r="L5502" s="2"/>
      <c r="M5502" s="2"/>
      <c r="N5502" s="650"/>
      <c r="O5502" s="650"/>
      <c r="P5502" s="651"/>
      <c r="Q5502" s="651"/>
      <c r="R5502" s="651"/>
      <c r="S5502" s="651"/>
    </row>
    <row r="5503" spans="12:19" ht="15.75" customHeight="1" x14ac:dyDescent="0.35">
      <c r="L5503" s="2"/>
      <c r="M5503" s="2"/>
      <c r="N5503" s="650"/>
      <c r="O5503" s="650"/>
      <c r="P5503" s="651"/>
      <c r="Q5503" s="651"/>
      <c r="R5503" s="651"/>
      <c r="S5503" s="651"/>
    </row>
    <row r="5504" spans="12:19" ht="15.75" customHeight="1" x14ac:dyDescent="0.35">
      <c r="L5504" s="2"/>
      <c r="M5504" s="2"/>
      <c r="N5504" s="650"/>
      <c r="O5504" s="650"/>
      <c r="P5504" s="651"/>
      <c r="Q5504" s="651"/>
      <c r="R5504" s="651"/>
      <c r="S5504" s="651"/>
    </row>
    <row r="5505" spans="12:19" ht="15.75" customHeight="1" x14ac:dyDescent="0.35">
      <c r="L5505" s="2"/>
      <c r="M5505" s="2"/>
      <c r="N5505" s="650"/>
      <c r="O5505" s="650"/>
      <c r="P5505" s="651"/>
      <c r="Q5505" s="651"/>
      <c r="R5505" s="651"/>
      <c r="S5505" s="651"/>
    </row>
    <row r="5506" spans="12:19" ht="15.75" customHeight="1" x14ac:dyDescent="0.35">
      <c r="L5506" s="2"/>
      <c r="M5506" s="2"/>
      <c r="N5506" s="650"/>
      <c r="O5506" s="650"/>
      <c r="P5506" s="651"/>
      <c r="Q5506" s="651"/>
      <c r="R5506" s="651"/>
      <c r="S5506" s="651"/>
    </row>
    <row r="5507" spans="12:19" ht="15.75" customHeight="1" x14ac:dyDescent="0.35">
      <c r="L5507" s="2"/>
      <c r="M5507" s="2"/>
      <c r="N5507" s="650"/>
      <c r="O5507" s="650"/>
      <c r="P5507" s="651"/>
      <c r="Q5507" s="651"/>
      <c r="R5507" s="651"/>
      <c r="S5507" s="651"/>
    </row>
    <row r="5508" spans="12:19" ht="15.75" customHeight="1" x14ac:dyDescent="0.35">
      <c r="L5508" s="2"/>
      <c r="M5508" s="2"/>
      <c r="N5508" s="650"/>
      <c r="O5508" s="650"/>
      <c r="P5508" s="651"/>
      <c r="Q5508" s="651"/>
      <c r="R5508" s="651"/>
      <c r="S5508" s="651"/>
    </row>
    <row r="5509" spans="12:19" ht="15.75" customHeight="1" x14ac:dyDescent="0.35">
      <c r="L5509" s="2"/>
      <c r="M5509" s="2"/>
      <c r="N5509" s="650"/>
      <c r="O5509" s="650"/>
      <c r="P5509" s="651"/>
      <c r="Q5509" s="651"/>
      <c r="R5509" s="651"/>
      <c r="S5509" s="651"/>
    </row>
    <row r="5510" spans="12:19" ht="15.75" customHeight="1" x14ac:dyDescent="0.35">
      <c r="L5510" s="2"/>
      <c r="M5510" s="2"/>
      <c r="N5510" s="650"/>
      <c r="O5510" s="650"/>
      <c r="P5510" s="651"/>
      <c r="Q5510" s="651"/>
      <c r="R5510" s="651"/>
      <c r="S5510" s="651"/>
    </row>
    <row r="5511" spans="12:19" ht="15.75" customHeight="1" x14ac:dyDescent="0.35">
      <c r="L5511" s="2"/>
      <c r="M5511" s="2"/>
      <c r="N5511" s="650"/>
      <c r="O5511" s="650"/>
      <c r="P5511" s="651"/>
      <c r="Q5511" s="651"/>
      <c r="R5511" s="651"/>
      <c r="S5511" s="651"/>
    </row>
    <row r="5512" spans="12:19" ht="15.75" customHeight="1" x14ac:dyDescent="0.35">
      <c r="L5512" s="2"/>
      <c r="M5512" s="2"/>
      <c r="N5512" s="650"/>
      <c r="O5512" s="650"/>
      <c r="P5512" s="651"/>
      <c r="Q5512" s="651"/>
      <c r="R5512" s="651"/>
      <c r="S5512" s="651"/>
    </row>
    <row r="5513" spans="12:19" ht="15.75" customHeight="1" x14ac:dyDescent="0.35">
      <c r="L5513" s="2"/>
      <c r="M5513" s="2"/>
      <c r="N5513" s="650"/>
      <c r="O5513" s="650"/>
      <c r="P5513" s="651"/>
      <c r="Q5513" s="651"/>
      <c r="R5513" s="651"/>
      <c r="S5513" s="651"/>
    </row>
    <row r="5514" spans="12:19" ht="15.75" customHeight="1" x14ac:dyDescent="0.35">
      <c r="L5514" s="2"/>
      <c r="M5514" s="2"/>
      <c r="N5514" s="650"/>
      <c r="O5514" s="650"/>
      <c r="P5514" s="651"/>
      <c r="Q5514" s="651"/>
      <c r="R5514" s="651"/>
      <c r="S5514" s="651"/>
    </row>
    <row r="5515" spans="12:19" ht="15.75" customHeight="1" x14ac:dyDescent="0.35">
      <c r="L5515" s="2"/>
      <c r="M5515" s="2"/>
      <c r="N5515" s="650"/>
      <c r="O5515" s="650"/>
      <c r="P5515" s="651"/>
      <c r="Q5515" s="651"/>
      <c r="R5515" s="651"/>
      <c r="S5515" s="651"/>
    </row>
    <row r="5516" spans="12:19" ht="15.75" customHeight="1" x14ac:dyDescent="0.35">
      <c r="L5516" s="2"/>
      <c r="M5516" s="2"/>
      <c r="N5516" s="650"/>
      <c r="O5516" s="650"/>
      <c r="P5516" s="651"/>
      <c r="Q5516" s="651"/>
      <c r="R5516" s="651"/>
      <c r="S5516" s="651"/>
    </row>
    <row r="5517" spans="12:19" ht="15.75" customHeight="1" x14ac:dyDescent="0.35">
      <c r="L5517" s="2"/>
      <c r="M5517" s="2"/>
      <c r="N5517" s="650"/>
      <c r="O5517" s="650"/>
      <c r="P5517" s="651"/>
      <c r="Q5517" s="651"/>
      <c r="R5517" s="651"/>
      <c r="S5517" s="651"/>
    </row>
    <row r="5518" spans="12:19" ht="15.75" customHeight="1" x14ac:dyDescent="0.35">
      <c r="L5518" s="2"/>
      <c r="M5518" s="2"/>
      <c r="N5518" s="650"/>
      <c r="O5518" s="650"/>
      <c r="P5518" s="651"/>
      <c r="Q5518" s="651"/>
      <c r="R5518" s="651"/>
      <c r="S5518" s="651"/>
    </row>
    <row r="5519" spans="12:19" ht="15.75" customHeight="1" x14ac:dyDescent="0.35">
      <c r="L5519" s="2"/>
      <c r="M5519" s="2"/>
      <c r="N5519" s="650"/>
      <c r="O5519" s="650"/>
      <c r="P5519" s="651"/>
      <c r="Q5519" s="651"/>
      <c r="R5519" s="651"/>
      <c r="S5519" s="651"/>
    </row>
    <row r="5520" spans="12:19" ht="15.75" customHeight="1" x14ac:dyDescent="0.35">
      <c r="L5520" s="2"/>
      <c r="M5520" s="2"/>
      <c r="N5520" s="650"/>
      <c r="O5520" s="650"/>
      <c r="P5520" s="651"/>
      <c r="Q5520" s="651"/>
      <c r="R5520" s="651"/>
      <c r="S5520" s="651"/>
    </row>
    <row r="5521" spans="12:19" ht="15.75" customHeight="1" x14ac:dyDescent="0.35">
      <c r="L5521" s="2"/>
      <c r="M5521" s="2"/>
      <c r="N5521" s="650"/>
      <c r="O5521" s="650"/>
      <c r="P5521" s="651"/>
      <c r="Q5521" s="651"/>
      <c r="R5521" s="651"/>
      <c r="S5521" s="651"/>
    </row>
    <row r="5522" spans="12:19" ht="15.75" customHeight="1" x14ac:dyDescent="0.35">
      <c r="L5522" s="2"/>
      <c r="M5522" s="2"/>
      <c r="N5522" s="650"/>
      <c r="O5522" s="650"/>
      <c r="P5522" s="651"/>
      <c r="Q5522" s="651"/>
      <c r="R5522" s="651"/>
      <c r="S5522" s="651"/>
    </row>
    <row r="5523" spans="12:19" ht="15.75" customHeight="1" x14ac:dyDescent="0.35">
      <c r="L5523" s="2"/>
      <c r="M5523" s="2"/>
      <c r="N5523" s="650"/>
      <c r="O5523" s="650"/>
      <c r="P5523" s="651"/>
      <c r="Q5523" s="651"/>
      <c r="R5523" s="651"/>
      <c r="S5523" s="651"/>
    </row>
    <row r="5524" spans="12:19" ht="15.75" customHeight="1" x14ac:dyDescent="0.35">
      <c r="L5524" s="2"/>
      <c r="M5524" s="2"/>
      <c r="N5524" s="650"/>
      <c r="O5524" s="650"/>
      <c r="P5524" s="651"/>
      <c r="Q5524" s="651"/>
      <c r="R5524" s="651"/>
      <c r="S5524" s="651"/>
    </row>
    <row r="5525" spans="12:19" ht="15.75" customHeight="1" x14ac:dyDescent="0.35">
      <c r="L5525" s="2"/>
      <c r="M5525" s="2"/>
      <c r="N5525" s="650"/>
      <c r="O5525" s="650"/>
      <c r="P5525" s="651"/>
      <c r="Q5525" s="651"/>
      <c r="R5525" s="651"/>
      <c r="S5525" s="651"/>
    </row>
    <row r="5526" spans="12:19" ht="15.75" customHeight="1" x14ac:dyDescent="0.35">
      <c r="L5526" s="2"/>
      <c r="M5526" s="2"/>
      <c r="N5526" s="650"/>
      <c r="O5526" s="650"/>
      <c r="P5526" s="651"/>
      <c r="Q5526" s="651"/>
      <c r="R5526" s="651"/>
      <c r="S5526" s="651"/>
    </row>
    <row r="5527" spans="12:19" ht="15.75" customHeight="1" x14ac:dyDescent="0.35">
      <c r="L5527" s="2"/>
      <c r="M5527" s="2"/>
      <c r="N5527" s="650"/>
      <c r="O5527" s="650"/>
      <c r="P5527" s="651"/>
      <c r="Q5527" s="651"/>
      <c r="R5527" s="651"/>
      <c r="S5527" s="651"/>
    </row>
    <row r="5528" spans="12:19" ht="15.75" customHeight="1" x14ac:dyDescent="0.35">
      <c r="L5528" s="2"/>
      <c r="M5528" s="2"/>
      <c r="N5528" s="650"/>
      <c r="O5528" s="650"/>
      <c r="P5528" s="651"/>
      <c r="Q5528" s="651"/>
      <c r="R5528" s="651"/>
      <c r="S5528" s="651"/>
    </row>
    <row r="5529" spans="12:19" ht="15.75" customHeight="1" x14ac:dyDescent="0.35">
      <c r="L5529" s="2"/>
      <c r="M5529" s="2"/>
      <c r="N5529" s="650"/>
      <c r="O5529" s="650"/>
      <c r="P5529" s="651"/>
      <c r="Q5529" s="651"/>
      <c r="R5529" s="651"/>
      <c r="S5529" s="651"/>
    </row>
    <row r="5530" spans="12:19" ht="15.75" customHeight="1" x14ac:dyDescent="0.35">
      <c r="L5530" s="2"/>
      <c r="M5530" s="2"/>
      <c r="N5530" s="650"/>
      <c r="O5530" s="650"/>
      <c r="P5530" s="651"/>
      <c r="Q5530" s="651"/>
      <c r="R5530" s="651"/>
      <c r="S5530" s="651"/>
    </row>
    <row r="5531" spans="12:19" ht="15.75" customHeight="1" x14ac:dyDescent="0.35">
      <c r="L5531" s="2"/>
      <c r="M5531" s="2"/>
      <c r="N5531" s="650"/>
      <c r="O5531" s="650"/>
      <c r="P5531" s="651"/>
      <c r="Q5531" s="651"/>
      <c r="R5531" s="651"/>
      <c r="S5531" s="651"/>
    </row>
    <row r="5532" spans="12:19" ht="15.75" customHeight="1" x14ac:dyDescent="0.35">
      <c r="L5532" s="2"/>
      <c r="M5532" s="2"/>
      <c r="N5532" s="650"/>
      <c r="O5532" s="650"/>
      <c r="P5532" s="651"/>
      <c r="Q5532" s="651"/>
      <c r="R5532" s="651"/>
      <c r="S5532" s="651"/>
    </row>
    <row r="5533" spans="12:19" ht="15.75" customHeight="1" x14ac:dyDescent="0.35">
      <c r="L5533" s="2"/>
      <c r="M5533" s="2"/>
      <c r="N5533" s="650"/>
      <c r="O5533" s="650"/>
      <c r="P5533" s="651"/>
      <c r="Q5533" s="651"/>
      <c r="R5533" s="651"/>
      <c r="S5533" s="651"/>
    </row>
    <row r="5534" spans="12:19" ht="15.75" customHeight="1" x14ac:dyDescent="0.35">
      <c r="L5534" s="2"/>
      <c r="M5534" s="2"/>
      <c r="N5534" s="650"/>
      <c r="O5534" s="650"/>
      <c r="P5534" s="651"/>
      <c r="Q5534" s="651"/>
      <c r="R5534" s="651"/>
      <c r="S5534" s="651"/>
    </row>
    <row r="5535" spans="12:19" ht="15.75" customHeight="1" x14ac:dyDescent="0.35">
      <c r="L5535" s="2"/>
      <c r="M5535" s="2"/>
      <c r="N5535" s="650"/>
      <c r="O5535" s="650"/>
      <c r="P5535" s="651"/>
      <c r="Q5535" s="651"/>
      <c r="R5535" s="651"/>
      <c r="S5535" s="651"/>
    </row>
    <row r="5536" spans="12:19" ht="15.75" customHeight="1" x14ac:dyDescent="0.35">
      <c r="L5536" s="2"/>
      <c r="M5536" s="2"/>
      <c r="N5536" s="650"/>
      <c r="O5536" s="650"/>
      <c r="P5536" s="651"/>
      <c r="Q5536" s="651"/>
      <c r="R5536" s="651"/>
      <c r="S5536" s="651"/>
    </row>
    <row r="5537" spans="12:19" ht="15.75" customHeight="1" x14ac:dyDescent="0.35">
      <c r="L5537" s="2"/>
      <c r="M5537" s="2"/>
      <c r="N5537" s="650"/>
      <c r="O5537" s="650"/>
      <c r="P5537" s="651"/>
      <c r="Q5537" s="651"/>
      <c r="R5537" s="651"/>
      <c r="S5537" s="651"/>
    </row>
    <row r="5538" spans="12:19" ht="15.75" customHeight="1" x14ac:dyDescent="0.35">
      <c r="L5538" s="2"/>
      <c r="M5538" s="2"/>
      <c r="N5538" s="650"/>
      <c r="O5538" s="650"/>
      <c r="P5538" s="651"/>
      <c r="Q5538" s="651"/>
      <c r="R5538" s="651"/>
      <c r="S5538" s="651"/>
    </row>
    <row r="5539" spans="12:19" ht="15.75" customHeight="1" x14ac:dyDescent="0.35">
      <c r="L5539" s="2"/>
      <c r="M5539" s="2"/>
      <c r="N5539" s="650"/>
      <c r="O5539" s="650"/>
      <c r="P5539" s="651"/>
      <c r="Q5539" s="651"/>
      <c r="R5539" s="651"/>
      <c r="S5539" s="651"/>
    </row>
    <row r="5540" spans="12:19" ht="15.75" customHeight="1" x14ac:dyDescent="0.35">
      <c r="L5540" s="2"/>
      <c r="M5540" s="2"/>
      <c r="N5540" s="650"/>
      <c r="O5540" s="650"/>
      <c r="P5540" s="651"/>
      <c r="Q5540" s="651"/>
      <c r="R5540" s="651"/>
      <c r="S5540" s="651"/>
    </row>
    <row r="5541" spans="12:19" ht="15.75" customHeight="1" x14ac:dyDescent="0.35">
      <c r="L5541" s="2"/>
      <c r="M5541" s="2"/>
      <c r="N5541" s="650"/>
      <c r="O5541" s="650"/>
      <c r="P5541" s="651"/>
      <c r="Q5541" s="651"/>
      <c r="R5541" s="651"/>
      <c r="S5541" s="651"/>
    </row>
    <row r="5542" spans="12:19" ht="15.75" customHeight="1" x14ac:dyDescent="0.35">
      <c r="L5542" s="2"/>
      <c r="M5542" s="2"/>
      <c r="N5542" s="650"/>
      <c r="O5542" s="650"/>
      <c r="P5542" s="651"/>
      <c r="Q5542" s="651"/>
      <c r="R5542" s="651"/>
      <c r="S5542" s="651"/>
    </row>
    <row r="5543" spans="12:19" ht="15.75" customHeight="1" x14ac:dyDescent="0.35">
      <c r="L5543" s="2"/>
      <c r="M5543" s="2"/>
      <c r="N5543" s="650"/>
      <c r="O5543" s="650"/>
      <c r="P5543" s="651"/>
      <c r="Q5543" s="651"/>
      <c r="R5543" s="651"/>
      <c r="S5543" s="651"/>
    </row>
    <row r="5544" spans="12:19" ht="15.75" customHeight="1" x14ac:dyDescent="0.35">
      <c r="L5544" s="2"/>
      <c r="M5544" s="2"/>
      <c r="N5544" s="650"/>
      <c r="O5544" s="650"/>
      <c r="P5544" s="651"/>
      <c r="Q5544" s="651"/>
      <c r="R5544" s="651"/>
      <c r="S5544" s="651"/>
    </row>
    <row r="5545" spans="12:19" ht="15.75" customHeight="1" x14ac:dyDescent="0.35">
      <c r="L5545" s="2"/>
      <c r="M5545" s="2"/>
      <c r="N5545" s="650"/>
      <c r="O5545" s="650"/>
      <c r="P5545" s="651"/>
      <c r="Q5545" s="651"/>
      <c r="R5545" s="651"/>
      <c r="S5545" s="651"/>
    </row>
    <row r="5546" spans="12:19" ht="15.75" customHeight="1" x14ac:dyDescent="0.35">
      <c r="L5546" s="2"/>
      <c r="M5546" s="2"/>
      <c r="N5546" s="650"/>
      <c r="O5546" s="650"/>
      <c r="P5546" s="651"/>
      <c r="Q5546" s="651"/>
      <c r="R5546" s="651"/>
      <c r="S5546" s="651"/>
    </row>
    <row r="5547" spans="12:19" ht="15.75" customHeight="1" x14ac:dyDescent="0.35">
      <c r="L5547" s="2"/>
      <c r="M5547" s="2"/>
      <c r="N5547" s="650"/>
      <c r="O5547" s="650"/>
      <c r="P5547" s="651"/>
      <c r="Q5547" s="651"/>
      <c r="R5547" s="651"/>
      <c r="S5547" s="651"/>
    </row>
    <row r="5548" spans="12:19" ht="15.75" customHeight="1" x14ac:dyDescent="0.35">
      <c r="L5548" s="2"/>
      <c r="M5548" s="2"/>
      <c r="N5548" s="650"/>
      <c r="O5548" s="650"/>
      <c r="P5548" s="651"/>
      <c r="Q5548" s="651"/>
      <c r="R5548" s="651"/>
      <c r="S5548" s="651"/>
    </row>
    <row r="5549" spans="12:19" ht="15.75" customHeight="1" x14ac:dyDescent="0.35">
      <c r="L5549" s="2"/>
      <c r="M5549" s="2"/>
      <c r="N5549" s="650"/>
      <c r="O5549" s="650"/>
      <c r="P5549" s="651"/>
      <c r="Q5549" s="651"/>
      <c r="R5549" s="651"/>
      <c r="S5549" s="651"/>
    </row>
    <row r="5550" spans="12:19" ht="15.75" customHeight="1" x14ac:dyDescent="0.35">
      <c r="L5550" s="2"/>
      <c r="M5550" s="2"/>
      <c r="N5550" s="650"/>
      <c r="O5550" s="650"/>
      <c r="P5550" s="651"/>
      <c r="Q5550" s="651"/>
      <c r="R5550" s="651"/>
      <c r="S5550" s="651"/>
    </row>
    <row r="5551" spans="12:19" ht="15.75" customHeight="1" x14ac:dyDescent="0.35">
      <c r="L5551" s="2"/>
      <c r="M5551" s="2"/>
      <c r="N5551" s="650"/>
      <c r="O5551" s="650"/>
      <c r="P5551" s="651"/>
      <c r="Q5551" s="651"/>
      <c r="R5551" s="651"/>
      <c r="S5551" s="651"/>
    </row>
    <row r="5552" spans="12:19" ht="15.75" customHeight="1" x14ac:dyDescent="0.35">
      <c r="L5552" s="2"/>
      <c r="M5552" s="2"/>
      <c r="N5552" s="650"/>
      <c r="O5552" s="650"/>
      <c r="P5552" s="651"/>
      <c r="Q5552" s="651"/>
      <c r="R5552" s="651"/>
      <c r="S5552" s="651"/>
    </row>
    <row r="5553" spans="12:19" ht="15.75" customHeight="1" x14ac:dyDescent="0.35">
      <c r="L5553" s="2"/>
      <c r="M5553" s="2"/>
      <c r="N5553" s="650"/>
      <c r="O5553" s="650"/>
      <c r="P5553" s="651"/>
      <c r="Q5553" s="651"/>
      <c r="R5553" s="651"/>
      <c r="S5553" s="651"/>
    </row>
    <row r="5554" spans="12:19" ht="15.75" customHeight="1" x14ac:dyDescent="0.35">
      <c r="L5554" s="2"/>
      <c r="M5554" s="2"/>
      <c r="N5554" s="650"/>
      <c r="O5554" s="650"/>
      <c r="P5554" s="651"/>
      <c r="Q5554" s="651"/>
      <c r="R5554" s="651"/>
      <c r="S5554" s="651"/>
    </row>
    <row r="5555" spans="12:19" ht="15.75" customHeight="1" x14ac:dyDescent="0.35">
      <c r="L5555" s="2"/>
      <c r="M5555" s="2"/>
      <c r="N5555" s="650"/>
      <c r="O5555" s="650"/>
      <c r="P5555" s="651"/>
      <c r="Q5555" s="651"/>
      <c r="R5555" s="651"/>
      <c r="S5555" s="651"/>
    </row>
    <row r="5556" spans="12:19" ht="15.75" customHeight="1" x14ac:dyDescent="0.35">
      <c r="L5556" s="2"/>
      <c r="M5556" s="2"/>
      <c r="N5556" s="650"/>
      <c r="O5556" s="650"/>
      <c r="P5556" s="651"/>
      <c r="Q5556" s="651"/>
      <c r="R5556" s="651"/>
      <c r="S5556" s="651"/>
    </row>
    <row r="5557" spans="12:19" ht="15.75" customHeight="1" x14ac:dyDescent="0.35">
      <c r="L5557" s="2"/>
      <c r="M5557" s="2"/>
      <c r="N5557" s="650"/>
      <c r="O5557" s="650"/>
      <c r="P5557" s="651"/>
      <c r="Q5557" s="651"/>
      <c r="R5557" s="651"/>
      <c r="S5557" s="651"/>
    </row>
    <row r="5558" spans="12:19" ht="15.75" customHeight="1" x14ac:dyDescent="0.35">
      <c r="L5558" s="2"/>
      <c r="M5558" s="2"/>
      <c r="N5558" s="650"/>
      <c r="O5558" s="650"/>
      <c r="P5558" s="651"/>
      <c r="Q5558" s="651"/>
      <c r="R5558" s="651"/>
      <c r="S5558" s="651"/>
    </row>
    <row r="5559" spans="12:19" ht="15.75" customHeight="1" x14ac:dyDescent="0.35">
      <c r="L5559" s="2"/>
      <c r="M5559" s="2"/>
      <c r="N5559" s="650"/>
      <c r="O5559" s="650"/>
      <c r="P5559" s="651"/>
      <c r="Q5559" s="651"/>
      <c r="R5559" s="651"/>
      <c r="S5559" s="651"/>
    </row>
    <row r="5560" spans="12:19" ht="15.75" customHeight="1" x14ac:dyDescent="0.35">
      <c r="L5560" s="2"/>
      <c r="M5560" s="2"/>
      <c r="N5560" s="650"/>
      <c r="O5560" s="650"/>
      <c r="P5560" s="651"/>
      <c r="Q5560" s="651"/>
      <c r="R5560" s="651"/>
      <c r="S5560" s="651"/>
    </row>
    <row r="5561" spans="12:19" ht="15.75" customHeight="1" x14ac:dyDescent="0.35">
      <c r="L5561" s="2"/>
      <c r="M5561" s="2"/>
      <c r="N5561" s="650"/>
      <c r="O5561" s="650"/>
      <c r="P5561" s="651"/>
      <c r="Q5561" s="651"/>
      <c r="R5561" s="651"/>
      <c r="S5561" s="651"/>
    </row>
    <row r="5562" spans="12:19" ht="15.75" customHeight="1" x14ac:dyDescent="0.35">
      <c r="L5562" s="2"/>
      <c r="M5562" s="2"/>
      <c r="N5562" s="650"/>
      <c r="O5562" s="650"/>
      <c r="P5562" s="651"/>
      <c r="Q5562" s="651"/>
      <c r="R5562" s="651"/>
      <c r="S5562" s="651"/>
    </row>
    <row r="5563" spans="12:19" ht="15.75" customHeight="1" x14ac:dyDescent="0.35">
      <c r="L5563" s="2"/>
      <c r="M5563" s="2"/>
      <c r="N5563" s="650"/>
      <c r="O5563" s="650"/>
      <c r="P5563" s="651"/>
      <c r="Q5563" s="651"/>
      <c r="R5563" s="651"/>
      <c r="S5563" s="651"/>
    </row>
    <row r="5564" spans="12:19" ht="15.75" customHeight="1" x14ac:dyDescent="0.35">
      <c r="L5564" s="2"/>
      <c r="M5564" s="2"/>
      <c r="N5564" s="650"/>
      <c r="O5564" s="650"/>
      <c r="P5564" s="651"/>
      <c r="Q5564" s="651"/>
      <c r="R5564" s="651"/>
      <c r="S5564" s="651"/>
    </row>
    <row r="5565" spans="12:19" ht="15.75" customHeight="1" x14ac:dyDescent="0.35">
      <c r="L5565" s="2"/>
      <c r="M5565" s="2"/>
      <c r="N5565" s="650"/>
      <c r="O5565" s="650"/>
      <c r="P5565" s="651"/>
      <c r="Q5565" s="651"/>
      <c r="R5565" s="651"/>
      <c r="S5565" s="651"/>
    </row>
    <row r="5566" spans="12:19" ht="15.75" customHeight="1" x14ac:dyDescent="0.35">
      <c r="L5566" s="2"/>
      <c r="M5566" s="2"/>
      <c r="N5566" s="650"/>
      <c r="O5566" s="650"/>
      <c r="P5566" s="651"/>
      <c r="Q5566" s="651"/>
      <c r="R5566" s="651"/>
      <c r="S5566" s="651"/>
    </row>
    <row r="5567" spans="12:19" ht="15.75" customHeight="1" x14ac:dyDescent="0.35">
      <c r="L5567" s="2"/>
      <c r="M5567" s="2"/>
      <c r="N5567" s="650"/>
      <c r="O5567" s="650"/>
      <c r="P5567" s="651"/>
      <c r="Q5567" s="651"/>
      <c r="R5567" s="651"/>
      <c r="S5567" s="651"/>
    </row>
    <row r="5568" spans="12:19" ht="15.75" customHeight="1" x14ac:dyDescent="0.35">
      <c r="L5568" s="2"/>
      <c r="M5568" s="2"/>
      <c r="N5568" s="650"/>
      <c r="O5568" s="650"/>
      <c r="P5568" s="651"/>
      <c r="Q5568" s="651"/>
      <c r="R5568" s="651"/>
      <c r="S5568" s="651"/>
    </row>
    <row r="5569" spans="12:19" ht="15.75" customHeight="1" x14ac:dyDescent="0.35">
      <c r="L5569" s="2"/>
      <c r="M5569" s="2"/>
      <c r="N5569" s="650"/>
      <c r="O5569" s="650"/>
      <c r="P5569" s="651"/>
      <c r="Q5569" s="651"/>
      <c r="R5569" s="651"/>
      <c r="S5569" s="651"/>
    </row>
    <row r="5570" spans="12:19" ht="15.75" customHeight="1" x14ac:dyDescent="0.35">
      <c r="L5570" s="2"/>
      <c r="M5570" s="2"/>
      <c r="N5570" s="650"/>
      <c r="O5570" s="650"/>
      <c r="P5570" s="651"/>
      <c r="Q5570" s="651"/>
      <c r="R5570" s="651"/>
      <c r="S5570" s="651"/>
    </row>
    <row r="5571" spans="12:19" ht="15.75" customHeight="1" x14ac:dyDescent="0.35">
      <c r="L5571" s="2"/>
      <c r="M5571" s="2"/>
      <c r="N5571" s="650"/>
      <c r="O5571" s="650"/>
      <c r="P5571" s="651"/>
      <c r="Q5571" s="651"/>
      <c r="R5571" s="651"/>
      <c r="S5571" s="651"/>
    </row>
    <row r="5572" spans="12:19" ht="15.75" customHeight="1" x14ac:dyDescent="0.35">
      <c r="L5572" s="2"/>
      <c r="M5572" s="2"/>
      <c r="N5572" s="650"/>
      <c r="O5572" s="650"/>
      <c r="P5572" s="651"/>
      <c r="Q5572" s="651"/>
      <c r="R5572" s="651"/>
      <c r="S5572" s="651"/>
    </row>
    <row r="5573" spans="12:19" ht="15.75" customHeight="1" x14ac:dyDescent="0.35">
      <c r="L5573" s="2"/>
      <c r="M5573" s="2"/>
      <c r="N5573" s="650"/>
      <c r="O5573" s="650"/>
      <c r="P5573" s="651"/>
      <c r="Q5573" s="651"/>
      <c r="R5573" s="651"/>
      <c r="S5573" s="651"/>
    </row>
    <row r="5574" spans="12:19" ht="15.75" customHeight="1" x14ac:dyDescent="0.35">
      <c r="L5574" s="2"/>
      <c r="M5574" s="2"/>
      <c r="N5574" s="650"/>
      <c r="O5574" s="650"/>
      <c r="P5574" s="651"/>
      <c r="Q5574" s="651"/>
      <c r="R5574" s="651"/>
      <c r="S5574" s="651"/>
    </row>
    <row r="5575" spans="12:19" ht="15.75" customHeight="1" x14ac:dyDescent="0.35">
      <c r="L5575" s="2"/>
      <c r="M5575" s="2"/>
      <c r="N5575" s="650"/>
      <c r="O5575" s="650"/>
      <c r="P5575" s="651"/>
      <c r="Q5575" s="651"/>
      <c r="R5575" s="651"/>
      <c r="S5575" s="651"/>
    </row>
    <row r="5576" spans="12:19" ht="15.75" customHeight="1" x14ac:dyDescent="0.35">
      <c r="L5576" s="2"/>
      <c r="M5576" s="2"/>
      <c r="N5576" s="650"/>
      <c r="O5576" s="650"/>
      <c r="P5576" s="651"/>
      <c r="Q5576" s="651"/>
      <c r="R5576" s="651"/>
      <c r="S5576" s="651"/>
    </row>
    <row r="5577" spans="12:19" ht="15.75" customHeight="1" x14ac:dyDescent="0.35">
      <c r="L5577" s="2"/>
      <c r="M5577" s="2"/>
      <c r="N5577" s="650"/>
      <c r="O5577" s="650"/>
      <c r="P5577" s="651"/>
      <c r="Q5577" s="651"/>
      <c r="R5577" s="651"/>
      <c r="S5577" s="651"/>
    </row>
    <row r="5578" spans="12:19" ht="15.75" customHeight="1" x14ac:dyDescent="0.35">
      <c r="L5578" s="2"/>
      <c r="M5578" s="2"/>
      <c r="N5578" s="650"/>
      <c r="O5578" s="650"/>
      <c r="P5578" s="651"/>
      <c r="Q5578" s="651"/>
      <c r="R5578" s="651"/>
      <c r="S5578" s="651"/>
    </row>
    <row r="5579" spans="12:19" ht="15.75" customHeight="1" x14ac:dyDescent="0.35">
      <c r="L5579" s="2"/>
      <c r="M5579" s="2"/>
      <c r="N5579" s="650"/>
      <c r="O5579" s="650"/>
      <c r="P5579" s="651"/>
      <c r="Q5579" s="651"/>
      <c r="R5579" s="651"/>
      <c r="S5579" s="651"/>
    </row>
    <row r="5580" spans="12:19" ht="15.75" customHeight="1" x14ac:dyDescent="0.35">
      <c r="L5580" s="2"/>
      <c r="M5580" s="2"/>
      <c r="N5580" s="650"/>
      <c r="O5580" s="650"/>
      <c r="P5580" s="651"/>
      <c r="Q5580" s="651"/>
      <c r="R5580" s="651"/>
      <c r="S5580" s="651"/>
    </row>
    <row r="5581" spans="12:19" ht="15.75" customHeight="1" x14ac:dyDescent="0.35">
      <c r="L5581" s="2"/>
      <c r="M5581" s="2"/>
      <c r="N5581" s="650"/>
      <c r="O5581" s="650"/>
      <c r="P5581" s="651"/>
      <c r="Q5581" s="651"/>
      <c r="R5581" s="651"/>
      <c r="S5581" s="651"/>
    </row>
    <row r="5582" spans="12:19" ht="15.75" customHeight="1" x14ac:dyDescent="0.35">
      <c r="L5582" s="2"/>
      <c r="M5582" s="2"/>
      <c r="N5582" s="650"/>
      <c r="O5582" s="650"/>
      <c r="P5582" s="651"/>
      <c r="Q5582" s="651"/>
      <c r="R5582" s="651"/>
      <c r="S5582" s="651"/>
    </row>
    <row r="5583" spans="12:19" ht="15.75" customHeight="1" x14ac:dyDescent="0.35">
      <c r="L5583" s="2"/>
      <c r="M5583" s="2"/>
      <c r="N5583" s="650"/>
      <c r="O5583" s="650"/>
      <c r="P5583" s="651"/>
      <c r="Q5583" s="651"/>
      <c r="R5583" s="651"/>
      <c r="S5583" s="651"/>
    </row>
    <row r="5584" spans="12:19" ht="15.75" customHeight="1" x14ac:dyDescent="0.35">
      <c r="L5584" s="2"/>
      <c r="M5584" s="2"/>
      <c r="N5584" s="650"/>
      <c r="O5584" s="650"/>
      <c r="P5584" s="651"/>
      <c r="Q5584" s="651"/>
      <c r="R5584" s="651"/>
      <c r="S5584" s="651"/>
    </row>
    <row r="5585" spans="12:19" ht="15.75" customHeight="1" x14ac:dyDescent="0.35">
      <c r="L5585" s="2"/>
      <c r="M5585" s="2"/>
      <c r="N5585" s="650"/>
      <c r="O5585" s="650"/>
      <c r="P5585" s="651"/>
      <c r="Q5585" s="651"/>
      <c r="R5585" s="651"/>
      <c r="S5585" s="651"/>
    </row>
    <row r="5586" spans="12:19" ht="15.75" customHeight="1" x14ac:dyDescent="0.35">
      <c r="L5586" s="2"/>
      <c r="M5586" s="2"/>
      <c r="N5586" s="650"/>
      <c r="O5586" s="650"/>
      <c r="P5586" s="651"/>
      <c r="Q5586" s="651"/>
      <c r="R5586" s="651"/>
      <c r="S5586" s="651"/>
    </row>
    <row r="5587" spans="12:19" ht="15.75" customHeight="1" x14ac:dyDescent="0.35">
      <c r="L5587" s="2"/>
      <c r="M5587" s="2"/>
      <c r="N5587" s="650"/>
      <c r="O5587" s="650"/>
      <c r="P5587" s="651"/>
      <c r="Q5587" s="651"/>
      <c r="R5587" s="651"/>
      <c r="S5587" s="651"/>
    </row>
    <row r="5588" spans="12:19" ht="15.75" customHeight="1" x14ac:dyDescent="0.35">
      <c r="L5588" s="2"/>
      <c r="M5588" s="2"/>
      <c r="N5588" s="650"/>
      <c r="O5588" s="650"/>
      <c r="P5588" s="651"/>
      <c r="Q5588" s="651"/>
      <c r="R5588" s="651"/>
      <c r="S5588" s="651"/>
    </row>
    <row r="5589" spans="12:19" ht="15.75" customHeight="1" x14ac:dyDescent="0.35">
      <c r="L5589" s="2"/>
      <c r="M5589" s="2"/>
      <c r="N5589" s="650"/>
      <c r="O5589" s="650"/>
      <c r="P5589" s="651"/>
      <c r="Q5589" s="651"/>
      <c r="R5589" s="651"/>
      <c r="S5589" s="651"/>
    </row>
    <row r="5590" spans="12:19" ht="15.75" customHeight="1" x14ac:dyDescent="0.35">
      <c r="L5590" s="2"/>
      <c r="M5590" s="2"/>
      <c r="N5590" s="650"/>
      <c r="O5590" s="650"/>
      <c r="P5590" s="651"/>
      <c r="Q5590" s="651"/>
      <c r="R5590" s="651"/>
      <c r="S5590" s="651"/>
    </row>
    <row r="5591" spans="12:19" ht="15.75" customHeight="1" x14ac:dyDescent="0.35">
      <c r="L5591" s="2"/>
      <c r="M5591" s="2"/>
      <c r="N5591" s="650"/>
      <c r="O5591" s="650"/>
      <c r="P5591" s="651"/>
      <c r="Q5591" s="651"/>
      <c r="R5591" s="651"/>
      <c r="S5591" s="651"/>
    </row>
    <row r="5592" spans="12:19" ht="15.75" customHeight="1" x14ac:dyDescent="0.35">
      <c r="L5592" s="2"/>
      <c r="M5592" s="2"/>
      <c r="N5592" s="650"/>
      <c r="O5592" s="650"/>
      <c r="P5592" s="651"/>
      <c r="Q5592" s="651"/>
      <c r="R5592" s="651"/>
      <c r="S5592" s="651"/>
    </row>
    <row r="5593" spans="12:19" ht="15.75" customHeight="1" x14ac:dyDescent="0.35">
      <c r="L5593" s="2"/>
      <c r="M5593" s="2"/>
      <c r="N5593" s="650"/>
      <c r="O5593" s="650"/>
      <c r="P5593" s="651"/>
      <c r="Q5593" s="651"/>
      <c r="R5593" s="651"/>
      <c r="S5593" s="651"/>
    </row>
    <row r="5594" spans="12:19" ht="15.75" customHeight="1" x14ac:dyDescent="0.35">
      <c r="L5594" s="2"/>
      <c r="M5594" s="2"/>
      <c r="N5594" s="650"/>
      <c r="O5594" s="650"/>
      <c r="P5594" s="651"/>
      <c r="Q5594" s="651"/>
      <c r="R5594" s="651"/>
      <c r="S5594" s="651"/>
    </row>
    <row r="5595" spans="12:19" ht="15.75" customHeight="1" x14ac:dyDescent="0.35">
      <c r="L5595" s="2"/>
      <c r="M5595" s="2"/>
      <c r="N5595" s="650"/>
      <c r="O5595" s="650"/>
      <c r="P5595" s="651"/>
      <c r="Q5595" s="651"/>
      <c r="R5595" s="651"/>
      <c r="S5595" s="651"/>
    </row>
    <row r="5596" spans="12:19" ht="15.75" customHeight="1" x14ac:dyDescent="0.35">
      <c r="L5596" s="2"/>
      <c r="M5596" s="2"/>
      <c r="N5596" s="650"/>
      <c r="O5596" s="650"/>
      <c r="P5596" s="651"/>
      <c r="Q5596" s="651"/>
      <c r="R5596" s="651"/>
      <c r="S5596" s="651"/>
    </row>
    <row r="5597" spans="12:19" ht="15.75" customHeight="1" x14ac:dyDescent="0.35">
      <c r="L5597" s="2"/>
      <c r="M5597" s="2"/>
      <c r="N5597" s="650"/>
      <c r="O5597" s="650"/>
      <c r="P5597" s="651"/>
      <c r="Q5597" s="651"/>
      <c r="R5597" s="651"/>
      <c r="S5597" s="651"/>
    </row>
    <row r="5598" spans="12:19" ht="15.75" customHeight="1" x14ac:dyDescent="0.35">
      <c r="L5598" s="2"/>
      <c r="M5598" s="2"/>
      <c r="N5598" s="650"/>
      <c r="O5598" s="650"/>
      <c r="P5598" s="651"/>
      <c r="Q5598" s="651"/>
      <c r="R5598" s="651"/>
      <c r="S5598" s="651"/>
    </row>
    <row r="5599" spans="12:19" ht="15.75" customHeight="1" x14ac:dyDescent="0.35">
      <c r="L5599" s="2"/>
      <c r="M5599" s="2"/>
      <c r="N5599" s="650"/>
      <c r="O5599" s="650"/>
      <c r="P5599" s="651"/>
      <c r="Q5599" s="651"/>
      <c r="R5599" s="651"/>
      <c r="S5599" s="651"/>
    </row>
    <row r="5600" spans="12:19" ht="15.75" customHeight="1" x14ac:dyDescent="0.35">
      <c r="L5600" s="2"/>
      <c r="M5600" s="2"/>
      <c r="N5600" s="650"/>
      <c r="O5600" s="650"/>
      <c r="P5600" s="651"/>
      <c r="Q5600" s="651"/>
      <c r="R5600" s="651"/>
      <c r="S5600" s="651"/>
    </row>
    <row r="5601" spans="12:19" ht="15.75" customHeight="1" x14ac:dyDescent="0.35">
      <c r="L5601" s="2"/>
      <c r="M5601" s="2"/>
      <c r="N5601" s="650"/>
      <c r="O5601" s="650"/>
      <c r="P5601" s="651"/>
      <c r="Q5601" s="651"/>
      <c r="R5601" s="651"/>
      <c r="S5601" s="651"/>
    </row>
    <row r="5602" spans="12:19" ht="15.75" customHeight="1" x14ac:dyDescent="0.35">
      <c r="L5602" s="2"/>
      <c r="M5602" s="2"/>
      <c r="N5602" s="650"/>
      <c r="O5602" s="650"/>
      <c r="P5602" s="651"/>
      <c r="Q5602" s="651"/>
      <c r="R5602" s="651"/>
      <c r="S5602" s="651"/>
    </row>
    <row r="5603" spans="12:19" ht="15.75" customHeight="1" x14ac:dyDescent="0.35">
      <c r="L5603" s="2"/>
      <c r="M5603" s="2"/>
      <c r="N5603" s="650"/>
      <c r="O5603" s="650"/>
      <c r="P5603" s="651"/>
      <c r="Q5603" s="651"/>
      <c r="R5603" s="651"/>
      <c r="S5603" s="651"/>
    </row>
    <row r="5604" spans="12:19" ht="15.75" customHeight="1" x14ac:dyDescent="0.35">
      <c r="L5604" s="2"/>
      <c r="M5604" s="2"/>
      <c r="N5604" s="650"/>
      <c r="O5604" s="650"/>
      <c r="P5604" s="651"/>
      <c r="Q5604" s="651"/>
      <c r="R5604" s="651"/>
      <c r="S5604" s="651"/>
    </row>
    <row r="5605" spans="12:19" ht="15.75" customHeight="1" x14ac:dyDescent="0.35">
      <c r="L5605" s="2"/>
      <c r="M5605" s="2"/>
      <c r="N5605" s="650"/>
      <c r="O5605" s="650"/>
      <c r="P5605" s="651"/>
      <c r="Q5605" s="651"/>
      <c r="R5605" s="651"/>
      <c r="S5605" s="651"/>
    </row>
    <row r="5606" spans="12:19" ht="15.75" customHeight="1" x14ac:dyDescent="0.35">
      <c r="L5606" s="2"/>
      <c r="M5606" s="2"/>
      <c r="N5606" s="650"/>
      <c r="O5606" s="650"/>
      <c r="P5606" s="651"/>
      <c r="Q5606" s="651"/>
      <c r="R5606" s="651"/>
      <c r="S5606" s="651"/>
    </row>
    <row r="5607" spans="12:19" ht="15.75" customHeight="1" x14ac:dyDescent="0.35">
      <c r="L5607" s="2"/>
      <c r="M5607" s="2"/>
      <c r="N5607" s="650"/>
      <c r="O5607" s="650"/>
      <c r="P5607" s="651"/>
      <c r="Q5607" s="651"/>
      <c r="R5607" s="651"/>
      <c r="S5607" s="651"/>
    </row>
    <row r="5608" spans="12:19" ht="15.75" customHeight="1" x14ac:dyDescent="0.35">
      <c r="L5608" s="2"/>
      <c r="M5608" s="2"/>
      <c r="N5608" s="650"/>
      <c r="O5608" s="650"/>
      <c r="P5608" s="651"/>
      <c r="Q5608" s="651"/>
      <c r="R5608" s="651"/>
      <c r="S5608" s="651"/>
    </row>
    <row r="5609" spans="12:19" ht="15.75" customHeight="1" x14ac:dyDescent="0.35">
      <c r="L5609" s="2"/>
      <c r="M5609" s="2"/>
      <c r="N5609" s="650"/>
      <c r="O5609" s="650"/>
      <c r="P5609" s="651"/>
      <c r="Q5609" s="651"/>
      <c r="R5609" s="651"/>
      <c r="S5609" s="651"/>
    </row>
    <row r="5610" spans="12:19" ht="15.75" customHeight="1" x14ac:dyDescent="0.35">
      <c r="L5610" s="2"/>
      <c r="M5610" s="2"/>
      <c r="N5610" s="650"/>
      <c r="O5610" s="650"/>
      <c r="P5610" s="651"/>
      <c r="Q5610" s="651"/>
      <c r="R5610" s="651"/>
      <c r="S5610" s="651"/>
    </row>
    <row r="5611" spans="12:19" ht="15.75" customHeight="1" x14ac:dyDescent="0.35">
      <c r="L5611" s="2"/>
      <c r="M5611" s="2"/>
      <c r="N5611" s="650"/>
      <c r="O5611" s="650"/>
      <c r="P5611" s="651"/>
      <c r="Q5611" s="651"/>
      <c r="R5611" s="651"/>
      <c r="S5611" s="651"/>
    </row>
    <row r="5612" spans="12:19" ht="15.75" customHeight="1" x14ac:dyDescent="0.35">
      <c r="L5612" s="2"/>
      <c r="M5612" s="2"/>
      <c r="N5612" s="650"/>
      <c r="O5612" s="650"/>
      <c r="P5612" s="651"/>
      <c r="Q5612" s="651"/>
      <c r="R5612" s="651"/>
      <c r="S5612" s="651"/>
    </row>
    <row r="5613" spans="12:19" ht="15.75" customHeight="1" x14ac:dyDescent="0.35">
      <c r="L5613" s="2"/>
      <c r="M5613" s="2"/>
      <c r="N5613" s="650"/>
      <c r="O5613" s="650"/>
      <c r="P5613" s="651"/>
      <c r="Q5613" s="651"/>
      <c r="R5613" s="651"/>
      <c r="S5613" s="651"/>
    </row>
    <row r="5614" spans="12:19" ht="15.75" customHeight="1" x14ac:dyDescent="0.35">
      <c r="L5614" s="2"/>
      <c r="M5614" s="2"/>
      <c r="N5614" s="650"/>
      <c r="O5614" s="650"/>
      <c r="P5614" s="651"/>
      <c r="Q5614" s="651"/>
      <c r="R5614" s="651"/>
      <c r="S5614" s="651"/>
    </row>
    <row r="5615" spans="12:19" ht="15.75" customHeight="1" x14ac:dyDescent="0.35">
      <c r="L5615" s="2"/>
      <c r="M5615" s="2"/>
      <c r="N5615" s="650"/>
      <c r="O5615" s="650"/>
      <c r="P5615" s="651"/>
      <c r="Q5615" s="651"/>
      <c r="R5615" s="651"/>
      <c r="S5615" s="651"/>
    </row>
    <row r="5616" spans="12:19" ht="15.75" customHeight="1" x14ac:dyDescent="0.35">
      <c r="L5616" s="2"/>
      <c r="M5616" s="2"/>
      <c r="N5616" s="650"/>
      <c r="O5616" s="650"/>
      <c r="P5616" s="651"/>
      <c r="Q5616" s="651"/>
      <c r="R5616" s="651"/>
      <c r="S5616" s="651"/>
    </row>
    <row r="5617" spans="12:19" ht="15.75" customHeight="1" x14ac:dyDescent="0.35">
      <c r="L5617" s="2"/>
      <c r="M5617" s="2"/>
      <c r="N5617" s="650"/>
      <c r="O5617" s="650"/>
      <c r="P5617" s="651"/>
      <c r="Q5617" s="651"/>
      <c r="R5617" s="651"/>
      <c r="S5617" s="651"/>
    </row>
    <row r="5618" spans="12:19" ht="15.75" customHeight="1" x14ac:dyDescent="0.35">
      <c r="L5618" s="2"/>
      <c r="M5618" s="2"/>
      <c r="N5618" s="650"/>
      <c r="O5618" s="650"/>
      <c r="P5618" s="651"/>
      <c r="Q5618" s="651"/>
      <c r="R5618" s="651"/>
      <c r="S5618" s="651"/>
    </row>
    <row r="5619" spans="12:19" ht="15.75" customHeight="1" x14ac:dyDescent="0.35">
      <c r="L5619" s="2"/>
      <c r="M5619" s="2"/>
      <c r="N5619" s="650"/>
      <c r="O5619" s="650"/>
      <c r="P5619" s="651"/>
      <c r="Q5619" s="651"/>
      <c r="R5619" s="651"/>
      <c r="S5619" s="651"/>
    </row>
    <row r="5620" spans="12:19" ht="15.75" customHeight="1" x14ac:dyDescent="0.35">
      <c r="L5620" s="2"/>
      <c r="M5620" s="2"/>
      <c r="N5620" s="650"/>
      <c r="O5620" s="650"/>
      <c r="P5620" s="651"/>
      <c r="Q5620" s="651"/>
      <c r="R5620" s="651"/>
      <c r="S5620" s="651"/>
    </row>
    <row r="5621" spans="12:19" ht="15.75" customHeight="1" x14ac:dyDescent="0.35">
      <c r="L5621" s="2"/>
      <c r="M5621" s="2"/>
      <c r="N5621" s="650"/>
      <c r="O5621" s="650"/>
      <c r="P5621" s="651"/>
      <c r="Q5621" s="651"/>
      <c r="R5621" s="651"/>
      <c r="S5621" s="651"/>
    </row>
    <row r="5622" spans="12:19" ht="15.75" customHeight="1" x14ac:dyDescent="0.35">
      <c r="L5622" s="2"/>
      <c r="M5622" s="2"/>
      <c r="N5622" s="650"/>
      <c r="O5622" s="650"/>
      <c r="P5622" s="651"/>
      <c r="Q5622" s="651"/>
      <c r="R5622" s="651"/>
      <c r="S5622" s="651"/>
    </row>
    <row r="5623" spans="12:19" ht="15.75" customHeight="1" x14ac:dyDescent="0.35">
      <c r="L5623" s="2"/>
      <c r="M5623" s="2"/>
      <c r="N5623" s="650"/>
      <c r="O5623" s="650"/>
      <c r="P5623" s="651"/>
      <c r="Q5623" s="651"/>
      <c r="R5623" s="651"/>
      <c r="S5623" s="651"/>
    </row>
    <row r="5624" spans="12:19" ht="15.75" customHeight="1" x14ac:dyDescent="0.35">
      <c r="L5624" s="2"/>
      <c r="M5624" s="2"/>
      <c r="N5624" s="650"/>
      <c r="O5624" s="650"/>
      <c r="P5624" s="651"/>
      <c r="Q5624" s="651"/>
      <c r="R5624" s="651"/>
      <c r="S5624" s="651"/>
    </row>
    <row r="5625" spans="12:19" ht="15.75" customHeight="1" x14ac:dyDescent="0.35">
      <c r="L5625" s="2"/>
      <c r="M5625" s="2"/>
      <c r="N5625" s="650"/>
      <c r="O5625" s="650"/>
      <c r="P5625" s="651"/>
      <c r="Q5625" s="651"/>
      <c r="R5625" s="651"/>
      <c r="S5625" s="651"/>
    </row>
    <row r="5626" spans="12:19" ht="15.75" customHeight="1" x14ac:dyDescent="0.35">
      <c r="L5626" s="2"/>
      <c r="M5626" s="2"/>
      <c r="N5626" s="650"/>
      <c r="O5626" s="650"/>
      <c r="P5626" s="651"/>
      <c r="Q5626" s="651"/>
      <c r="R5626" s="651"/>
      <c r="S5626" s="651"/>
    </row>
    <row r="5627" spans="12:19" ht="15.75" customHeight="1" x14ac:dyDescent="0.35">
      <c r="L5627" s="2"/>
      <c r="M5627" s="2"/>
      <c r="N5627" s="650"/>
      <c r="O5627" s="650"/>
      <c r="P5627" s="651"/>
      <c r="Q5627" s="651"/>
      <c r="R5627" s="651"/>
      <c r="S5627" s="651"/>
    </row>
    <row r="5628" spans="12:19" ht="15.75" customHeight="1" x14ac:dyDescent="0.35">
      <c r="L5628" s="2"/>
      <c r="M5628" s="2"/>
      <c r="N5628" s="650"/>
      <c r="O5628" s="650"/>
      <c r="P5628" s="651"/>
      <c r="Q5628" s="651"/>
      <c r="R5628" s="651"/>
      <c r="S5628" s="651"/>
    </row>
    <row r="5629" spans="12:19" ht="15.75" customHeight="1" x14ac:dyDescent="0.35">
      <c r="L5629" s="2"/>
      <c r="M5629" s="2"/>
      <c r="N5629" s="650"/>
      <c r="O5629" s="650"/>
      <c r="P5629" s="651"/>
      <c r="Q5629" s="651"/>
      <c r="R5629" s="651"/>
      <c r="S5629" s="651"/>
    </row>
    <row r="5630" spans="12:19" ht="15.75" customHeight="1" x14ac:dyDescent="0.35">
      <c r="L5630" s="2"/>
      <c r="M5630" s="2"/>
      <c r="N5630" s="650"/>
      <c r="O5630" s="650"/>
      <c r="P5630" s="651"/>
      <c r="Q5630" s="651"/>
      <c r="R5630" s="651"/>
      <c r="S5630" s="651"/>
    </row>
    <row r="5631" spans="12:19" ht="15.75" customHeight="1" x14ac:dyDescent="0.35">
      <c r="L5631" s="2"/>
      <c r="M5631" s="2"/>
      <c r="N5631" s="650"/>
      <c r="O5631" s="650"/>
      <c r="P5631" s="651"/>
      <c r="Q5631" s="651"/>
      <c r="R5631" s="651"/>
      <c r="S5631" s="651"/>
    </row>
    <row r="5632" spans="12:19" ht="15.75" customHeight="1" x14ac:dyDescent="0.35">
      <c r="L5632" s="2"/>
      <c r="M5632" s="2"/>
      <c r="N5632" s="650"/>
      <c r="O5632" s="650"/>
      <c r="P5632" s="651"/>
      <c r="Q5632" s="651"/>
      <c r="R5632" s="651"/>
      <c r="S5632" s="651"/>
    </row>
    <row r="5633" spans="12:19" ht="15.75" customHeight="1" x14ac:dyDescent="0.35">
      <c r="L5633" s="2"/>
      <c r="M5633" s="2"/>
      <c r="N5633" s="650"/>
      <c r="O5633" s="650"/>
      <c r="P5633" s="651"/>
      <c r="Q5633" s="651"/>
      <c r="R5633" s="651"/>
      <c r="S5633" s="651"/>
    </row>
    <row r="5634" spans="12:19" ht="15.75" customHeight="1" x14ac:dyDescent="0.35">
      <c r="L5634" s="2"/>
      <c r="M5634" s="2"/>
      <c r="N5634" s="650"/>
      <c r="O5634" s="650"/>
      <c r="P5634" s="651"/>
      <c r="Q5634" s="651"/>
      <c r="R5634" s="651"/>
      <c r="S5634" s="651"/>
    </row>
    <row r="5635" spans="12:19" ht="15.75" customHeight="1" x14ac:dyDescent="0.35">
      <c r="L5635" s="2"/>
      <c r="M5635" s="2"/>
      <c r="N5635" s="650"/>
      <c r="O5635" s="650"/>
      <c r="P5635" s="651"/>
      <c r="Q5635" s="651"/>
      <c r="R5635" s="651"/>
      <c r="S5635" s="651"/>
    </row>
    <row r="5636" spans="12:19" ht="15.75" customHeight="1" x14ac:dyDescent="0.35">
      <c r="L5636" s="2"/>
      <c r="M5636" s="2"/>
      <c r="N5636" s="650"/>
      <c r="O5636" s="650"/>
      <c r="P5636" s="651"/>
      <c r="Q5636" s="651"/>
      <c r="R5636" s="651"/>
      <c r="S5636" s="651"/>
    </row>
    <row r="5637" spans="12:19" ht="15.75" customHeight="1" x14ac:dyDescent="0.35">
      <c r="L5637" s="2"/>
      <c r="M5637" s="2"/>
      <c r="N5637" s="650"/>
      <c r="O5637" s="650"/>
      <c r="P5637" s="651"/>
      <c r="Q5637" s="651"/>
      <c r="R5637" s="651"/>
      <c r="S5637" s="651"/>
    </row>
    <row r="5638" spans="12:19" ht="15.75" customHeight="1" x14ac:dyDescent="0.35">
      <c r="L5638" s="2"/>
      <c r="M5638" s="2"/>
      <c r="N5638" s="650"/>
      <c r="O5638" s="650"/>
      <c r="P5638" s="651"/>
      <c r="Q5638" s="651"/>
      <c r="R5638" s="651"/>
      <c r="S5638" s="651"/>
    </row>
    <row r="5639" spans="12:19" ht="15.75" customHeight="1" x14ac:dyDescent="0.35">
      <c r="L5639" s="2"/>
      <c r="M5639" s="2"/>
      <c r="N5639" s="650"/>
      <c r="O5639" s="650"/>
      <c r="P5639" s="651"/>
      <c r="Q5639" s="651"/>
      <c r="R5639" s="651"/>
      <c r="S5639" s="651"/>
    </row>
    <row r="5640" spans="12:19" ht="15.75" customHeight="1" x14ac:dyDescent="0.35">
      <c r="L5640" s="2"/>
      <c r="M5640" s="2"/>
      <c r="N5640" s="650"/>
      <c r="O5640" s="650"/>
      <c r="P5640" s="651"/>
      <c r="Q5640" s="651"/>
      <c r="R5640" s="651"/>
      <c r="S5640" s="651"/>
    </row>
    <row r="5641" spans="12:19" ht="15.75" customHeight="1" x14ac:dyDescent="0.35">
      <c r="L5641" s="2"/>
      <c r="M5641" s="2"/>
      <c r="N5641" s="650"/>
      <c r="O5641" s="650"/>
      <c r="P5641" s="651"/>
      <c r="Q5641" s="651"/>
      <c r="R5641" s="651"/>
      <c r="S5641" s="651"/>
    </row>
    <row r="5642" spans="12:19" ht="15.75" customHeight="1" x14ac:dyDescent="0.35">
      <c r="L5642" s="2"/>
      <c r="M5642" s="2"/>
      <c r="N5642" s="650"/>
      <c r="O5642" s="650"/>
      <c r="P5642" s="651"/>
      <c r="Q5642" s="651"/>
      <c r="R5642" s="651"/>
      <c r="S5642" s="651"/>
    </row>
    <row r="5643" spans="12:19" ht="15.75" customHeight="1" x14ac:dyDescent="0.35">
      <c r="L5643" s="2"/>
      <c r="M5643" s="2"/>
      <c r="N5643" s="650"/>
      <c r="O5643" s="650"/>
      <c r="P5643" s="651"/>
      <c r="Q5643" s="651"/>
      <c r="R5643" s="651"/>
      <c r="S5643" s="651"/>
    </row>
    <row r="5644" spans="12:19" ht="15.75" customHeight="1" x14ac:dyDescent="0.35">
      <c r="L5644" s="2"/>
      <c r="M5644" s="2"/>
      <c r="N5644" s="650"/>
      <c r="O5644" s="650"/>
      <c r="P5644" s="651"/>
      <c r="Q5644" s="651"/>
      <c r="R5644" s="651"/>
      <c r="S5644" s="651"/>
    </row>
    <row r="5645" spans="12:19" ht="15.75" customHeight="1" x14ac:dyDescent="0.35">
      <c r="L5645" s="2"/>
      <c r="M5645" s="2"/>
      <c r="N5645" s="650"/>
      <c r="O5645" s="650"/>
      <c r="P5645" s="651"/>
      <c r="Q5645" s="651"/>
      <c r="R5645" s="651"/>
      <c r="S5645" s="651"/>
    </row>
    <row r="5646" spans="12:19" ht="15.75" customHeight="1" x14ac:dyDescent="0.35">
      <c r="L5646" s="2"/>
      <c r="M5646" s="2"/>
      <c r="N5646" s="650"/>
      <c r="O5646" s="650"/>
      <c r="P5646" s="651"/>
      <c r="Q5646" s="651"/>
      <c r="R5646" s="651"/>
      <c r="S5646" s="651"/>
    </row>
    <row r="5647" spans="12:19" ht="15.75" customHeight="1" x14ac:dyDescent="0.35">
      <c r="L5647" s="2"/>
      <c r="M5647" s="2"/>
      <c r="N5647" s="650"/>
      <c r="O5647" s="650"/>
      <c r="P5647" s="651"/>
      <c r="Q5647" s="651"/>
      <c r="R5647" s="651"/>
      <c r="S5647" s="651"/>
    </row>
    <row r="5648" spans="12:19" ht="15.75" customHeight="1" x14ac:dyDescent="0.35">
      <c r="L5648" s="2"/>
      <c r="M5648" s="2"/>
      <c r="N5648" s="650"/>
      <c r="O5648" s="650"/>
      <c r="P5648" s="651"/>
      <c r="Q5648" s="651"/>
      <c r="R5648" s="651"/>
      <c r="S5648" s="651"/>
    </row>
    <row r="5649" spans="12:19" ht="15.75" customHeight="1" x14ac:dyDescent="0.35">
      <c r="L5649" s="2"/>
      <c r="M5649" s="2"/>
      <c r="N5649" s="650"/>
      <c r="O5649" s="650"/>
      <c r="P5649" s="651"/>
      <c r="Q5649" s="651"/>
      <c r="R5649" s="651"/>
      <c r="S5649" s="651"/>
    </row>
    <row r="5650" spans="12:19" ht="15.75" customHeight="1" x14ac:dyDescent="0.35">
      <c r="L5650" s="2"/>
      <c r="M5650" s="2"/>
      <c r="N5650" s="650"/>
      <c r="O5650" s="650"/>
      <c r="P5650" s="651"/>
      <c r="Q5650" s="651"/>
      <c r="R5650" s="651"/>
      <c r="S5650" s="651"/>
    </row>
    <row r="5651" spans="12:19" ht="15.75" customHeight="1" x14ac:dyDescent="0.35">
      <c r="L5651" s="2"/>
      <c r="M5651" s="2"/>
      <c r="N5651" s="650"/>
      <c r="O5651" s="650"/>
      <c r="P5651" s="651"/>
      <c r="Q5651" s="651"/>
      <c r="R5651" s="651"/>
      <c r="S5651" s="651"/>
    </row>
    <row r="5652" spans="12:19" ht="15.75" customHeight="1" x14ac:dyDescent="0.35">
      <c r="L5652" s="2"/>
      <c r="M5652" s="2"/>
      <c r="N5652" s="650"/>
      <c r="O5652" s="650"/>
      <c r="P5652" s="651"/>
      <c r="Q5652" s="651"/>
      <c r="R5652" s="651"/>
      <c r="S5652" s="651"/>
    </row>
    <row r="5653" spans="12:19" ht="15.75" customHeight="1" x14ac:dyDescent="0.35">
      <c r="L5653" s="2"/>
      <c r="M5653" s="2"/>
      <c r="N5653" s="650"/>
      <c r="O5653" s="650"/>
      <c r="P5653" s="651"/>
      <c r="Q5653" s="651"/>
      <c r="R5653" s="651"/>
      <c r="S5653" s="651"/>
    </row>
    <row r="5654" spans="12:19" ht="15.75" customHeight="1" x14ac:dyDescent="0.35">
      <c r="L5654" s="2"/>
      <c r="M5654" s="2"/>
      <c r="N5654" s="650"/>
      <c r="O5654" s="650"/>
      <c r="P5654" s="651"/>
      <c r="Q5654" s="651"/>
      <c r="R5654" s="651"/>
      <c r="S5654" s="651"/>
    </row>
    <row r="5655" spans="12:19" ht="15.75" customHeight="1" x14ac:dyDescent="0.35">
      <c r="L5655" s="2"/>
      <c r="M5655" s="2"/>
      <c r="N5655" s="650"/>
      <c r="O5655" s="650"/>
      <c r="P5655" s="651"/>
      <c r="Q5655" s="651"/>
      <c r="R5655" s="651"/>
      <c r="S5655" s="651"/>
    </row>
    <row r="5656" spans="12:19" ht="15.75" customHeight="1" x14ac:dyDescent="0.35">
      <c r="L5656" s="2"/>
      <c r="M5656" s="2"/>
      <c r="N5656" s="650"/>
      <c r="O5656" s="650"/>
      <c r="P5656" s="651"/>
      <c r="Q5656" s="651"/>
      <c r="R5656" s="651"/>
      <c r="S5656" s="651"/>
    </row>
    <row r="5657" spans="12:19" ht="15.75" customHeight="1" x14ac:dyDescent="0.35">
      <c r="L5657" s="2"/>
      <c r="M5657" s="2"/>
      <c r="N5657" s="650"/>
      <c r="O5657" s="650"/>
      <c r="P5657" s="651"/>
      <c r="Q5657" s="651"/>
      <c r="R5657" s="651"/>
      <c r="S5657" s="651"/>
    </row>
    <row r="5658" spans="12:19" ht="15.75" customHeight="1" x14ac:dyDescent="0.35">
      <c r="L5658" s="2"/>
      <c r="M5658" s="2"/>
      <c r="N5658" s="650"/>
      <c r="O5658" s="650"/>
      <c r="P5658" s="651"/>
      <c r="Q5658" s="651"/>
      <c r="R5658" s="651"/>
      <c r="S5658" s="651"/>
    </row>
    <row r="5659" spans="12:19" ht="15.75" customHeight="1" x14ac:dyDescent="0.35">
      <c r="L5659" s="2"/>
      <c r="M5659" s="2"/>
      <c r="N5659" s="650"/>
      <c r="O5659" s="650"/>
      <c r="P5659" s="651"/>
      <c r="Q5659" s="651"/>
      <c r="R5659" s="651"/>
      <c r="S5659" s="651"/>
    </row>
    <row r="5660" spans="12:19" ht="15.75" customHeight="1" x14ac:dyDescent="0.35">
      <c r="L5660" s="2"/>
      <c r="M5660" s="2"/>
      <c r="N5660" s="650"/>
      <c r="O5660" s="650"/>
      <c r="P5660" s="651"/>
      <c r="Q5660" s="651"/>
      <c r="R5660" s="651"/>
      <c r="S5660" s="651"/>
    </row>
    <row r="5661" spans="12:19" ht="15.75" customHeight="1" x14ac:dyDescent="0.35">
      <c r="L5661" s="2"/>
      <c r="M5661" s="2"/>
      <c r="N5661" s="650"/>
      <c r="O5661" s="650"/>
      <c r="P5661" s="651"/>
      <c r="Q5661" s="651"/>
      <c r="R5661" s="651"/>
      <c r="S5661" s="651"/>
    </row>
    <row r="5662" spans="12:19" ht="15.75" customHeight="1" x14ac:dyDescent="0.35">
      <c r="L5662" s="2"/>
      <c r="M5662" s="2"/>
      <c r="N5662" s="650"/>
      <c r="O5662" s="650"/>
      <c r="P5662" s="651"/>
      <c r="Q5662" s="651"/>
      <c r="R5662" s="651"/>
      <c r="S5662" s="651"/>
    </row>
    <row r="5663" spans="12:19" ht="15.75" customHeight="1" x14ac:dyDescent="0.35">
      <c r="L5663" s="2"/>
      <c r="M5663" s="2"/>
      <c r="N5663" s="650"/>
      <c r="O5663" s="650"/>
      <c r="P5663" s="651"/>
      <c r="Q5663" s="651"/>
      <c r="R5663" s="651"/>
      <c r="S5663" s="651"/>
    </row>
    <row r="5664" spans="12:19" ht="15.75" customHeight="1" x14ac:dyDescent="0.35">
      <c r="L5664" s="2"/>
      <c r="M5664" s="2"/>
      <c r="N5664" s="650"/>
      <c r="O5664" s="650"/>
      <c r="P5664" s="651"/>
      <c r="Q5664" s="651"/>
      <c r="R5664" s="651"/>
      <c r="S5664" s="651"/>
    </row>
    <row r="5665" spans="12:19" ht="15.75" customHeight="1" x14ac:dyDescent="0.35">
      <c r="L5665" s="2"/>
      <c r="M5665" s="2"/>
      <c r="N5665" s="650"/>
      <c r="O5665" s="650"/>
      <c r="P5665" s="651"/>
      <c r="Q5665" s="651"/>
      <c r="R5665" s="651"/>
      <c r="S5665" s="651"/>
    </row>
    <row r="5666" spans="12:19" ht="15.75" customHeight="1" x14ac:dyDescent="0.35">
      <c r="L5666" s="2"/>
      <c r="M5666" s="2"/>
      <c r="N5666" s="650"/>
      <c r="O5666" s="650"/>
      <c r="P5666" s="651"/>
      <c r="Q5666" s="651"/>
      <c r="R5666" s="651"/>
      <c r="S5666" s="651"/>
    </row>
    <row r="5667" spans="12:19" ht="15.75" customHeight="1" x14ac:dyDescent="0.35">
      <c r="L5667" s="2"/>
      <c r="M5667" s="2"/>
      <c r="N5667" s="650"/>
      <c r="O5667" s="650"/>
      <c r="P5667" s="651"/>
      <c r="Q5667" s="651"/>
      <c r="R5667" s="651"/>
      <c r="S5667" s="651"/>
    </row>
    <row r="5668" spans="12:19" ht="15.75" customHeight="1" x14ac:dyDescent="0.35">
      <c r="L5668" s="2"/>
      <c r="M5668" s="2"/>
      <c r="N5668" s="650"/>
      <c r="O5668" s="650"/>
      <c r="P5668" s="651"/>
      <c r="Q5668" s="651"/>
      <c r="R5668" s="651"/>
      <c r="S5668" s="651"/>
    </row>
    <row r="5669" spans="12:19" ht="15.75" customHeight="1" x14ac:dyDescent="0.35">
      <c r="L5669" s="2"/>
      <c r="M5669" s="2"/>
      <c r="N5669" s="650"/>
      <c r="O5669" s="650"/>
      <c r="P5669" s="651"/>
      <c r="Q5669" s="651"/>
      <c r="R5669" s="651"/>
      <c r="S5669" s="651"/>
    </row>
    <row r="5670" spans="12:19" ht="15.75" customHeight="1" x14ac:dyDescent="0.35">
      <c r="L5670" s="2"/>
      <c r="M5670" s="2"/>
      <c r="N5670" s="650"/>
      <c r="O5670" s="650"/>
      <c r="P5670" s="651"/>
      <c r="Q5670" s="651"/>
      <c r="R5670" s="651"/>
      <c r="S5670" s="651"/>
    </row>
    <row r="5671" spans="12:19" ht="15.75" customHeight="1" x14ac:dyDescent="0.35">
      <c r="L5671" s="2"/>
      <c r="M5671" s="2"/>
      <c r="N5671" s="650"/>
      <c r="O5671" s="650"/>
      <c r="P5671" s="651"/>
      <c r="Q5671" s="651"/>
      <c r="R5671" s="651"/>
      <c r="S5671" s="651"/>
    </row>
    <row r="5672" spans="12:19" ht="15.75" customHeight="1" x14ac:dyDescent="0.35">
      <c r="L5672" s="2"/>
      <c r="M5672" s="2"/>
      <c r="N5672" s="650"/>
      <c r="O5672" s="650"/>
      <c r="P5672" s="651"/>
      <c r="Q5672" s="651"/>
      <c r="R5672" s="651"/>
      <c r="S5672" s="651"/>
    </row>
    <row r="5673" spans="12:19" ht="15.75" customHeight="1" x14ac:dyDescent="0.35">
      <c r="L5673" s="2"/>
      <c r="M5673" s="2"/>
      <c r="N5673" s="650"/>
      <c r="O5673" s="650"/>
      <c r="P5673" s="651"/>
      <c r="Q5673" s="651"/>
      <c r="R5673" s="651"/>
      <c r="S5673" s="651"/>
    </row>
    <row r="5674" spans="12:19" ht="15.75" customHeight="1" x14ac:dyDescent="0.35">
      <c r="L5674" s="2"/>
      <c r="M5674" s="2"/>
      <c r="N5674" s="650"/>
      <c r="O5674" s="650"/>
      <c r="P5674" s="651"/>
      <c r="Q5674" s="651"/>
      <c r="R5674" s="651"/>
      <c r="S5674" s="651"/>
    </row>
    <row r="5675" spans="12:19" ht="15.75" customHeight="1" x14ac:dyDescent="0.35">
      <c r="L5675" s="2"/>
      <c r="M5675" s="2"/>
      <c r="N5675" s="650"/>
      <c r="O5675" s="650"/>
      <c r="P5675" s="651"/>
      <c r="Q5675" s="651"/>
      <c r="R5675" s="651"/>
      <c r="S5675" s="651"/>
    </row>
    <row r="5676" spans="12:19" ht="15.75" customHeight="1" x14ac:dyDescent="0.35">
      <c r="L5676" s="2"/>
      <c r="M5676" s="2"/>
      <c r="N5676" s="650"/>
      <c r="O5676" s="650"/>
      <c r="P5676" s="651"/>
      <c r="Q5676" s="651"/>
      <c r="R5676" s="651"/>
      <c r="S5676" s="651"/>
    </row>
    <row r="5677" spans="12:19" ht="15.75" customHeight="1" x14ac:dyDescent="0.35">
      <c r="L5677" s="2"/>
      <c r="M5677" s="2"/>
      <c r="N5677" s="650"/>
      <c r="O5677" s="650"/>
      <c r="P5677" s="651"/>
      <c r="Q5677" s="651"/>
      <c r="R5677" s="651"/>
      <c r="S5677" s="651"/>
    </row>
    <row r="5678" spans="12:19" ht="15.75" customHeight="1" x14ac:dyDescent="0.35">
      <c r="L5678" s="2"/>
      <c r="M5678" s="2"/>
      <c r="N5678" s="650"/>
      <c r="O5678" s="650"/>
      <c r="P5678" s="651"/>
      <c r="Q5678" s="651"/>
      <c r="R5678" s="651"/>
      <c r="S5678" s="651"/>
    </row>
    <row r="5679" spans="12:19" ht="15.75" customHeight="1" x14ac:dyDescent="0.35">
      <c r="L5679" s="2"/>
      <c r="M5679" s="2"/>
      <c r="N5679" s="650"/>
      <c r="O5679" s="650"/>
      <c r="P5679" s="651"/>
      <c r="Q5679" s="651"/>
      <c r="R5679" s="651"/>
      <c r="S5679" s="651"/>
    </row>
    <row r="5680" spans="12:19" ht="15.75" customHeight="1" x14ac:dyDescent="0.35">
      <c r="L5680" s="2"/>
      <c r="M5680" s="2"/>
      <c r="N5680" s="650"/>
      <c r="O5680" s="650"/>
      <c r="P5680" s="651"/>
      <c r="Q5680" s="651"/>
      <c r="R5680" s="651"/>
      <c r="S5680" s="651"/>
    </row>
    <row r="5681" spans="12:19" ht="15.75" customHeight="1" x14ac:dyDescent="0.35">
      <c r="L5681" s="2"/>
      <c r="M5681" s="2"/>
      <c r="N5681" s="650"/>
      <c r="O5681" s="650"/>
      <c r="P5681" s="651"/>
      <c r="Q5681" s="651"/>
      <c r="R5681" s="651"/>
      <c r="S5681" s="651"/>
    </row>
    <row r="5682" spans="12:19" ht="15.75" customHeight="1" x14ac:dyDescent="0.35">
      <c r="L5682" s="2"/>
      <c r="M5682" s="2"/>
      <c r="N5682" s="650"/>
      <c r="O5682" s="650"/>
      <c r="P5682" s="651"/>
      <c r="Q5682" s="651"/>
      <c r="R5682" s="651"/>
      <c r="S5682" s="651"/>
    </row>
    <row r="5683" spans="12:19" ht="15.75" customHeight="1" x14ac:dyDescent="0.35">
      <c r="L5683" s="2"/>
      <c r="M5683" s="2"/>
      <c r="N5683" s="650"/>
      <c r="O5683" s="650"/>
      <c r="P5683" s="651"/>
      <c r="Q5683" s="651"/>
      <c r="R5683" s="651"/>
      <c r="S5683" s="651"/>
    </row>
    <row r="5684" spans="12:19" ht="15.75" customHeight="1" x14ac:dyDescent="0.35">
      <c r="L5684" s="2"/>
      <c r="M5684" s="2"/>
      <c r="N5684" s="650"/>
      <c r="O5684" s="650"/>
      <c r="P5684" s="651"/>
      <c r="Q5684" s="651"/>
      <c r="R5684" s="651"/>
      <c r="S5684" s="651"/>
    </row>
    <row r="5685" spans="12:19" ht="15.75" customHeight="1" x14ac:dyDescent="0.35">
      <c r="L5685" s="2"/>
      <c r="M5685" s="2"/>
      <c r="N5685" s="650"/>
      <c r="O5685" s="650"/>
      <c r="P5685" s="651"/>
      <c r="Q5685" s="651"/>
      <c r="R5685" s="651"/>
      <c r="S5685" s="651"/>
    </row>
    <row r="5686" spans="12:19" ht="15.75" customHeight="1" x14ac:dyDescent="0.35">
      <c r="L5686" s="2"/>
      <c r="M5686" s="2"/>
      <c r="N5686" s="650"/>
      <c r="O5686" s="650"/>
      <c r="P5686" s="651"/>
      <c r="Q5686" s="651"/>
      <c r="R5686" s="651"/>
      <c r="S5686" s="651"/>
    </row>
    <row r="5687" spans="12:19" ht="15.75" customHeight="1" x14ac:dyDescent="0.35">
      <c r="L5687" s="2"/>
      <c r="M5687" s="2"/>
      <c r="N5687" s="650"/>
      <c r="O5687" s="650"/>
      <c r="P5687" s="651"/>
      <c r="Q5687" s="651"/>
      <c r="R5687" s="651"/>
      <c r="S5687" s="651"/>
    </row>
    <row r="5688" spans="12:19" ht="15.75" customHeight="1" x14ac:dyDescent="0.35">
      <c r="L5688" s="2"/>
      <c r="M5688" s="2"/>
      <c r="N5688" s="650"/>
      <c r="O5688" s="650"/>
      <c r="P5688" s="651"/>
      <c r="Q5688" s="651"/>
      <c r="R5688" s="651"/>
      <c r="S5688" s="651"/>
    </row>
    <row r="5689" spans="12:19" ht="15.75" customHeight="1" x14ac:dyDescent="0.35">
      <c r="L5689" s="2"/>
      <c r="M5689" s="2"/>
      <c r="N5689" s="650"/>
      <c r="O5689" s="650"/>
      <c r="P5689" s="651"/>
      <c r="Q5689" s="651"/>
      <c r="R5689" s="651"/>
      <c r="S5689" s="651"/>
    </row>
    <row r="5690" spans="12:19" ht="15.75" customHeight="1" x14ac:dyDescent="0.35">
      <c r="L5690" s="2"/>
      <c r="M5690" s="2"/>
      <c r="N5690" s="650"/>
      <c r="O5690" s="650"/>
      <c r="P5690" s="651"/>
      <c r="Q5690" s="651"/>
      <c r="R5690" s="651"/>
      <c r="S5690" s="651"/>
    </row>
    <row r="5691" spans="12:19" ht="15.75" customHeight="1" x14ac:dyDescent="0.35">
      <c r="L5691" s="2"/>
      <c r="M5691" s="2"/>
      <c r="N5691" s="650"/>
      <c r="O5691" s="650"/>
      <c r="P5691" s="651"/>
      <c r="Q5691" s="651"/>
      <c r="R5691" s="651"/>
      <c r="S5691" s="651"/>
    </row>
    <row r="5692" spans="12:19" ht="15.75" customHeight="1" x14ac:dyDescent="0.35">
      <c r="L5692" s="2"/>
      <c r="M5692" s="2"/>
      <c r="N5692" s="650"/>
      <c r="O5692" s="650"/>
      <c r="P5692" s="651"/>
      <c r="Q5692" s="651"/>
      <c r="R5692" s="651"/>
      <c r="S5692" s="651"/>
    </row>
    <row r="5693" spans="12:19" ht="15.75" customHeight="1" x14ac:dyDescent="0.35">
      <c r="L5693" s="2"/>
      <c r="M5693" s="2"/>
      <c r="N5693" s="650"/>
      <c r="O5693" s="650"/>
      <c r="P5693" s="651"/>
      <c r="Q5693" s="651"/>
      <c r="R5693" s="651"/>
      <c r="S5693" s="651"/>
    </row>
    <row r="5694" spans="12:19" ht="15.75" customHeight="1" x14ac:dyDescent="0.35">
      <c r="L5694" s="2"/>
      <c r="M5694" s="2"/>
      <c r="N5694" s="650"/>
      <c r="O5694" s="650"/>
      <c r="P5694" s="651"/>
      <c r="Q5694" s="651"/>
      <c r="R5694" s="651"/>
      <c r="S5694" s="651"/>
    </row>
    <row r="5695" spans="12:19" ht="15.75" customHeight="1" x14ac:dyDescent="0.35">
      <c r="L5695" s="2"/>
      <c r="M5695" s="2"/>
      <c r="N5695" s="650"/>
      <c r="O5695" s="650"/>
      <c r="P5695" s="651"/>
      <c r="Q5695" s="651"/>
      <c r="R5695" s="651"/>
      <c r="S5695" s="651"/>
    </row>
    <row r="5696" spans="12:19" ht="15.75" customHeight="1" x14ac:dyDescent="0.35">
      <c r="L5696" s="2"/>
      <c r="M5696" s="2"/>
      <c r="N5696" s="650"/>
      <c r="O5696" s="650"/>
      <c r="P5696" s="651"/>
      <c r="Q5696" s="651"/>
      <c r="R5696" s="651"/>
      <c r="S5696" s="651"/>
    </row>
    <row r="5697" spans="12:19" ht="15.75" customHeight="1" x14ac:dyDescent="0.35">
      <c r="L5697" s="2"/>
      <c r="M5697" s="2"/>
      <c r="N5697" s="650"/>
      <c r="O5697" s="650"/>
      <c r="P5697" s="651"/>
      <c r="Q5697" s="651"/>
      <c r="R5697" s="651"/>
      <c r="S5697" s="651"/>
    </row>
    <row r="5698" spans="12:19" ht="15.75" customHeight="1" x14ac:dyDescent="0.35">
      <c r="L5698" s="2"/>
      <c r="M5698" s="2"/>
      <c r="N5698" s="650"/>
      <c r="O5698" s="650"/>
      <c r="P5698" s="651"/>
      <c r="Q5698" s="651"/>
      <c r="R5698" s="651"/>
      <c r="S5698" s="651"/>
    </row>
    <row r="5699" spans="12:19" ht="15.75" customHeight="1" x14ac:dyDescent="0.35">
      <c r="L5699" s="2"/>
      <c r="M5699" s="2"/>
      <c r="N5699" s="650"/>
      <c r="O5699" s="650"/>
      <c r="P5699" s="651"/>
      <c r="Q5699" s="651"/>
      <c r="R5699" s="651"/>
      <c r="S5699" s="651"/>
    </row>
    <row r="5700" spans="12:19" ht="15.75" customHeight="1" x14ac:dyDescent="0.35">
      <c r="L5700" s="2"/>
      <c r="M5700" s="2"/>
      <c r="N5700" s="650"/>
      <c r="O5700" s="650"/>
      <c r="P5700" s="651"/>
      <c r="Q5700" s="651"/>
      <c r="R5700" s="651"/>
      <c r="S5700" s="651"/>
    </row>
    <row r="5701" spans="12:19" ht="15.75" customHeight="1" x14ac:dyDescent="0.35">
      <c r="L5701" s="2"/>
      <c r="M5701" s="2"/>
      <c r="N5701" s="650"/>
      <c r="O5701" s="650"/>
      <c r="P5701" s="651"/>
      <c r="Q5701" s="651"/>
      <c r="R5701" s="651"/>
      <c r="S5701" s="651"/>
    </row>
    <row r="5702" spans="12:19" ht="15.75" customHeight="1" x14ac:dyDescent="0.35">
      <c r="L5702" s="2"/>
      <c r="M5702" s="2"/>
      <c r="N5702" s="650"/>
      <c r="O5702" s="650"/>
      <c r="P5702" s="651"/>
      <c r="Q5702" s="651"/>
      <c r="R5702" s="651"/>
      <c r="S5702" s="651"/>
    </row>
    <row r="5703" spans="12:19" ht="15.75" customHeight="1" x14ac:dyDescent="0.35">
      <c r="L5703" s="2"/>
      <c r="M5703" s="2"/>
      <c r="N5703" s="650"/>
      <c r="O5703" s="650"/>
      <c r="P5703" s="651"/>
      <c r="Q5703" s="651"/>
      <c r="R5703" s="651"/>
      <c r="S5703" s="651"/>
    </row>
    <row r="5704" spans="12:19" ht="15.75" customHeight="1" x14ac:dyDescent="0.35">
      <c r="L5704" s="2"/>
      <c r="M5704" s="2"/>
      <c r="N5704" s="650"/>
      <c r="O5704" s="650"/>
      <c r="P5704" s="651"/>
      <c r="Q5704" s="651"/>
      <c r="R5704" s="651"/>
      <c r="S5704" s="651"/>
    </row>
    <row r="5705" spans="12:19" ht="15.75" customHeight="1" x14ac:dyDescent="0.35">
      <c r="L5705" s="2"/>
      <c r="M5705" s="2"/>
      <c r="N5705" s="650"/>
      <c r="O5705" s="650"/>
      <c r="P5705" s="651"/>
      <c r="Q5705" s="651"/>
      <c r="R5705" s="651"/>
      <c r="S5705" s="651"/>
    </row>
    <row r="5706" spans="12:19" ht="15.75" customHeight="1" x14ac:dyDescent="0.35">
      <c r="L5706" s="2"/>
      <c r="M5706" s="2"/>
      <c r="N5706" s="650"/>
      <c r="O5706" s="650"/>
      <c r="P5706" s="651"/>
      <c r="Q5706" s="651"/>
      <c r="R5706" s="651"/>
      <c r="S5706" s="651"/>
    </row>
    <row r="5707" spans="12:19" ht="15.75" customHeight="1" x14ac:dyDescent="0.35">
      <c r="L5707" s="2"/>
      <c r="M5707" s="2"/>
      <c r="N5707" s="650"/>
      <c r="O5707" s="650"/>
      <c r="P5707" s="651"/>
      <c r="Q5707" s="651"/>
      <c r="R5707" s="651"/>
      <c r="S5707" s="651"/>
    </row>
    <row r="5708" spans="12:19" ht="15.75" customHeight="1" x14ac:dyDescent="0.35">
      <c r="L5708" s="2"/>
      <c r="M5708" s="2"/>
      <c r="N5708" s="650"/>
      <c r="O5708" s="650"/>
      <c r="P5708" s="651"/>
      <c r="Q5708" s="651"/>
      <c r="R5708" s="651"/>
      <c r="S5708" s="651"/>
    </row>
    <row r="5709" spans="12:19" ht="15.75" customHeight="1" x14ac:dyDescent="0.35">
      <c r="L5709" s="2"/>
      <c r="M5709" s="2"/>
      <c r="N5709" s="650"/>
      <c r="O5709" s="650"/>
      <c r="P5709" s="651"/>
      <c r="Q5709" s="651"/>
      <c r="R5709" s="651"/>
      <c r="S5709" s="651"/>
    </row>
    <row r="5710" spans="12:19" ht="15.75" customHeight="1" x14ac:dyDescent="0.35">
      <c r="L5710" s="2"/>
      <c r="M5710" s="2"/>
      <c r="N5710" s="650"/>
      <c r="O5710" s="650"/>
      <c r="P5710" s="651"/>
      <c r="Q5710" s="651"/>
      <c r="R5710" s="651"/>
      <c r="S5710" s="651"/>
    </row>
    <row r="5711" spans="12:19" ht="15.75" customHeight="1" x14ac:dyDescent="0.35">
      <c r="L5711" s="2"/>
      <c r="M5711" s="2"/>
      <c r="N5711" s="650"/>
      <c r="O5711" s="650"/>
      <c r="P5711" s="651"/>
      <c r="Q5711" s="651"/>
      <c r="R5711" s="651"/>
      <c r="S5711" s="651"/>
    </row>
    <row r="5712" spans="12:19" ht="15.75" customHeight="1" x14ac:dyDescent="0.35">
      <c r="L5712" s="2"/>
      <c r="M5712" s="2"/>
      <c r="N5712" s="650"/>
      <c r="O5712" s="650"/>
      <c r="P5712" s="651"/>
      <c r="Q5712" s="651"/>
      <c r="R5712" s="651"/>
      <c r="S5712" s="651"/>
    </row>
    <row r="5713" spans="12:19" ht="15.75" customHeight="1" x14ac:dyDescent="0.35">
      <c r="L5713" s="2"/>
      <c r="M5713" s="2"/>
      <c r="N5713" s="650"/>
      <c r="O5713" s="650"/>
      <c r="P5713" s="651"/>
      <c r="Q5713" s="651"/>
      <c r="R5713" s="651"/>
      <c r="S5713" s="651"/>
    </row>
    <row r="5714" spans="12:19" ht="15.75" customHeight="1" x14ac:dyDescent="0.35">
      <c r="L5714" s="2"/>
      <c r="M5714" s="2"/>
      <c r="N5714" s="650"/>
      <c r="O5714" s="650"/>
      <c r="P5714" s="651"/>
      <c r="Q5714" s="651"/>
      <c r="R5714" s="651"/>
      <c r="S5714" s="651"/>
    </row>
    <row r="5715" spans="12:19" ht="15.75" customHeight="1" x14ac:dyDescent="0.35">
      <c r="L5715" s="2"/>
      <c r="M5715" s="2"/>
      <c r="N5715" s="650"/>
      <c r="O5715" s="650"/>
      <c r="P5715" s="651"/>
      <c r="Q5715" s="651"/>
      <c r="R5715" s="651"/>
      <c r="S5715" s="651"/>
    </row>
    <row r="5716" spans="12:19" ht="15.75" customHeight="1" x14ac:dyDescent="0.35">
      <c r="L5716" s="2"/>
      <c r="M5716" s="2"/>
      <c r="N5716" s="650"/>
      <c r="O5716" s="650"/>
      <c r="P5716" s="651"/>
      <c r="Q5716" s="651"/>
      <c r="R5716" s="651"/>
      <c r="S5716" s="651"/>
    </row>
    <row r="5717" spans="12:19" ht="15.75" customHeight="1" x14ac:dyDescent="0.35">
      <c r="L5717" s="2"/>
      <c r="M5717" s="2"/>
      <c r="N5717" s="650"/>
      <c r="O5717" s="650"/>
      <c r="P5717" s="651"/>
      <c r="Q5717" s="651"/>
      <c r="R5717" s="651"/>
      <c r="S5717" s="651"/>
    </row>
    <row r="5718" spans="12:19" ht="15.75" customHeight="1" x14ac:dyDescent="0.35">
      <c r="L5718" s="2"/>
      <c r="M5718" s="2"/>
      <c r="N5718" s="650"/>
      <c r="O5718" s="650"/>
      <c r="P5718" s="651"/>
      <c r="Q5718" s="651"/>
      <c r="R5718" s="651"/>
      <c r="S5718" s="651"/>
    </row>
    <row r="5719" spans="12:19" ht="15.75" customHeight="1" x14ac:dyDescent="0.35">
      <c r="L5719" s="2"/>
      <c r="M5719" s="2"/>
      <c r="N5719" s="650"/>
      <c r="O5719" s="650"/>
      <c r="P5719" s="651"/>
      <c r="Q5719" s="651"/>
      <c r="R5719" s="651"/>
      <c r="S5719" s="651"/>
    </row>
    <row r="5720" spans="12:19" ht="15.75" customHeight="1" x14ac:dyDescent="0.35">
      <c r="L5720" s="2"/>
      <c r="M5720" s="2"/>
      <c r="N5720" s="650"/>
      <c r="O5720" s="650"/>
      <c r="P5720" s="651"/>
      <c r="Q5720" s="651"/>
      <c r="R5720" s="651"/>
      <c r="S5720" s="651"/>
    </row>
    <row r="5721" spans="12:19" ht="15.75" customHeight="1" x14ac:dyDescent="0.35">
      <c r="L5721" s="2"/>
      <c r="M5721" s="2"/>
      <c r="N5721" s="650"/>
      <c r="O5721" s="650"/>
      <c r="P5721" s="651"/>
      <c r="Q5721" s="651"/>
      <c r="R5721" s="651"/>
      <c r="S5721" s="651"/>
    </row>
    <row r="5722" spans="12:19" ht="15.75" customHeight="1" x14ac:dyDescent="0.35">
      <c r="L5722" s="2"/>
      <c r="M5722" s="2"/>
      <c r="N5722" s="650"/>
      <c r="O5722" s="650"/>
      <c r="P5722" s="651"/>
      <c r="Q5722" s="651"/>
      <c r="R5722" s="651"/>
      <c r="S5722" s="651"/>
    </row>
    <row r="5723" spans="12:19" ht="15.75" customHeight="1" x14ac:dyDescent="0.35">
      <c r="L5723" s="2"/>
      <c r="M5723" s="2"/>
      <c r="N5723" s="650"/>
      <c r="O5723" s="650"/>
      <c r="P5723" s="651"/>
      <c r="Q5723" s="651"/>
      <c r="R5723" s="651"/>
      <c r="S5723" s="651"/>
    </row>
    <row r="5724" spans="12:19" ht="15.75" customHeight="1" x14ac:dyDescent="0.35">
      <c r="L5724" s="2"/>
      <c r="M5724" s="2"/>
      <c r="N5724" s="650"/>
      <c r="O5724" s="650"/>
      <c r="P5724" s="651"/>
      <c r="Q5724" s="651"/>
      <c r="R5724" s="651"/>
      <c r="S5724" s="651"/>
    </row>
    <row r="5725" spans="12:19" ht="15.75" customHeight="1" x14ac:dyDescent="0.35">
      <c r="L5725" s="2"/>
      <c r="M5725" s="2"/>
      <c r="N5725" s="650"/>
      <c r="O5725" s="650"/>
      <c r="P5725" s="651"/>
      <c r="Q5725" s="651"/>
      <c r="R5725" s="651"/>
      <c r="S5725" s="651"/>
    </row>
    <row r="5726" spans="12:19" ht="15.75" customHeight="1" x14ac:dyDescent="0.35">
      <c r="L5726" s="2"/>
      <c r="M5726" s="2"/>
      <c r="N5726" s="650"/>
      <c r="O5726" s="650"/>
      <c r="P5726" s="651"/>
      <c r="Q5726" s="651"/>
      <c r="R5726" s="651"/>
      <c r="S5726" s="651"/>
    </row>
    <row r="5727" spans="12:19" ht="15.75" customHeight="1" x14ac:dyDescent="0.35">
      <c r="L5727" s="2"/>
      <c r="M5727" s="2"/>
      <c r="N5727" s="650"/>
      <c r="O5727" s="650"/>
      <c r="P5727" s="651"/>
      <c r="Q5727" s="651"/>
      <c r="R5727" s="651"/>
      <c r="S5727" s="651"/>
    </row>
    <row r="5728" spans="12:19" ht="15.75" customHeight="1" x14ac:dyDescent="0.35">
      <c r="L5728" s="2"/>
      <c r="M5728" s="2"/>
      <c r="N5728" s="650"/>
      <c r="O5728" s="650"/>
      <c r="P5728" s="651"/>
      <c r="Q5728" s="651"/>
      <c r="R5728" s="651"/>
      <c r="S5728" s="651"/>
    </row>
    <row r="5729" spans="12:19" ht="15.75" customHeight="1" x14ac:dyDescent="0.35">
      <c r="L5729" s="2"/>
      <c r="M5729" s="2"/>
      <c r="N5729" s="650"/>
      <c r="O5729" s="650"/>
      <c r="P5729" s="651"/>
      <c r="Q5729" s="651"/>
      <c r="R5729" s="651"/>
      <c r="S5729" s="651"/>
    </row>
    <row r="5730" spans="12:19" ht="15.75" customHeight="1" x14ac:dyDescent="0.35">
      <c r="L5730" s="2"/>
      <c r="M5730" s="2"/>
      <c r="N5730" s="650"/>
      <c r="O5730" s="650"/>
      <c r="P5730" s="651"/>
      <c r="Q5730" s="651"/>
      <c r="R5730" s="651"/>
      <c r="S5730" s="651"/>
    </row>
    <row r="5731" spans="12:19" ht="15.75" customHeight="1" x14ac:dyDescent="0.35">
      <c r="L5731" s="2"/>
      <c r="M5731" s="2"/>
      <c r="N5731" s="650"/>
      <c r="O5731" s="650"/>
      <c r="P5731" s="651"/>
      <c r="Q5731" s="651"/>
      <c r="R5731" s="651"/>
      <c r="S5731" s="651"/>
    </row>
    <row r="5732" spans="12:19" ht="15.75" customHeight="1" x14ac:dyDescent="0.35">
      <c r="L5732" s="2"/>
      <c r="M5732" s="2"/>
      <c r="N5732" s="650"/>
      <c r="O5732" s="650"/>
      <c r="P5732" s="651"/>
      <c r="Q5732" s="651"/>
      <c r="R5732" s="651"/>
      <c r="S5732" s="651"/>
    </row>
    <row r="5733" spans="12:19" ht="15.75" customHeight="1" x14ac:dyDescent="0.35">
      <c r="L5733" s="2"/>
      <c r="M5733" s="2"/>
      <c r="N5733" s="650"/>
      <c r="O5733" s="650"/>
      <c r="P5733" s="651"/>
      <c r="Q5733" s="651"/>
      <c r="R5733" s="651"/>
      <c r="S5733" s="651"/>
    </row>
    <row r="5734" spans="12:19" ht="15.75" customHeight="1" x14ac:dyDescent="0.35">
      <c r="L5734" s="2"/>
      <c r="M5734" s="2"/>
      <c r="N5734" s="650"/>
      <c r="O5734" s="650"/>
      <c r="P5734" s="651"/>
      <c r="Q5734" s="651"/>
      <c r="R5734" s="651"/>
      <c r="S5734" s="651"/>
    </row>
    <row r="5735" spans="12:19" ht="15.75" customHeight="1" x14ac:dyDescent="0.35">
      <c r="L5735" s="2"/>
      <c r="M5735" s="2"/>
      <c r="N5735" s="650"/>
      <c r="O5735" s="650"/>
      <c r="P5735" s="651"/>
      <c r="Q5735" s="651"/>
      <c r="R5735" s="651"/>
      <c r="S5735" s="651"/>
    </row>
    <row r="5736" spans="12:19" ht="15.75" customHeight="1" x14ac:dyDescent="0.35">
      <c r="L5736" s="2"/>
      <c r="M5736" s="2"/>
      <c r="N5736" s="650"/>
      <c r="O5736" s="650"/>
      <c r="P5736" s="651"/>
      <c r="Q5736" s="651"/>
      <c r="R5736" s="651"/>
      <c r="S5736" s="651"/>
    </row>
    <row r="5737" spans="12:19" ht="15.75" customHeight="1" x14ac:dyDescent="0.35">
      <c r="L5737" s="2"/>
      <c r="M5737" s="2"/>
      <c r="N5737" s="650"/>
      <c r="O5737" s="650"/>
      <c r="P5737" s="651"/>
      <c r="Q5737" s="651"/>
      <c r="R5737" s="651"/>
      <c r="S5737" s="651"/>
    </row>
    <row r="5738" spans="12:19" ht="15.75" customHeight="1" x14ac:dyDescent="0.35">
      <c r="L5738" s="2"/>
      <c r="M5738" s="2"/>
      <c r="N5738" s="650"/>
      <c r="O5738" s="650"/>
      <c r="P5738" s="651"/>
      <c r="Q5738" s="651"/>
      <c r="R5738" s="651"/>
      <c r="S5738" s="651"/>
    </row>
    <row r="5739" spans="12:19" ht="15.75" customHeight="1" x14ac:dyDescent="0.35">
      <c r="L5739" s="2"/>
      <c r="M5739" s="2"/>
      <c r="N5739" s="650"/>
      <c r="O5739" s="650"/>
      <c r="P5739" s="651"/>
      <c r="Q5739" s="651"/>
      <c r="R5739" s="651"/>
      <c r="S5739" s="651"/>
    </row>
    <row r="5740" spans="12:19" ht="15.75" customHeight="1" x14ac:dyDescent="0.35">
      <c r="L5740" s="2"/>
      <c r="M5740" s="2"/>
      <c r="N5740" s="650"/>
      <c r="O5740" s="650"/>
      <c r="P5740" s="651"/>
      <c r="Q5740" s="651"/>
      <c r="R5740" s="651"/>
      <c r="S5740" s="651"/>
    </row>
    <row r="5741" spans="12:19" ht="15.75" customHeight="1" x14ac:dyDescent="0.35">
      <c r="L5741" s="2"/>
      <c r="M5741" s="2"/>
      <c r="N5741" s="650"/>
      <c r="O5741" s="650"/>
      <c r="P5741" s="651"/>
      <c r="Q5741" s="651"/>
      <c r="R5741" s="651"/>
      <c r="S5741" s="651"/>
    </row>
    <row r="5742" spans="12:19" ht="15.75" customHeight="1" x14ac:dyDescent="0.35">
      <c r="L5742" s="2"/>
      <c r="M5742" s="2"/>
      <c r="N5742" s="650"/>
      <c r="O5742" s="650"/>
      <c r="P5742" s="651"/>
      <c r="Q5742" s="651"/>
      <c r="R5742" s="651"/>
      <c r="S5742" s="651"/>
    </row>
    <row r="5743" spans="12:19" ht="15.75" customHeight="1" x14ac:dyDescent="0.35">
      <c r="L5743" s="2"/>
      <c r="M5743" s="2"/>
      <c r="N5743" s="650"/>
      <c r="O5743" s="650"/>
      <c r="P5743" s="651"/>
      <c r="Q5743" s="651"/>
      <c r="R5743" s="651"/>
      <c r="S5743" s="651"/>
    </row>
    <row r="5744" spans="12:19" ht="15.75" customHeight="1" x14ac:dyDescent="0.35">
      <c r="L5744" s="2"/>
      <c r="M5744" s="2"/>
      <c r="N5744" s="650"/>
      <c r="O5744" s="650"/>
      <c r="P5744" s="651"/>
      <c r="Q5744" s="651"/>
      <c r="R5744" s="651"/>
      <c r="S5744" s="651"/>
    </row>
    <row r="5745" spans="12:19" ht="15.75" customHeight="1" x14ac:dyDescent="0.35">
      <c r="L5745" s="2"/>
      <c r="M5745" s="2"/>
      <c r="N5745" s="650"/>
      <c r="O5745" s="650"/>
      <c r="P5745" s="651"/>
      <c r="Q5745" s="651"/>
      <c r="R5745" s="651"/>
      <c r="S5745" s="651"/>
    </row>
    <row r="5746" spans="12:19" ht="15.75" customHeight="1" x14ac:dyDescent="0.35">
      <c r="L5746" s="2"/>
      <c r="M5746" s="2"/>
      <c r="N5746" s="650"/>
      <c r="O5746" s="650"/>
      <c r="P5746" s="651"/>
      <c r="Q5746" s="651"/>
      <c r="R5746" s="651"/>
      <c r="S5746" s="651"/>
    </row>
    <row r="5747" spans="12:19" ht="15.75" customHeight="1" x14ac:dyDescent="0.35">
      <c r="L5747" s="2"/>
      <c r="M5747" s="2"/>
      <c r="N5747" s="650"/>
      <c r="O5747" s="650"/>
      <c r="P5747" s="651"/>
      <c r="Q5747" s="651"/>
      <c r="R5747" s="651"/>
      <c r="S5747" s="651"/>
    </row>
    <row r="5748" spans="12:19" ht="15.75" customHeight="1" x14ac:dyDescent="0.35">
      <c r="L5748" s="2"/>
      <c r="M5748" s="2"/>
      <c r="N5748" s="650"/>
      <c r="O5748" s="650"/>
      <c r="P5748" s="651"/>
      <c r="Q5748" s="651"/>
      <c r="R5748" s="651"/>
      <c r="S5748" s="651"/>
    </row>
    <row r="5749" spans="12:19" ht="15.75" customHeight="1" x14ac:dyDescent="0.35">
      <c r="L5749" s="2"/>
      <c r="M5749" s="2"/>
      <c r="N5749" s="650"/>
      <c r="O5749" s="650"/>
      <c r="P5749" s="651"/>
      <c r="Q5749" s="651"/>
      <c r="R5749" s="651"/>
      <c r="S5749" s="651"/>
    </row>
    <row r="5750" spans="12:19" ht="15.75" customHeight="1" x14ac:dyDescent="0.35">
      <c r="L5750" s="2"/>
      <c r="M5750" s="2"/>
      <c r="N5750" s="650"/>
      <c r="O5750" s="650"/>
      <c r="P5750" s="651"/>
      <c r="Q5750" s="651"/>
      <c r="R5750" s="651"/>
      <c r="S5750" s="651"/>
    </row>
    <row r="5751" spans="12:19" ht="15.75" customHeight="1" x14ac:dyDescent="0.35">
      <c r="L5751" s="2"/>
      <c r="M5751" s="2"/>
      <c r="N5751" s="650"/>
      <c r="O5751" s="650"/>
      <c r="P5751" s="651"/>
      <c r="Q5751" s="651"/>
      <c r="R5751" s="651"/>
      <c r="S5751" s="651"/>
    </row>
    <row r="5752" spans="12:19" ht="15.75" customHeight="1" x14ac:dyDescent="0.35">
      <c r="L5752" s="2"/>
      <c r="M5752" s="2"/>
      <c r="N5752" s="650"/>
      <c r="O5752" s="650"/>
      <c r="P5752" s="651"/>
      <c r="Q5752" s="651"/>
      <c r="R5752" s="651"/>
      <c r="S5752" s="651"/>
    </row>
    <row r="5753" spans="12:19" ht="15.75" customHeight="1" x14ac:dyDescent="0.35">
      <c r="L5753" s="2"/>
      <c r="M5753" s="2"/>
      <c r="N5753" s="650"/>
      <c r="O5753" s="650"/>
      <c r="P5753" s="651"/>
      <c r="Q5753" s="651"/>
      <c r="R5753" s="651"/>
      <c r="S5753" s="651"/>
    </row>
    <row r="5754" spans="12:19" ht="15.75" customHeight="1" x14ac:dyDescent="0.35">
      <c r="L5754" s="2"/>
      <c r="M5754" s="2"/>
      <c r="N5754" s="650"/>
      <c r="O5754" s="650"/>
      <c r="P5754" s="651"/>
      <c r="Q5754" s="651"/>
      <c r="R5754" s="651"/>
      <c r="S5754" s="651"/>
    </row>
    <row r="5755" spans="12:19" ht="15.75" customHeight="1" x14ac:dyDescent="0.35">
      <c r="L5755" s="2"/>
      <c r="M5755" s="2"/>
      <c r="N5755" s="650"/>
      <c r="O5755" s="650"/>
      <c r="P5755" s="651"/>
      <c r="Q5755" s="651"/>
      <c r="R5755" s="651"/>
      <c r="S5755" s="651"/>
    </row>
    <row r="5756" spans="12:19" ht="15.75" customHeight="1" x14ac:dyDescent="0.35">
      <c r="L5756" s="2"/>
      <c r="M5756" s="2"/>
      <c r="N5756" s="650"/>
      <c r="O5756" s="650"/>
      <c r="P5756" s="651"/>
      <c r="Q5756" s="651"/>
      <c r="R5756" s="651"/>
      <c r="S5756" s="651"/>
    </row>
    <row r="5757" spans="12:19" ht="15.75" customHeight="1" x14ac:dyDescent="0.35">
      <c r="L5757" s="2"/>
      <c r="M5757" s="2"/>
      <c r="N5757" s="650"/>
      <c r="O5757" s="650"/>
      <c r="P5757" s="651"/>
      <c r="Q5757" s="651"/>
      <c r="R5757" s="651"/>
      <c r="S5757" s="651"/>
    </row>
    <row r="5758" spans="12:19" ht="15.75" customHeight="1" x14ac:dyDescent="0.35">
      <c r="L5758" s="2"/>
      <c r="M5758" s="2"/>
      <c r="N5758" s="650"/>
      <c r="O5758" s="650"/>
      <c r="P5758" s="651"/>
      <c r="Q5758" s="651"/>
      <c r="R5758" s="651"/>
      <c r="S5758" s="651"/>
    </row>
    <row r="5759" spans="12:19" ht="15.75" customHeight="1" x14ac:dyDescent="0.35">
      <c r="L5759" s="2"/>
      <c r="M5759" s="2"/>
      <c r="N5759" s="650"/>
      <c r="O5759" s="650"/>
      <c r="P5759" s="651"/>
      <c r="Q5759" s="651"/>
      <c r="R5759" s="651"/>
      <c r="S5759" s="651"/>
    </row>
    <row r="5760" spans="12:19" ht="15.75" customHeight="1" x14ac:dyDescent="0.35">
      <c r="L5760" s="2"/>
      <c r="M5760" s="2"/>
      <c r="N5760" s="650"/>
      <c r="O5760" s="650"/>
      <c r="P5760" s="651"/>
      <c r="Q5760" s="651"/>
      <c r="R5760" s="651"/>
      <c r="S5760" s="651"/>
    </row>
    <row r="5761" spans="12:19" ht="15.75" customHeight="1" x14ac:dyDescent="0.35">
      <c r="L5761" s="2"/>
      <c r="M5761" s="2"/>
      <c r="N5761" s="650"/>
      <c r="O5761" s="650"/>
      <c r="P5761" s="651"/>
      <c r="Q5761" s="651"/>
      <c r="R5761" s="651"/>
      <c r="S5761" s="651"/>
    </row>
    <row r="5762" spans="12:19" ht="15.75" customHeight="1" x14ac:dyDescent="0.35">
      <c r="L5762" s="2"/>
      <c r="M5762" s="2"/>
      <c r="N5762" s="650"/>
      <c r="O5762" s="650"/>
      <c r="P5762" s="651"/>
      <c r="Q5762" s="651"/>
      <c r="R5762" s="651"/>
      <c r="S5762" s="651"/>
    </row>
    <row r="5763" spans="12:19" ht="15.75" customHeight="1" x14ac:dyDescent="0.35">
      <c r="L5763" s="2"/>
      <c r="M5763" s="2"/>
      <c r="N5763" s="650"/>
      <c r="O5763" s="650"/>
      <c r="P5763" s="651"/>
      <c r="Q5763" s="651"/>
      <c r="R5763" s="651"/>
      <c r="S5763" s="651"/>
    </row>
    <row r="5764" spans="12:19" ht="15.75" customHeight="1" x14ac:dyDescent="0.35">
      <c r="L5764" s="2"/>
      <c r="M5764" s="2"/>
      <c r="N5764" s="650"/>
      <c r="O5764" s="650"/>
      <c r="P5764" s="651"/>
      <c r="Q5764" s="651"/>
      <c r="R5764" s="651"/>
      <c r="S5764" s="651"/>
    </row>
    <row r="5765" spans="12:19" ht="15.75" customHeight="1" x14ac:dyDescent="0.35">
      <c r="L5765" s="2"/>
      <c r="M5765" s="2"/>
      <c r="N5765" s="650"/>
      <c r="O5765" s="650"/>
      <c r="P5765" s="651"/>
      <c r="Q5765" s="651"/>
      <c r="R5765" s="651"/>
      <c r="S5765" s="651"/>
    </row>
    <row r="5766" spans="12:19" ht="15.75" customHeight="1" x14ac:dyDescent="0.35">
      <c r="L5766" s="2"/>
      <c r="M5766" s="2"/>
      <c r="N5766" s="650"/>
      <c r="O5766" s="650"/>
      <c r="P5766" s="651"/>
      <c r="Q5766" s="651"/>
      <c r="R5766" s="651"/>
      <c r="S5766" s="651"/>
    </row>
    <row r="5767" spans="12:19" ht="15.75" customHeight="1" x14ac:dyDescent="0.35">
      <c r="L5767" s="2"/>
      <c r="M5767" s="2"/>
      <c r="N5767" s="650"/>
      <c r="O5767" s="650"/>
      <c r="P5767" s="651"/>
      <c r="Q5767" s="651"/>
      <c r="R5767" s="651"/>
      <c r="S5767" s="651"/>
    </row>
    <row r="5768" spans="12:19" ht="15.75" customHeight="1" x14ac:dyDescent="0.35">
      <c r="L5768" s="2"/>
      <c r="M5768" s="2"/>
      <c r="N5768" s="650"/>
      <c r="O5768" s="650"/>
      <c r="P5768" s="651"/>
      <c r="Q5768" s="651"/>
      <c r="R5768" s="651"/>
      <c r="S5768" s="651"/>
    </row>
    <row r="5769" spans="12:19" ht="15.75" customHeight="1" x14ac:dyDescent="0.35">
      <c r="L5769" s="2"/>
      <c r="M5769" s="2"/>
      <c r="N5769" s="650"/>
      <c r="O5769" s="650"/>
      <c r="P5769" s="651"/>
      <c r="Q5769" s="651"/>
      <c r="R5769" s="651"/>
      <c r="S5769" s="651"/>
    </row>
    <row r="5770" spans="12:19" ht="15.75" customHeight="1" x14ac:dyDescent="0.35">
      <c r="L5770" s="2"/>
      <c r="M5770" s="2"/>
      <c r="N5770" s="650"/>
      <c r="O5770" s="650"/>
      <c r="P5770" s="651"/>
      <c r="Q5770" s="651"/>
      <c r="R5770" s="651"/>
      <c r="S5770" s="651"/>
    </row>
    <row r="5771" spans="12:19" ht="15.75" customHeight="1" x14ac:dyDescent="0.35">
      <c r="L5771" s="2"/>
      <c r="M5771" s="2"/>
      <c r="N5771" s="650"/>
      <c r="O5771" s="650"/>
      <c r="P5771" s="651"/>
      <c r="Q5771" s="651"/>
      <c r="R5771" s="651"/>
      <c r="S5771" s="651"/>
    </row>
    <row r="5772" spans="12:19" ht="15.75" customHeight="1" x14ac:dyDescent="0.35">
      <c r="L5772" s="2"/>
      <c r="M5772" s="2"/>
      <c r="N5772" s="650"/>
      <c r="O5772" s="650"/>
      <c r="P5772" s="651"/>
      <c r="Q5772" s="651"/>
      <c r="R5772" s="651"/>
      <c r="S5772" s="651"/>
    </row>
    <row r="5773" spans="12:19" ht="15.75" customHeight="1" x14ac:dyDescent="0.35">
      <c r="L5773" s="2"/>
      <c r="M5773" s="2"/>
      <c r="N5773" s="650"/>
      <c r="O5773" s="650"/>
      <c r="P5773" s="651"/>
      <c r="Q5773" s="651"/>
      <c r="R5773" s="651"/>
      <c r="S5773" s="651"/>
    </row>
    <row r="5774" spans="12:19" ht="15.75" customHeight="1" x14ac:dyDescent="0.35">
      <c r="L5774" s="2"/>
      <c r="M5774" s="2"/>
      <c r="N5774" s="650"/>
      <c r="O5774" s="650"/>
      <c r="P5774" s="651"/>
      <c r="Q5774" s="651"/>
      <c r="R5774" s="651"/>
      <c r="S5774" s="651"/>
    </row>
    <row r="5775" spans="12:19" ht="15.75" customHeight="1" x14ac:dyDescent="0.35">
      <c r="L5775" s="2"/>
      <c r="M5775" s="2"/>
      <c r="N5775" s="650"/>
      <c r="O5775" s="650"/>
      <c r="P5775" s="651"/>
      <c r="Q5775" s="651"/>
      <c r="R5775" s="651"/>
      <c r="S5775" s="651"/>
    </row>
    <row r="5776" spans="12:19" ht="15.75" customHeight="1" x14ac:dyDescent="0.35">
      <c r="L5776" s="2"/>
      <c r="M5776" s="2"/>
      <c r="N5776" s="650"/>
      <c r="O5776" s="650"/>
      <c r="P5776" s="651"/>
      <c r="Q5776" s="651"/>
      <c r="R5776" s="651"/>
      <c r="S5776" s="651"/>
    </row>
    <row r="5777" spans="12:19" ht="15.75" customHeight="1" x14ac:dyDescent="0.35">
      <c r="L5777" s="2"/>
      <c r="M5777" s="2"/>
      <c r="N5777" s="650"/>
      <c r="O5777" s="650"/>
      <c r="P5777" s="651"/>
      <c r="Q5777" s="651"/>
      <c r="R5777" s="651"/>
      <c r="S5777" s="651"/>
    </row>
    <row r="5778" spans="12:19" ht="15.75" customHeight="1" x14ac:dyDescent="0.35">
      <c r="L5778" s="2"/>
      <c r="M5778" s="2"/>
      <c r="N5778" s="650"/>
      <c r="O5778" s="650"/>
      <c r="P5778" s="651"/>
      <c r="Q5778" s="651"/>
      <c r="R5778" s="651"/>
      <c r="S5778" s="651"/>
    </row>
    <row r="5779" spans="12:19" ht="15.75" customHeight="1" x14ac:dyDescent="0.35">
      <c r="L5779" s="2"/>
      <c r="M5779" s="2"/>
      <c r="N5779" s="650"/>
      <c r="O5779" s="650"/>
      <c r="P5779" s="651"/>
      <c r="Q5779" s="651"/>
      <c r="R5779" s="651"/>
      <c r="S5779" s="651"/>
    </row>
    <row r="5780" spans="12:19" ht="15.75" customHeight="1" x14ac:dyDescent="0.35">
      <c r="L5780" s="2"/>
      <c r="M5780" s="2"/>
      <c r="N5780" s="650"/>
      <c r="O5780" s="650"/>
      <c r="P5780" s="651"/>
      <c r="Q5780" s="651"/>
      <c r="R5780" s="651"/>
      <c r="S5780" s="651"/>
    </row>
    <row r="5781" spans="12:19" ht="15.75" customHeight="1" x14ac:dyDescent="0.35">
      <c r="L5781" s="2"/>
      <c r="M5781" s="2"/>
      <c r="N5781" s="650"/>
      <c r="O5781" s="650"/>
      <c r="P5781" s="651"/>
      <c r="Q5781" s="651"/>
      <c r="R5781" s="651"/>
      <c r="S5781" s="651"/>
    </row>
    <row r="5782" spans="12:19" ht="15.75" customHeight="1" x14ac:dyDescent="0.35">
      <c r="L5782" s="2"/>
      <c r="M5782" s="2"/>
      <c r="N5782" s="650"/>
      <c r="O5782" s="650"/>
      <c r="P5782" s="651"/>
      <c r="Q5782" s="651"/>
      <c r="R5782" s="651"/>
      <c r="S5782" s="651"/>
    </row>
    <row r="5783" spans="12:19" ht="15.75" customHeight="1" x14ac:dyDescent="0.35">
      <c r="L5783" s="2"/>
      <c r="M5783" s="2"/>
      <c r="N5783" s="650"/>
      <c r="O5783" s="650"/>
      <c r="P5783" s="651"/>
      <c r="Q5783" s="651"/>
      <c r="R5783" s="651"/>
      <c r="S5783" s="651"/>
    </row>
    <row r="5784" spans="12:19" ht="15.75" customHeight="1" x14ac:dyDescent="0.35">
      <c r="L5784" s="2"/>
      <c r="M5784" s="2"/>
      <c r="N5784" s="650"/>
      <c r="O5784" s="650"/>
      <c r="P5784" s="651"/>
      <c r="Q5784" s="651"/>
      <c r="R5784" s="651"/>
      <c r="S5784" s="651"/>
    </row>
    <row r="5785" spans="12:19" ht="15.75" customHeight="1" x14ac:dyDescent="0.35">
      <c r="L5785" s="2"/>
      <c r="M5785" s="2"/>
      <c r="N5785" s="650"/>
      <c r="O5785" s="650"/>
      <c r="P5785" s="651"/>
      <c r="Q5785" s="651"/>
      <c r="R5785" s="651"/>
      <c r="S5785" s="651"/>
    </row>
    <row r="5786" spans="12:19" ht="15.75" customHeight="1" x14ac:dyDescent="0.35">
      <c r="L5786" s="2"/>
      <c r="M5786" s="2"/>
      <c r="N5786" s="650"/>
      <c r="O5786" s="650"/>
      <c r="P5786" s="651"/>
      <c r="Q5786" s="651"/>
      <c r="R5786" s="651"/>
      <c r="S5786" s="651"/>
    </row>
    <row r="5787" spans="12:19" ht="15.75" customHeight="1" x14ac:dyDescent="0.35">
      <c r="L5787" s="2"/>
      <c r="M5787" s="2"/>
      <c r="N5787" s="650"/>
      <c r="O5787" s="650"/>
      <c r="P5787" s="651"/>
      <c r="Q5787" s="651"/>
      <c r="R5787" s="651"/>
      <c r="S5787" s="651"/>
    </row>
    <row r="5788" spans="12:19" ht="15.75" customHeight="1" x14ac:dyDescent="0.35">
      <c r="L5788" s="2"/>
      <c r="M5788" s="2"/>
      <c r="N5788" s="650"/>
      <c r="O5788" s="650"/>
      <c r="P5788" s="651"/>
      <c r="Q5788" s="651"/>
      <c r="R5788" s="651"/>
      <c r="S5788" s="651"/>
    </row>
    <row r="5789" spans="12:19" ht="15.75" customHeight="1" x14ac:dyDescent="0.35">
      <c r="L5789" s="2"/>
      <c r="M5789" s="2"/>
      <c r="N5789" s="650"/>
      <c r="O5789" s="650"/>
      <c r="P5789" s="651"/>
      <c r="Q5789" s="651"/>
      <c r="R5789" s="651"/>
      <c r="S5789" s="651"/>
    </row>
    <row r="5790" spans="12:19" ht="15.75" customHeight="1" x14ac:dyDescent="0.35">
      <c r="L5790" s="2"/>
      <c r="M5790" s="2"/>
      <c r="N5790" s="650"/>
      <c r="O5790" s="650"/>
      <c r="P5790" s="651"/>
      <c r="Q5790" s="651"/>
      <c r="R5790" s="651"/>
      <c r="S5790" s="651"/>
    </row>
    <row r="5791" spans="12:19" ht="15.75" customHeight="1" x14ac:dyDescent="0.35">
      <c r="L5791" s="2"/>
      <c r="M5791" s="2"/>
      <c r="N5791" s="650"/>
      <c r="O5791" s="650"/>
      <c r="P5791" s="651"/>
      <c r="Q5791" s="651"/>
      <c r="R5791" s="651"/>
      <c r="S5791" s="651"/>
    </row>
    <row r="5792" spans="12:19" ht="15.75" customHeight="1" x14ac:dyDescent="0.35">
      <c r="L5792" s="2"/>
      <c r="M5792" s="2"/>
      <c r="N5792" s="650"/>
      <c r="O5792" s="650"/>
      <c r="P5792" s="651"/>
      <c r="Q5792" s="651"/>
      <c r="R5792" s="651"/>
      <c r="S5792" s="651"/>
    </row>
    <row r="5793" spans="12:19" ht="15.75" customHeight="1" x14ac:dyDescent="0.35">
      <c r="L5793" s="2"/>
      <c r="M5793" s="2"/>
      <c r="N5793" s="650"/>
      <c r="O5793" s="650"/>
      <c r="P5793" s="651"/>
      <c r="Q5793" s="651"/>
      <c r="R5793" s="651"/>
      <c r="S5793" s="651"/>
    </row>
    <row r="5794" spans="12:19" ht="15.75" customHeight="1" x14ac:dyDescent="0.35">
      <c r="L5794" s="2"/>
      <c r="M5794" s="2"/>
      <c r="N5794" s="650"/>
      <c r="O5794" s="650"/>
      <c r="P5794" s="651"/>
      <c r="Q5794" s="651"/>
      <c r="R5794" s="651"/>
      <c r="S5794" s="651"/>
    </row>
    <row r="5795" spans="12:19" ht="15.75" customHeight="1" x14ac:dyDescent="0.35">
      <c r="L5795" s="2"/>
      <c r="M5795" s="2"/>
      <c r="N5795" s="650"/>
      <c r="O5795" s="650"/>
      <c r="P5795" s="651"/>
      <c r="Q5795" s="651"/>
      <c r="R5795" s="651"/>
      <c r="S5795" s="651"/>
    </row>
    <row r="5796" spans="12:19" ht="15.75" customHeight="1" x14ac:dyDescent="0.35">
      <c r="L5796" s="2"/>
      <c r="M5796" s="2"/>
      <c r="N5796" s="650"/>
      <c r="O5796" s="650"/>
      <c r="P5796" s="651"/>
      <c r="Q5796" s="651"/>
      <c r="R5796" s="651"/>
      <c r="S5796" s="651"/>
    </row>
    <row r="5797" spans="12:19" ht="15.75" customHeight="1" x14ac:dyDescent="0.35">
      <c r="L5797" s="2"/>
      <c r="M5797" s="2"/>
      <c r="N5797" s="650"/>
      <c r="O5797" s="650"/>
      <c r="P5797" s="651"/>
      <c r="Q5797" s="651"/>
      <c r="R5797" s="651"/>
      <c r="S5797" s="651"/>
    </row>
    <row r="5798" spans="12:19" ht="15.75" customHeight="1" x14ac:dyDescent="0.35">
      <c r="L5798" s="2"/>
      <c r="M5798" s="2"/>
      <c r="N5798" s="650"/>
      <c r="O5798" s="650"/>
      <c r="P5798" s="651"/>
      <c r="Q5798" s="651"/>
      <c r="R5798" s="651"/>
      <c r="S5798" s="651"/>
    </row>
    <row r="5799" spans="12:19" ht="15.75" customHeight="1" x14ac:dyDescent="0.35">
      <c r="L5799" s="2"/>
      <c r="M5799" s="2"/>
      <c r="N5799" s="650"/>
      <c r="O5799" s="650"/>
      <c r="P5799" s="651"/>
      <c r="Q5799" s="651"/>
      <c r="R5799" s="651"/>
      <c r="S5799" s="651"/>
    </row>
    <row r="5800" spans="12:19" ht="15.75" customHeight="1" x14ac:dyDescent="0.35">
      <c r="L5800" s="2"/>
      <c r="M5800" s="2"/>
      <c r="N5800" s="650"/>
      <c r="O5800" s="650"/>
      <c r="P5800" s="651"/>
      <c r="Q5800" s="651"/>
      <c r="R5800" s="651"/>
      <c r="S5800" s="651"/>
    </row>
    <row r="5801" spans="12:19" ht="15.75" customHeight="1" x14ac:dyDescent="0.35">
      <c r="L5801" s="2"/>
      <c r="M5801" s="2"/>
      <c r="N5801" s="650"/>
      <c r="O5801" s="650"/>
      <c r="P5801" s="651"/>
      <c r="Q5801" s="651"/>
      <c r="R5801" s="651"/>
      <c r="S5801" s="651"/>
    </row>
    <row r="5802" spans="12:19" ht="15.75" customHeight="1" x14ac:dyDescent="0.35">
      <c r="L5802" s="2"/>
      <c r="M5802" s="2"/>
      <c r="N5802" s="650"/>
      <c r="O5802" s="650"/>
      <c r="P5802" s="651"/>
      <c r="Q5802" s="651"/>
      <c r="R5802" s="651"/>
      <c r="S5802" s="651"/>
    </row>
    <row r="5803" spans="12:19" ht="15.75" customHeight="1" x14ac:dyDescent="0.35">
      <c r="L5803" s="2"/>
      <c r="M5803" s="2"/>
      <c r="N5803" s="650"/>
      <c r="O5803" s="650"/>
      <c r="P5803" s="651"/>
      <c r="Q5803" s="651"/>
      <c r="R5803" s="651"/>
      <c r="S5803" s="651"/>
    </row>
    <row r="5804" spans="12:19" ht="15.75" customHeight="1" x14ac:dyDescent="0.35">
      <c r="L5804" s="2"/>
      <c r="M5804" s="2"/>
      <c r="N5804" s="650"/>
      <c r="O5804" s="650"/>
      <c r="P5804" s="651"/>
      <c r="Q5804" s="651"/>
      <c r="R5804" s="651"/>
      <c r="S5804" s="651"/>
    </row>
    <row r="5805" spans="12:19" ht="15.75" customHeight="1" x14ac:dyDescent="0.35">
      <c r="L5805" s="2"/>
      <c r="M5805" s="2"/>
      <c r="N5805" s="650"/>
      <c r="O5805" s="650"/>
      <c r="P5805" s="651"/>
      <c r="Q5805" s="651"/>
      <c r="R5805" s="651"/>
      <c r="S5805" s="651"/>
    </row>
    <row r="5806" spans="12:19" ht="15.75" customHeight="1" x14ac:dyDescent="0.35">
      <c r="L5806" s="2"/>
      <c r="M5806" s="2"/>
      <c r="N5806" s="650"/>
      <c r="O5806" s="650"/>
      <c r="P5806" s="651"/>
      <c r="Q5806" s="651"/>
      <c r="R5806" s="651"/>
      <c r="S5806" s="651"/>
    </row>
    <row r="5807" spans="12:19" ht="15.75" customHeight="1" x14ac:dyDescent="0.35">
      <c r="L5807" s="2"/>
      <c r="M5807" s="2"/>
      <c r="N5807" s="650"/>
      <c r="O5807" s="650"/>
      <c r="P5807" s="651"/>
      <c r="Q5807" s="651"/>
      <c r="R5807" s="651"/>
      <c r="S5807" s="651"/>
    </row>
    <row r="5808" spans="12:19" ht="15.75" customHeight="1" x14ac:dyDescent="0.35">
      <c r="L5808" s="2"/>
      <c r="M5808" s="2"/>
      <c r="N5808" s="650"/>
      <c r="O5808" s="650"/>
      <c r="P5808" s="651"/>
      <c r="Q5808" s="651"/>
      <c r="R5808" s="651"/>
      <c r="S5808" s="651"/>
    </row>
    <row r="5809" spans="12:19" ht="15.75" customHeight="1" x14ac:dyDescent="0.35">
      <c r="L5809" s="2"/>
      <c r="M5809" s="2"/>
      <c r="N5809" s="650"/>
      <c r="O5809" s="650"/>
      <c r="P5809" s="651"/>
      <c r="Q5809" s="651"/>
      <c r="R5809" s="651"/>
      <c r="S5809" s="651"/>
    </row>
    <row r="5810" spans="12:19" ht="15.75" customHeight="1" x14ac:dyDescent="0.35">
      <c r="L5810" s="2"/>
      <c r="M5810" s="2"/>
      <c r="N5810" s="650"/>
      <c r="O5810" s="650"/>
      <c r="P5810" s="651"/>
      <c r="Q5810" s="651"/>
      <c r="R5810" s="651"/>
      <c r="S5810" s="651"/>
    </row>
    <row r="5811" spans="12:19" ht="15.75" customHeight="1" x14ac:dyDescent="0.35">
      <c r="L5811" s="2"/>
      <c r="M5811" s="2"/>
      <c r="N5811" s="650"/>
      <c r="O5811" s="650"/>
      <c r="P5811" s="651"/>
      <c r="Q5811" s="651"/>
      <c r="R5811" s="651"/>
      <c r="S5811" s="651"/>
    </row>
    <row r="5812" spans="12:19" ht="15.75" customHeight="1" x14ac:dyDescent="0.35">
      <c r="L5812" s="2"/>
      <c r="M5812" s="2"/>
      <c r="N5812" s="650"/>
      <c r="O5812" s="650"/>
      <c r="P5812" s="651"/>
      <c r="Q5812" s="651"/>
      <c r="R5812" s="651"/>
      <c r="S5812" s="651"/>
    </row>
    <row r="5813" spans="12:19" ht="15.75" customHeight="1" x14ac:dyDescent="0.35">
      <c r="L5813" s="2"/>
      <c r="M5813" s="2"/>
      <c r="N5813" s="650"/>
      <c r="O5813" s="650"/>
      <c r="P5813" s="651"/>
      <c r="Q5813" s="651"/>
      <c r="R5813" s="651"/>
      <c r="S5813" s="651"/>
    </row>
    <row r="5814" spans="12:19" ht="15.75" customHeight="1" x14ac:dyDescent="0.35">
      <c r="L5814" s="2"/>
      <c r="M5814" s="2"/>
      <c r="N5814" s="650"/>
      <c r="O5814" s="650"/>
      <c r="P5814" s="651"/>
      <c r="Q5814" s="651"/>
      <c r="R5814" s="651"/>
      <c r="S5814" s="651"/>
    </row>
    <row r="5815" spans="12:19" ht="15.75" customHeight="1" x14ac:dyDescent="0.35">
      <c r="L5815" s="2"/>
      <c r="M5815" s="2"/>
      <c r="N5815" s="650"/>
      <c r="O5815" s="650"/>
      <c r="P5815" s="651"/>
      <c r="Q5815" s="651"/>
      <c r="R5815" s="651"/>
      <c r="S5815" s="651"/>
    </row>
    <row r="5816" spans="12:19" ht="15.75" customHeight="1" x14ac:dyDescent="0.35">
      <c r="L5816" s="2"/>
      <c r="M5816" s="2"/>
      <c r="N5816" s="650"/>
      <c r="O5816" s="650"/>
      <c r="P5816" s="651"/>
      <c r="Q5816" s="651"/>
      <c r="R5816" s="651"/>
      <c r="S5816" s="651"/>
    </row>
    <row r="5817" spans="12:19" ht="15.75" customHeight="1" x14ac:dyDescent="0.35">
      <c r="L5817" s="2"/>
      <c r="M5817" s="2"/>
      <c r="N5817" s="650"/>
      <c r="O5817" s="650"/>
      <c r="P5817" s="651"/>
      <c r="Q5817" s="651"/>
      <c r="R5817" s="651"/>
      <c r="S5817" s="651"/>
    </row>
    <row r="5818" spans="12:19" ht="15.75" customHeight="1" x14ac:dyDescent="0.35">
      <c r="L5818" s="2"/>
      <c r="M5818" s="2"/>
      <c r="N5818" s="650"/>
      <c r="O5818" s="650"/>
      <c r="P5818" s="651"/>
      <c r="Q5818" s="651"/>
      <c r="R5818" s="651"/>
      <c r="S5818" s="651"/>
    </row>
    <row r="5819" spans="12:19" ht="15.75" customHeight="1" x14ac:dyDescent="0.35">
      <c r="L5819" s="2"/>
      <c r="M5819" s="2"/>
      <c r="N5819" s="650"/>
      <c r="O5819" s="650"/>
      <c r="P5819" s="651"/>
      <c r="Q5819" s="651"/>
      <c r="R5819" s="651"/>
      <c r="S5819" s="651"/>
    </row>
    <row r="5820" spans="12:19" ht="15.75" customHeight="1" x14ac:dyDescent="0.35">
      <c r="L5820" s="2"/>
      <c r="M5820" s="2"/>
      <c r="N5820" s="650"/>
      <c r="O5820" s="650"/>
      <c r="P5820" s="651"/>
      <c r="Q5820" s="651"/>
      <c r="R5820" s="651"/>
      <c r="S5820" s="651"/>
    </row>
    <row r="5821" spans="12:19" ht="15.75" customHeight="1" x14ac:dyDescent="0.35">
      <c r="L5821" s="2"/>
      <c r="M5821" s="2"/>
      <c r="N5821" s="650"/>
      <c r="O5821" s="650"/>
      <c r="P5821" s="651"/>
      <c r="Q5821" s="651"/>
      <c r="R5821" s="651"/>
      <c r="S5821" s="651"/>
    </row>
    <row r="5822" spans="12:19" ht="15.75" customHeight="1" x14ac:dyDescent="0.35">
      <c r="L5822" s="2"/>
      <c r="M5822" s="2"/>
      <c r="N5822" s="650"/>
      <c r="O5822" s="650"/>
      <c r="P5822" s="651"/>
      <c r="Q5822" s="651"/>
      <c r="R5822" s="651"/>
      <c r="S5822" s="651"/>
    </row>
    <row r="5823" spans="12:19" ht="15.75" customHeight="1" x14ac:dyDescent="0.35">
      <c r="L5823" s="2"/>
      <c r="M5823" s="2"/>
      <c r="N5823" s="650"/>
      <c r="O5823" s="650"/>
      <c r="P5823" s="651"/>
      <c r="Q5823" s="651"/>
      <c r="R5823" s="651"/>
      <c r="S5823" s="651"/>
    </row>
    <row r="5824" spans="12:19" ht="15.75" customHeight="1" x14ac:dyDescent="0.35">
      <c r="L5824" s="2"/>
      <c r="M5824" s="2"/>
      <c r="N5824" s="650"/>
      <c r="O5824" s="650"/>
      <c r="P5824" s="651"/>
      <c r="Q5824" s="651"/>
      <c r="R5824" s="651"/>
      <c r="S5824" s="651"/>
    </row>
    <row r="5825" spans="12:19" ht="15.75" customHeight="1" x14ac:dyDescent="0.35">
      <c r="L5825" s="2"/>
      <c r="M5825" s="2"/>
      <c r="N5825" s="650"/>
      <c r="O5825" s="650"/>
      <c r="P5825" s="651"/>
      <c r="Q5825" s="651"/>
      <c r="R5825" s="651"/>
      <c r="S5825" s="651"/>
    </row>
    <row r="5826" spans="12:19" ht="15.75" customHeight="1" x14ac:dyDescent="0.35">
      <c r="L5826" s="2"/>
      <c r="M5826" s="2"/>
      <c r="N5826" s="650"/>
      <c r="O5826" s="650"/>
      <c r="P5826" s="651"/>
      <c r="Q5826" s="651"/>
      <c r="R5826" s="651"/>
      <c r="S5826" s="651"/>
    </row>
    <row r="5827" spans="12:19" ht="15.75" customHeight="1" x14ac:dyDescent="0.35">
      <c r="L5827" s="2"/>
      <c r="M5827" s="2"/>
      <c r="N5827" s="650"/>
      <c r="O5827" s="650"/>
      <c r="P5827" s="651"/>
      <c r="Q5827" s="651"/>
      <c r="R5827" s="651"/>
      <c r="S5827" s="651"/>
    </row>
    <row r="5828" spans="12:19" ht="15.75" customHeight="1" x14ac:dyDescent="0.35">
      <c r="L5828" s="2"/>
      <c r="M5828" s="2"/>
      <c r="N5828" s="650"/>
      <c r="O5828" s="650"/>
      <c r="P5828" s="651"/>
      <c r="Q5828" s="651"/>
      <c r="R5828" s="651"/>
      <c r="S5828" s="651"/>
    </row>
    <row r="5829" spans="12:19" ht="15.75" customHeight="1" x14ac:dyDescent="0.35">
      <c r="L5829" s="2"/>
      <c r="M5829" s="2"/>
      <c r="N5829" s="650"/>
      <c r="O5829" s="650"/>
      <c r="P5829" s="651"/>
      <c r="Q5829" s="651"/>
      <c r="R5829" s="651"/>
      <c r="S5829" s="651"/>
    </row>
    <row r="5830" spans="12:19" ht="15.75" customHeight="1" x14ac:dyDescent="0.35">
      <c r="L5830" s="2"/>
      <c r="M5830" s="2"/>
      <c r="N5830" s="650"/>
      <c r="O5830" s="650"/>
      <c r="P5830" s="651"/>
      <c r="Q5830" s="651"/>
      <c r="R5830" s="651"/>
      <c r="S5830" s="651"/>
    </row>
    <row r="5831" spans="12:19" ht="15.75" customHeight="1" x14ac:dyDescent="0.35">
      <c r="L5831" s="2"/>
      <c r="M5831" s="2"/>
      <c r="N5831" s="650"/>
      <c r="O5831" s="650"/>
      <c r="P5831" s="651"/>
      <c r="Q5831" s="651"/>
      <c r="R5831" s="651"/>
      <c r="S5831" s="651"/>
    </row>
    <row r="5832" spans="12:19" ht="15.75" customHeight="1" x14ac:dyDescent="0.35">
      <c r="L5832" s="2"/>
      <c r="M5832" s="2"/>
      <c r="N5832" s="650"/>
      <c r="O5832" s="650"/>
      <c r="P5832" s="651"/>
      <c r="Q5832" s="651"/>
      <c r="R5832" s="651"/>
      <c r="S5832" s="651"/>
    </row>
    <row r="5833" spans="12:19" ht="15.75" customHeight="1" x14ac:dyDescent="0.35">
      <c r="L5833" s="2"/>
      <c r="M5833" s="2"/>
      <c r="N5833" s="650"/>
      <c r="O5833" s="650"/>
      <c r="P5833" s="651"/>
      <c r="Q5833" s="651"/>
      <c r="R5833" s="651"/>
      <c r="S5833" s="651"/>
    </row>
    <row r="5834" spans="12:19" ht="15.75" customHeight="1" x14ac:dyDescent="0.35">
      <c r="L5834" s="2"/>
      <c r="M5834" s="2"/>
      <c r="N5834" s="650"/>
      <c r="O5834" s="650"/>
      <c r="P5834" s="651"/>
      <c r="Q5834" s="651"/>
      <c r="R5834" s="651"/>
      <c r="S5834" s="651"/>
    </row>
    <row r="5835" spans="12:19" ht="15.75" customHeight="1" x14ac:dyDescent="0.35">
      <c r="L5835" s="2"/>
      <c r="M5835" s="2"/>
      <c r="N5835" s="650"/>
      <c r="O5835" s="650"/>
      <c r="P5835" s="651"/>
      <c r="Q5835" s="651"/>
      <c r="R5835" s="651"/>
      <c r="S5835" s="651"/>
    </row>
    <row r="5836" spans="12:19" ht="15.75" customHeight="1" x14ac:dyDescent="0.35">
      <c r="L5836" s="2"/>
      <c r="M5836" s="2"/>
      <c r="N5836" s="650"/>
      <c r="O5836" s="650"/>
      <c r="P5836" s="651"/>
      <c r="Q5836" s="651"/>
      <c r="R5836" s="651"/>
      <c r="S5836" s="651"/>
    </row>
    <row r="5837" spans="12:19" ht="15.75" customHeight="1" x14ac:dyDescent="0.35">
      <c r="L5837" s="2"/>
      <c r="M5837" s="2"/>
      <c r="N5837" s="650"/>
      <c r="O5837" s="650"/>
      <c r="P5837" s="651"/>
      <c r="Q5837" s="651"/>
      <c r="R5837" s="651"/>
      <c r="S5837" s="651"/>
    </row>
    <row r="5838" spans="12:19" ht="15.75" customHeight="1" x14ac:dyDescent="0.35">
      <c r="L5838" s="2"/>
      <c r="M5838" s="2"/>
      <c r="N5838" s="650"/>
      <c r="O5838" s="650"/>
      <c r="P5838" s="651"/>
      <c r="Q5838" s="651"/>
      <c r="R5838" s="651"/>
      <c r="S5838" s="651"/>
    </row>
    <row r="5839" spans="12:19" ht="15.75" customHeight="1" x14ac:dyDescent="0.35">
      <c r="L5839" s="2"/>
      <c r="M5839" s="2"/>
      <c r="N5839" s="650"/>
      <c r="O5839" s="650"/>
      <c r="P5839" s="651"/>
      <c r="Q5839" s="651"/>
      <c r="R5839" s="651"/>
      <c r="S5839" s="651"/>
    </row>
    <row r="5840" spans="12:19" ht="15.75" customHeight="1" x14ac:dyDescent="0.35">
      <c r="L5840" s="2"/>
      <c r="M5840" s="2"/>
      <c r="N5840" s="650"/>
      <c r="O5840" s="650"/>
      <c r="P5840" s="651"/>
      <c r="Q5840" s="651"/>
      <c r="R5840" s="651"/>
      <c r="S5840" s="651"/>
    </row>
    <row r="5841" spans="12:19" ht="15.75" customHeight="1" x14ac:dyDescent="0.35">
      <c r="L5841" s="2"/>
      <c r="M5841" s="2"/>
      <c r="N5841" s="650"/>
      <c r="O5841" s="650"/>
      <c r="P5841" s="651"/>
      <c r="Q5841" s="651"/>
      <c r="R5841" s="651"/>
      <c r="S5841" s="651"/>
    </row>
    <row r="5842" spans="12:19" ht="15.75" customHeight="1" x14ac:dyDescent="0.35">
      <c r="L5842" s="2"/>
      <c r="M5842" s="2"/>
      <c r="N5842" s="650"/>
      <c r="O5842" s="650"/>
      <c r="P5842" s="651"/>
      <c r="Q5842" s="651"/>
      <c r="R5842" s="651"/>
      <c r="S5842" s="651"/>
    </row>
    <row r="5843" spans="12:19" ht="15.75" customHeight="1" x14ac:dyDescent="0.35">
      <c r="L5843" s="2"/>
      <c r="M5843" s="2"/>
      <c r="N5843" s="650"/>
      <c r="O5843" s="650"/>
      <c r="P5843" s="651"/>
      <c r="Q5843" s="651"/>
      <c r="R5843" s="651"/>
      <c r="S5843" s="651"/>
    </row>
    <row r="5844" spans="12:19" ht="15.75" customHeight="1" x14ac:dyDescent="0.35">
      <c r="L5844" s="2"/>
      <c r="M5844" s="2"/>
      <c r="N5844" s="650"/>
      <c r="O5844" s="650"/>
      <c r="P5844" s="651"/>
      <c r="Q5844" s="651"/>
      <c r="R5844" s="651"/>
      <c r="S5844" s="651"/>
    </row>
    <row r="5845" spans="12:19" ht="15.75" customHeight="1" x14ac:dyDescent="0.35">
      <c r="L5845" s="2"/>
      <c r="M5845" s="2"/>
      <c r="N5845" s="650"/>
      <c r="O5845" s="650"/>
      <c r="P5845" s="651"/>
      <c r="Q5845" s="651"/>
      <c r="R5845" s="651"/>
      <c r="S5845" s="651"/>
    </row>
    <row r="5846" spans="12:19" ht="15.75" customHeight="1" x14ac:dyDescent="0.35">
      <c r="L5846" s="2"/>
      <c r="M5846" s="2"/>
      <c r="N5846" s="650"/>
      <c r="O5846" s="650"/>
      <c r="P5846" s="651"/>
      <c r="Q5846" s="651"/>
      <c r="R5846" s="651"/>
      <c r="S5846" s="651"/>
    </row>
    <row r="5847" spans="12:19" ht="15.75" customHeight="1" x14ac:dyDescent="0.35">
      <c r="L5847" s="2"/>
      <c r="M5847" s="2"/>
      <c r="N5847" s="650"/>
      <c r="O5847" s="650"/>
      <c r="P5847" s="651"/>
      <c r="Q5847" s="651"/>
      <c r="R5847" s="651"/>
      <c r="S5847" s="651"/>
    </row>
    <row r="5848" spans="12:19" ht="15.75" customHeight="1" x14ac:dyDescent="0.35">
      <c r="L5848" s="2"/>
      <c r="M5848" s="2"/>
      <c r="N5848" s="650"/>
      <c r="O5848" s="650"/>
      <c r="P5848" s="651"/>
      <c r="Q5848" s="651"/>
      <c r="R5848" s="651"/>
      <c r="S5848" s="651"/>
    </row>
    <row r="5849" spans="12:19" ht="15.75" customHeight="1" x14ac:dyDescent="0.35">
      <c r="L5849" s="2"/>
      <c r="M5849" s="2"/>
      <c r="N5849" s="650"/>
      <c r="O5849" s="650"/>
      <c r="P5849" s="651"/>
      <c r="Q5849" s="651"/>
      <c r="R5849" s="651"/>
      <c r="S5849" s="651"/>
    </row>
    <row r="5850" spans="12:19" ht="15.75" customHeight="1" x14ac:dyDescent="0.35">
      <c r="L5850" s="2"/>
      <c r="M5850" s="2"/>
      <c r="N5850" s="650"/>
      <c r="O5850" s="650"/>
      <c r="P5850" s="651"/>
      <c r="Q5850" s="651"/>
      <c r="R5850" s="651"/>
      <c r="S5850" s="651"/>
    </row>
    <row r="5851" spans="12:19" ht="15.75" customHeight="1" x14ac:dyDescent="0.35">
      <c r="L5851" s="2"/>
      <c r="M5851" s="2"/>
      <c r="N5851" s="650"/>
      <c r="O5851" s="650"/>
      <c r="P5851" s="651"/>
      <c r="Q5851" s="651"/>
      <c r="R5851" s="651"/>
      <c r="S5851" s="651"/>
    </row>
    <row r="5852" spans="12:19" ht="15.75" customHeight="1" x14ac:dyDescent="0.35">
      <c r="L5852" s="2"/>
      <c r="M5852" s="2"/>
      <c r="N5852" s="650"/>
      <c r="O5852" s="650"/>
      <c r="P5852" s="651"/>
      <c r="Q5852" s="651"/>
      <c r="R5852" s="651"/>
      <c r="S5852" s="651"/>
    </row>
    <row r="5853" spans="12:19" ht="15.75" customHeight="1" x14ac:dyDescent="0.35">
      <c r="L5853" s="2"/>
      <c r="M5853" s="2"/>
      <c r="N5853" s="650"/>
      <c r="O5853" s="650"/>
      <c r="P5853" s="651"/>
      <c r="Q5853" s="651"/>
      <c r="R5853" s="651"/>
      <c r="S5853" s="651"/>
    </row>
    <row r="5854" spans="12:19" ht="15.75" customHeight="1" x14ac:dyDescent="0.35">
      <c r="L5854" s="2"/>
      <c r="M5854" s="2"/>
      <c r="N5854" s="650"/>
      <c r="O5854" s="650"/>
      <c r="P5854" s="651"/>
      <c r="Q5854" s="651"/>
      <c r="R5854" s="651"/>
      <c r="S5854" s="651"/>
    </row>
    <row r="5855" spans="12:19" ht="15.75" customHeight="1" x14ac:dyDescent="0.35">
      <c r="L5855" s="2"/>
      <c r="M5855" s="2"/>
      <c r="N5855" s="650"/>
      <c r="O5855" s="650"/>
      <c r="P5855" s="651"/>
      <c r="Q5855" s="651"/>
      <c r="R5855" s="651"/>
      <c r="S5855" s="651"/>
    </row>
    <row r="5856" spans="12:19" ht="15.75" customHeight="1" x14ac:dyDescent="0.35">
      <c r="L5856" s="2"/>
      <c r="M5856" s="2"/>
      <c r="N5856" s="650"/>
      <c r="O5856" s="650"/>
      <c r="P5856" s="651"/>
      <c r="Q5856" s="651"/>
      <c r="R5856" s="651"/>
      <c r="S5856" s="651"/>
    </row>
    <row r="5857" spans="12:19" ht="15.75" customHeight="1" x14ac:dyDescent="0.35">
      <c r="L5857" s="2"/>
      <c r="M5857" s="2"/>
      <c r="N5857" s="650"/>
      <c r="O5857" s="650"/>
      <c r="P5857" s="651"/>
      <c r="Q5857" s="651"/>
      <c r="R5857" s="651"/>
      <c r="S5857" s="651"/>
    </row>
    <row r="5858" spans="12:19" ht="15.75" customHeight="1" x14ac:dyDescent="0.35">
      <c r="L5858" s="2"/>
      <c r="M5858" s="2"/>
      <c r="N5858" s="650"/>
      <c r="O5858" s="650"/>
      <c r="P5858" s="651"/>
      <c r="Q5858" s="651"/>
      <c r="R5858" s="651"/>
      <c r="S5858" s="651"/>
    </row>
    <row r="5859" spans="12:19" ht="15.75" customHeight="1" x14ac:dyDescent="0.35">
      <c r="L5859" s="2"/>
      <c r="M5859" s="2"/>
      <c r="N5859" s="650"/>
      <c r="O5859" s="650"/>
      <c r="P5859" s="651"/>
      <c r="Q5859" s="651"/>
      <c r="R5859" s="651"/>
      <c r="S5859" s="651"/>
    </row>
    <row r="5860" spans="12:19" ht="15.75" customHeight="1" x14ac:dyDescent="0.35">
      <c r="L5860" s="2"/>
      <c r="M5860" s="2"/>
      <c r="N5860" s="650"/>
      <c r="O5860" s="650"/>
      <c r="P5860" s="651"/>
      <c r="Q5860" s="651"/>
      <c r="R5860" s="651"/>
      <c r="S5860" s="651"/>
    </row>
    <row r="5861" spans="12:19" ht="15.75" customHeight="1" x14ac:dyDescent="0.35">
      <c r="L5861" s="2"/>
      <c r="M5861" s="2"/>
      <c r="N5861" s="650"/>
      <c r="O5861" s="650"/>
      <c r="P5861" s="651"/>
      <c r="Q5861" s="651"/>
      <c r="R5861" s="651"/>
      <c r="S5861" s="651"/>
    </row>
    <row r="5862" spans="12:19" ht="15.75" customHeight="1" x14ac:dyDescent="0.35">
      <c r="L5862" s="2"/>
      <c r="M5862" s="2"/>
      <c r="N5862" s="650"/>
      <c r="O5862" s="650"/>
      <c r="P5862" s="651"/>
      <c r="Q5862" s="651"/>
      <c r="R5862" s="651"/>
      <c r="S5862" s="651"/>
    </row>
    <row r="5863" spans="12:19" ht="15.75" customHeight="1" x14ac:dyDescent="0.35">
      <c r="L5863" s="2"/>
      <c r="M5863" s="2"/>
      <c r="N5863" s="650"/>
      <c r="O5863" s="650"/>
      <c r="P5863" s="651"/>
      <c r="Q5863" s="651"/>
      <c r="R5863" s="651"/>
      <c r="S5863" s="651"/>
    </row>
    <row r="5864" spans="12:19" ht="15.75" customHeight="1" x14ac:dyDescent="0.35">
      <c r="L5864" s="2"/>
      <c r="M5864" s="2"/>
      <c r="N5864" s="650"/>
      <c r="O5864" s="650"/>
      <c r="P5864" s="651"/>
      <c r="Q5864" s="651"/>
      <c r="R5864" s="651"/>
      <c r="S5864" s="651"/>
    </row>
    <row r="5865" spans="12:19" ht="15.75" customHeight="1" x14ac:dyDescent="0.35">
      <c r="L5865" s="2"/>
      <c r="M5865" s="2"/>
      <c r="N5865" s="650"/>
      <c r="O5865" s="650"/>
      <c r="P5865" s="651"/>
      <c r="Q5865" s="651"/>
      <c r="R5865" s="651"/>
      <c r="S5865" s="651"/>
    </row>
    <row r="5866" spans="12:19" ht="15.75" customHeight="1" x14ac:dyDescent="0.35">
      <c r="L5866" s="2"/>
      <c r="M5866" s="2"/>
      <c r="N5866" s="650"/>
      <c r="O5866" s="650"/>
      <c r="P5866" s="651"/>
      <c r="Q5866" s="651"/>
      <c r="R5866" s="651"/>
      <c r="S5866" s="651"/>
    </row>
    <row r="5867" spans="12:19" ht="15.75" customHeight="1" x14ac:dyDescent="0.35">
      <c r="L5867" s="2"/>
      <c r="M5867" s="2"/>
      <c r="N5867" s="650"/>
      <c r="O5867" s="650"/>
      <c r="P5867" s="651"/>
      <c r="Q5867" s="651"/>
      <c r="R5867" s="651"/>
      <c r="S5867" s="651"/>
    </row>
    <row r="5868" spans="12:19" ht="15.75" customHeight="1" x14ac:dyDescent="0.35">
      <c r="L5868" s="2"/>
      <c r="M5868" s="2"/>
      <c r="N5868" s="650"/>
      <c r="O5868" s="650"/>
      <c r="P5868" s="651"/>
      <c r="Q5868" s="651"/>
      <c r="R5868" s="651"/>
      <c r="S5868" s="651"/>
    </row>
    <row r="5869" spans="12:19" ht="15.75" customHeight="1" x14ac:dyDescent="0.35">
      <c r="L5869" s="2"/>
      <c r="M5869" s="2"/>
      <c r="N5869" s="650"/>
      <c r="O5869" s="650"/>
      <c r="P5869" s="651"/>
      <c r="Q5869" s="651"/>
      <c r="R5869" s="651"/>
      <c r="S5869" s="651"/>
    </row>
    <row r="5870" spans="12:19" ht="15.75" customHeight="1" x14ac:dyDescent="0.35">
      <c r="L5870" s="2"/>
      <c r="M5870" s="2"/>
      <c r="N5870" s="650"/>
      <c r="O5870" s="650"/>
      <c r="P5870" s="651"/>
      <c r="Q5870" s="651"/>
      <c r="R5870" s="651"/>
      <c r="S5870" s="651"/>
    </row>
    <row r="5871" spans="12:19" ht="15.75" customHeight="1" x14ac:dyDescent="0.35">
      <c r="L5871" s="2"/>
      <c r="M5871" s="2"/>
      <c r="N5871" s="650"/>
      <c r="O5871" s="650"/>
      <c r="P5871" s="651"/>
      <c r="Q5871" s="651"/>
      <c r="R5871" s="651"/>
      <c r="S5871" s="651"/>
    </row>
    <row r="5872" spans="12:19" ht="15.75" customHeight="1" x14ac:dyDescent="0.35">
      <c r="L5872" s="2"/>
      <c r="M5872" s="2"/>
      <c r="N5872" s="650"/>
      <c r="O5872" s="650"/>
      <c r="P5872" s="651"/>
      <c r="Q5872" s="651"/>
      <c r="R5872" s="651"/>
      <c r="S5872" s="651"/>
    </row>
    <row r="5873" spans="12:19" ht="15.75" customHeight="1" x14ac:dyDescent="0.35">
      <c r="L5873" s="2"/>
      <c r="M5873" s="2"/>
      <c r="N5873" s="650"/>
      <c r="O5873" s="650"/>
      <c r="P5873" s="651"/>
      <c r="Q5873" s="651"/>
      <c r="R5873" s="651"/>
      <c r="S5873" s="651"/>
    </row>
    <row r="5874" spans="12:19" ht="15.75" customHeight="1" x14ac:dyDescent="0.35">
      <c r="L5874" s="2"/>
      <c r="M5874" s="2"/>
      <c r="N5874" s="650"/>
      <c r="O5874" s="650"/>
      <c r="P5874" s="651"/>
      <c r="Q5874" s="651"/>
      <c r="R5874" s="651"/>
      <c r="S5874" s="651"/>
    </row>
    <row r="5875" spans="12:19" ht="15.75" customHeight="1" x14ac:dyDescent="0.35">
      <c r="L5875" s="2"/>
      <c r="M5875" s="2"/>
      <c r="N5875" s="650"/>
      <c r="O5875" s="650"/>
      <c r="P5875" s="651"/>
      <c r="Q5875" s="651"/>
      <c r="R5875" s="651"/>
      <c r="S5875" s="651"/>
    </row>
    <row r="5876" spans="12:19" ht="15.75" customHeight="1" x14ac:dyDescent="0.35">
      <c r="L5876" s="2"/>
      <c r="M5876" s="2"/>
      <c r="N5876" s="650"/>
      <c r="O5876" s="650"/>
      <c r="P5876" s="651"/>
      <c r="Q5876" s="651"/>
      <c r="R5876" s="651"/>
      <c r="S5876" s="651"/>
    </row>
    <row r="5877" spans="12:19" ht="15.75" customHeight="1" x14ac:dyDescent="0.35">
      <c r="L5877" s="2"/>
      <c r="M5877" s="2"/>
      <c r="N5877" s="650"/>
      <c r="O5877" s="650"/>
      <c r="P5877" s="651"/>
      <c r="Q5877" s="651"/>
      <c r="R5877" s="651"/>
      <c r="S5877" s="651"/>
    </row>
    <row r="5878" spans="12:19" ht="15.75" customHeight="1" x14ac:dyDescent="0.35">
      <c r="L5878" s="2"/>
      <c r="M5878" s="2"/>
      <c r="N5878" s="650"/>
      <c r="O5878" s="650"/>
      <c r="P5878" s="651"/>
      <c r="Q5878" s="651"/>
      <c r="R5878" s="651"/>
      <c r="S5878" s="651"/>
    </row>
    <row r="5879" spans="12:19" ht="15.75" customHeight="1" x14ac:dyDescent="0.35">
      <c r="L5879" s="2"/>
      <c r="M5879" s="2"/>
      <c r="N5879" s="650"/>
      <c r="O5879" s="650"/>
      <c r="P5879" s="651"/>
      <c r="Q5879" s="651"/>
      <c r="R5879" s="651"/>
      <c r="S5879" s="651"/>
    </row>
    <row r="5880" spans="12:19" ht="15.75" customHeight="1" x14ac:dyDescent="0.35">
      <c r="L5880" s="2"/>
      <c r="M5880" s="2"/>
      <c r="N5880" s="650"/>
      <c r="O5880" s="650"/>
      <c r="P5880" s="651"/>
      <c r="Q5880" s="651"/>
      <c r="R5880" s="651"/>
      <c r="S5880" s="651"/>
    </row>
    <row r="5881" spans="12:19" ht="15.75" customHeight="1" x14ac:dyDescent="0.35">
      <c r="L5881" s="2"/>
      <c r="M5881" s="2"/>
      <c r="N5881" s="650"/>
      <c r="O5881" s="650"/>
      <c r="P5881" s="651"/>
      <c r="Q5881" s="651"/>
      <c r="R5881" s="651"/>
      <c r="S5881" s="651"/>
    </row>
    <row r="5882" spans="12:19" ht="15.75" customHeight="1" x14ac:dyDescent="0.35">
      <c r="L5882" s="2"/>
      <c r="M5882" s="2"/>
      <c r="N5882" s="650"/>
      <c r="O5882" s="650"/>
      <c r="P5882" s="651"/>
      <c r="Q5882" s="651"/>
      <c r="R5882" s="651"/>
      <c r="S5882" s="651"/>
    </row>
    <row r="5883" spans="12:19" ht="15.75" customHeight="1" x14ac:dyDescent="0.35">
      <c r="L5883" s="2"/>
      <c r="M5883" s="2"/>
      <c r="N5883" s="650"/>
      <c r="O5883" s="650"/>
      <c r="P5883" s="651"/>
      <c r="Q5883" s="651"/>
      <c r="R5883" s="651"/>
      <c r="S5883" s="651"/>
    </row>
    <row r="5884" spans="12:19" ht="15.75" customHeight="1" x14ac:dyDescent="0.35">
      <c r="L5884" s="2"/>
      <c r="M5884" s="2"/>
      <c r="N5884" s="650"/>
      <c r="O5884" s="650"/>
      <c r="P5884" s="651"/>
      <c r="Q5884" s="651"/>
      <c r="R5884" s="651"/>
      <c r="S5884" s="651"/>
    </row>
    <row r="5885" spans="12:19" ht="15.75" customHeight="1" x14ac:dyDescent="0.35">
      <c r="L5885" s="2"/>
      <c r="M5885" s="2"/>
      <c r="N5885" s="650"/>
      <c r="O5885" s="650"/>
      <c r="P5885" s="651"/>
      <c r="Q5885" s="651"/>
      <c r="R5885" s="651"/>
      <c r="S5885" s="651"/>
    </row>
    <row r="5886" spans="12:19" ht="15.75" customHeight="1" x14ac:dyDescent="0.35">
      <c r="L5886" s="2"/>
      <c r="M5886" s="2"/>
      <c r="N5886" s="650"/>
      <c r="O5886" s="650"/>
      <c r="P5886" s="651"/>
      <c r="Q5886" s="651"/>
      <c r="R5886" s="651"/>
      <c r="S5886" s="651"/>
    </row>
    <row r="5887" spans="12:19" ht="15.75" customHeight="1" x14ac:dyDescent="0.35">
      <c r="L5887" s="2"/>
      <c r="M5887" s="2"/>
      <c r="N5887" s="650"/>
      <c r="O5887" s="650"/>
      <c r="P5887" s="651"/>
      <c r="Q5887" s="651"/>
      <c r="R5887" s="651"/>
      <c r="S5887" s="651"/>
    </row>
    <row r="5888" spans="12:19" ht="15.75" customHeight="1" x14ac:dyDescent="0.35">
      <c r="L5888" s="2"/>
      <c r="M5888" s="2"/>
      <c r="N5888" s="650"/>
      <c r="O5888" s="650"/>
      <c r="P5888" s="651"/>
      <c r="Q5888" s="651"/>
      <c r="R5888" s="651"/>
      <c r="S5888" s="651"/>
    </row>
    <row r="5889" spans="12:19" ht="15.75" customHeight="1" x14ac:dyDescent="0.35">
      <c r="L5889" s="2"/>
      <c r="M5889" s="2"/>
      <c r="N5889" s="650"/>
      <c r="O5889" s="650"/>
      <c r="P5889" s="651"/>
      <c r="Q5889" s="651"/>
      <c r="R5889" s="651"/>
      <c r="S5889" s="651"/>
    </row>
    <row r="5890" spans="12:19" ht="15.75" customHeight="1" x14ac:dyDescent="0.35">
      <c r="L5890" s="2"/>
      <c r="M5890" s="2"/>
      <c r="N5890" s="650"/>
      <c r="O5890" s="650"/>
      <c r="P5890" s="651"/>
      <c r="Q5890" s="651"/>
      <c r="R5890" s="651"/>
      <c r="S5890" s="651"/>
    </row>
    <row r="5891" spans="12:19" ht="15.75" customHeight="1" x14ac:dyDescent="0.35">
      <c r="L5891" s="2"/>
      <c r="M5891" s="2"/>
      <c r="N5891" s="650"/>
      <c r="O5891" s="650"/>
      <c r="P5891" s="651"/>
      <c r="Q5891" s="651"/>
      <c r="R5891" s="651"/>
      <c r="S5891" s="651"/>
    </row>
    <row r="5892" spans="12:19" ht="15.75" customHeight="1" x14ac:dyDescent="0.35">
      <c r="L5892" s="2"/>
      <c r="M5892" s="2"/>
      <c r="N5892" s="650"/>
      <c r="O5892" s="650"/>
      <c r="P5892" s="651"/>
      <c r="Q5892" s="651"/>
      <c r="R5892" s="651"/>
      <c r="S5892" s="651"/>
    </row>
    <row r="5893" spans="12:19" ht="15.75" customHeight="1" x14ac:dyDescent="0.35">
      <c r="L5893" s="2"/>
      <c r="M5893" s="2"/>
      <c r="N5893" s="650"/>
      <c r="O5893" s="650"/>
      <c r="P5893" s="651"/>
      <c r="Q5893" s="651"/>
      <c r="R5893" s="651"/>
      <c r="S5893" s="651"/>
    </row>
    <row r="5894" spans="12:19" ht="15.75" customHeight="1" x14ac:dyDescent="0.35">
      <c r="L5894" s="2"/>
      <c r="M5894" s="2"/>
      <c r="N5894" s="650"/>
      <c r="O5894" s="650"/>
      <c r="P5894" s="651"/>
      <c r="Q5894" s="651"/>
      <c r="R5894" s="651"/>
      <c r="S5894" s="651"/>
    </row>
    <row r="5895" spans="12:19" ht="15.75" customHeight="1" x14ac:dyDescent="0.35">
      <c r="L5895" s="2"/>
      <c r="M5895" s="2"/>
      <c r="N5895" s="650"/>
      <c r="O5895" s="650"/>
      <c r="P5895" s="651"/>
      <c r="Q5895" s="651"/>
      <c r="R5895" s="651"/>
      <c r="S5895" s="651"/>
    </row>
    <row r="5896" spans="12:19" ht="15.75" customHeight="1" x14ac:dyDescent="0.35">
      <c r="L5896" s="2"/>
      <c r="M5896" s="2"/>
      <c r="N5896" s="650"/>
      <c r="O5896" s="650"/>
      <c r="P5896" s="651"/>
      <c r="Q5896" s="651"/>
      <c r="R5896" s="651"/>
      <c r="S5896" s="651"/>
    </row>
    <row r="5897" spans="12:19" ht="15.75" customHeight="1" x14ac:dyDescent="0.35">
      <c r="L5897" s="2"/>
      <c r="M5897" s="2"/>
      <c r="N5897" s="650"/>
      <c r="O5897" s="650"/>
      <c r="P5897" s="651"/>
      <c r="Q5897" s="651"/>
      <c r="R5897" s="651"/>
      <c r="S5897" s="651"/>
    </row>
    <row r="5898" spans="12:19" ht="15.75" customHeight="1" x14ac:dyDescent="0.35">
      <c r="L5898" s="2"/>
      <c r="M5898" s="2"/>
      <c r="N5898" s="650"/>
      <c r="O5898" s="650"/>
      <c r="P5898" s="651"/>
      <c r="Q5898" s="651"/>
      <c r="R5898" s="651"/>
      <c r="S5898" s="651"/>
    </row>
    <row r="5899" spans="12:19" ht="15.75" customHeight="1" x14ac:dyDescent="0.35">
      <c r="L5899" s="2"/>
      <c r="M5899" s="2"/>
      <c r="N5899" s="650"/>
      <c r="O5899" s="650"/>
      <c r="P5899" s="651"/>
      <c r="Q5899" s="651"/>
      <c r="R5899" s="651"/>
      <c r="S5899" s="651"/>
    </row>
    <row r="5900" spans="12:19" ht="15.75" customHeight="1" x14ac:dyDescent="0.35">
      <c r="L5900" s="2"/>
      <c r="M5900" s="2"/>
      <c r="N5900" s="650"/>
      <c r="O5900" s="650"/>
      <c r="P5900" s="651"/>
      <c r="Q5900" s="651"/>
      <c r="R5900" s="651"/>
      <c r="S5900" s="651"/>
    </row>
    <row r="5901" spans="12:19" ht="15.75" customHeight="1" x14ac:dyDescent="0.35">
      <c r="L5901" s="2"/>
      <c r="M5901" s="2"/>
      <c r="N5901" s="650"/>
      <c r="O5901" s="650"/>
      <c r="P5901" s="651"/>
      <c r="Q5901" s="651"/>
      <c r="R5901" s="651"/>
      <c r="S5901" s="651"/>
    </row>
    <row r="5902" spans="12:19" ht="15.75" customHeight="1" x14ac:dyDescent="0.35">
      <c r="L5902" s="2"/>
      <c r="M5902" s="2"/>
      <c r="N5902" s="650"/>
      <c r="O5902" s="650"/>
      <c r="P5902" s="651"/>
      <c r="Q5902" s="651"/>
      <c r="R5902" s="651"/>
      <c r="S5902" s="651"/>
    </row>
    <row r="5903" spans="12:19" ht="15.75" customHeight="1" x14ac:dyDescent="0.35">
      <c r="L5903" s="2"/>
      <c r="M5903" s="2"/>
      <c r="N5903" s="650"/>
      <c r="O5903" s="650"/>
      <c r="P5903" s="651"/>
      <c r="Q5903" s="651"/>
      <c r="R5903" s="651"/>
      <c r="S5903" s="651"/>
    </row>
    <row r="5904" spans="12:19" ht="15.75" customHeight="1" x14ac:dyDescent="0.35">
      <c r="L5904" s="2"/>
      <c r="M5904" s="2"/>
      <c r="N5904" s="650"/>
      <c r="O5904" s="650"/>
      <c r="P5904" s="651"/>
      <c r="Q5904" s="651"/>
      <c r="R5904" s="651"/>
      <c r="S5904" s="651"/>
    </row>
    <row r="5905" spans="12:19" ht="15.75" customHeight="1" x14ac:dyDescent="0.35">
      <c r="L5905" s="2"/>
      <c r="M5905" s="2"/>
      <c r="N5905" s="650"/>
      <c r="O5905" s="650"/>
      <c r="P5905" s="651"/>
      <c r="Q5905" s="651"/>
      <c r="R5905" s="651"/>
      <c r="S5905" s="651"/>
    </row>
    <row r="5906" spans="12:19" ht="15.75" customHeight="1" x14ac:dyDescent="0.35">
      <c r="L5906" s="2"/>
      <c r="M5906" s="2"/>
      <c r="N5906" s="650"/>
      <c r="O5906" s="650"/>
      <c r="P5906" s="651"/>
      <c r="Q5906" s="651"/>
      <c r="R5906" s="651"/>
      <c r="S5906" s="651"/>
    </row>
    <row r="5907" spans="12:19" ht="15.75" customHeight="1" x14ac:dyDescent="0.35">
      <c r="L5907" s="2"/>
      <c r="M5907" s="2"/>
      <c r="N5907" s="650"/>
      <c r="O5907" s="650"/>
      <c r="P5907" s="651"/>
      <c r="Q5907" s="651"/>
      <c r="R5907" s="651"/>
      <c r="S5907" s="651"/>
    </row>
    <row r="5908" spans="12:19" ht="15.75" customHeight="1" x14ac:dyDescent="0.35">
      <c r="L5908" s="2"/>
      <c r="M5908" s="2"/>
      <c r="N5908" s="650"/>
      <c r="O5908" s="650"/>
      <c r="P5908" s="651"/>
      <c r="Q5908" s="651"/>
      <c r="R5908" s="651"/>
      <c r="S5908" s="651"/>
    </row>
    <row r="5909" spans="12:19" ht="15.75" customHeight="1" x14ac:dyDescent="0.35">
      <c r="L5909" s="2"/>
      <c r="M5909" s="2"/>
      <c r="N5909" s="650"/>
      <c r="O5909" s="650"/>
      <c r="P5909" s="651"/>
      <c r="Q5909" s="651"/>
      <c r="R5909" s="651"/>
      <c r="S5909" s="651"/>
    </row>
    <row r="5910" spans="12:19" ht="15.75" customHeight="1" x14ac:dyDescent="0.35">
      <c r="L5910" s="2"/>
      <c r="M5910" s="2"/>
      <c r="N5910" s="650"/>
      <c r="O5910" s="650"/>
      <c r="P5910" s="651"/>
      <c r="Q5910" s="651"/>
      <c r="R5910" s="651"/>
      <c r="S5910" s="651"/>
    </row>
    <row r="5911" spans="12:19" ht="15.75" customHeight="1" x14ac:dyDescent="0.35">
      <c r="L5911" s="2"/>
      <c r="M5911" s="2"/>
      <c r="N5911" s="650"/>
      <c r="O5911" s="650"/>
      <c r="P5911" s="651"/>
      <c r="Q5911" s="651"/>
      <c r="R5911" s="651"/>
      <c r="S5911" s="651"/>
    </row>
    <row r="5912" spans="12:19" ht="15.75" customHeight="1" x14ac:dyDescent="0.35">
      <c r="L5912" s="2"/>
      <c r="M5912" s="2"/>
      <c r="N5912" s="650"/>
      <c r="O5912" s="650"/>
      <c r="P5912" s="651"/>
      <c r="Q5912" s="651"/>
      <c r="R5912" s="651"/>
      <c r="S5912" s="651"/>
    </row>
    <row r="5913" spans="12:19" ht="15.75" customHeight="1" x14ac:dyDescent="0.35">
      <c r="L5913" s="2"/>
      <c r="M5913" s="2"/>
      <c r="N5913" s="650"/>
      <c r="O5913" s="650"/>
      <c r="P5913" s="651"/>
      <c r="Q5913" s="651"/>
      <c r="R5913" s="651"/>
      <c r="S5913" s="651"/>
    </row>
    <row r="5914" spans="12:19" ht="15.75" customHeight="1" x14ac:dyDescent="0.35">
      <c r="L5914" s="2"/>
      <c r="M5914" s="2"/>
      <c r="N5914" s="650"/>
      <c r="O5914" s="650"/>
      <c r="P5914" s="651"/>
      <c r="Q5914" s="651"/>
      <c r="R5914" s="651"/>
      <c r="S5914" s="651"/>
    </row>
    <row r="5915" spans="12:19" ht="15.75" customHeight="1" x14ac:dyDescent="0.35">
      <c r="L5915" s="2"/>
      <c r="M5915" s="2"/>
      <c r="N5915" s="650"/>
      <c r="O5915" s="650"/>
      <c r="P5915" s="651"/>
      <c r="Q5915" s="651"/>
      <c r="R5915" s="651"/>
      <c r="S5915" s="651"/>
    </row>
    <row r="5916" spans="12:19" ht="15.75" customHeight="1" x14ac:dyDescent="0.35">
      <c r="L5916" s="2"/>
      <c r="M5916" s="2"/>
      <c r="N5916" s="650"/>
      <c r="O5916" s="650"/>
      <c r="P5916" s="651"/>
      <c r="Q5916" s="651"/>
      <c r="R5916" s="651"/>
      <c r="S5916" s="651"/>
    </row>
    <row r="5917" spans="12:19" ht="15.75" customHeight="1" x14ac:dyDescent="0.35">
      <c r="L5917" s="2"/>
      <c r="M5917" s="2"/>
      <c r="N5917" s="650"/>
      <c r="O5917" s="650"/>
      <c r="P5917" s="651"/>
      <c r="Q5917" s="651"/>
      <c r="R5917" s="651"/>
      <c r="S5917" s="651"/>
    </row>
    <row r="5918" spans="12:19" ht="15.75" customHeight="1" x14ac:dyDescent="0.35">
      <c r="L5918" s="2"/>
      <c r="M5918" s="2"/>
      <c r="N5918" s="650"/>
      <c r="O5918" s="650"/>
      <c r="P5918" s="651"/>
      <c r="Q5918" s="651"/>
      <c r="R5918" s="651"/>
      <c r="S5918" s="651"/>
    </row>
    <row r="5919" spans="12:19" ht="15.75" customHeight="1" x14ac:dyDescent="0.35">
      <c r="L5919" s="2"/>
      <c r="M5919" s="2"/>
      <c r="N5919" s="650"/>
      <c r="O5919" s="650"/>
      <c r="P5919" s="651"/>
      <c r="Q5919" s="651"/>
      <c r="R5919" s="651"/>
      <c r="S5919" s="651"/>
    </row>
    <row r="5920" spans="12:19" ht="15.75" customHeight="1" x14ac:dyDescent="0.35">
      <c r="L5920" s="2"/>
      <c r="M5920" s="2"/>
      <c r="N5920" s="650"/>
      <c r="O5920" s="650"/>
      <c r="P5920" s="651"/>
      <c r="Q5920" s="651"/>
      <c r="R5920" s="651"/>
      <c r="S5920" s="651"/>
    </row>
    <row r="5921" spans="12:19" ht="15.75" customHeight="1" x14ac:dyDescent="0.35">
      <c r="L5921" s="2"/>
      <c r="M5921" s="2"/>
      <c r="N5921" s="650"/>
      <c r="O5921" s="650"/>
      <c r="P5921" s="651"/>
      <c r="Q5921" s="651"/>
      <c r="R5921" s="651"/>
      <c r="S5921" s="651"/>
    </row>
    <row r="5922" spans="12:19" ht="15.75" customHeight="1" x14ac:dyDescent="0.35">
      <c r="L5922" s="2"/>
      <c r="M5922" s="2"/>
      <c r="N5922" s="650"/>
      <c r="O5922" s="650"/>
      <c r="P5922" s="651"/>
      <c r="Q5922" s="651"/>
      <c r="R5922" s="651"/>
      <c r="S5922" s="651"/>
    </row>
    <row r="5923" spans="12:19" ht="15.75" customHeight="1" x14ac:dyDescent="0.35">
      <c r="L5923" s="2"/>
      <c r="M5923" s="2"/>
      <c r="N5923" s="650"/>
      <c r="O5923" s="650"/>
      <c r="P5923" s="651"/>
      <c r="Q5923" s="651"/>
      <c r="R5923" s="651"/>
      <c r="S5923" s="651"/>
    </row>
    <row r="5924" spans="12:19" ht="15.75" customHeight="1" x14ac:dyDescent="0.35">
      <c r="L5924" s="2"/>
      <c r="M5924" s="2"/>
      <c r="N5924" s="650"/>
      <c r="O5924" s="650"/>
      <c r="P5924" s="651"/>
      <c r="Q5924" s="651"/>
      <c r="R5924" s="651"/>
      <c r="S5924" s="651"/>
    </row>
    <row r="5925" spans="12:19" ht="15.75" customHeight="1" x14ac:dyDescent="0.35">
      <c r="L5925" s="2"/>
      <c r="M5925" s="2"/>
      <c r="N5925" s="650"/>
      <c r="O5925" s="650"/>
      <c r="P5925" s="651"/>
      <c r="Q5925" s="651"/>
      <c r="R5925" s="651"/>
      <c r="S5925" s="651"/>
    </row>
    <row r="5926" spans="12:19" ht="15.75" customHeight="1" x14ac:dyDescent="0.35">
      <c r="L5926" s="2"/>
      <c r="M5926" s="2"/>
      <c r="N5926" s="650"/>
      <c r="O5926" s="650"/>
      <c r="P5926" s="651"/>
      <c r="Q5926" s="651"/>
      <c r="R5926" s="651"/>
      <c r="S5926" s="651"/>
    </row>
    <row r="5927" spans="12:19" ht="15.75" customHeight="1" x14ac:dyDescent="0.35">
      <c r="L5927" s="2"/>
      <c r="M5927" s="2"/>
      <c r="N5927" s="650"/>
      <c r="O5927" s="650"/>
      <c r="P5927" s="651"/>
      <c r="Q5927" s="651"/>
      <c r="R5927" s="651"/>
      <c r="S5927" s="651"/>
    </row>
    <row r="5928" spans="12:19" ht="15.75" customHeight="1" x14ac:dyDescent="0.35">
      <c r="L5928" s="2"/>
      <c r="M5928" s="2"/>
      <c r="N5928" s="650"/>
      <c r="O5928" s="650"/>
      <c r="P5928" s="651"/>
      <c r="Q5928" s="651"/>
      <c r="R5928" s="651"/>
      <c r="S5928" s="651"/>
    </row>
    <row r="5929" spans="12:19" ht="15.75" customHeight="1" x14ac:dyDescent="0.35">
      <c r="L5929" s="2"/>
      <c r="M5929" s="2"/>
      <c r="N5929" s="650"/>
      <c r="O5929" s="650"/>
      <c r="P5929" s="651"/>
      <c r="Q5929" s="651"/>
      <c r="R5929" s="651"/>
      <c r="S5929" s="651"/>
    </row>
    <row r="5930" spans="12:19" ht="15.75" customHeight="1" x14ac:dyDescent="0.35">
      <c r="L5930" s="2"/>
      <c r="M5930" s="2"/>
      <c r="N5930" s="650"/>
      <c r="O5930" s="650"/>
      <c r="P5930" s="651"/>
      <c r="Q5930" s="651"/>
      <c r="R5930" s="651"/>
      <c r="S5930" s="651"/>
    </row>
    <row r="5931" spans="12:19" ht="15.75" customHeight="1" x14ac:dyDescent="0.35">
      <c r="L5931" s="2"/>
      <c r="M5931" s="2"/>
      <c r="N5931" s="650"/>
      <c r="O5931" s="650"/>
      <c r="P5931" s="651"/>
      <c r="Q5931" s="651"/>
      <c r="R5931" s="651"/>
      <c r="S5931" s="651"/>
    </row>
    <row r="5932" spans="12:19" ht="15.75" customHeight="1" x14ac:dyDescent="0.35">
      <c r="L5932" s="2"/>
      <c r="M5932" s="2"/>
      <c r="N5932" s="650"/>
      <c r="O5932" s="650"/>
      <c r="P5932" s="651"/>
      <c r="Q5932" s="651"/>
      <c r="R5932" s="651"/>
      <c r="S5932" s="651"/>
    </row>
    <row r="5933" spans="12:19" ht="15.75" customHeight="1" x14ac:dyDescent="0.35">
      <c r="L5933" s="2"/>
      <c r="M5933" s="2"/>
      <c r="N5933" s="650"/>
      <c r="O5933" s="650"/>
      <c r="P5933" s="651"/>
      <c r="Q5933" s="651"/>
      <c r="R5933" s="651"/>
      <c r="S5933" s="651"/>
    </row>
    <row r="5934" spans="12:19" ht="15.75" customHeight="1" x14ac:dyDescent="0.35">
      <c r="L5934" s="2"/>
      <c r="M5934" s="2"/>
      <c r="N5934" s="650"/>
      <c r="O5934" s="650"/>
      <c r="P5934" s="651"/>
      <c r="Q5934" s="651"/>
      <c r="R5934" s="651"/>
      <c r="S5934" s="651"/>
    </row>
    <row r="5935" spans="12:19" ht="15.75" customHeight="1" x14ac:dyDescent="0.35">
      <c r="L5935" s="2"/>
      <c r="M5935" s="2"/>
      <c r="N5935" s="650"/>
      <c r="O5935" s="650"/>
      <c r="P5935" s="651"/>
      <c r="Q5935" s="651"/>
      <c r="R5935" s="651"/>
      <c r="S5935" s="651"/>
    </row>
    <row r="5936" spans="12:19" ht="15.75" customHeight="1" x14ac:dyDescent="0.35">
      <c r="L5936" s="2"/>
      <c r="M5936" s="2"/>
      <c r="N5936" s="650"/>
      <c r="O5936" s="650"/>
      <c r="P5936" s="651"/>
      <c r="Q5936" s="651"/>
      <c r="R5936" s="651"/>
      <c r="S5936" s="651"/>
    </row>
    <row r="5937" spans="12:19" ht="15.75" customHeight="1" x14ac:dyDescent="0.35">
      <c r="L5937" s="2"/>
      <c r="M5937" s="2"/>
      <c r="N5937" s="650"/>
      <c r="O5937" s="650"/>
      <c r="P5937" s="651"/>
      <c r="Q5937" s="651"/>
      <c r="R5937" s="651"/>
      <c r="S5937" s="651"/>
    </row>
    <row r="5938" spans="12:19" ht="15.75" customHeight="1" x14ac:dyDescent="0.35">
      <c r="L5938" s="2"/>
      <c r="M5938" s="2"/>
      <c r="N5938" s="650"/>
      <c r="O5938" s="650"/>
      <c r="P5938" s="651"/>
      <c r="Q5938" s="651"/>
      <c r="R5938" s="651"/>
      <c r="S5938" s="651"/>
    </row>
    <row r="5939" spans="12:19" ht="15.75" customHeight="1" x14ac:dyDescent="0.35">
      <c r="L5939" s="2"/>
      <c r="M5939" s="2"/>
      <c r="N5939" s="650"/>
      <c r="O5939" s="650"/>
      <c r="P5939" s="651"/>
      <c r="Q5939" s="651"/>
      <c r="R5939" s="651"/>
      <c r="S5939" s="651"/>
    </row>
    <row r="5940" spans="12:19" ht="15.75" customHeight="1" x14ac:dyDescent="0.35">
      <c r="L5940" s="2"/>
      <c r="M5940" s="2"/>
      <c r="N5940" s="650"/>
      <c r="O5940" s="650"/>
      <c r="P5940" s="651"/>
      <c r="Q5940" s="651"/>
      <c r="R5940" s="651"/>
      <c r="S5940" s="651"/>
    </row>
    <row r="5941" spans="12:19" ht="15.75" customHeight="1" x14ac:dyDescent="0.35">
      <c r="L5941" s="2"/>
      <c r="M5941" s="2"/>
      <c r="N5941" s="650"/>
      <c r="O5941" s="650"/>
      <c r="P5941" s="651"/>
      <c r="Q5941" s="651"/>
      <c r="R5941" s="651"/>
      <c r="S5941" s="651"/>
    </row>
    <row r="5942" spans="12:19" ht="15.75" customHeight="1" x14ac:dyDescent="0.35">
      <c r="L5942" s="2"/>
      <c r="M5942" s="2"/>
      <c r="N5942" s="650"/>
      <c r="O5942" s="650"/>
      <c r="P5942" s="651"/>
      <c r="Q5942" s="651"/>
      <c r="R5942" s="651"/>
      <c r="S5942" s="651"/>
    </row>
    <row r="5943" spans="12:19" ht="15.75" customHeight="1" x14ac:dyDescent="0.35">
      <c r="L5943" s="2"/>
      <c r="M5943" s="2"/>
      <c r="N5943" s="650"/>
      <c r="O5943" s="650"/>
      <c r="P5943" s="651"/>
      <c r="Q5943" s="651"/>
      <c r="R5943" s="651"/>
      <c r="S5943" s="651"/>
    </row>
    <row r="5944" spans="12:19" ht="15.75" customHeight="1" x14ac:dyDescent="0.35">
      <c r="L5944" s="2"/>
      <c r="M5944" s="2"/>
      <c r="N5944" s="650"/>
      <c r="O5944" s="650"/>
      <c r="P5944" s="651"/>
      <c r="Q5944" s="651"/>
      <c r="R5944" s="651"/>
      <c r="S5944" s="651"/>
    </row>
    <row r="5945" spans="12:19" ht="15.75" customHeight="1" x14ac:dyDescent="0.35">
      <c r="L5945" s="2"/>
      <c r="M5945" s="2"/>
      <c r="N5945" s="650"/>
      <c r="O5945" s="650"/>
      <c r="P5945" s="651"/>
      <c r="Q5945" s="651"/>
      <c r="R5945" s="651"/>
      <c r="S5945" s="651"/>
    </row>
    <row r="5946" spans="12:19" ht="15.75" customHeight="1" x14ac:dyDescent="0.35">
      <c r="L5946" s="2"/>
      <c r="M5946" s="2"/>
      <c r="N5946" s="650"/>
      <c r="O5946" s="650"/>
      <c r="P5946" s="651"/>
      <c r="Q5946" s="651"/>
      <c r="R5946" s="651"/>
      <c r="S5946" s="651"/>
    </row>
    <row r="5947" spans="12:19" ht="15.75" customHeight="1" x14ac:dyDescent="0.35">
      <c r="L5947" s="2"/>
      <c r="M5947" s="2"/>
      <c r="N5947" s="650"/>
      <c r="O5947" s="650"/>
      <c r="P5947" s="651"/>
      <c r="Q5947" s="651"/>
      <c r="R5947" s="651"/>
      <c r="S5947" s="651"/>
    </row>
    <row r="5948" spans="12:19" ht="15.75" customHeight="1" x14ac:dyDescent="0.35">
      <c r="L5948" s="2"/>
      <c r="M5948" s="2"/>
      <c r="N5948" s="650"/>
      <c r="O5948" s="650"/>
      <c r="P5948" s="651"/>
      <c r="Q5948" s="651"/>
      <c r="R5948" s="651"/>
      <c r="S5948" s="651"/>
    </row>
    <row r="5949" spans="12:19" ht="15.75" customHeight="1" x14ac:dyDescent="0.35">
      <c r="L5949" s="2"/>
      <c r="M5949" s="2"/>
      <c r="N5949" s="650"/>
      <c r="O5949" s="650"/>
      <c r="P5949" s="651"/>
      <c r="Q5949" s="651"/>
      <c r="R5949" s="651"/>
      <c r="S5949" s="651"/>
    </row>
    <row r="5950" spans="12:19" ht="15.75" customHeight="1" x14ac:dyDescent="0.35">
      <c r="L5950" s="2"/>
      <c r="M5950" s="2"/>
      <c r="N5950" s="650"/>
      <c r="O5950" s="650"/>
      <c r="P5950" s="651"/>
      <c r="Q5950" s="651"/>
      <c r="R5950" s="651"/>
      <c r="S5950" s="651"/>
    </row>
    <row r="5951" spans="12:19" ht="15.75" customHeight="1" x14ac:dyDescent="0.35">
      <c r="L5951" s="2"/>
      <c r="M5951" s="2"/>
      <c r="N5951" s="650"/>
      <c r="O5951" s="650"/>
      <c r="P5951" s="651"/>
      <c r="Q5951" s="651"/>
      <c r="R5951" s="651"/>
      <c r="S5951" s="651"/>
    </row>
    <row r="5952" spans="12:19" ht="15.75" customHeight="1" x14ac:dyDescent="0.35">
      <c r="L5952" s="2"/>
      <c r="M5952" s="2"/>
      <c r="N5952" s="650"/>
      <c r="O5952" s="650"/>
      <c r="P5952" s="651"/>
      <c r="Q5952" s="651"/>
      <c r="R5952" s="651"/>
      <c r="S5952" s="651"/>
    </row>
    <row r="5953" spans="12:19" ht="15.75" customHeight="1" x14ac:dyDescent="0.35">
      <c r="L5953" s="2"/>
      <c r="M5953" s="2"/>
      <c r="N5953" s="650"/>
      <c r="O5953" s="650"/>
      <c r="P5953" s="651"/>
      <c r="Q5953" s="651"/>
      <c r="R5953" s="651"/>
      <c r="S5953" s="651"/>
    </row>
    <row r="5954" spans="12:19" ht="15.75" customHeight="1" x14ac:dyDescent="0.35">
      <c r="L5954" s="2"/>
      <c r="M5954" s="2"/>
      <c r="N5954" s="650"/>
      <c r="O5954" s="650"/>
      <c r="P5954" s="651"/>
      <c r="Q5954" s="651"/>
      <c r="R5954" s="651"/>
      <c r="S5954" s="651"/>
    </row>
    <row r="5955" spans="12:19" ht="15.75" customHeight="1" x14ac:dyDescent="0.35">
      <c r="L5955" s="2"/>
      <c r="M5955" s="2"/>
      <c r="N5955" s="650"/>
      <c r="O5955" s="650"/>
      <c r="P5955" s="651"/>
      <c r="Q5955" s="651"/>
      <c r="R5955" s="651"/>
      <c r="S5955" s="651"/>
    </row>
    <row r="5956" spans="12:19" ht="15.75" customHeight="1" x14ac:dyDescent="0.35">
      <c r="L5956" s="2"/>
      <c r="M5956" s="2"/>
      <c r="N5956" s="650"/>
      <c r="O5956" s="650"/>
      <c r="P5956" s="651"/>
      <c r="Q5956" s="651"/>
      <c r="R5956" s="651"/>
      <c r="S5956" s="651"/>
    </row>
    <row r="5957" spans="12:19" ht="15.75" customHeight="1" x14ac:dyDescent="0.35">
      <c r="L5957" s="2"/>
      <c r="M5957" s="2"/>
      <c r="N5957" s="650"/>
      <c r="O5957" s="650"/>
      <c r="P5957" s="651"/>
      <c r="Q5957" s="651"/>
      <c r="R5957" s="651"/>
      <c r="S5957" s="651"/>
    </row>
    <row r="5958" spans="12:19" ht="15.75" customHeight="1" x14ac:dyDescent="0.35">
      <c r="L5958" s="2"/>
      <c r="M5958" s="2"/>
      <c r="N5958" s="650"/>
      <c r="O5958" s="650"/>
      <c r="P5958" s="651"/>
      <c r="Q5958" s="651"/>
      <c r="R5958" s="651"/>
      <c r="S5958" s="651"/>
    </row>
    <row r="5959" spans="12:19" ht="15.75" customHeight="1" x14ac:dyDescent="0.35">
      <c r="L5959" s="2"/>
      <c r="M5959" s="2"/>
      <c r="N5959" s="650"/>
      <c r="O5959" s="650"/>
      <c r="P5959" s="651"/>
      <c r="Q5959" s="651"/>
      <c r="R5959" s="651"/>
      <c r="S5959" s="651"/>
    </row>
    <row r="5960" spans="12:19" ht="15.75" customHeight="1" x14ac:dyDescent="0.35">
      <c r="L5960" s="2"/>
      <c r="M5960" s="2"/>
      <c r="N5960" s="650"/>
      <c r="O5960" s="650"/>
      <c r="P5960" s="651"/>
      <c r="Q5960" s="651"/>
      <c r="R5960" s="651"/>
      <c r="S5960" s="651"/>
    </row>
    <row r="5961" spans="12:19" ht="15.75" customHeight="1" x14ac:dyDescent="0.35">
      <c r="L5961" s="2"/>
      <c r="M5961" s="2"/>
      <c r="N5961" s="650"/>
      <c r="O5961" s="650"/>
      <c r="P5961" s="651"/>
      <c r="Q5961" s="651"/>
      <c r="R5961" s="651"/>
      <c r="S5961" s="651"/>
    </row>
    <row r="5962" spans="12:19" ht="15.75" customHeight="1" x14ac:dyDescent="0.35">
      <c r="L5962" s="2"/>
      <c r="M5962" s="2"/>
      <c r="N5962" s="650"/>
      <c r="O5962" s="650"/>
      <c r="P5962" s="651"/>
      <c r="Q5962" s="651"/>
      <c r="R5962" s="651"/>
      <c r="S5962" s="651"/>
    </row>
    <row r="5963" spans="12:19" ht="15.75" customHeight="1" x14ac:dyDescent="0.35">
      <c r="L5963" s="2"/>
      <c r="M5963" s="2"/>
      <c r="N5963" s="650"/>
      <c r="O5963" s="650"/>
      <c r="P5963" s="651"/>
      <c r="Q5963" s="651"/>
      <c r="R5963" s="651"/>
      <c r="S5963" s="651"/>
    </row>
    <row r="5964" spans="12:19" ht="15.75" customHeight="1" x14ac:dyDescent="0.35">
      <c r="L5964" s="2"/>
      <c r="M5964" s="2"/>
      <c r="N5964" s="650"/>
      <c r="O5964" s="650"/>
      <c r="P5964" s="651"/>
      <c r="Q5964" s="651"/>
      <c r="R5964" s="651"/>
      <c r="S5964" s="651"/>
    </row>
    <row r="5965" spans="12:19" ht="15.75" customHeight="1" x14ac:dyDescent="0.35">
      <c r="L5965" s="2"/>
      <c r="M5965" s="2"/>
      <c r="N5965" s="650"/>
      <c r="O5965" s="650"/>
      <c r="P5965" s="651"/>
      <c r="Q5965" s="651"/>
      <c r="R5965" s="651"/>
      <c r="S5965" s="651"/>
    </row>
    <row r="5966" spans="12:19" ht="15.75" customHeight="1" x14ac:dyDescent="0.35">
      <c r="L5966" s="2"/>
      <c r="M5966" s="2"/>
      <c r="N5966" s="650"/>
      <c r="O5966" s="650"/>
      <c r="P5966" s="651"/>
      <c r="Q5966" s="651"/>
      <c r="R5966" s="651"/>
      <c r="S5966" s="651"/>
    </row>
    <row r="5967" spans="12:19" ht="15.75" customHeight="1" x14ac:dyDescent="0.35">
      <c r="L5967" s="2"/>
      <c r="M5967" s="2"/>
      <c r="N5967" s="650"/>
      <c r="O5967" s="650"/>
      <c r="P5967" s="651"/>
      <c r="Q5967" s="651"/>
      <c r="R5967" s="651"/>
      <c r="S5967" s="651"/>
    </row>
    <row r="5968" spans="12:19" ht="15.75" customHeight="1" x14ac:dyDescent="0.35">
      <c r="L5968" s="2"/>
      <c r="M5968" s="2"/>
      <c r="N5968" s="650"/>
      <c r="O5968" s="650"/>
      <c r="P5968" s="651"/>
      <c r="Q5968" s="651"/>
      <c r="R5968" s="651"/>
      <c r="S5968" s="651"/>
    </row>
    <row r="5969" spans="12:19" ht="15.75" customHeight="1" x14ac:dyDescent="0.35">
      <c r="L5969" s="2"/>
      <c r="M5969" s="2"/>
      <c r="N5969" s="650"/>
      <c r="O5969" s="650"/>
      <c r="P5969" s="651"/>
      <c r="Q5969" s="651"/>
      <c r="R5969" s="651"/>
      <c r="S5969" s="651"/>
    </row>
    <row r="5970" spans="12:19" ht="15.75" customHeight="1" x14ac:dyDescent="0.35">
      <c r="L5970" s="2"/>
      <c r="M5970" s="2"/>
      <c r="N5970" s="650"/>
      <c r="O5970" s="650"/>
      <c r="P5970" s="651"/>
      <c r="Q5970" s="651"/>
      <c r="R5970" s="651"/>
      <c r="S5970" s="651"/>
    </row>
    <row r="5971" spans="12:19" ht="15.75" customHeight="1" x14ac:dyDescent="0.35">
      <c r="L5971" s="2"/>
      <c r="M5971" s="2"/>
      <c r="N5971" s="650"/>
      <c r="O5971" s="650"/>
      <c r="P5971" s="651"/>
      <c r="Q5971" s="651"/>
      <c r="R5971" s="651"/>
      <c r="S5971" s="651"/>
    </row>
    <row r="5972" spans="12:19" ht="15.75" customHeight="1" x14ac:dyDescent="0.35">
      <c r="L5972" s="2"/>
      <c r="M5972" s="2"/>
      <c r="N5972" s="650"/>
      <c r="O5972" s="650"/>
      <c r="P5972" s="651"/>
      <c r="Q5972" s="651"/>
      <c r="R5972" s="651"/>
      <c r="S5972" s="651"/>
    </row>
    <row r="5973" spans="12:19" ht="15.75" customHeight="1" x14ac:dyDescent="0.35">
      <c r="L5973" s="2"/>
      <c r="M5973" s="2"/>
      <c r="N5973" s="650"/>
      <c r="O5973" s="650"/>
      <c r="P5973" s="651"/>
      <c r="Q5973" s="651"/>
      <c r="R5973" s="651"/>
      <c r="S5973" s="651"/>
    </row>
    <row r="5974" spans="12:19" ht="15.75" customHeight="1" x14ac:dyDescent="0.35">
      <c r="L5974" s="2"/>
      <c r="M5974" s="2"/>
      <c r="N5974" s="650"/>
      <c r="O5974" s="650"/>
      <c r="P5974" s="651"/>
      <c r="Q5974" s="651"/>
      <c r="R5974" s="651"/>
      <c r="S5974" s="651"/>
    </row>
    <row r="5975" spans="12:19" ht="15.75" customHeight="1" x14ac:dyDescent="0.35">
      <c r="L5975" s="2"/>
      <c r="M5975" s="2"/>
      <c r="N5975" s="650"/>
      <c r="O5975" s="650"/>
      <c r="P5975" s="651"/>
      <c r="Q5975" s="651"/>
      <c r="R5975" s="651"/>
      <c r="S5975" s="651"/>
    </row>
    <row r="5976" spans="12:19" ht="15.75" customHeight="1" x14ac:dyDescent="0.35">
      <c r="L5976" s="2"/>
      <c r="M5976" s="2"/>
      <c r="N5976" s="650"/>
      <c r="O5976" s="650"/>
      <c r="P5976" s="651"/>
      <c r="Q5976" s="651"/>
      <c r="R5976" s="651"/>
      <c r="S5976" s="651"/>
    </row>
    <row r="5977" spans="12:19" ht="15.75" customHeight="1" x14ac:dyDescent="0.35">
      <c r="L5977" s="2"/>
      <c r="M5977" s="2"/>
      <c r="N5977" s="650"/>
      <c r="O5977" s="650"/>
      <c r="P5977" s="651"/>
      <c r="Q5977" s="651"/>
      <c r="R5977" s="651"/>
      <c r="S5977" s="651"/>
    </row>
    <row r="5978" spans="12:19" ht="15.75" customHeight="1" x14ac:dyDescent="0.35">
      <c r="L5978" s="2"/>
      <c r="M5978" s="2"/>
      <c r="N5978" s="650"/>
      <c r="O5978" s="650"/>
      <c r="P5978" s="651"/>
      <c r="Q5978" s="651"/>
      <c r="R5978" s="651"/>
      <c r="S5978" s="651"/>
    </row>
    <row r="5979" spans="12:19" ht="15.75" customHeight="1" x14ac:dyDescent="0.35">
      <c r="L5979" s="2"/>
      <c r="M5979" s="2"/>
      <c r="N5979" s="650"/>
      <c r="O5979" s="650"/>
      <c r="P5979" s="651"/>
      <c r="Q5979" s="651"/>
      <c r="R5979" s="651"/>
      <c r="S5979" s="651"/>
    </row>
    <row r="5980" spans="12:19" ht="15.75" customHeight="1" x14ac:dyDescent="0.35">
      <c r="L5980" s="2"/>
      <c r="M5980" s="2"/>
      <c r="N5980" s="650"/>
      <c r="O5980" s="650"/>
      <c r="P5980" s="651"/>
      <c r="Q5980" s="651"/>
      <c r="R5980" s="651"/>
      <c r="S5980" s="651"/>
    </row>
    <row r="5981" spans="12:19" ht="15.75" customHeight="1" x14ac:dyDescent="0.35">
      <c r="L5981" s="2"/>
      <c r="M5981" s="2"/>
      <c r="N5981" s="650"/>
      <c r="O5981" s="650"/>
      <c r="P5981" s="651"/>
      <c r="Q5981" s="651"/>
      <c r="R5981" s="651"/>
      <c r="S5981" s="651"/>
    </row>
    <row r="5982" spans="12:19" ht="15.75" customHeight="1" x14ac:dyDescent="0.35">
      <c r="L5982" s="2"/>
      <c r="M5982" s="2"/>
      <c r="N5982" s="650"/>
      <c r="O5982" s="650"/>
      <c r="P5982" s="651"/>
      <c r="Q5982" s="651"/>
      <c r="R5982" s="651"/>
      <c r="S5982" s="651"/>
    </row>
    <row r="5983" spans="12:19" ht="15.75" customHeight="1" x14ac:dyDescent="0.35">
      <c r="L5983" s="2"/>
      <c r="M5983" s="2"/>
      <c r="N5983" s="650"/>
      <c r="O5983" s="650"/>
      <c r="P5983" s="651"/>
      <c r="Q5983" s="651"/>
      <c r="R5983" s="651"/>
      <c r="S5983" s="651"/>
    </row>
    <row r="5984" spans="12:19" ht="15.75" customHeight="1" x14ac:dyDescent="0.35">
      <c r="L5984" s="2"/>
      <c r="M5984" s="2"/>
      <c r="N5984" s="650"/>
      <c r="O5984" s="650"/>
      <c r="P5984" s="651"/>
      <c r="Q5984" s="651"/>
      <c r="R5984" s="651"/>
      <c r="S5984" s="651"/>
    </row>
    <row r="5985" spans="12:19" ht="15.75" customHeight="1" x14ac:dyDescent="0.35">
      <c r="L5985" s="2"/>
      <c r="M5985" s="2"/>
      <c r="N5985" s="650"/>
      <c r="O5985" s="650"/>
      <c r="P5985" s="651"/>
      <c r="Q5985" s="651"/>
      <c r="R5985" s="651"/>
      <c r="S5985" s="651"/>
    </row>
    <row r="5986" spans="12:19" ht="15.75" customHeight="1" x14ac:dyDescent="0.35">
      <c r="L5986" s="2"/>
      <c r="M5986" s="2"/>
      <c r="N5986" s="650"/>
      <c r="O5986" s="650"/>
      <c r="P5986" s="651"/>
      <c r="Q5986" s="651"/>
      <c r="R5986" s="651"/>
      <c r="S5986" s="651"/>
    </row>
    <row r="5987" spans="12:19" ht="15.75" customHeight="1" x14ac:dyDescent="0.35">
      <c r="L5987" s="2"/>
      <c r="M5987" s="2"/>
      <c r="N5987" s="650"/>
      <c r="O5987" s="650"/>
      <c r="P5987" s="651"/>
      <c r="Q5987" s="651"/>
      <c r="R5987" s="651"/>
      <c r="S5987" s="651"/>
    </row>
    <row r="5988" spans="12:19" ht="15.75" customHeight="1" x14ac:dyDescent="0.35">
      <c r="L5988" s="2"/>
      <c r="M5988" s="2"/>
      <c r="N5988" s="650"/>
      <c r="O5988" s="650"/>
      <c r="P5988" s="651"/>
      <c r="Q5988" s="651"/>
      <c r="R5988" s="651"/>
      <c r="S5988" s="651"/>
    </row>
    <row r="5989" spans="12:19" ht="15.75" customHeight="1" x14ac:dyDescent="0.35">
      <c r="L5989" s="2"/>
      <c r="M5989" s="2"/>
      <c r="N5989" s="650"/>
      <c r="O5989" s="650"/>
      <c r="P5989" s="651"/>
      <c r="Q5989" s="651"/>
      <c r="R5989" s="651"/>
      <c r="S5989" s="651"/>
    </row>
    <row r="5990" spans="12:19" ht="15.75" customHeight="1" x14ac:dyDescent="0.35">
      <c r="L5990" s="2"/>
      <c r="M5990" s="2"/>
      <c r="N5990" s="650"/>
      <c r="O5990" s="650"/>
      <c r="P5990" s="651"/>
      <c r="Q5990" s="651"/>
      <c r="R5990" s="651"/>
      <c r="S5990" s="651"/>
    </row>
    <row r="5991" spans="12:19" ht="15.75" customHeight="1" x14ac:dyDescent="0.35">
      <c r="L5991" s="2"/>
      <c r="M5991" s="2"/>
      <c r="N5991" s="650"/>
      <c r="O5991" s="650"/>
      <c r="P5991" s="651"/>
      <c r="Q5991" s="651"/>
      <c r="R5991" s="651"/>
      <c r="S5991" s="651"/>
    </row>
    <row r="5992" spans="12:19" ht="15.75" customHeight="1" x14ac:dyDescent="0.35">
      <c r="L5992" s="2"/>
      <c r="M5992" s="2"/>
      <c r="N5992" s="650"/>
      <c r="O5992" s="650"/>
      <c r="P5992" s="651"/>
      <c r="Q5992" s="651"/>
      <c r="R5992" s="651"/>
      <c r="S5992" s="651"/>
    </row>
    <row r="5993" spans="12:19" ht="15.75" customHeight="1" x14ac:dyDescent="0.35">
      <c r="L5993" s="2"/>
      <c r="M5993" s="2"/>
      <c r="N5993" s="650"/>
      <c r="O5993" s="650"/>
      <c r="P5993" s="651"/>
      <c r="Q5993" s="651"/>
      <c r="R5993" s="651"/>
      <c r="S5993" s="651"/>
    </row>
    <row r="5994" spans="12:19" ht="15.75" customHeight="1" x14ac:dyDescent="0.35">
      <c r="L5994" s="2"/>
      <c r="M5994" s="2"/>
      <c r="N5994" s="650"/>
      <c r="O5994" s="650"/>
      <c r="P5994" s="651"/>
      <c r="Q5994" s="651"/>
      <c r="R5994" s="651"/>
      <c r="S5994" s="651"/>
    </row>
    <row r="5995" spans="12:19" ht="15.75" customHeight="1" x14ac:dyDescent="0.35">
      <c r="L5995" s="2"/>
      <c r="M5995" s="2"/>
      <c r="N5995" s="650"/>
      <c r="O5995" s="650"/>
      <c r="P5995" s="651"/>
      <c r="Q5995" s="651"/>
      <c r="R5995" s="651"/>
      <c r="S5995" s="651"/>
    </row>
    <row r="5996" spans="12:19" ht="15.75" customHeight="1" x14ac:dyDescent="0.35">
      <c r="L5996" s="2"/>
      <c r="M5996" s="2"/>
      <c r="N5996" s="650"/>
      <c r="O5996" s="650"/>
      <c r="P5996" s="651"/>
      <c r="Q5996" s="651"/>
      <c r="R5996" s="651"/>
      <c r="S5996" s="651"/>
    </row>
    <row r="5997" spans="12:19" ht="15.75" customHeight="1" x14ac:dyDescent="0.35">
      <c r="L5997" s="2"/>
      <c r="M5997" s="2"/>
      <c r="N5997" s="650"/>
      <c r="O5997" s="650"/>
      <c r="P5997" s="651"/>
      <c r="Q5997" s="651"/>
      <c r="R5997" s="651"/>
      <c r="S5997" s="651"/>
    </row>
    <row r="5998" spans="12:19" ht="15.75" customHeight="1" x14ac:dyDescent="0.35">
      <c r="L5998" s="2"/>
      <c r="M5998" s="2"/>
      <c r="N5998" s="650"/>
      <c r="O5998" s="650"/>
      <c r="P5998" s="651"/>
      <c r="Q5998" s="651"/>
      <c r="R5998" s="651"/>
      <c r="S5998" s="651"/>
    </row>
    <row r="5999" spans="12:19" ht="15.75" customHeight="1" x14ac:dyDescent="0.35">
      <c r="L5999" s="2"/>
      <c r="M5999" s="2"/>
      <c r="N5999" s="650"/>
      <c r="O5999" s="650"/>
      <c r="P5999" s="651"/>
      <c r="Q5999" s="651"/>
      <c r="R5999" s="651"/>
      <c r="S5999" s="651"/>
    </row>
    <row r="6000" spans="12:19" ht="15.75" customHeight="1" x14ac:dyDescent="0.35">
      <c r="L6000" s="2"/>
      <c r="M6000" s="2"/>
      <c r="N6000" s="650"/>
      <c r="O6000" s="650"/>
      <c r="P6000" s="651"/>
      <c r="Q6000" s="651"/>
      <c r="R6000" s="651"/>
      <c r="S6000" s="651"/>
    </row>
    <row r="6001" spans="12:19" ht="15.75" customHeight="1" x14ac:dyDescent="0.35">
      <c r="L6001" s="2"/>
      <c r="M6001" s="2"/>
      <c r="N6001" s="650"/>
      <c r="O6001" s="650"/>
      <c r="P6001" s="651"/>
      <c r="Q6001" s="651"/>
      <c r="R6001" s="651"/>
      <c r="S6001" s="651"/>
    </row>
    <row r="6002" spans="12:19" ht="15.75" customHeight="1" x14ac:dyDescent="0.35">
      <c r="L6002" s="2"/>
      <c r="M6002" s="2"/>
      <c r="N6002" s="650"/>
      <c r="O6002" s="650"/>
      <c r="P6002" s="651"/>
      <c r="Q6002" s="651"/>
      <c r="R6002" s="651"/>
      <c r="S6002" s="651"/>
    </row>
    <row r="6003" spans="12:19" ht="15.75" customHeight="1" x14ac:dyDescent="0.35">
      <c r="L6003" s="2"/>
      <c r="M6003" s="2"/>
      <c r="N6003" s="650"/>
      <c r="O6003" s="650"/>
      <c r="P6003" s="651"/>
      <c r="Q6003" s="651"/>
      <c r="R6003" s="651"/>
      <c r="S6003" s="651"/>
    </row>
    <row r="6004" spans="12:19" ht="15.75" customHeight="1" x14ac:dyDescent="0.35">
      <c r="L6004" s="2"/>
      <c r="M6004" s="2"/>
      <c r="N6004" s="650"/>
      <c r="O6004" s="650"/>
      <c r="P6004" s="651"/>
      <c r="Q6004" s="651"/>
      <c r="R6004" s="651"/>
      <c r="S6004" s="651"/>
    </row>
    <row r="6005" spans="12:19" ht="15.75" customHeight="1" x14ac:dyDescent="0.35">
      <c r="L6005" s="2"/>
      <c r="M6005" s="2"/>
      <c r="N6005" s="650"/>
      <c r="O6005" s="650"/>
      <c r="P6005" s="651"/>
      <c r="Q6005" s="651"/>
      <c r="R6005" s="651"/>
      <c r="S6005" s="651"/>
    </row>
    <row r="6006" spans="12:19" ht="15.75" customHeight="1" x14ac:dyDescent="0.35">
      <c r="L6006" s="2"/>
      <c r="M6006" s="2"/>
      <c r="N6006" s="650"/>
      <c r="O6006" s="650"/>
      <c r="P6006" s="651"/>
      <c r="Q6006" s="651"/>
      <c r="R6006" s="651"/>
      <c r="S6006" s="651"/>
    </row>
    <row r="6007" spans="12:19" ht="15.75" customHeight="1" x14ac:dyDescent="0.35">
      <c r="L6007" s="2"/>
      <c r="M6007" s="2"/>
      <c r="N6007" s="650"/>
      <c r="O6007" s="650"/>
      <c r="P6007" s="651"/>
      <c r="Q6007" s="651"/>
      <c r="R6007" s="651"/>
      <c r="S6007" s="651"/>
    </row>
    <row r="6008" spans="12:19" ht="15.75" customHeight="1" x14ac:dyDescent="0.35">
      <c r="L6008" s="2"/>
      <c r="M6008" s="2"/>
      <c r="N6008" s="650"/>
      <c r="O6008" s="650"/>
      <c r="P6008" s="651"/>
      <c r="Q6008" s="651"/>
      <c r="R6008" s="651"/>
      <c r="S6008" s="651"/>
    </row>
    <row r="6009" spans="12:19" ht="15.75" customHeight="1" x14ac:dyDescent="0.35">
      <c r="L6009" s="2"/>
      <c r="M6009" s="2"/>
      <c r="N6009" s="650"/>
      <c r="O6009" s="650"/>
      <c r="P6009" s="651"/>
      <c r="Q6009" s="651"/>
      <c r="R6009" s="651"/>
      <c r="S6009" s="651"/>
    </row>
    <row r="6010" spans="12:19" ht="15.75" customHeight="1" x14ac:dyDescent="0.35">
      <c r="L6010" s="2"/>
      <c r="M6010" s="2"/>
      <c r="N6010" s="650"/>
      <c r="O6010" s="650"/>
      <c r="P6010" s="651"/>
      <c r="Q6010" s="651"/>
      <c r="R6010" s="651"/>
      <c r="S6010" s="651"/>
    </row>
    <row r="6011" spans="12:19" ht="15.75" customHeight="1" x14ac:dyDescent="0.35">
      <c r="L6011" s="2"/>
      <c r="M6011" s="2"/>
      <c r="N6011" s="650"/>
      <c r="O6011" s="650"/>
      <c r="P6011" s="651"/>
      <c r="Q6011" s="651"/>
      <c r="R6011" s="651"/>
      <c r="S6011" s="651"/>
    </row>
    <row r="6012" spans="12:19" ht="15.75" customHeight="1" x14ac:dyDescent="0.35">
      <c r="L6012" s="2"/>
      <c r="M6012" s="2"/>
      <c r="N6012" s="650"/>
      <c r="O6012" s="650"/>
      <c r="P6012" s="651"/>
      <c r="Q6012" s="651"/>
      <c r="R6012" s="651"/>
      <c r="S6012" s="651"/>
    </row>
    <row r="6013" spans="12:19" ht="15.75" customHeight="1" x14ac:dyDescent="0.35">
      <c r="L6013" s="2"/>
      <c r="M6013" s="2"/>
      <c r="N6013" s="650"/>
      <c r="O6013" s="650"/>
      <c r="P6013" s="651"/>
      <c r="Q6013" s="651"/>
      <c r="R6013" s="651"/>
      <c r="S6013" s="651"/>
    </row>
    <row r="6014" spans="12:19" ht="15.75" customHeight="1" x14ac:dyDescent="0.35">
      <c r="L6014" s="2"/>
      <c r="M6014" s="2"/>
      <c r="N6014" s="650"/>
      <c r="O6014" s="650"/>
      <c r="P6014" s="651"/>
      <c r="Q6014" s="651"/>
      <c r="R6014" s="651"/>
      <c r="S6014" s="651"/>
    </row>
    <row r="6015" spans="12:19" ht="15.75" customHeight="1" x14ac:dyDescent="0.35">
      <c r="L6015" s="2"/>
      <c r="M6015" s="2"/>
      <c r="N6015" s="650"/>
      <c r="O6015" s="650"/>
      <c r="P6015" s="651"/>
      <c r="Q6015" s="651"/>
      <c r="R6015" s="651"/>
      <c r="S6015" s="651"/>
    </row>
    <row r="6016" spans="12:19" ht="15.75" customHeight="1" x14ac:dyDescent="0.35">
      <c r="L6016" s="2"/>
      <c r="M6016" s="2"/>
      <c r="N6016" s="650"/>
      <c r="O6016" s="650"/>
      <c r="P6016" s="651"/>
      <c r="Q6016" s="651"/>
      <c r="R6016" s="651"/>
      <c r="S6016" s="651"/>
    </row>
    <row r="6017" spans="12:19" ht="15.75" customHeight="1" x14ac:dyDescent="0.35">
      <c r="L6017" s="2"/>
      <c r="M6017" s="2"/>
      <c r="N6017" s="650"/>
      <c r="O6017" s="650"/>
      <c r="P6017" s="651"/>
      <c r="Q6017" s="651"/>
      <c r="R6017" s="651"/>
      <c r="S6017" s="651"/>
    </row>
    <row r="6018" spans="12:19" ht="15.75" customHeight="1" x14ac:dyDescent="0.35">
      <c r="L6018" s="2"/>
      <c r="M6018" s="2"/>
      <c r="N6018" s="650"/>
      <c r="O6018" s="650"/>
      <c r="P6018" s="651"/>
      <c r="Q6018" s="651"/>
      <c r="R6018" s="651"/>
      <c r="S6018" s="651"/>
    </row>
    <row r="6019" spans="12:19" ht="15.75" customHeight="1" x14ac:dyDescent="0.35">
      <c r="L6019" s="2"/>
      <c r="M6019" s="2"/>
      <c r="N6019" s="650"/>
      <c r="O6019" s="650"/>
      <c r="P6019" s="651"/>
      <c r="Q6019" s="651"/>
      <c r="R6019" s="651"/>
      <c r="S6019" s="651"/>
    </row>
    <row r="6020" spans="12:19" ht="15.75" customHeight="1" x14ac:dyDescent="0.35">
      <c r="L6020" s="2"/>
      <c r="M6020" s="2"/>
      <c r="N6020" s="650"/>
      <c r="O6020" s="650"/>
      <c r="P6020" s="651"/>
      <c r="Q6020" s="651"/>
      <c r="R6020" s="651"/>
      <c r="S6020" s="651"/>
    </row>
    <row r="6021" spans="12:19" ht="15.75" customHeight="1" x14ac:dyDescent="0.35">
      <c r="L6021" s="2"/>
      <c r="M6021" s="2"/>
      <c r="N6021" s="650"/>
      <c r="O6021" s="650"/>
      <c r="P6021" s="651"/>
      <c r="Q6021" s="651"/>
      <c r="R6021" s="651"/>
      <c r="S6021" s="651"/>
    </row>
    <row r="6022" spans="12:19" ht="15.75" customHeight="1" x14ac:dyDescent="0.35">
      <c r="L6022" s="2"/>
      <c r="M6022" s="2"/>
      <c r="N6022" s="650"/>
      <c r="O6022" s="650"/>
      <c r="P6022" s="651"/>
      <c r="Q6022" s="651"/>
      <c r="R6022" s="651"/>
      <c r="S6022" s="651"/>
    </row>
    <row r="6023" spans="12:19" ht="15.75" customHeight="1" x14ac:dyDescent="0.35">
      <c r="L6023" s="2"/>
      <c r="M6023" s="2"/>
      <c r="N6023" s="650"/>
      <c r="O6023" s="650"/>
      <c r="P6023" s="651"/>
      <c r="Q6023" s="651"/>
      <c r="R6023" s="651"/>
      <c r="S6023" s="651"/>
    </row>
    <row r="6024" spans="12:19" ht="15.75" customHeight="1" x14ac:dyDescent="0.35">
      <c r="L6024" s="2"/>
      <c r="M6024" s="2"/>
      <c r="N6024" s="650"/>
      <c r="O6024" s="650"/>
      <c r="P6024" s="651"/>
      <c r="Q6024" s="651"/>
      <c r="R6024" s="651"/>
      <c r="S6024" s="651"/>
    </row>
    <row r="6025" spans="12:19" ht="15.75" customHeight="1" x14ac:dyDescent="0.35">
      <c r="L6025" s="2"/>
      <c r="M6025" s="2"/>
      <c r="N6025" s="650"/>
      <c r="O6025" s="650"/>
      <c r="P6025" s="651"/>
      <c r="Q6025" s="651"/>
      <c r="R6025" s="651"/>
      <c r="S6025" s="651"/>
    </row>
    <row r="6026" spans="12:19" ht="15.75" customHeight="1" x14ac:dyDescent="0.35">
      <c r="L6026" s="2"/>
      <c r="M6026" s="2"/>
      <c r="N6026" s="650"/>
      <c r="O6026" s="650"/>
      <c r="P6026" s="651"/>
      <c r="Q6026" s="651"/>
      <c r="R6026" s="651"/>
      <c r="S6026" s="651"/>
    </row>
    <row r="6027" spans="12:19" ht="15.75" customHeight="1" x14ac:dyDescent="0.35">
      <c r="L6027" s="2"/>
      <c r="M6027" s="2"/>
      <c r="N6027" s="650"/>
      <c r="O6027" s="650"/>
      <c r="P6027" s="651"/>
      <c r="Q6027" s="651"/>
      <c r="R6027" s="651"/>
      <c r="S6027" s="651"/>
    </row>
    <row r="6028" spans="12:19" ht="15.75" customHeight="1" x14ac:dyDescent="0.35">
      <c r="L6028" s="2"/>
      <c r="M6028" s="2"/>
      <c r="N6028" s="650"/>
      <c r="O6028" s="650"/>
      <c r="P6028" s="651"/>
      <c r="Q6028" s="651"/>
      <c r="R6028" s="651"/>
      <c r="S6028" s="651"/>
    </row>
    <row r="6029" spans="12:19" ht="15.75" customHeight="1" x14ac:dyDescent="0.35">
      <c r="L6029" s="2"/>
      <c r="M6029" s="2"/>
      <c r="N6029" s="650"/>
      <c r="O6029" s="650"/>
      <c r="P6029" s="651"/>
      <c r="Q6029" s="651"/>
      <c r="R6029" s="651"/>
      <c r="S6029" s="651"/>
    </row>
    <row r="6030" spans="12:19" ht="15.75" customHeight="1" x14ac:dyDescent="0.35">
      <c r="L6030" s="2"/>
      <c r="M6030" s="2"/>
      <c r="N6030" s="650"/>
      <c r="O6030" s="650"/>
      <c r="P6030" s="651"/>
      <c r="Q6030" s="651"/>
      <c r="R6030" s="651"/>
      <c r="S6030" s="651"/>
    </row>
    <row r="6031" spans="12:19" ht="15.75" customHeight="1" x14ac:dyDescent="0.35">
      <c r="L6031" s="2"/>
      <c r="M6031" s="2"/>
      <c r="N6031" s="650"/>
      <c r="O6031" s="650"/>
      <c r="P6031" s="651"/>
      <c r="Q6031" s="651"/>
      <c r="R6031" s="651"/>
      <c r="S6031" s="651"/>
    </row>
    <row r="6032" spans="12:19" ht="15.75" customHeight="1" x14ac:dyDescent="0.35">
      <c r="L6032" s="2"/>
      <c r="M6032" s="2"/>
      <c r="N6032" s="650"/>
      <c r="O6032" s="650"/>
      <c r="P6032" s="651"/>
      <c r="Q6032" s="651"/>
      <c r="R6032" s="651"/>
      <c r="S6032" s="651"/>
    </row>
    <row r="6033" spans="12:19" ht="15.75" customHeight="1" x14ac:dyDescent="0.35">
      <c r="L6033" s="2"/>
      <c r="M6033" s="2"/>
      <c r="N6033" s="650"/>
      <c r="O6033" s="650"/>
      <c r="P6033" s="651"/>
      <c r="Q6033" s="651"/>
      <c r="R6033" s="651"/>
      <c r="S6033" s="651"/>
    </row>
    <row r="6034" spans="12:19" ht="15.75" customHeight="1" x14ac:dyDescent="0.35">
      <c r="L6034" s="2"/>
      <c r="M6034" s="2"/>
      <c r="N6034" s="650"/>
      <c r="O6034" s="650"/>
      <c r="P6034" s="651"/>
      <c r="Q6034" s="651"/>
      <c r="R6034" s="651"/>
      <c r="S6034" s="651"/>
    </row>
    <row r="6035" spans="12:19" ht="15.75" customHeight="1" x14ac:dyDescent="0.35">
      <c r="L6035" s="2"/>
      <c r="M6035" s="2"/>
      <c r="N6035" s="650"/>
      <c r="O6035" s="650"/>
      <c r="P6035" s="651"/>
      <c r="Q6035" s="651"/>
      <c r="R6035" s="651"/>
      <c r="S6035" s="651"/>
    </row>
    <row r="6036" spans="12:19" ht="15.75" customHeight="1" x14ac:dyDescent="0.35">
      <c r="L6036" s="2"/>
      <c r="M6036" s="2"/>
      <c r="N6036" s="650"/>
      <c r="O6036" s="650"/>
      <c r="P6036" s="651"/>
      <c r="Q6036" s="651"/>
      <c r="R6036" s="651"/>
      <c r="S6036" s="651"/>
    </row>
    <row r="6037" spans="12:19" ht="15.75" customHeight="1" x14ac:dyDescent="0.35">
      <c r="L6037" s="2"/>
      <c r="M6037" s="2"/>
      <c r="N6037" s="650"/>
      <c r="O6037" s="650"/>
      <c r="P6037" s="651"/>
      <c r="Q6037" s="651"/>
      <c r="R6037" s="651"/>
      <c r="S6037" s="651"/>
    </row>
    <row r="6038" spans="12:19" ht="15.75" customHeight="1" x14ac:dyDescent="0.35">
      <c r="L6038" s="2"/>
      <c r="M6038" s="2"/>
      <c r="N6038" s="650"/>
      <c r="O6038" s="650"/>
      <c r="P6038" s="651"/>
      <c r="Q6038" s="651"/>
      <c r="R6038" s="651"/>
      <c r="S6038" s="651"/>
    </row>
    <row r="6039" spans="12:19" ht="15.75" customHeight="1" x14ac:dyDescent="0.35">
      <c r="L6039" s="2"/>
      <c r="M6039" s="2"/>
      <c r="N6039" s="650"/>
      <c r="O6039" s="650"/>
      <c r="P6039" s="651"/>
      <c r="Q6039" s="651"/>
      <c r="R6039" s="651"/>
      <c r="S6039" s="651"/>
    </row>
    <row r="6040" spans="12:19" ht="15.75" customHeight="1" x14ac:dyDescent="0.35">
      <c r="L6040" s="2"/>
      <c r="M6040" s="2"/>
      <c r="N6040" s="650"/>
      <c r="O6040" s="650"/>
      <c r="P6040" s="651"/>
      <c r="Q6040" s="651"/>
      <c r="R6040" s="651"/>
      <c r="S6040" s="651"/>
    </row>
    <row r="6041" spans="12:19" ht="15.75" customHeight="1" x14ac:dyDescent="0.35">
      <c r="L6041" s="2"/>
      <c r="M6041" s="2"/>
      <c r="N6041" s="650"/>
      <c r="O6041" s="650"/>
      <c r="P6041" s="651"/>
      <c r="Q6041" s="651"/>
      <c r="R6041" s="651"/>
      <c r="S6041" s="651"/>
    </row>
    <row r="6042" spans="12:19" ht="15.75" customHeight="1" x14ac:dyDescent="0.35">
      <c r="L6042" s="2"/>
      <c r="M6042" s="2"/>
      <c r="N6042" s="650"/>
      <c r="O6042" s="650"/>
      <c r="P6042" s="651"/>
      <c r="Q6042" s="651"/>
      <c r="R6042" s="651"/>
      <c r="S6042" s="651"/>
    </row>
    <row r="6043" spans="12:19" ht="15.75" customHeight="1" x14ac:dyDescent="0.35">
      <c r="L6043" s="2"/>
      <c r="M6043" s="2"/>
      <c r="N6043" s="650"/>
      <c r="O6043" s="650"/>
      <c r="P6043" s="651"/>
      <c r="Q6043" s="651"/>
      <c r="R6043" s="651"/>
      <c r="S6043" s="651"/>
    </row>
    <row r="6044" spans="12:19" ht="15.75" customHeight="1" x14ac:dyDescent="0.35">
      <c r="L6044" s="2"/>
      <c r="M6044" s="2"/>
      <c r="N6044" s="650"/>
      <c r="O6044" s="650"/>
      <c r="P6044" s="651"/>
      <c r="Q6044" s="651"/>
      <c r="R6044" s="651"/>
      <c r="S6044" s="651"/>
    </row>
    <row r="6045" spans="12:19" ht="15.75" customHeight="1" x14ac:dyDescent="0.35">
      <c r="L6045" s="2"/>
      <c r="M6045" s="2"/>
      <c r="N6045" s="650"/>
      <c r="O6045" s="650"/>
      <c r="P6045" s="651"/>
      <c r="Q6045" s="651"/>
      <c r="R6045" s="651"/>
      <c r="S6045" s="651"/>
    </row>
    <row r="6046" spans="12:19" ht="15.75" customHeight="1" x14ac:dyDescent="0.35">
      <c r="L6046" s="2"/>
      <c r="M6046" s="2"/>
      <c r="N6046" s="650"/>
      <c r="O6046" s="650"/>
      <c r="P6046" s="651"/>
      <c r="Q6046" s="651"/>
      <c r="R6046" s="651"/>
      <c r="S6046" s="651"/>
    </row>
    <row r="6047" spans="12:19" ht="15.75" customHeight="1" x14ac:dyDescent="0.35">
      <c r="L6047" s="2"/>
      <c r="M6047" s="2"/>
      <c r="N6047" s="650"/>
      <c r="O6047" s="650"/>
      <c r="P6047" s="651"/>
      <c r="Q6047" s="651"/>
      <c r="R6047" s="651"/>
      <c r="S6047" s="651"/>
    </row>
    <row r="6048" spans="12:19" ht="15.75" customHeight="1" x14ac:dyDescent="0.35">
      <c r="L6048" s="2"/>
      <c r="M6048" s="2"/>
      <c r="N6048" s="650"/>
      <c r="O6048" s="650"/>
      <c r="P6048" s="651"/>
      <c r="Q6048" s="651"/>
      <c r="R6048" s="651"/>
      <c r="S6048" s="651"/>
    </row>
    <row r="6049" spans="12:19" ht="15.75" customHeight="1" x14ac:dyDescent="0.35">
      <c r="L6049" s="2"/>
      <c r="M6049" s="2"/>
      <c r="N6049" s="650"/>
      <c r="O6049" s="650"/>
      <c r="P6049" s="651"/>
      <c r="Q6049" s="651"/>
      <c r="R6049" s="651"/>
      <c r="S6049" s="651"/>
    </row>
    <row r="6050" spans="12:19" ht="15.75" customHeight="1" x14ac:dyDescent="0.35">
      <c r="L6050" s="2"/>
      <c r="M6050" s="2"/>
      <c r="N6050" s="650"/>
      <c r="O6050" s="650"/>
      <c r="P6050" s="651"/>
      <c r="Q6050" s="651"/>
      <c r="R6050" s="651"/>
      <c r="S6050" s="651"/>
    </row>
    <row r="6051" spans="12:19" ht="15.75" customHeight="1" x14ac:dyDescent="0.35">
      <c r="L6051" s="2"/>
      <c r="M6051" s="2"/>
      <c r="N6051" s="650"/>
      <c r="O6051" s="650"/>
      <c r="P6051" s="651"/>
      <c r="Q6051" s="651"/>
      <c r="R6051" s="651"/>
      <c r="S6051" s="651"/>
    </row>
    <row r="6052" spans="12:19" ht="15.75" customHeight="1" x14ac:dyDescent="0.35">
      <c r="L6052" s="2"/>
      <c r="M6052" s="2"/>
      <c r="N6052" s="650"/>
      <c r="O6052" s="650"/>
      <c r="P6052" s="651"/>
      <c r="Q6052" s="651"/>
      <c r="R6052" s="651"/>
      <c r="S6052" s="651"/>
    </row>
    <row r="6053" spans="12:19" ht="15.75" customHeight="1" x14ac:dyDescent="0.35">
      <c r="L6053" s="2"/>
      <c r="M6053" s="2"/>
      <c r="N6053" s="650"/>
      <c r="O6053" s="650"/>
      <c r="P6053" s="651"/>
      <c r="Q6053" s="651"/>
      <c r="R6053" s="651"/>
      <c r="S6053" s="651"/>
    </row>
    <row r="6054" spans="12:19" ht="15.75" customHeight="1" x14ac:dyDescent="0.35">
      <c r="L6054" s="2"/>
      <c r="M6054" s="2"/>
      <c r="N6054" s="650"/>
      <c r="O6054" s="650"/>
      <c r="P6054" s="651"/>
      <c r="Q6054" s="651"/>
      <c r="R6054" s="651"/>
      <c r="S6054" s="651"/>
    </row>
    <row r="6055" spans="12:19" ht="15.75" customHeight="1" x14ac:dyDescent="0.35">
      <c r="L6055" s="2"/>
      <c r="M6055" s="2"/>
      <c r="N6055" s="650"/>
      <c r="O6055" s="650"/>
      <c r="P6055" s="651"/>
      <c r="Q6055" s="651"/>
      <c r="R6055" s="651"/>
      <c r="S6055" s="651"/>
    </row>
    <row r="6056" spans="12:19" ht="15.75" customHeight="1" x14ac:dyDescent="0.35">
      <c r="L6056" s="2"/>
      <c r="M6056" s="2"/>
      <c r="N6056" s="650"/>
      <c r="O6056" s="650"/>
      <c r="P6056" s="651"/>
      <c r="Q6056" s="651"/>
      <c r="R6056" s="651"/>
      <c r="S6056" s="651"/>
    </row>
    <row r="6057" spans="12:19" ht="15.75" customHeight="1" x14ac:dyDescent="0.35">
      <c r="L6057" s="2"/>
      <c r="M6057" s="2"/>
      <c r="N6057" s="650"/>
      <c r="O6057" s="650"/>
      <c r="P6057" s="651"/>
      <c r="Q6057" s="651"/>
      <c r="R6057" s="651"/>
      <c r="S6057" s="651"/>
    </row>
    <row r="6058" spans="12:19" ht="15.75" customHeight="1" x14ac:dyDescent="0.35">
      <c r="L6058" s="2"/>
      <c r="M6058" s="2"/>
      <c r="N6058" s="650"/>
      <c r="O6058" s="650"/>
      <c r="P6058" s="651"/>
      <c r="Q6058" s="651"/>
      <c r="R6058" s="651"/>
      <c r="S6058" s="651"/>
    </row>
    <row r="6059" spans="12:19" ht="15.75" customHeight="1" x14ac:dyDescent="0.35">
      <c r="L6059" s="2"/>
      <c r="M6059" s="2"/>
      <c r="N6059" s="650"/>
      <c r="O6059" s="650"/>
      <c r="P6059" s="651"/>
      <c r="Q6059" s="651"/>
      <c r="R6059" s="651"/>
      <c r="S6059" s="651"/>
    </row>
    <row r="6060" spans="12:19" ht="15.75" customHeight="1" x14ac:dyDescent="0.35">
      <c r="L6060" s="2"/>
      <c r="M6060" s="2"/>
      <c r="N6060" s="650"/>
      <c r="O6060" s="650"/>
      <c r="P6060" s="651"/>
      <c r="Q6060" s="651"/>
      <c r="R6060" s="651"/>
      <c r="S6060" s="651"/>
    </row>
    <row r="6061" spans="12:19" ht="15.75" customHeight="1" x14ac:dyDescent="0.35">
      <c r="L6061" s="2"/>
      <c r="M6061" s="2"/>
      <c r="N6061" s="650"/>
      <c r="O6061" s="650"/>
      <c r="P6061" s="651"/>
      <c r="Q6061" s="651"/>
      <c r="R6061" s="651"/>
      <c r="S6061" s="651"/>
    </row>
    <row r="6062" spans="12:19" ht="15.75" customHeight="1" x14ac:dyDescent="0.35">
      <c r="L6062" s="2"/>
      <c r="M6062" s="2"/>
      <c r="N6062" s="650"/>
      <c r="O6062" s="650"/>
      <c r="P6062" s="651"/>
      <c r="Q6062" s="651"/>
      <c r="R6062" s="651"/>
      <c r="S6062" s="651"/>
    </row>
    <row r="6063" spans="12:19" ht="15.75" customHeight="1" x14ac:dyDescent="0.35">
      <c r="L6063" s="2"/>
      <c r="M6063" s="2"/>
      <c r="N6063" s="650"/>
      <c r="O6063" s="650"/>
      <c r="P6063" s="651"/>
      <c r="Q6063" s="651"/>
      <c r="R6063" s="651"/>
      <c r="S6063" s="651"/>
    </row>
    <row r="6064" spans="12:19" ht="15.75" customHeight="1" x14ac:dyDescent="0.35">
      <c r="L6064" s="2"/>
      <c r="M6064" s="2"/>
      <c r="N6064" s="650"/>
      <c r="O6064" s="650"/>
      <c r="P6064" s="651"/>
      <c r="Q6064" s="651"/>
      <c r="R6064" s="651"/>
      <c r="S6064" s="651"/>
    </row>
    <row r="6065" spans="12:19" ht="15.75" customHeight="1" x14ac:dyDescent="0.35">
      <c r="L6065" s="2"/>
      <c r="M6065" s="2"/>
      <c r="N6065" s="650"/>
      <c r="O6065" s="650"/>
      <c r="P6065" s="651"/>
      <c r="Q6065" s="651"/>
      <c r="R6065" s="651"/>
      <c r="S6065" s="651"/>
    </row>
    <row r="6066" spans="12:19" ht="15.75" customHeight="1" x14ac:dyDescent="0.35">
      <c r="L6066" s="2"/>
      <c r="M6066" s="2"/>
      <c r="N6066" s="650"/>
      <c r="O6066" s="650"/>
      <c r="P6066" s="651"/>
      <c r="Q6066" s="651"/>
      <c r="R6066" s="651"/>
      <c r="S6066" s="651"/>
    </row>
    <row r="6067" spans="12:19" ht="15.75" customHeight="1" x14ac:dyDescent="0.35">
      <c r="L6067" s="2"/>
      <c r="M6067" s="2"/>
      <c r="N6067" s="650"/>
      <c r="O6067" s="650"/>
      <c r="P6067" s="651"/>
      <c r="Q6067" s="651"/>
      <c r="R6067" s="651"/>
      <c r="S6067" s="651"/>
    </row>
    <row r="6068" spans="12:19" ht="15.75" customHeight="1" x14ac:dyDescent="0.35">
      <c r="L6068" s="2"/>
      <c r="M6068" s="2"/>
      <c r="N6068" s="650"/>
      <c r="O6068" s="650"/>
      <c r="P6068" s="651"/>
      <c r="Q6068" s="651"/>
      <c r="R6068" s="651"/>
      <c r="S6068" s="651"/>
    </row>
    <row r="6069" spans="12:19" ht="15.75" customHeight="1" x14ac:dyDescent="0.35">
      <c r="L6069" s="2"/>
      <c r="M6069" s="2"/>
      <c r="N6069" s="650"/>
      <c r="O6069" s="650"/>
      <c r="P6069" s="651"/>
      <c r="Q6069" s="651"/>
      <c r="R6069" s="651"/>
      <c r="S6069" s="651"/>
    </row>
    <row r="6070" spans="12:19" ht="15.75" customHeight="1" x14ac:dyDescent="0.35">
      <c r="L6070" s="2"/>
      <c r="M6070" s="2"/>
      <c r="N6070" s="650"/>
      <c r="O6070" s="650"/>
      <c r="P6070" s="651"/>
      <c r="Q6070" s="651"/>
      <c r="R6070" s="651"/>
      <c r="S6070" s="651"/>
    </row>
    <row r="6071" spans="12:19" ht="15.75" customHeight="1" x14ac:dyDescent="0.35">
      <c r="L6071" s="2"/>
      <c r="M6071" s="2"/>
      <c r="N6071" s="650"/>
      <c r="O6071" s="650"/>
      <c r="P6071" s="651"/>
      <c r="Q6071" s="651"/>
      <c r="R6071" s="651"/>
      <c r="S6071" s="651"/>
    </row>
    <row r="6072" spans="12:19" ht="15.75" customHeight="1" x14ac:dyDescent="0.35">
      <c r="L6072" s="2"/>
      <c r="M6072" s="2"/>
      <c r="N6072" s="650"/>
      <c r="O6072" s="650"/>
      <c r="P6072" s="651"/>
      <c r="Q6072" s="651"/>
      <c r="R6072" s="651"/>
      <c r="S6072" s="651"/>
    </row>
    <row r="6073" spans="12:19" ht="15.75" customHeight="1" x14ac:dyDescent="0.35">
      <c r="L6073" s="2"/>
      <c r="M6073" s="2"/>
      <c r="N6073" s="650"/>
      <c r="O6073" s="650"/>
      <c r="P6073" s="651"/>
      <c r="Q6073" s="651"/>
      <c r="R6073" s="651"/>
      <c r="S6073" s="651"/>
    </row>
    <row r="6074" spans="12:19" ht="15.75" customHeight="1" x14ac:dyDescent="0.35">
      <c r="L6074" s="2"/>
      <c r="M6074" s="2"/>
      <c r="N6074" s="650"/>
      <c r="O6074" s="650"/>
      <c r="P6074" s="651"/>
      <c r="Q6074" s="651"/>
      <c r="R6074" s="651"/>
      <c r="S6074" s="651"/>
    </row>
    <row r="6075" spans="12:19" ht="15.75" customHeight="1" x14ac:dyDescent="0.35">
      <c r="L6075" s="2"/>
      <c r="M6075" s="2"/>
      <c r="N6075" s="650"/>
      <c r="O6075" s="650"/>
      <c r="P6075" s="651"/>
      <c r="Q6075" s="651"/>
      <c r="R6075" s="651"/>
      <c r="S6075" s="651"/>
    </row>
    <row r="6076" spans="12:19" ht="15.75" customHeight="1" x14ac:dyDescent="0.35">
      <c r="L6076" s="2"/>
      <c r="M6076" s="2"/>
      <c r="N6076" s="650"/>
      <c r="O6076" s="650"/>
      <c r="P6076" s="651"/>
      <c r="Q6076" s="651"/>
      <c r="R6076" s="651"/>
      <c r="S6076" s="651"/>
    </row>
    <row r="6077" spans="12:19" ht="15.75" customHeight="1" x14ac:dyDescent="0.35">
      <c r="L6077" s="2"/>
      <c r="M6077" s="2"/>
      <c r="N6077" s="650"/>
      <c r="O6077" s="650"/>
      <c r="P6077" s="651"/>
      <c r="Q6077" s="651"/>
      <c r="R6077" s="651"/>
      <c r="S6077" s="651"/>
    </row>
    <row r="6078" spans="12:19" ht="15.75" customHeight="1" x14ac:dyDescent="0.35">
      <c r="L6078" s="2"/>
      <c r="M6078" s="2"/>
      <c r="N6078" s="650"/>
      <c r="O6078" s="650"/>
      <c r="P6078" s="651"/>
      <c r="Q6078" s="651"/>
      <c r="R6078" s="651"/>
      <c r="S6078" s="651"/>
    </row>
    <row r="6079" spans="12:19" ht="15.75" customHeight="1" x14ac:dyDescent="0.35">
      <c r="L6079" s="2"/>
      <c r="M6079" s="2"/>
      <c r="N6079" s="650"/>
      <c r="O6079" s="650"/>
      <c r="P6079" s="651"/>
      <c r="Q6079" s="651"/>
      <c r="R6079" s="651"/>
      <c r="S6079" s="651"/>
    </row>
    <row r="6080" spans="12:19" ht="15.75" customHeight="1" x14ac:dyDescent="0.35">
      <c r="L6080" s="2"/>
      <c r="M6080" s="2"/>
      <c r="N6080" s="650"/>
      <c r="O6080" s="650"/>
      <c r="P6080" s="651"/>
      <c r="Q6080" s="651"/>
      <c r="R6080" s="651"/>
      <c r="S6080" s="651"/>
    </row>
    <row r="6081" spans="12:19" ht="15.75" customHeight="1" x14ac:dyDescent="0.35">
      <c r="L6081" s="2"/>
      <c r="M6081" s="2"/>
      <c r="N6081" s="650"/>
      <c r="O6081" s="650"/>
      <c r="P6081" s="651"/>
      <c r="Q6081" s="651"/>
      <c r="R6081" s="651"/>
      <c r="S6081" s="651"/>
    </row>
    <row r="6082" spans="12:19" ht="15.75" customHeight="1" x14ac:dyDescent="0.35">
      <c r="L6082" s="2"/>
      <c r="M6082" s="2"/>
      <c r="N6082" s="650"/>
      <c r="O6082" s="650"/>
      <c r="P6082" s="651"/>
      <c r="Q6082" s="651"/>
      <c r="R6082" s="651"/>
      <c r="S6082" s="651"/>
    </row>
    <row r="6083" spans="12:19" ht="15.75" customHeight="1" x14ac:dyDescent="0.35">
      <c r="L6083" s="2"/>
      <c r="M6083" s="2"/>
      <c r="N6083" s="650"/>
      <c r="O6083" s="650"/>
      <c r="P6083" s="651"/>
      <c r="Q6083" s="651"/>
      <c r="R6083" s="651"/>
      <c r="S6083" s="651"/>
    </row>
    <row r="6084" spans="12:19" ht="15.75" customHeight="1" x14ac:dyDescent="0.35">
      <c r="L6084" s="2"/>
      <c r="M6084" s="2"/>
      <c r="N6084" s="650"/>
      <c r="O6084" s="650"/>
      <c r="P6084" s="651"/>
      <c r="Q6084" s="651"/>
      <c r="R6084" s="651"/>
      <c r="S6084" s="651"/>
    </row>
    <row r="6085" spans="12:19" ht="15.75" customHeight="1" x14ac:dyDescent="0.35">
      <c r="L6085" s="2"/>
      <c r="M6085" s="2"/>
      <c r="N6085" s="650"/>
      <c r="O6085" s="650"/>
      <c r="P6085" s="651"/>
      <c r="Q6085" s="651"/>
      <c r="R6085" s="651"/>
      <c r="S6085" s="651"/>
    </row>
    <row r="6086" spans="12:19" ht="15.75" customHeight="1" x14ac:dyDescent="0.35">
      <c r="L6086" s="2"/>
      <c r="M6086" s="2"/>
      <c r="N6086" s="650"/>
      <c r="O6086" s="650"/>
      <c r="P6086" s="651"/>
      <c r="Q6086" s="651"/>
      <c r="R6086" s="651"/>
      <c r="S6086" s="651"/>
    </row>
    <row r="6087" spans="12:19" ht="15.75" customHeight="1" x14ac:dyDescent="0.35">
      <c r="L6087" s="2"/>
      <c r="M6087" s="2"/>
      <c r="N6087" s="650"/>
      <c r="O6087" s="650"/>
      <c r="P6087" s="651"/>
      <c r="Q6087" s="651"/>
      <c r="R6087" s="651"/>
      <c r="S6087" s="651"/>
    </row>
    <row r="6088" spans="12:19" ht="15.75" customHeight="1" x14ac:dyDescent="0.35">
      <c r="L6088" s="2"/>
      <c r="M6088" s="2"/>
      <c r="N6088" s="650"/>
      <c r="O6088" s="650"/>
      <c r="P6088" s="651"/>
      <c r="Q6088" s="651"/>
      <c r="R6088" s="651"/>
      <c r="S6088" s="651"/>
    </row>
    <row r="6089" spans="12:19" ht="15.75" customHeight="1" x14ac:dyDescent="0.35">
      <c r="L6089" s="2"/>
      <c r="M6089" s="2"/>
      <c r="N6089" s="650"/>
      <c r="O6089" s="650"/>
      <c r="P6089" s="651"/>
      <c r="Q6089" s="651"/>
      <c r="R6089" s="651"/>
      <c r="S6089" s="651"/>
    </row>
    <row r="6090" spans="12:19" ht="15.75" customHeight="1" x14ac:dyDescent="0.35">
      <c r="L6090" s="2"/>
      <c r="M6090" s="2"/>
      <c r="N6090" s="650"/>
      <c r="O6090" s="650"/>
      <c r="P6090" s="651"/>
      <c r="Q6090" s="651"/>
      <c r="R6090" s="651"/>
      <c r="S6090" s="651"/>
    </row>
    <row r="6091" spans="12:19" ht="15.75" customHeight="1" x14ac:dyDescent="0.35">
      <c r="L6091" s="2"/>
      <c r="M6091" s="2"/>
      <c r="N6091" s="650"/>
      <c r="O6091" s="650"/>
      <c r="P6091" s="651"/>
      <c r="Q6091" s="651"/>
      <c r="R6091" s="651"/>
      <c r="S6091" s="651"/>
    </row>
    <row r="6092" spans="12:19" ht="15.75" customHeight="1" x14ac:dyDescent="0.35">
      <c r="L6092" s="2"/>
      <c r="M6092" s="2"/>
      <c r="N6092" s="650"/>
      <c r="O6092" s="650"/>
      <c r="P6092" s="651"/>
      <c r="Q6092" s="651"/>
      <c r="R6092" s="651"/>
      <c r="S6092" s="651"/>
    </row>
    <row r="6093" spans="12:19" ht="15.75" customHeight="1" x14ac:dyDescent="0.35">
      <c r="L6093" s="2"/>
      <c r="M6093" s="2"/>
      <c r="N6093" s="650"/>
      <c r="O6093" s="650"/>
      <c r="P6093" s="651"/>
      <c r="Q6093" s="651"/>
      <c r="R6093" s="651"/>
      <c r="S6093" s="651"/>
    </row>
    <row r="6094" spans="12:19" ht="15.75" customHeight="1" x14ac:dyDescent="0.35">
      <c r="L6094" s="2"/>
      <c r="M6094" s="2"/>
      <c r="N6094" s="650"/>
      <c r="O6094" s="650"/>
      <c r="P6094" s="651"/>
      <c r="Q6094" s="651"/>
      <c r="R6094" s="651"/>
      <c r="S6094" s="651"/>
    </row>
    <row r="6095" spans="12:19" ht="15.75" customHeight="1" x14ac:dyDescent="0.35">
      <c r="L6095" s="2"/>
      <c r="M6095" s="2"/>
      <c r="N6095" s="650"/>
      <c r="O6095" s="650"/>
      <c r="P6095" s="651"/>
      <c r="Q6095" s="651"/>
      <c r="R6095" s="651"/>
      <c r="S6095" s="651"/>
    </row>
    <row r="6096" spans="12:19" ht="15.75" customHeight="1" x14ac:dyDescent="0.35">
      <c r="L6096" s="2"/>
      <c r="M6096" s="2"/>
      <c r="N6096" s="650"/>
      <c r="O6096" s="650"/>
      <c r="P6096" s="651"/>
      <c r="Q6096" s="651"/>
      <c r="R6096" s="651"/>
      <c r="S6096" s="651"/>
    </row>
    <row r="6097" spans="12:19" ht="15.75" customHeight="1" x14ac:dyDescent="0.35">
      <c r="L6097" s="2"/>
      <c r="M6097" s="2"/>
      <c r="N6097" s="650"/>
      <c r="O6097" s="650"/>
      <c r="P6097" s="651"/>
      <c r="Q6097" s="651"/>
      <c r="R6097" s="651"/>
      <c r="S6097" s="651"/>
    </row>
    <row r="6098" spans="12:19" ht="15.75" customHeight="1" x14ac:dyDescent="0.35">
      <c r="L6098" s="2"/>
      <c r="M6098" s="2"/>
      <c r="N6098" s="650"/>
      <c r="O6098" s="650"/>
      <c r="P6098" s="651"/>
      <c r="Q6098" s="651"/>
      <c r="R6098" s="651"/>
      <c r="S6098" s="651"/>
    </row>
    <row r="6099" spans="12:19" ht="15.75" customHeight="1" x14ac:dyDescent="0.35">
      <c r="L6099" s="2"/>
      <c r="M6099" s="2"/>
      <c r="N6099" s="650"/>
      <c r="O6099" s="650"/>
      <c r="P6099" s="651"/>
      <c r="Q6099" s="651"/>
      <c r="R6099" s="651"/>
      <c r="S6099" s="651"/>
    </row>
    <row r="6100" spans="12:19" ht="15.75" customHeight="1" x14ac:dyDescent="0.35">
      <c r="L6100" s="2"/>
      <c r="M6100" s="2"/>
      <c r="N6100" s="650"/>
      <c r="O6100" s="650"/>
      <c r="P6100" s="651"/>
      <c r="Q6100" s="651"/>
      <c r="R6100" s="651"/>
      <c r="S6100" s="651"/>
    </row>
    <row r="6101" spans="12:19" ht="15.75" customHeight="1" x14ac:dyDescent="0.35">
      <c r="L6101" s="2"/>
      <c r="M6101" s="2"/>
      <c r="N6101" s="650"/>
      <c r="O6101" s="650"/>
      <c r="P6101" s="651"/>
      <c r="Q6101" s="651"/>
      <c r="R6101" s="651"/>
      <c r="S6101" s="651"/>
    </row>
    <row r="6102" spans="12:19" ht="15.75" customHeight="1" x14ac:dyDescent="0.35">
      <c r="L6102" s="2"/>
      <c r="M6102" s="2"/>
      <c r="N6102" s="650"/>
      <c r="O6102" s="650"/>
      <c r="P6102" s="651"/>
      <c r="Q6102" s="651"/>
      <c r="R6102" s="651"/>
      <c r="S6102" s="651"/>
    </row>
    <row r="6103" spans="12:19" ht="15.75" customHeight="1" x14ac:dyDescent="0.35">
      <c r="L6103" s="2"/>
      <c r="M6103" s="2"/>
      <c r="N6103" s="650"/>
      <c r="O6103" s="650"/>
      <c r="P6103" s="651"/>
      <c r="Q6103" s="651"/>
      <c r="R6103" s="651"/>
      <c r="S6103" s="651"/>
    </row>
    <row r="6104" spans="12:19" ht="15.75" customHeight="1" x14ac:dyDescent="0.35">
      <c r="L6104" s="2"/>
      <c r="M6104" s="2"/>
      <c r="N6104" s="650"/>
      <c r="O6104" s="650"/>
      <c r="P6104" s="651"/>
      <c r="Q6104" s="651"/>
      <c r="R6104" s="651"/>
      <c r="S6104" s="651"/>
    </row>
    <row r="6105" spans="12:19" ht="15.75" customHeight="1" x14ac:dyDescent="0.35">
      <c r="L6105" s="2"/>
      <c r="M6105" s="2"/>
      <c r="N6105" s="650"/>
      <c r="O6105" s="650"/>
      <c r="P6105" s="651"/>
      <c r="Q6105" s="651"/>
      <c r="R6105" s="651"/>
      <c r="S6105" s="651"/>
    </row>
    <row r="6106" spans="12:19" ht="15.75" customHeight="1" x14ac:dyDescent="0.35">
      <c r="L6106" s="2"/>
      <c r="M6106" s="2"/>
      <c r="N6106" s="650"/>
      <c r="O6106" s="650"/>
      <c r="P6106" s="651"/>
      <c r="Q6106" s="651"/>
      <c r="R6106" s="651"/>
      <c r="S6106" s="651"/>
    </row>
    <row r="6107" spans="12:19" ht="15.75" customHeight="1" x14ac:dyDescent="0.35">
      <c r="L6107" s="2"/>
      <c r="M6107" s="2"/>
      <c r="N6107" s="650"/>
      <c r="O6107" s="650"/>
      <c r="P6107" s="651"/>
      <c r="Q6107" s="651"/>
      <c r="R6107" s="651"/>
      <c r="S6107" s="651"/>
    </row>
    <row r="6108" spans="12:19" ht="15.75" customHeight="1" x14ac:dyDescent="0.35">
      <c r="L6108" s="2"/>
      <c r="M6108" s="2"/>
      <c r="N6108" s="650"/>
      <c r="O6108" s="650"/>
      <c r="P6108" s="651"/>
      <c r="Q6108" s="651"/>
      <c r="R6108" s="651"/>
      <c r="S6108" s="651"/>
    </row>
    <row r="6109" spans="12:19" ht="15.75" customHeight="1" x14ac:dyDescent="0.35">
      <c r="L6109" s="2"/>
      <c r="M6109" s="2"/>
      <c r="N6109" s="650"/>
      <c r="O6109" s="650"/>
      <c r="P6109" s="651"/>
      <c r="Q6109" s="651"/>
      <c r="R6109" s="651"/>
      <c r="S6109" s="651"/>
    </row>
    <row r="6110" spans="12:19" ht="15.75" customHeight="1" x14ac:dyDescent="0.35">
      <c r="L6110" s="2"/>
      <c r="M6110" s="2"/>
      <c r="N6110" s="650"/>
      <c r="O6110" s="650"/>
      <c r="P6110" s="651"/>
      <c r="Q6110" s="651"/>
      <c r="R6110" s="651"/>
      <c r="S6110" s="651"/>
    </row>
    <row r="6111" spans="12:19" ht="15.75" customHeight="1" x14ac:dyDescent="0.35">
      <c r="L6111" s="2"/>
      <c r="M6111" s="2"/>
      <c r="N6111" s="650"/>
      <c r="O6111" s="650"/>
      <c r="P6111" s="651"/>
      <c r="Q6111" s="651"/>
      <c r="R6111" s="651"/>
      <c r="S6111" s="651"/>
    </row>
    <row r="6112" spans="12:19" ht="15.75" customHeight="1" x14ac:dyDescent="0.35">
      <c r="L6112" s="2"/>
      <c r="M6112" s="2"/>
      <c r="N6112" s="650"/>
      <c r="O6112" s="650"/>
      <c r="P6112" s="651"/>
      <c r="Q6112" s="651"/>
      <c r="R6112" s="651"/>
      <c r="S6112" s="651"/>
    </row>
    <row r="6113" spans="12:19" ht="15.75" customHeight="1" x14ac:dyDescent="0.35">
      <c r="L6113" s="2"/>
      <c r="M6113" s="2"/>
      <c r="N6113" s="650"/>
      <c r="O6113" s="650"/>
      <c r="P6113" s="651"/>
      <c r="Q6113" s="651"/>
      <c r="R6113" s="651"/>
      <c r="S6113" s="651"/>
    </row>
    <row r="6114" spans="12:19" ht="15.75" customHeight="1" x14ac:dyDescent="0.35">
      <c r="L6114" s="2"/>
      <c r="M6114" s="2"/>
      <c r="N6114" s="650"/>
      <c r="O6114" s="650"/>
      <c r="P6114" s="651"/>
      <c r="Q6114" s="651"/>
      <c r="R6114" s="651"/>
      <c r="S6114" s="651"/>
    </row>
    <row r="6115" spans="12:19" ht="15.75" customHeight="1" x14ac:dyDescent="0.35">
      <c r="L6115" s="2"/>
      <c r="M6115" s="2"/>
      <c r="N6115" s="650"/>
      <c r="O6115" s="650"/>
      <c r="P6115" s="651"/>
      <c r="Q6115" s="651"/>
      <c r="R6115" s="651"/>
      <c r="S6115" s="651"/>
    </row>
    <row r="6116" spans="12:19" ht="15.75" customHeight="1" x14ac:dyDescent="0.35">
      <c r="L6116" s="2"/>
      <c r="M6116" s="2"/>
      <c r="N6116" s="650"/>
      <c r="O6116" s="650"/>
      <c r="P6116" s="651"/>
      <c r="Q6116" s="651"/>
      <c r="R6116" s="651"/>
      <c r="S6116" s="651"/>
    </row>
    <row r="6117" spans="12:19" ht="15.75" customHeight="1" x14ac:dyDescent="0.35">
      <c r="L6117" s="2"/>
      <c r="M6117" s="2"/>
      <c r="N6117" s="650"/>
      <c r="O6117" s="650"/>
      <c r="P6117" s="651"/>
      <c r="Q6117" s="651"/>
      <c r="R6117" s="651"/>
      <c r="S6117" s="651"/>
    </row>
    <row r="6118" spans="12:19" ht="15.75" customHeight="1" x14ac:dyDescent="0.35">
      <c r="L6118" s="2"/>
      <c r="M6118" s="2"/>
      <c r="N6118" s="650"/>
      <c r="O6118" s="650"/>
      <c r="P6118" s="651"/>
      <c r="Q6118" s="651"/>
      <c r="R6118" s="651"/>
      <c r="S6118" s="651"/>
    </row>
    <row r="6119" spans="12:19" ht="15.75" customHeight="1" x14ac:dyDescent="0.35">
      <c r="L6119" s="2"/>
      <c r="M6119" s="2"/>
      <c r="N6119" s="650"/>
      <c r="O6119" s="650"/>
      <c r="P6119" s="651"/>
      <c r="Q6119" s="651"/>
      <c r="R6119" s="651"/>
      <c r="S6119" s="651"/>
    </row>
    <row r="6120" spans="12:19" ht="15.75" customHeight="1" x14ac:dyDescent="0.35">
      <c r="L6120" s="2"/>
      <c r="M6120" s="2"/>
      <c r="N6120" s="650"/>
      <c r="O6120" s="650"/>
      <c r="P6120" s="651"/>
      <c r="Q6120" s="651"/>
      <c r="R6120" s="651"/>
      <c r="S6120" s="651"/>
    </row>
    <row r="6121" spans="12:19" ht="15.75" customHeight="1" x14ac:dyDescent="0.35">
      <c r="L6121" s="2"/>
      <c r="M6121" s="2"/>
      <c r="N6121" s="650"/>
      <c r="O6121" s="650"/>
      <c r="P6121" s="651"/>
      <c r="Q6121" s="651"/>
      <c r="R6121" s="651"/>
      <c r="S6121" s="651"/>
    </row>
    <row r="6122" spans="12:19" ht="15.75" customHeight="1" x14ac:dyDescent="0.35">
      <c r="L6122" s="2"/>
      <c r="M6122" s="2"/>
      <c r="N6122" s="650"/>
      <c r="O6122" s="650"/>
      <c r="P6122" s="651"/>
      <c r="Q6122" s="651"/>
      <c r="R6122" s="651"/>
      <c r="S6122" s="651"/>
    </row>
    <row r="6123" spans="12:19" ht="15.75" customHeight="1" x14ac:dyDescent="0.35">
      <c r="L6123" s="2"/>
      <c r="M6123" s="2"/>
      <c r="N6123" s="650"/>
      <c r="O6123" s="650"/>
      <c r="P6123" s="651"/>
      <c r="Q6123" s="651"/>
      <c r="R6123" s="651"/>
      <c r="S6123" s="651"/>
    </row>
    <row r="6124" spans="12:19" ht="15.75" customHeight="1" x14ac:dyDescent="0.35">
      <c r="L6124" s="2"/>
      <c r="M6124" s="2"/>
      <c r="N6124" s="650"/>
      <c r="O6124" s="650"/>
      <c r="P6124" s="651"/>
      <c r="Q6124" s="651"/>
      <c r="R6124" s="651"/>
      <c r="S6124" s="651"/>
    </row>
    <row r="6125" spans="12:19" ht="15.75" customHeight="1" x14ac:dyDescent="0.35">
      <c r="L6125" s="2"/>
      <c r="M6125" s="2"/>
      <c r="N6125" s="650"/>
      <c r="O6125" s="650"/>
      <c r="P6125" s="651"/>
      <c r="Q6125" s="651"/>
      <c r="R6125" s="651"/>
      <c r="S6125" s="651"/>
    </row>
    <row r="6126" spans="12:19" ht="15.75" customHeight="1" x14ac:dyDescent="0.35">
      <c r="L6126" s="2"/>
      <c r="M6126" s="2"/>
      <c r="N6126" s="650"/>
      <c r="O6126" s="650"/>
      <c r="P6126" s="651"/>
      <c r="Q6126" s="651"/>
      <c r="R6126" s="651"/>
      <c r="S6126" s="651"/>
    </row>
    <row r="6127" spans="12:19" ht="15.75" customHeight="1" x14ac:dyDescent="0.35">
      <c r="L6127" s="2"/>
      <c r="M6127" s="2"/>
      <c r="N6127" s="650"/>
      <c r="O6127" s="650"/>
      <c r="P6127" s="651"/>
      <c r="Q6127" s="651"/>
      <c r="R6127" s="651"/>
      <c r="S6127" s="651"/>
    </row>
    <row r="6128" spans="12:19" ht="15.75" customHeight="1" x14ac:dyDescent="0.35">
      <c r="L6128" s="2"/>
      <c r="M6128" s="2"/>
      <c r="N6128" s="650"/>
      <c r="O6128" s="650"/>
      <c r="P6128" s="651"/>
      <c r="Q6128" s="651"/>
      <c r="R6128" s="651"/>
      <c r="S6128" s="651"/>
    </row>
    <row r="6129" spans="12:19" ht="15.75" customHeight="1" x14ac:dyDescent="0.35">
      <c r="L6129" s="2"/>
      <c r="M6129" s="2"/>
      <c r="N6129" s="650"/>
      <c r="O6129" s="650"/>
      <c r="P6129" s="651"/>
      <c r="Q6129" s="651"/>
      <c r="R6129" s="651"/>
      <c r="S6129" s="651"/>
    </row>
    <row r="6130" spans="12:19" ht="15.75" customHeight="1" x14ac:dyDescent="0.35">
      <c r="L6130" s="2"/>
      <c r="M6130" s="2"/>
      <c r="N6130" s="650"/>
      <c r="O6130" s="650"/>
      <c r="P6130" s="651"/>
      <c r="Q6130" s="651"/>
      <c r="R6130" s="651"/>
      <c r="S6130" s="651"/>
    </row>
    <row r="6131" spans="12:19" ht="15.75" customHeight="1" x14ac:dyDescent="0.35">
      <c r="L6131" s="2"/>
      <c r="M6131" s="2"/>
      <c r="N6131" s="650"/>
      <c r="O6131" s="650"/>
      <c r="P6131" s="651"/>
      <c r="Q6131" s="651"/>
      <c r="R6131" s="651"/>
      <c r="S6131" s="651"/>
    </row>
    <row r="6132" spans="12:19" ht="15.75" customHeight="1" x14ac:dyDescent="0.35">
      <c r="L6132" s="2"/>
      <c r="M6132" s="2"/>
      <c r="N6132" s="650"/>
      <c r="O6132" s="650"/>
      <c r="P6132" s="651"/>
      <c r="Q6132" s="651"/>
      <c r="R6132" s="651"/>
      <c r="S6132" s="651"/>
    </row>
    <row r="6133" spans="12:19" ht="15.75" customHeight="1" x14ac:dyDescent="0.35">
      <c r="L6133" s="2"/>
      <c r="M6133" s="2"/>
      <c r="N6133" s="650"/>
      <c r="O6133" s="650"/>
      <c r="P6133" s="651"/>
      <c r="Q6133" s="651"/>
      <c r="R6133" s="651"/>
      <c r="S6133" s="651"/>
    </row>
    <row r="6134" spans="12:19" ht="15.75" customHeight="1" x14ac:dyDescent="0.35">
      <c r="L6134" s="2"/>
      <c r="M6134" s="2"/>
      <c r="N6134" s="650"/>
      <c r="O6134" s="650"/>
      <c r="P6134" s="651"/>
      <c r="Q6134" s="651"/>
      <c r="R6134" s="651"/>
      <c r="S6134" s="651"/>
    </row>
    <row r="6135" spans="12:19" ht="15.75" customHeight="1" x14ac:dyDescent="0.35">
      <c r="L6135" s="2"/>
      <c r="M6135" s="2"/>
      <c r="N6135" s="650"/>
      <c r="O6135" s="650"/>
      <c r="P6135" s="651"/>
      <c r="Q6135" s="651"/>
      <c r="R6135" s="651"/>
      <c r="S6135" s="651"/>
    </row>
    <row r="6136" spans="12:19" ht="15.75" customHeight="1" x14ac:dyDescent="0.35">
      <c r="L6136" s="2"/>
      <c r="M6136" s="2"/>
      <c r="N6136" s="650"/>
      <c r="O6136" s="650"/>
      <c r="P6136" s="651"/>
      <c r="Q6136" s="651"/>
      <c r="R6136" s="651"/>
      <c r="S6136" s="651"/>
    </row>
    <row r="6137" spans="12:19" ht="15.75" customHeight="1" x14ac:dyDescent="0.35">
      <c r="L6137" s="2"/>
      <c r="M6137" s="2"/>
      <c r="N6137" s="650"/>
      <c r="O6137" s="650"/>
      <c r="P6137" s="651"/>
      <c r="Q6137" s="651"/>
      <c r="R6137" s="651"/>
      <c r="S6137" s="651"/>
    </row>
    <row r="6138" spans="12:19" ht="15.75" customHeight="1" x14ac:dyDescent="0.35">
      <c r="L6138" s="2"/>
      <c r="M6138" s="2"/>
      <c r="N6138" s="650"/>
      <c r="O6138" s="650"/>
      <c r="P6138" s="651"/>
      <c r="Q6138" s="651"/>
      <c r="R6138" s="651"/>
      <c r="S6138" s="651"/>
    </row>
    <row r="6139" spans="12:19" ht="15.75" customHeight="1" x14ac:dyDescent="0.35">
      <c r="L6139" s="2"/>
      <c r="M6139" s="2"/>
      <c r="N6139" s="650"/>
      <c r="O6139" s="650"/>
      <c r="P6139" s="651"/>
      <c r="Q6139" s="651"/>
      <c r="R6139" s="651"/>
      <c r="S6139" s="651"/>
    </row>
    <row r="6140" spans="12:19" ht="15.75" customHeight="1" x14ac:dyDescent="0.35">
      <c r="L6140" s="2"/>
      <c r="M6140" s="2"/>
      <c r="N6140" s="650"/>
      <c r="O6140" s="650"/>
      <c r="P6140" s="651"/>
      <c r="Q6140" s="651"/>
      <c r="R6140" s="651"/>
      <c r="S6140" s="651"/>
    </row>
    <row r="6141" spans="12:19" ht="15.75" customHeight="1" x14ac:dyDescent="0.35">
      <c r="L6141" s="2"/>
      <c r="M6141" s="2"/>
      <c r="N6141" s="650"/>
      <c r="O6141" s="650"/>
      <c r="P6141" s="651"/>
      <c r="Q6141" s="651"/>
      <c r="R6141" s="651"/>
      <c r="S6141" s="651"/>
    </row>
    <row r="6142" spans="12:19" ht="15.75" customHeight="1" x14ac:dyDescent="0.35">
      <c r="L6142" s="2"/>
      <c r="M6142" s="2"/>
      <c r="N6142" s="650"/>
      <c r="O6142" s="650"/>
      <c r="P6142" s="651"/>
      <c r="Q6142" s="651"/>
      <c r="R6142" s="651"/>
      <c r="S6142" s="651"/>
    </row>
    <row r="6143" spans="12:19" ht="15.75" customHeight="1" x14ac:dyDescent="0.35">
      <c r="L6143" s="2"/>
      <c r="M6143" s="2"/>
      <c r="N6143" s="650"/>
      <c r="O6143" s="650"/>
      <c r="P6143" s="651"/>
      <c r="Q6143" s="651"/>
      <c r="R6143" s="651"/>
      <c r="S6143" s="651"/>
    </row>
    <row r="6144" spans="12:19" ht="15.75" customHeight="1" x14ac:dyDescent="0.35">
      <c r="L6144" s="2"/>
      <c r="M6144" s="2"/>
      <c r="N6144" s="650"/>
      <c r="O6144" s="650"/>
      <c r="P6144" s="651"/>
      <c r="Q6144" s="651"/>
      <c r="R6144" s="651"/>
      <c r="S6144" s="651"/>
    </row>
    <row r="6145" spans="12:19" ht="15.75" customHeight="1" x14ac:dyDescent="0.35">
      <c r="L6145" s="2"/>
      <c r="M6145" s="2"/>
      <c r="N6145" s="650"/>
      <c r="O6145" s="650"/>
      <c r="P6145" s="651"/>
      <c r="Q6145" s="651"/>
      <c r="R6145" s="651"/>
      <c r="S6145" s="651"/>
    </row>
    <row r="6146" spans="12:19" ht="15.75" customHeight="1" x14ac:dyDescent="0.35">
      <c r="L6146" s="2"/>
      <c r="M6146" s="2"/>
      <c r="N6146" s="650"/>
      <c r="O6146" s="650"/>
      <c r="P6146" s="651"/>
      <c r="Q6146" s="651"/>
      <c r="R6146" s="651"/>
      <c r="S6146" s="651"/>
    </row>
    <row r="6147" spans="12:19" ht="15.75" customHeight="1" x14ac:dyDescent="0.35">
      <c r="L6147" s="2"/>
      <c r="M6147" s="2"/>
      <c r="N6147" s="650"/>
      <c r="O6147" s="650"/>
      <c r="P6147" s="651"/>
      <c r="Q6147" s="651"/>
      <c r="R6147" s="651"/>
      <c r="S6147" s="651"/>
    </row>
    <row r="6148" spans="12:19" ht="15.75" customHeight="1" x14ac:dyDescent="0.35">
      <c r="L6148" s="2"/>
      <c r="M6148" s="2"/>
      <c r="N6148" s="650"/>
      <c r="O6148" s="650"/>
      <c r="P6148" s="651"/>
      <c r="Q6148" s="651"/>
      <c r="R6148" s="651"/>
      <c r="S6148" s="651"/>
    </row>
    <row r="6149" spans="12:19" ht="15.75" customHeight="1" x14ac:dyDescent="0.35">
      <c r="L6149" s="2"/>
      <c r="M6149" s="2"/>
      <c r="N6149" s="650"/>
      <c r="O6149" s="650"/>
      <c r="P6149" s="651"/>
      <c r="Q6149" s="651"/>
      <c r="R6149" s="651"/>
      <c r="S6149" s="651"/>
    </row>
    <row r="6150" spans="12:19" ht="15.75" customHeight="1" x14ac:dyDescent="0.35">
      <c r="L6150" s="2"/>
      <c r="M6150" s="2"/>
      <c r="N6150" s="650"/>
      <c r="O6150" s="650"/>
      <c r="P6150" s="651"/>
      <c r="Q6150" s="651"/>
      <c r="R6150" s="651"/>
      <c r="S6150" s="651"/>
    </row>
    <row r="6151" spans="12:19" ht="15.75" customHeight="1" x14ac:dyDescent="0.35">
      <c r="L6151" s="2"/>
      <c r="M6151" s="2"/>
      <c r="N6151" s="650"/>
      <c r="O6151" s="650"/>
      <c r="P6151" s="651"/>
      <c r="Q6151" s="651"/>
      <c r="R6151" s="651"/>
      <c r="S6151" s="651"/>
    </row>
    <row r="6152" spans="12:19" ht="15.75" customHeight="1" x14ac:dyDescent="0.35">
      <c r="L6152" s="2"/>
      <c r="M6152" s="2"/>
      <c r="N6152" s="650"/>
      <c r="O6152" s="650"/>
      <c r="P6152" s="651"/>
      <c r="Q6152" s="651"/>
      <c r="R6152" s="651"/>
      <c r="S6152" s="651"/>
    </row>
    <row r="6153" spans="12:19" ht="15.75" customHeight="1" x14ac:dyDescent="0.35">
      <c r="L6153" s="2"/>
      <c r="M6153" s="2"/>
      <c r="N6153" s="650"/>
      <c r="O6153" s="650"/>
      <c r="P6153" s="651"/>
      <c r="Q6153" s="651"/>
      <c r="R6153" s="651"/>
      <c r="S6153" s="651"/>
    </row>
    <row r="6154" spans="12:19" ht="15.75" customHeight="1" x14ac:dyDescent="0.35">
      <c r="L6154" s="2"/>
      <c r="M6154" s="2"/>
      <c r="N6154" s="650"/>
      <c r="O6154" s="650"/>
      <c r="P6154" s="651"/>
      <c r="Q6154" s="651"/>
      <c r="R6154" s="651"/>
      <c r="S6154" s="651"/>
    </row>
    <row r="6155" spans="12:19" ht="15.75" customHeight="1" x14ac:dyDescent="0.35">
      <c r="L6155" s="2"/>
      <c r="M6155" s="2"/>
      <c r="N6155" s="650"/>
      <c r="O6155" s="650"/>
      <c r="P6155" s="651"/>
      <c r="Q6155" s="651"/>
      <c r="R6155" s="651"/>
      <c r="S6155" s="651"/>
    </row>
    <row r="6156" spans="12:19" ht="15.75" customHeight="1" x14ac:dyDescent="0.35">
      <c r="L6156" s="2"/>
      <c r="M6156" s="2"/>
      <c r="N6156" s="650"/>
      <c r="O6156" s="650"/>
      <c r="P6156" s="651"/>
      <c r="Q6156" s="651"/>
      <c r="R6156" s="651"/>
      <c r="S6156" s="651"/>
    </row>
    <row r="6157" spans="12:19" ht="15.75" customHeight="1" x14ac:dyDescent="0.35">
      <c r="L6157" s="2"/>
      <c r="M6157" s="2"/>
      <c r="N6157" s="650"/>
      <c r="O6157" s="650"/>
      <c r="P6157" s="651"/>
      <c r="Q6157" s="651"/>
      <c r="R6157" s="651"/>
      <c r="S6157" s="651"/>
    </row>
    <row r="6158" spans="12:19" ht="15.75" customHeight="1" x14ac:dyDescent="0.35">
      <c r="L6158" s="2"/>
      <c r="M6158" s="2"/>
      <c r="N6158" s="650"/>
      <c r="O6158" s="650"/>
      <c r="P6158" s="651"/>
      <c r="Q6158" s="651"/>
      <c r="R6158" s="651"/>
      <c r="S6158" s="651"/>
    </row>
    <row r="6159" spans="12:19" ht="15.75" customHeight="1" x14ac:dyDescent="0.35">
      <c r="L6159" s="2"/>
      <c r="M6159" s="2"/>
      <c r="N6159" s="650"/>
      <c r="O6159" s="650"/>
      <c r="P6159" s="651"/>
      <c r="Q6159" s="651"/>
      <c r="R6159" s="651"/>
      <c r="S6159" s="651"/>
    </row>
    <row r="6160" spans="12:19" ht="15.75" customHeight="1" x14ac:dyDescent="0.35">
      <c r="L6160" s="2"/>
      <c r="M6160" s="2"/>
      <c r="N6160" s="650"/>
      <c r="O6160" s="650"/>
      <c r="P6160" s="651"/>
      <c r="Q6160" s="651"/>
      <c r="R6160" s="651"/>
      <c r="S6160" s="651"/>
    </row>
    <row r="6161" spans="12:19" ht="15.75" customHeight="1" x14ac:dyDescent="0.35">
      <c r="L6161" s="2"/>
      <c r="M6161" s="2"/>
      <c r="N6161" s="650"/>
      <c r="O6161" s="650"/>
      <c r="P6161" s="651"/>
      <c r="Q6161" s="651"/>
      <c r="R6161" s="651"/>
      <c r="S6161" s="651"/>
    </row>
    <row r="6162" spans="12:19" ht="15.75" customHeight="1" x14ac:dyDescent="0.35">
      <c r="L6162" s="2"/>
      <c r="M6162" s="2"/>
      <c r="N6162" s="650"/>
      <c r="O6162" s="650"/>
      <c r="P6162" s="651"/>
      <c r="Q6162" s="651"/>
      <c r="R6162" s="651"/>
      <c r="S6162" s="651"/>
    </row>
    <row r="6163" spans="12:19" ht="15.75" customHeight="1" x14ac:dyDescent="0.35">
      <c r="L6163" s="2"/>
      <c r="M6163" s="2"/>
      <c r="N6163" s="650"/>
      <c r="O6163" s="650"/>
      <c r="P6163" s="651"/>
      <c r="Q6163" s="651"/>
      <c r="R6163" s="651"/>
      <c r="S6163" s="651"/>
    </row>
    <row r="6164" spans="12:19" ht="15.75" customHeight="1" x14ac:dyDescent="0.35">
      <c r="L6164" s="2"/>
      <c r="M6164" s="2"/>
      <c r="N6164" s="650"/>
      <c r="O6164" s="650"/>
      <c r="P6164" s="651"/>
      <c r="Q6164" s="651"/>
      <c r="R6164" s="651"/>
      <c r="S6164" s="651"/>
    </row>
    <row r="6165" spans="12:19" ht="15.75" customHeight="1" x14ac:dyDescent="0.35">
      <c r="L6165" s="2"/>
      <c r="M6165" s="2"/>
      <c r="N6165" s="650"/>
      <c r="O6165" s="650"/>
      <c r="P6165" s="651"/>
      <c r="Q6165" s="651"/>
      <c r="R6165" s="651"/>
      <c r="S6165" s="651"/>
    </row>
    <row r="6166" spans="12:19" ht="15.75" customHeight="1" x14ac:dyDescent="0.35">
      <c r="L6166" s="2"/>
      <c r="M6166" s="2"/>
      <c r="N6166" s="650"/>
      <c r="O6166" s="650"/>
      <c r="P6166" s="651"/>
      <c r="Q6166" s="651"/>
      <c r="R6166" s="651"/>
      <c r="S6166" s="651"/>
    </row>
    <row r="6167" spans="12:19" ht="15.75" customHeight="1" x14ac:dyDescent="0.35">
      <c r="L6167" s="2"/>
      <c r="M6167" s="2"/>
      <c r="N6167" s="650"/>
      <c r="O6167" s="650"/>
      <c r="P6167" s="651"/>
      <c r="Q6167" s="651"/>
      <c r="R6167" s="651"/>
      <c r="S6167" s="651"/>
    </row>
    <row r="6168" spans="12:19" ht="15.75" customHeight="1" x14ac:dyDescent="0.35">
      <c r="L6168" s="2"/>
      <c r="M6168" s="2"/>
      <c r="N6168" s="650"/>
      <c r="O6168" s="650"/>
      <c r="P6168" s="651"/>
      <c r="Q6168" s="651"/>
      <c r="R6168" s="651"/>
      <c r="S6168" s="651"/>
    </row>
    <row r="6169" spans="12:19" ht="15.75" customHeight="1" x14ac:dyDescent="0.35">
      <c r="L6169" s="2"/>
      <c r="M6169" s="2"/>
      <c r="N6169" s="650"/>
      <c r="O6169" s="650"/>
      <c r="P6169" s="651"/>
      <c r="Q6169" s="651"/>
      <c r="R6169" s="651"/>
      <c r="S6169" s="651"/>
    </row>
    <row r="6170" spans="12:19" ht="15.75" customHeight="1" x14ac:dyDescent="0.35">
      <c r="L6170" s="2"/>
      <c r="M6170" s="2"/>
      <c r="N6170" s="650"/>
      <c r="O6170" s="650"/>
      <c r="P6170" s="651"/>
      <c r="Q6170" s="651"/>
      <c r="R6170" s="651"/>
      <c r="S6170" s="651"/>
    </row>
    <row r="6171" spans="12:19" ht="15.75" customHeight="1" x14ac:dyDescent="0.35">
      <c r="L6171" s="2"/>
      <c r="M6171" s="2"/>
      <c r="N6171" s="650"/>
      <c r="O6171" s="650"/>
      <c r="P6171" s="651"/>
      <c r="Q6171" s="651"/>
      <c r="R6171" s="651"/>
      <c r="S6171" s="651"/>
    </row>
    <row r="6172" spans="12:19" ht="15.75" customHeight="1" x14ac:dyDescent="0.35">
      <c r="L6172" s="2"/>
      <c r="M6172" s="2"/>
      <c r="N6172" s="650"/>
      <c r="O6172" s="650"/>
      <c r="P6172" s="651"/>
      <c r="Q6172" s="651"/>
      <c r="R6172" s="651"/>
      <c r="S6172" s="651"/>
    </row>
    <row r="6173" spans="12:19" ht="15.75" customHeight="1" x14ac:dyDescent="0.35">
      <c r="L6173" s="2"/>
      <c r="M6173" s="2"/>
      <c r="N6173" s="650"/>
      <c r="O6173" s="650"/>
      <c r="P6173" s="651"/>
      <c r="Q6173" s="651"/>
      <c r="R6173" s="651"/>
      <c r="S6173" s="651"/>
    </row>
    <row r="6174" spans="12:19" ht="15.75" customHeight="1" x14ac:dyDescent="0.35">
      <c r="L6174" s="2"/>
      <c r="M6174" s="2"/>
      <c r="N6174" s="650"/>
      <c r="O6174" s="650"/>
      <c r="P6174" s="651"/>
      <c r="Q6174" s="651"/>
      <c r="R6174" s="651"/>
      <c r="S6174" s="651"/>
    </row>
    <row r="6175" spans="12:19" ht="15.75" customHeight="1" x14ac:dyDescent="0.35">
      <c r="L6175" s="2"/>
      <c r="M6175" s="2"/>
      <c r="N6175" s="650"/>
      <c r="O6175" s="650"/>
      <c r="P6175" s="651"/>
      <c r="Q6175" s="651"/>
      <c r="R6175" s="651"/>
      <c r="S6175" s="651"/>
    </row>
    <row r="6176" spans="12:19" ht="15.75" customHeight="1" x14ac:dyDescent="0.35">
      <c r="L6176" s="2"/>
      <c r="M6176" s="2"/>
      <c r="N6176" s="650"/>
      <c r="O6176" s="650"/>
      <c r="P6176" s="651"/>
      <c r="Q6176" s="651"/>
      <c r="R6176" s="651"/>
      <c r="S6176" s="651"/>
    </row>
    <row r="6177" spans="12:19" ht="15.75" customHeight="1" x14ac:dyDescent="0.35">
      <c r="L6177" s="2"/>
      <c r="M6177" s="2"/>
      <c r="N6177" s="650"/>
      <c r="O6177" s="650"/>
      <c r="P6177" s="651"/>
      <c r="Q6177" s="651"/>
      <c r="R6177" s="651"/>
      <c r="S6177" s="651"/>
    </row>
    <row r="6178" spans="12:19" ht="15.75" customHeight="1" x14ac:dyDescent="0.35">
      <c r="L6178" s="2"/>
      <c r="M6178" s="2"/>
      <c r="N6178" s="650"/>
      <c r="O6178" s="650"/>
      <c r="P6178" s="651"/>
      <c r="Q6178" s="651"/>
      <c r="R6178" s="651"/>
      <c r="S6178" s="651"/>
    </row>
    <row r="6179" spans="12:19" ht="15.75" customHeight="1" x14ac:dyDescent="0.35">
      <c r="L6179" s="2"/>
      <c r="M6179" s="2"/>
      <c r="N6179" s="650"/>
      <c r="O6179" s="650"/>
      <c r="P6179" s="651"/>
      <c r="Q6179" s="651"/>
      <c r="R6179" s="651"/>
      <c r="S6179" s="651"/>
    </row>
    <row r="6180" spans="12:19" ht="15.75" customHeight="1" x14ac:dyDescent="0.35">
      <c r="L6180" s="2"/>
      <c r="M6180" s="2"/>
      <c r="N6180" s="650"/>
      <c r="O6180" s="650"/>
      <c r="P6180" s="651"/>
      <c r="Q6180" s="651"/>
      <c r="R6180" s="651"/>
      <c r="S6180" s="651"/>
    </row>
    <row r="6181" spans="12:19" ht="15.75" customHeight="1" x14ac:dyDescent="0.35">
      <c r="L6181" s="2"/>
      <c r="M6181" s="2"/>
      <c r="N6181" s="650"/>
      <c r="O6181" s="650"/>
      <c r="P6181" s="651"/>
      <c r="Q6181" s="651"/>
      <c r="R6181" s="651"/>
      <c r="S6181" s="651"/>
    </row>
    <row r="6182" spans="12:19" ht="15.75" customHeight="1" x14ac:dyDescent="0.35">
      <c r="L6182" s="2"/>
      <c r="M6182" s="2"/>
      <c r="N6182" s="650"/>
      <c r="O6182" s="650"/>
      <c r="P6182" s="651"/>
      <c r="Q6182" s="651"/>
      <c r="R6182" s="651"/>
      <c r="S6182" s="651"/>
    </row>
    <row r="6183" spans="12:19" ht="15.75" customHeight="1" x14ac:dyDescent="0.35">
      <c r="L6183" s="2"/>
      <c r="M6183" s="2"/>
      <c r="N6183" s="650"/>
      <c r="O6183" s="650"/>
      <c r="P6183" s="651"/>
      <c r="Q6183" s="651"/>
      <c r="R6183" s="651"/>
      <c r="S6183" s="651"/>
    </row>
    <row r="6184" spans="12:19" ht="15.75" customHeight="1" x14ac:dyDescent="0.35">
      <c r="L6184" s="2"/>
      <c r="M6184" s="2"/>
      <c r="N6184" s="650"/>
      <c r="O6184" s="650"/>
      <c r="P6184" s="651"/>
      <c r="Q6184" s="651"/>
      <c r="R6184" s="651"/>
      <c r="S6184" s="651"/>
    </row>
    <row r="6185" spans="12:19" ht="15.75" customHeight="1" x14ac:dyDescent="0.35">
      <c r="L6185" s="2"/>
      <c r="M6185" s="2"/>
      <c r="N6185" s="650"/>
      <c r="O6185" s="650"/>
      <c r="P6185" s="651"/>
      <c r="Q6185" s="651"/>
      <c r="R6185" s="651"/>
      <c r="S6185" s="651"/>
    </row>
    <row r="6186" spans="12:19" ht="15.75" customHeight="1" x14ac:dyDescent="0.35">
      <c r="L6186" s="2"/>
      <c r="M6186" s="2"/>
      <c r="N6186" s="650"/>
      <c r="O6186" s="650"/>
      <c r="P6186" s="651"/>
      <c r="Q6186" s="651"/>
      <c r="R6186" s="651"/>
      <c r="S6186" s="651"/>
    </row>
    <row r="6187" spans="12:19" ht="15.75" customHeight="1" x14ac:dyDescent="0.35">
      <c r="L6187" s="2"/>
      <c r="M6187" s="2"/>
      <c r="N6187" s="650"/>
      <c r="O6187" s="650"/>
      <c r="P6187" s="651"/>
      <c r="Q6187" s="651"/>
      <c r="R6187" s="651"/>
      <c r="S6187" s="651"/>
    </row>
    <row r="6188" spans="12:19" ht="15.75" customHeight="1" x14ac:dyDescent="0.35">
      <c r="L6188" s="2"/>
      <c r="M6188" s="2"/>
      <c r="N6188" s="650"/>
      <c r="O6188" s="650"/>
      <c r="P6188" s="651"/>
      <c r="Q6188" s="651"/>
      <c r="R6188" s="651"/>
      <c r="S6188" s="651"/>
    </row>
    <row r="6189" spans="12:19" ht="15.75" customHeight="1" x14ac:dyDescent="0.35">
      <c r="L6189" s="2"/>
      <c r="M6189" s="2"/>
      <c r="N6189" s="650"/>
      <c r="O6189" s="650"/>
      <c r="P6189" s="651"/>
      <c r="Q6189" s="651"/>
      <c r="R6189" s="651"/>
      <c r="S6189" s="651"/>
    </row>
    <row r="6190" spans="12:19" ht="15.75" customHeight="1" x14ac:dyDescent="0.35">
      <c r="L6190" s="2"/>
      <c r="M6190" s="2"/>
      <c r="N6190" s="650"/>
      <c r="O6190" s="650"/>
      <c r="P6190" s="651"/>
      <c r="Q6190" s="651"/>
      <c r="R6190" s="651"/>
      <c r="S6190" s="651"/>
    </row>
    <row r="6191" spans="12:19" ht="15.75" customHeight="1" x14ac:dyDescent="0.35">
      <c r="L6191" s="2"/>
      <c r="M6191" s="2"/>
      <c r="N6191" s="650"/>
      <c r="O6191" s="650"/>
      <c r="P6191" s="651"/>
      <c r="Q6191" s="651"/>
      <c r="R6191" s="651"/>
      <c r="S6191" s="651"/>
    </row>
    <row r="6192" spans="12:19" ht="15.75" customHeight="1" x14ac:dyDescent="0.35">
      <c r="L6192" s="2"/>
      <c r="M6192" s="2"/>
      <c r="N6192" s="650"/>
      <c r="O6192" s="650"/>
      <c r="P6192" s="651"/>
      <c r="Q6192" s="651"/>
      <c r="R6192" s="651"/>
      <c r="S6192" s="651"/>
    </row>
    <row r="6193" spans="12:19" ht="15.75" customHeight="1" x14ac:dyDescent="0.35">
      <c r="L6193" s="2"/>
      <c r="M6193" s="2"/>
      <c r="N6193" s="650"/>
      <c r="O6193" s="650"/>
      <c r="P6193" s="651"/>
      <c r="Q6193" s="651"/>
      <c r="R6193" s="651"/>
      <c r="S6193" s="651"/>
    </row>
    <row r="6194" spans="12:19" ht="15.75" customHeight="1" x14ac:dyDescent="0.35">
      <c r="L6194" s="2"/>
      <c r="M6194" s="2"/>
      <c r="N6194" s="650"/>
      <c r="O6194" s="650"/>
      <c r="P6194" s="651"/>
      <c r="Q6194" s="651"/>
      <c r="R6194" s="651"/>
      <c r="S6194" s="651"/>
    </row>
    <row r="6195" spans="12:19" ht="15.75" customHeight="1" x14ac:dyDescent="0.35">
      <c r="L6195" s="2"/>
      <c r="M6195" s="2"/>
      <c r="N6195" s="650"/>
      <c r="O6195" s="650"/>
      <c r="P6195" s="651"/>
      <c r="Q6195" s="651"/>
      <c r="R6195" s="651"/>
      <c r="S6195" s="651"/>
    </row>
    <row r="6196" spans="12:19" ht="15.75" customHeight="1" x14ac:dyDescent="0.35">
      <c r="L6196" s="2"/>
      <c r="M6196" s="2"/>
      <c r="N6196" s="650"/>
      <c r="O6196" s="650"/>
      <c r="P6196" s="651"/>
      <c r="Q6196" s="651"/>
      <c r="R6196" s="651"/>
      <c r="S6196" s="651"/>
    </row>
    <row r="6197" spans="12:19" ht="15.75" customHeight="1" x14ac:dyDescent="0.35">
      <c r="L6197" s="2"/>
      <c r="M6197" s="2"/>
      <c r="N6197" s="650"/>
      <c r="O6197" s="650"/>
      <c r="P6197" s="651"/>
      <c r="Q6197" s="651"/>
      <c r="R6197" s="651"/>
      <c r="S6197" s="651"/>
    </row>
    <row r="6198" spans="12:19" ht="15.75" customHeight="1" x14ac:dyDescent="0.35">
      <c r="L6198" s="2"/>
      <c r="M6198" s="2"/>
      <c r="N6198" s="650"/>
      <c r="O6198" s="650"/>
      <c r="P6198" s="651"/>
      <c r="Q6198" s="651"/>
      <c r="R6198" s="651"/>
      <c r="S6198" s="651"/>
    </row>
    <row r="6199" spans="12:19" ht="15.75" customHeight="1" x14ac:dyDescent="0.35">
      <c r="L6199" s="2"/>
      <c r="M6199" s="2"/>
      <c r="N6199" s="650"/>
      <c r="O6199" s="650"/>
      <c r="P6199" s="651"/>
      <c r="Q6199" s="651"/>
      <c r="R6199" s="651"/>
      <c r="S6199" s="651"/>
    </row>
    <row r="6200" spans="12:19" ht="15.75" customHeight="1" x14ac:dyDescent="0.35">
      <c r="L6200" s="2"/>
      <c r="M6200" s="2"/>
      <c r="N6200" s="650"/>
      <c r="O6200" s="650"/>
      <c r="P6200" s="651"/>
      <c r="Q6200" s="651"/>
      <c r="R6200" s="651"/>
      <c r="S6200" s="651"/>
    </row>
    <row r="6201" spans="12:19" ht="15.75" customHeight="1" x14ac:dyDescent="0.35">
      <c r="L6201" s="2"/>
      <c r="M6201" s="2"/>
      <c r="N6201" s="650"/>
      <c r="O6201" s="650"/>
      <c r="P6201" s="651"/>
      <c r="Q6201" s="651"/>
      <c r="R6201" s="651"/>
      <c r="S6201" s="651"/>
    </row>
    <row r="6202" spans="12:19" ht="15.75" customHeight="1" x14ac:dyDescent="0.35">
      <c r="L6202" s="2"/>
      <c r="M6202" s="2"/>
      <c r="N6202" s="650"/>
      <c r="O6202" s="650"/>
      <c r="P6202" s="651"/>
      <c r="Q6202" s="651"/>
      <c r="R6202" s="651"/>
      <c r="S6202" s="651"/>
    </row>
    <row r="6203" spans="12:19" ht="15.75" customHeight="1" x14ac:dyDescent="0.35">
      <c r="L6203" s="2"/>
      <c r="M6203" s="2"/>
      <c r="N6203" s="650"/>
      <c r="O6203" s="650"/>
      <c r="P6203" s="651"/>
      <c r="Q6203" s="651"/>
      <c r="R6203" s="651"/>
      <c r="S6203" s="651"/>
    </row>
    <row r="6204" spans="12:19" ht="15.75" customHeight="1" x14ac:dyDescent="0.35">
      <c r="L6204" s="2"/>
      <c r="M6204" s="2"/>
      <c r="N6204" s="650"/>
      <c r="O6204" s="650"/>
      <c r="P6204" s="651"/>
      <c r="Q6204" s="651"/>
      <c r="R6204" s="651"/>
      <c r="S6204" s="651"/>
    </row>
    <row r="6205" spans="12:19" ht="15.75" customHeight="1" x14ac:dyDescent="0.35">
      <c r="L6205" s="2"/>
      <c r="M6205" s="2"/>
      <c r="N6205" s="650"/>
      <c r="O6205" s="650"/>
      <c r="P6205" s="651"/>
      <c r="Q6205" s="651"/>
      <c r="R6205" s="651"/>
      <c r="S6205" s="651"/>
    </row>
    <row r="6206" spans="12:19" ht="15.75" customHeight="1" x14ac:dyDescent="0.35">
      <c r="L6206" s="2"/>
      <c r="M6206" s="2"/>
      <c r="N6206" s="650"/>
      <c r="O6206" s="650"/>
      <c r="P6206" s="651"/>
      <c r="Q6206" s="651"/>
      <c r="R6206" s="651"/>
      <c r="S6206" s="651"/>
    </row>
    <row r="6207" spans="12:19" ht="15.75" customHeight="1" x14ac:dyDescent="0.35">
      <c r="L6207" s="2"/>
      <c r="M6207" s="2"/>
      <c r="N6207" s="650"/>
      <c r="O6207" s="650"/>
      <c r="P6207" s="651"/>
      <c r="Q6207" s="651"/>
      <c r="R6207" s="651"/>
      <c r="S6207" s="651"/>
    </row>
    <row r="6208" spans="12:19" ht="15.75" customHeight="1" x14ac:dyDescent="0.35">
      <c r="L6208" s="2"/>
      <c r="M6208" s="2"/>
      <c r="N6208" s="650"/>
      <c r="O6208" s="650"/>
      <c r="P6208" s="651"/>
      <c r="Q6208" s="651"/>
      <c r="R6208" s="651"/>
      <c r="S6208" s="651"/>
    </row>
    <row r="6209" spans="12:19" ht="15.75" customHeight="1" x14ac:dyDescent="0.35">
      <c r="L6209" s="2"/>
      <c r="M6209" s="2"/>
      <c r="N6209" s="650"/>
      <c r="O6209" s="650"/>
      <c r="P6209" s="651"/>
      <c r="Q6209" s="651"/>
      <c r="R6209" s="651"/>
      <c r="S6209" s="651"/>
    </row>
    <row r="6210" spans="12:19" ht="15.75" customHeight="1" x14ac:dyDescent="0.35">
      <c r="L6210" s="2"/>
      <c r="M6210" s="2"/>
      <c r="N6210" s="650"/>
      <c r="O6210" s="650"/>
      <c r="P6210" s="651"/>
      <c r="Q6210" s="651"/>
      <c r="R6210" s="651"/>
      <c r="S6210" s="651"/>
    </row>
    <row r="6211" spans="12:19" ht="15.75" customHeight="1" x14ac:dyDescent="0.35">
      <c r="L6211" s="2"/>
      <c r="M6211" s="2"/>
      <c r="N6211" s="650"/>
      <c r="O6211" s="650"/>
      <c r="P6211" s="651"/>
      <c r="Q6211" s="651"/>
      <c r="R6211" s="651"/>
      <c r="S6211" s="651"/>
    </row>
    <row r="6212" spans="12:19" ht="15.75" customHeight="1" x14ac:dyDescent="0.35">
      <c r="L6212" s="2"/>
      <c r="M6212" s="2"/>
      <c r="N6212" s="650"/>
      <c r="O6212" s="650"/>
      <c r="P6212" s="651"/>
      <c r="Q6212" s="651"/>
      <c r="R6212" s="651"/>
      <c r="S6212" s="651"/>
    </row>
    <row r="6213" spans="12:19" ht="15.75" customHeight="1" x14ac:dyDescent="0.35">
      <c r="L6213" s="2"/>
      <c r="M6213" s="2"/>
      <c r="N6213" s="650"/>
      <c r="O6213" s="650"/>
      <c r="P6213" s="651"/>
      <c r="Q6213" s="651"/>
      <c r="R6213" s="651"/>
      <c r="S6213" s="651"/>
    </row>
    <row r="6214" spans="12:19" ht="15.75" customHeight="1" x14ac:dyDescent="0.35">
      <c r="L6214" s="2"/>
      <c r="M6214" s="2"/>
      <c r="N6214" s="650"/>
      <c r="O6214" s="650"/>
      <c r="P6214" s="651"/>
      <c r="Q6214" s="651"/>
      <c r="R6214" s="651"/>
      <c r="S6214" s="651"/>
    </row>
    <row r="6215" spans="12:19" ht="15.75" customHeight="1" x14ac:dyDescent="0.35">
      <c r="L6215" s="2"/>
      <c r="M6215" s="2"/>
      <c r="N6215" s="650"/>
      <c r="O6215" s="650"/>
      <c r="P6215" s="651"/>
      <c r="Q6215" s="651"/>
      <c r="R6215" s="651"/>
      <c r="S6215" s="651"/>
    </row>
    <row r="6216" spans="12:19" ht="15.75" customHeight="1" x14ac:dyDescent="0.35">
      <c r="L6216" s="2"/>
      <c r="M6216" s="2"/>
      <c r="N6216" s="650"/>
      <c r="O6216" s="650"/>
      <c r="P6216" s="651"/>
      <c r="Q6216" s="651"/>
      <c r="R6216" s="651"/>
      <c r="S6216" s="651"/>
    </row>
    <row r="6217" spans="12:19" ht="15.75" customHeight="1" x14ac:dyDescent="0.35">
      <c r="L6217" s="2"/>
      <c r="M6217" s="2"/>
      <c r="N6217" s="650"/>
      <c r="O6217" s="650"/>
      <c r="P6217" s="651"/>
      <c r="Q6217" s="651"/>
      <c r="R6217" s="651"/>
      <c r="S6217" s="651"/>
    </row>
    <row r="6218" spans="12:19" ht="15.75" customHeight="1" x14ac:dyDescent="0.35">
      <c r="L6218" s="2"/>
      <c r="M6218" s="2"/>
      <c r="N6218" s="650"/>
      <c r="O6218" s="650"/>
      <c r="P6218" s="651"/>
      <c r="Q6218" s="651"/>
      <c r="R6218" s="651"/>
      <c r="S6218" s="651"/>
    </row>
    <row r="6219" spans="12:19" ht="15.75" customHeight="1" x14ac:dyDescent="0.35">
      <c r="L6219" s="2"/>
      <c r="M6219" s="2"/>
      <c r="N6219" s="650"/>
      <c r="O6219" s="650"/>
      <c r="P6219" s="651"/>
      <c r="Q6219" s="651"/>
      <c r="R6219" s="651"/>
      <c r="S6219" s="651"/>
    </row>
    <row r="6220" spans="12:19" ht="15.75" customHeight="1" x14ac:dyDescent="0.35">
      <c r="L6220" s="2"/>
      <c r="M6220" s="2"/>
      <c r="N6220" s="650"/>
      <c r="O6220" s="650"/>
      <c r="P6220" s="651"/>
      <c r="Q6220" s="651"/>
      <c r="R6220" s="651"/>
      <c r="S6220" s="651"/>
    </row>
    <row r="6221" spans="12:19" ht="15.75" customHeight="1" x14ac:dyDescent="0.35">
      <c r="L6221" s="2"/>
      <c r="M6221" s="2"/>
      <c r="N6221" s="650"/>
      <c r="O6221" s="650"/>
      <c r="P6221" s="651"/>
      <c r="Q6221" s="651"/>
      <c r="R6221" s="651"/>
      <c r="S6221" s="651"/>
    </row>
    <row r="6222" spans="12:19" ht="15.75" customHeight="1" x14ac:dyDescent="0.35">
      <c r="L6222" s="2"/>
      <c r="M6222" s="2"/>
      <c r="N6222" s="650"/>
      <c r="O6222" s="650"/>
      <c r="P6222" s="651"/>
      <c r="Q6222" s="651"/>
      <c r="R6222" s="651"/>
      <c r="S6222" s="651"/>
    </row>
    <row r="6223" spans="12:19" ht="15.75" customHeight="1" x14ac:dyDescent="0.35">
      <c r="L6223" s="2"/>
      <c r="M6223" s="2"/>
      <c r="N6223" s="650"/>
      <c r="O6223" s="650"/>
      <c r="P6223" s="651"/>
      <c r="Q6223" s="651"/>
      <c r="R6223" s="651"/>
      <c r="S6223" s="651"/>
    </row>
    <row r="6224" spans="12:19" ht="15.75" customHeight="1" x14ac:dyDescent="0.35">
      <c r="L6224" s="2"/>
      <c r="M6224" s="2"/>
      <c r="N6224" s="650"/>
      <c r="O6224" s="650"/>
      <c r="P6224" s="651"/>
      <c r="Q6224" s="651"/>
      <c r="R6224" s="651"/>
      <c r="S6224" s="651"/>
    </row>
    <row r="6225" spans="12:19" ht="15.75" customHeight="1" x14ac:dyDescent="0.35">
      <c r="L6225" s="2"/>
      <c r="M6225" s="2"/>
      <c r="N6225" s="650"/>
      <c r="O6225" s="650"/>
      <c r="P6225" s="651"/>
      <c r="Q6225" s="651"/>
      <c r="R6225" s="651"/>
      <c r="S6225" s="651"/>
    </row>
    <row r="6226" spans="12:19" ht="15.75" customHeight="1" x14ac:dyDescent="0.35">
      <c r="L6226" s="2"/>
      <c r="M6226" s="2"/>
      <c r="N6226" s="650"/>
      <c r="O6226" s="650"/>
      <c r="P6226" s="651"/>
      <c r="Q6226" s="651"/>
      <c r="R6226" s="651"/>
      <c r="S6226" s="651"/>
    </row>
    <row r="6227" spans="12:19" ht="15.75" customHeight="1" x14ac:dyDescent="0.35">
      <c r="L6227" s="2"/>
      <c r="M6227" s="2"/>
      <c r="N6227" s="650"/>
      <c r="O6227" s="650"/>
      <c r="P6227" s="651"/>
      <c r="Q6227" s="651"/>
      <c r="R6227" s="651"/>
      <c r="S6227" s="651"/>
    </row>
    <row r="6228" spans="12:19" ht="15.75" customHeight="1" x14ac:dyDescent="0.35">
      <c r="L6228" s="2"/>
      <c r="M6228" s="2"/>
      <c r="N6228" s="650"/>
      <c r="O6228" s="650"/>
      <c r="P6228" s="651"/>
      <c r="Q6228" s="651"/>
      <c r="R6228" s="651"/>
      <c r="S6228" s="651"/>
    </row>
    <row r="6229" spans="12:19" ht="15.75" customHeight="1" x14ac:dyDescent="0.35">
      <c r="L6229" s="2"/>
      <c r="M6229" s="2"/>
      <c r="N6229" s="650"/>
      <c r="O6229" s="650"/>
      <c r="P6229" s="651"/>
      <c r="Q6229" s="651"/>
      <c r="R6229" s="651"/>
      <c r="S6229" s="651"/>
    </row>
    <row r="6230" spans="12:19" ht="15.75" customHeight="1" x14ac:dyDescent="0.35">
      <c r="L6230" s="2"/>
      <c r="M6230" s="2"/>
      <c r="N6230" s="650"/>
      <c r="O6230" s="650"/>
      <c r="P6230" s="651"/>
      <c r="Q6230" s="651"/>
      <c r="R6230" s="651"/>
      <c r="S6230" s="651"/>
    </row>
    <row r="6231" spans="12:19" ht="15.75" customHeight="1" x14ac:dyDescent="0.35">
      <c r="L6231" s="2"/>
      <c r="M6231" s="2"/>
      <c r="N6231" s="650"/>
      <c r="O6231" s="650"/>
      <c r="P6231" s="651"/>
      <c r="Q6231" s="651"/>
      <c r="R6231" s="651"/>
      <c r="S6231" s="651"/>
    </row>
    <row r="6232" spans="12:19" ht="15.75" customHeight="1" x14ac:dyDescent="0.35">
      <c r="L6232" s="2"/>
      <c r="M6232" s="2"/>
      <c r="N6232" s="650"/>
      <c r="O6232" s="650"/>
      <c r="P6232" s="651"/>
      <c r="Q6232" s="651"/>
      <c r="R6232" s="651"/>
      <c r="S6232" s="651"/>
    </row>
    <row r="6233" spans="12:19" ht="15.75" customHeight="1" x14ac:dyDescent="0.35">
      <c r="L6233" s="2"/>
      <c r="M6233" s="2"/>
      <c r="N6233" s="650"/>
      <c r="O6233" s="650"/>
      <c r="P6233" s="651"/>
      <c r="Q6233" s="651"/>
      <c r="R6233" s="651"/>
      <c r="S6233" s="651"/>
    </row>
    <row r="6234" spans="12:19" ht="15.75" customHeight="1" x14ac:dyDescent="0.35">
      <c r="L6234" s="2"/>
      <c r="M6234" s="2"/>
      <c r="N6234" s="650"/>
      <c r="O6234" s="650"/>
      <c r="P6234" s="651"/>
      <c r="Q6234" s="651"/>
      <c r="R6234" s="651"/>
      <c r="S6234" s="651"/>
    </row>
    <row r="6235" spans="12:19" ht="15.75" customHeight="1" x14ac:dyDescent="0.35">
      <c r="L6235" s="2"/>
      <c r="M6235" s="2"/>
      <c r="N6235" s="650"/>
      <c r="O6235" s="650"/>
      <c r="P6235" s="651"/>
      <c r="Q6235" s="651"/>
      <c r="R6235" s="651"/>
      <c r="S6235" s="651"/>
    </row>
    <row r="6236" spans="12:19" ht="15.75" customHeight="1" x14ac:dyDescent="0.35">
      <c r="L6236" s="2"/>
      <c r="M6236" s="2"/>
      <c r="N6236" s="650"/>
      <c r="O6236" s="650"/>
      <c r="P6236" s="651"/>
      <c r="Q6236" s="651"/>
      <c r="R6236" s="651"/>
      <c r="S6236" s="651"/>
    </row>
    <row r="6237" spans="12:19" ht="15.75" customHeight="1" x14ac:dyDescent="0.35">
      <c r="L6237" s="2"/>
      <c r="M6237" s="2"/>
      <c r="N6237" s="650"/>
      <c r="O6237" s="650"/>
      <c r="P6237" s="651"/>
      <c r="Q6237" s="651"/>
      <c r="R6237" s="651"/>
      <c r="S6237" s="651"/>
    </row>
    <row r="6238" spans="12:19" ht="15.75" customHeight="1" x14ac:dyDescent="0.35">
      <c r="L6238" s="2"/>
      <c r="M6238" s="2"/>
      <c r="N6238" s="650"/>
      <c r="O6238" s="650"/>
      <c r="P6238" s="651"/>
      <c r="Q6238" s="651"/>
      <c r="R6238" s="651"/>
      <c r="S6238" s="651"/>
    </row>
    <row r="6239" spans="12:19" ht="15.75" customHeight="1" x14ac:dyDescent="0.35">
      <c r="L6239" s="2"/>
      <c r="M6239" s="2"/>
      <c r="N6239" s="650"/>
      <c r="O6239" s="650"/>
      <c r="P6239" s="651"/>
      <c r="Q6239" s="651"/>
      <c r="R6239" s="651"/>
      <c r="S6239" s="651"/>
    </row>
    <row r="6240" spans="12:19" ht="15.75" customHeight="1" x14ac:dyDescent="0.35">
      <c r="L6240" s="2"/>
      <c r="M6240" s="2"/>
      <c r="N6240" s="650"/>
      <c r="O6240" s="650"/>
      <c r="P6240" s="651"/>
      <c r="Q6240" s="651"/>
      <c r="R6240" s="651"/>
      <c r="S6240" s="651"/>
    </row>
    <row r="6241" spans="12:19" ht="15.75" customHeight="1" x14ac:dyDescent="0.35">
      <c r="L6241" s="2"/>
      <c r="M6241" s="2"/>
      <c r="N6241" s="650"/>
      <c r="O6241" s="650"/>
      <c r="P6241" s="651"/>
      <c r="Q6241" s="651"/>
      <c r="R6241" s="651"/>
      <c r="S6241" s="651"/>
    </row>
    <row r="6242" spans="12:19" ht="15.75" customHeight="1" x14ac:dyDescent="0.35">
      <c r="L6242" s="2"/>
      <c r="M6242" s="2"/>
      <c r="N6242" s="650"/>
      <c r="O6242" s="650"/>
      <c r="P6242" s="651"/>
      <c r="Q6242" s="651"/>
      <c r="R6242" s="651"/>
      <c r="S6242" s="651"/>
    </row>
    <row r="6243" spans="12:19" ht="15.75" customHeight="1" x14ac:dyDescent="0.35">
      <c r="L6243" s="2"/>
      <c r="M6243" s="2"/>
      <c r="N6243" s="650"/>
      <c r="O6243" s="650"/>
      <c r="P6243" s="651"/>
      <c r="Q6243" s="651"/>
      <c r="R6243" s="651"/>
      <c r="S6243" s="651"/>
    </row>
    <row r="6244" spans="12:19" ht="15.75" customHeight="1" x14ac:dyDescent="0.35">
      <c r="L6244" s="2"/>
      <c r="M6244" s="2"/>
      <c r="N6244" s="650"/>
      <c r="O6244" s="650"/>
      <c r="P6244" s="651"/>
      <c r="Q6244" s="651"/>
      <c r="R6244" s="651"/>
      <c r="S6244" s="651"/>
    </row>
    <row r="6245" spans="12:19" ht="15.75" customHeight="1" x14ac:dyDescent="0.35">
      <c r="L6245" s="2"/>
      <c r="M6245" s="2"/>
      <c r="N6245" s="650"/>
      <c r="O6245" s="650"/>
      <c r="P6245" s="651"/>
      <c r="Q6245" s="651"/>
      <c r="R6245" s="651"/>
      <c r="S6245" s="651"/>
    </row>
    <row r="6246" spans="12:19" ht="15.75" customHeight="1" x14ac:dyDescent="0.35">
      <c r="L6246" s="2"/>
      <c r="M6246" s="2"/>
      <c r="N6246" s="650"/>
      <c r="O6246" s="650"/>
      <c r="P6246" s="651"/>
      <c r="Q6246" s="651"/>
      <c r="R6246" s="651"/>
      <c r="S6246" s="651"/>
    </row>
    <row r="6247" spans="12:19" ht="15.75" customHeight="1" x14ac:dyDescent="0.35">
      <c r="L6247" s="2"/>
      <c r="M6247" s="2"/>
      <c r="N6247" s="650"/>
      <c r="O6247" s="650"/>
      <c r="P6247" s="651"/>
      <c r="Q6247" s="651"/>
      <c r="R6247" s="651"/>
      <c r="S6247" s="651"/>
    </row>
    <row r="6248" spans="12:19" ht="15.75" customHeight="1" x14ac:dyDescent="0.35">
      <c r="L6248" s="2"/>
      <c r="M6248" s="2"/>
      <c r="N6248" s="650"/>
      <c r="O6248" s="650"/>
      <c r="P6248" s="651"/>
      <c r="Q6248" s="651"/>
      <c r="R6248" s="651"/>
      <c r="S6248" s="651"/>
    </row>
    <row r="6249" spans="12:19" ht="15.75" customHeight="1" x14ac:dyDescent="0.35">
      <c r="L6249" s="2"/>
      <c r="M6249" s="2"/>
      <c r="N6249" s="650"/>
      <c r="O6249" s="650"/>
      <c r="P6249" s="651"/>
      <c r="Q6249" s="651"/>
      <c r="R6249" s="651"/>
      <c r="S6249" s="651"/>
    </row>
    <row r="6250" spans="12:19" ht="15.75" customHeight="1" x14ac:dyDescent="0.35">
      <c r="L6250" s="2"/>
      <c r="M6250" s="2"/>
      <c r="N6250" s="650"/>
      <c r="O6250" s="650"/>
      <c r="P6250" s="651"/>
      <c r="Q6250" s="651"/>
      <c r="R6250" s="651"/>
      <c r="S6250" s="651"/>
    </row>
    <row r="6251" spans="12:19" ht="15.75" customHeight="1" x14ac:dyDescent="0.35">
      <c r="L6251" s="2"/>
      <c r="M6251" s="2"/>
      <c r="N6251" s="650"/>
      <c r="O6251" s="650"/>
      <c r="P6251" s="651"/>
      <c r="Q6251" s="651"/>
      <c r="R6251" s="651"/>
      <c r="S6251" s="651"/>
    </row>
    <row r="6252" spans="12:19" ht="15.75" customHeight="1" x14ac:dyDescent="0.35">
      <c r="L6252" s="2"/>
      <c r="M6252" s="2"/>
      <c r="N6252" s="650"/>
      <c r="O6252" s="650"/>
      <c r="P6252" s="651"/>
      <c r="Q6252" s="651"/>
      <c r="R6252" s="651"/>
      <c r="S6252" s="651"/>
    </row>
    <row r="6253" spans="12:19" ht="15.75" customHeight="1" x14ac:dyDescent="0.35">
      <c r="L6253" s="2"/>
      <c r="M6253" s="2"/>
      <c r="N6253" s="650"/>
      <c r="O6253" s="650"/>
      <c r="P6253" s="651"/>
      <c r="Q6253" s="651"/>
      <c r="R6253" s="651"/>
      <c r="S6253" s="651"/>
    </row>
    <row r="6254" spans="12:19" ht="15.75" customHeight="1" x14ac:dyDescent="0.35">
      <c r="L6254" s="2"/>
      <c r="M6254" s="2"/>
      <c r="N6254" s="650"/>
      <c r="O6254" s="650"/>
      <c r="P6254" s="651"/>
      <c r="Q6254" s="651"/>
      <c r="R6254" s="651"/>
      <c r="S6254" s="651"/>
    </row>
    <row r="6255" spans="12:19" ht="15.75" customHeight="1" x14ac:dyDescent="0.35">
      <c r="L6255" s="2"/>
      <c r="M6255" s="2"/>
      <c r="N6255" s="650"/>
      <c r="O6255" s="650"/>
      <c r="P6255" s="651"/>
      <c r="Q6255" s="651"/>
      <c r="R6255" s="651"/>
      <c r="S6255" s="651"/>
    </row>
    <row r="6256" spans="12:19" ht="15.75" customHeight="1" x14ac:dyDescent="0.35">
      <c r="L6256" s="2"/>
      <c r="M6256" s="2"/>
      <c r="N6256" s="650"/>
      <c r="O6256" s="650"/>
      <c r="P6256" s="651"/>
      <c r="Q6256" s="651"/>
      <c r="R6256" s="651"/>
      <c r="S6256" s="651"/>
    </row>
    <row r="6257" spans="12:19" ht="15.75" customHeight="1" x14ac:dyDescent="0.35">
      <c r="L6257" s="2"/>
      <c r="M6257" s="2"/>
      <c r="N6257" s="650"/>
      <c r="O6257" s="650"/>
      <c r="P6257" s="651"/>
      <c r="Q6257" s="651"/>
      <c r="R6257" s="651"/>
      <c r="S6257" s="651"/>
    </row>
    <row r="6258" spans="12:19" ht="15.75" customHeight="1" x14ac:dyDescent="0.35">
      <c r="L6258" s="2"/>
      <c r="M6258" s="2"/>
      <c r="N6258" s="650"/>
      <c r="O6258" s="650"/>
      <c r="P6258" s="651"/>
      <c r="Q6258" s="651"/>
      <c r="R6258" s="651"/>
      <c r="S6258" s="651"/>
    </row>
    <row r="6259" spans="12:19" ht="15.75" customHeight="1" x14ac:dyDescent="0.35">
      <c r="L6259" s="2"/>
      <c r="M6259" s="2"/>
      <c r="N6259" s="650"/>
      <c r="O6259" s="650"/>
      <c r="P6259" s="651"/>
      <c r="Q6259" s="651"/>
      <c r="R6259" s="651"/>
      <c r="S6259" s="651"/>
    </row>
    <row r="6260" spans="12:19" ht="15.75" customHeight="1" x14ac:dyDescent="0.35">
      <c r="L6260" s="2"/>
      <c r="M6260" s="2"/>
      <c r="N6260" s="650"/>
      <c r="O6260" s="650"/>
      <c r="P6260" s="651"/>
      <c r="Q6260" s="651"/>
      <c r="R6260" s="651"/>
      <c r="S6260" s="651"/>
    </row>
    <row r="6261" spans="12:19" ht="15.75" customHeight="1" x14ac:dyDescent="0.35">
      <c r="L6261" s="2"/>
      <c r="M6261" s="2"/>
      <c r="N6261" s="650"/>
      <c r="O6261" s="650"/>
      <c r="P6261" s="651"/>
      <c r="Q6261" s="651"/>
      <c r="R6261" s="651"/>
      <c r="S6261" s="651"/>
    </row>
    <row r="6262" spans="12:19" ht="15.75" customHeight="1" x14ac:dyDescent="0.35">
      <c r="L6262" s="2"/>
      <c r="M6262" s="2"/>
      <c r="N6262" s="650"/>
      <c r="O6262" s="650"/>
      <c r="P6262" s="651"/>
      <c r="Q6262" s="651"/>
      <c r="R6262" s="651"/>
      <c r="S6262" s="651"/>
    </row>
    <row r="6263" spans="12:19" ht="15.75" customHeight="1" x14ac:dyDescent="0.35">
      <c r="L6263" s="2"/>
      <c r="M6263" s="2"/>
      <c r="N6263" s="650"/>
      <c r="O6263" s="650"/>
      <c r="P6263" s="651"/>
      <c r="Q6263" s="651"/>
      <c r="R6263" s="651"/>
      <c r="S6263" s="651"/>
    </row>
    <row r="6264" spans="12:19" ht="15.75" customHeight="1" x14ac:dyDescent="0.35">
      <c r="L6264" s="2"/>
      <c r="M6264" s="2"/>
      <c r="N6264" s="650"/>
      <c r="O6264" s="650"/>
      <c r="P6264" s="651"/>
      <c r="Q6264" s="651"/>
      <c r="R6264" s="651"/>
      <c r="S6264" s="651"/>
    </row>
    <row r="6265" spans="12:19" ht="15.75" customHeight="1" x14ac:dyDescent="0.35">
      <c r="L6265" s="2"/>
      <c r="M6265" s="2"/>
      <c r="N6265" s="650"/>
      <c r="O6265" s="650"/>
      <c r="P6265" s="651"/>
      <c r="Q6265" s="651"/>
      <c r="R6265" s="651"/>
      <c r="S6265" s="651"/>
    </row>
    <row r="6266" spans="12:19" ht="15.75" customHeight="1" x14ac:dyDescent="0.35">
      <c r="L6266" s="2"/>
      <c r="M6266" s="2"/>
      <c r="N6266" s="650"/>
      <c r="O6266" s="650"/>
      <c r="P6266" s="651"/>
      <c r="Q6266" s="651"/>
      <c r="R6266" s="651"/>
      <c r="S6266" s="651"/>
    </row>
    <row r="6267" spans="12:19" ht="15.75" customHeight="1" x14ac:dyDescent="0.35">
      <c r="L6267" s="2"/>
      <c r="M6267" s="2"/>
      <c r="N6267" s="650"/>
      <c r="O6267" s="650"/>
      <c r="P6267" s="651"/>
      <c r="Q6267" s="651"/>
      <c r="R6267" s="651"/>
      <c r="S6267" s="651"/>
    </row>
    <row r="6268" spans="12:19" ht="15.75" customHeight="1" x14ac:dyDescent="0.35">
      <c r="L6268" s="2"/>
      <c r="M6268" s="2"/>
      <c r="N6268" s="650"/>
      <c r="O6268" s="650"/>
      <c r="P6268" s="651"/>
      <c r="Q6268" s="651"/>
      <c r="R6268" s="651"/>
      <c r="S6268" s="651"/>
    </row>
    <row r="6269" spans="12:19" ht="15.75" customHeight="1" x14ac:dyDescent="0.35">
      <c r="L6269" s="2"/>
      <c r="M6269" s="2"/>
      <c r="N6269" s="650"/>
      <c r="O6269" s="650"/>
      <c r="P6269" s="651"/>
      <c r="Q6269" s="651"/>
      <c r="R6269" s="651"/>
      <c r="S6269" s="651"/>
    </row>
    <row r="6270" spans="12:19" ht="15.75" customHeight="1" x14ac:dyDescent="0.35">
      <c r="L6270" s="2"/>
      <c r="M6270" s="2"/>
      <c r="N6270" s="650"/>
      <c r="O6270" s="650"/>
      <c r="P6270" s="651"/>
      <c r="Q6270" s="651"/>
      <c r="R6270" s="651"/>
      <c r="S6270" s="651"/>
    </row>
    <row r="6271" spans="12:19" ht="15.75" customHeight="1" x14ac:dyDescent="0.35">
      <c r="L6271" s="2"/>
      <c r="M6271" s="2"/>
      <c r="N6271" s="650"/>
      <c r="O6271" s="650"/>
      <c r="P6271" s="651"/>
      <c r="Q6271" s="651"/>
      <c r="R6271" s="651"/>
      <c r="S6271" s="651"/>
    </row>
    <row r="6272" spans="12:19" ht="15.75" customHeight="1" x14ac:dyDescent="0.35">
      <c r="L6272" s="2"/>
      <c r="M6272" s="2"/>
      <c r="N6272" s="650"/>
      <c r="O6272" s="650"/>
      <c r="P6272" s="651"/>
      <c r="Q6272" s="651"/>
      <c r="R6272" s="651"/>
      <c r="S6272" s="651"/>
    </row>
    <row r="6273" spans="12:19" ht="15.75" customHeight="1" x14ac:dyDescent="0.35">
      <c r="L6273" s="2"/>
      <c r="M6273" s="2"/>
      <c r="N6273" s="650"/>
      <c r="O6273" s="650"/>
      <c r="P6273" s="651"/>
      <c r="Q6273" s="651"/>
      <c r="R6273" s="651"/>
      <c r="S6273" s="651"/>
    </row>
    <row r="6274" spans="12:19" ht="15.75" customHeight="1" x14ac:dyDescent="0.35">
      <c r="L6274" s="2"/>
      <c r="M6274" s="2"/>
      <c r="N6274" s="650"/>
      <c r="O6274" s="650"/>
      <c r="P6274" s="651"/>
      <c r="Q6274" s="651"/>
      <c r="R6274" s="651"/>
      <c r="S6274" s="651"/>
    </row>
    <row r="6275" spans="12:19" ht="15.75" customHeight="1" x14ac:dyDescent="0.35">
      <c r="L6275" s="2"/>
      <c r="M6275" s="2"/>
      <c r="N6275" s="650"/>
      <c r="O6275" s="650"/>
      <c r="P6275" s="651"/>
      <c r="Q6275" s="651"/>
      <c r="R6275" s="651"/>
      <c r="S6275" s="651"/>
    </row>
    <row r="6276" spans="12:19" ht="15.75" customHeight="1" x14ac:dyDescent="0.35">
      <c r="L6276" s="2"/>
      <c r="M6276" s="2"/>
      <c r="N6276" s="650"/>
      <c r="O6276" s="650"/>
      <c r="P6276" s="651"/>
      <c r="Q6276" s="651"/>
      <c r="R6276" s="651"/>
      <c r="S6276" s="651"/>
    </row>
    <row r="6277" spans="12:19" ht="15.75" customHeight="1" x14ac:dyDescent="0.35">
      <c r="L6277" s="2"/>
      <c r="M6277" s="2"/>
      <c r="N6277" s="650"/>
      <c r="O6277" s="650"/>
      <c r="P6277" s="651"/>
      <c r="Q6277" s="651"/>
      <c r="R6277" s="651"/>
      <c r="S6277" s="651"/>
    </row>
    <row r="6278" spans="12:19" ht="15.75" customHeight="1" x14ac:dyDescent="0.35">
      <c r="L6278" s="2"/>
      <c r="M6278" s="2"/>
      <c r="N6278" s="650"/>
      <c r="O6278" s="650"/>
      <c r="P6278" s="651"/>
      <c r="Q6278" s="651"/>
      <c r="R6278" s="651"/>
      <c r="S6278" s="651"/>
    </row>
    <row r="6279" spans="12:19" ht="15.75" customHeight="1" x14ac:dyDescent="0.35">
      <c r="L6279" s="2"/>
      <c r="M6279" s="2"/>
      <c r="N6279" s="650"/>
      <c r="O6279" s="650"/>
      <c r="P6279" s="651"/>
      <c r="Q6279" s="651"/>
      <c r="R6279" s="651"/>
      <c r="S6279" s="651"/>
    </row>
    <row r="6280" spans="12:19" ht="15.75" customHeight="1" x14ac:dyDescent="0.35">
      <c r="L6280" s="2"/>
      <c r="M6280" s="2"/>
      <c r="N6280" s="650"/>
      <c r="O6280" s="650"/>
      <c r="P6280" s="651"/>
      <c r="Q6280" s="651"/>
      <c r="R6280" s="651"/>
      <c r="S6280" s="651"/>
    </row>
    <row r="6281" spans="12:19" ht="15.75" customHeight="1" x14ac:dyDescent="0.35">
      <c r="L6281" s="2"/>
      <c r="M6281" s="2"/>
      <c r="N6281" s="650"/>
      <c r="O6281" s="650"/>
      <c r="P6281" s="651"/>
      <c r="Q6281" s="651"/>
      <c r="R6281" s="651"/>
      <c r="S6281" s="651"/>
    </row>
    <row r="6282" spans="12:19" ht="15.75" customHeight="1" x14ac:dyDescent="0.35">
      <c r="L6282" s="2"/>
      <c r="M6282" s="2"/>
      <c r="N6282" s="650"/>
      <c r="O6282" s="650"/>
      <c r="P6282" s="651"/>
      <c r="Q6282" s="651"/>
      <c r="R6282" s="651"/>
      <c r="S6282" s="651"/>
    </row>
    <row r="6283" spans="12:19" ht="15.75" customHeight="1" x14ac:dyDescent="0.35">
      <c r="L6283" s="2"/>
      <c r="M6283" s="2"/>
      <c r="N6283" s="650"/>
      <c r="O6283" s="650"/>
      <c r="P6283" s="651"/>
      <c r="Q6283" s="651"/>
      <c r="R6283" s="651"/>
      <c r="S6283" s="651"/>
    </row>
    <row r="6284" spans="12:19" ht="15.75" customHeight="1" x14ac:dyDescent="0.35">
      <c r="L6284" s="2"/>
      <c r="M6284" s="2"/>
      <c r="N6284" s="650"/>
      <c r="O6284" s="650"/>
      <c r="P6284" s="651"/>
      <c r="Q6284" s="651"/>
      <c r="R6284" s="651"/>
      <c r="S6284" s="651"/>
    </row>
    <row r="6285" spans="12:19" ht="15.75" customHeight="1" x14ac:dyDescent="0.35">
      <c r="L6285" s="2"/>
      <c r="M6285" s="2"/>
      <c r="N6285" s="650"/>
      <c r="O6285" s="650"/>
      <c r="P6285" s="651"/>
      <c r="Q6285" s="651"/>
      <c r="R6285" s="651"/>
      <c r="S6285" s="651"/>
    </row>
    <row r="6286" spans="12:19" ht="15.75" customHeight="1" x14ac:dyDescent="0.35">
      <c r="L6286" s="2"/>
      <c r="M6286" s="2"/>
      <c r="N6286" s="650"/>
      <c r="O6286" s="650"/>
      <c r="P6286" s="651"/>
      <c r="Q6286" s="651"/>
      <c r="R6286" s="651"/>
      <c r="S6286" s="651"/>
    </row>
    <row r="6287" spans="12:19" ht="15.75" customHeight="1" x14ac:dyDescent="0.35">
      <c r="L6287" s="2"/>
      <c r="M6287" s="2"/>
      <c r="N6287" s="650"/>
      <c r="O6287" s="650"/>
      <c r="P6287" s="651"/>
      <c r="Q6287" s="651"/>
      <c r="R6287" s="651"/>
      <c r="S6287" s="651"/>
    </row>
    <row r="6288" spans="12:19" ht="15.75" customHeight="1" x14ac:dyDescent="0.35">
      <c r="L6288" s="2"/>
      <c r="M6288" s="2"/>
      <c r="N6288" s="650"/>
      <c r="O6288" s="650"/>
      <c r="P6288" s="651"/>
      <c r="Q6288" s="651"/>
      <c r="R6288" s="651"/>
      <c r="S6288" s="651"/>
    </row>
    <row r="6289" spans="12:19" ht="15.75" customHeight="1" x14ac:dyDescent="0.35">
      <c r="L6289" s="2"/>
      <c r="M6289" s="2"/>
      <c r="N6289" s="650"/>
      <c r="O6289" s="650"/>
      <c r="P6289" s="651"/>
      <c r="Q6289" s="651"/>
      <c r="R6289" s="651"/>
      <c r="S6289" s="651"/>
    </row>
    <row r="6290" spans="12:19" ht="15.75" customHeight="1" x14ac:dyDescent="0.35">
      <c r="L6290" s="2"/>
      <c r="M6290" s="2"/>
      <c r="N6290" s="650"/>
      <c r="O6290" s="650"/>
      <c r="P6290" s="651"/>
      <c r="Q6290" s="651"/>
      <c r="R6290" s="651"/>
      <c r="S6290" s="651"/>
    </row>
    <row r="6291" spans="12:19" ht="15.75" customHeight="1" x14ac:dyDescent="0.35">
      <c r="L6291" s="2"/>
      <c r="M6291" s="2"/>
      <c r="N6291" s="650"/>
      <c r="O6291" s="650"/>
      <c r="P6291" s="651"/>
      <c r="Q6291" s="651"/>
      <c r="R6291" s="651"/>
      <c r="S6291" s="651"/>
    </row>
    <row r="6292" spans="12:19" ht="15.75" customHeight="1" x14ac:dyDescent="0.35">
      <c r="L6292" s="2"/>
      <c r="M6292" s="2"/>
      <c r="N6292" s="650"/>
      <c r="O6292" s="650"/>
      <c r="P6292" s="651"/>
      <c r="Q6292" s="651"/>
      <c r="R6292" s="651"/>
      <c r="S6292" s="651"/>
    </row>
    <row r="6293" spans="12:19" ht="15.75" customHeight="1" x14ac:dyDescent="0.35">
      <c r="L6293" s="2"/>
      <c r="M6293" s="2"/>
      <c r="N6293" s="650"/>
      <c r="O6293" s="650"/>
      <c r="P6293" s="651"/>
      <c r="Q6293" s="651"/>
      <c r="R6293" s="651"/>
      <c r="S6293" s="651"/>
    </row>
    <row r="6294" spans="12:19" ht="15.75" customHeight="1" x14ac:dyDescent="0.35">
      <c r="L6294" s="2"/>
      <c r="M6294" s="2"/>
      <c r="N6294" s="650"/>
      <c r="O6294" s="650"/>
      <c r="P6294" s="651"/>
      <c r="Q6294" s="651"/>
      <c r="R6294" s="651"/>
      <c r="S6294" s="651"/>
    </row>
    <row r="6295" spans="12:19" ht="15.75" customHeight="1" x14ac:dyDescent="0.35">
      <c r="L6295" s="2"/>
      <c r="M6295" s="2"/>
      <c r="N6295" s="650"/>
      <c r="O6295" s="650"/>
      <c r="P6295" s="651"/>
      <c r="Q6295" s="651"/>
      <c r="R6295" s="651"/>
      <c r="S6295" s="651"/>
    </row>
    <row r="6296" spans="12:19" ht="15.75" customHeight="1" x14ac:dyDescent="0.35">
      <c r="L6296" s="2"/>
      <c r="M6296" s="2"/>
      <c r="N6296" s="650"/>
      <c r="O6296" s="650"/>
      <c r="P6296" s="651"/>
      <c r="Q6296" s="651"/>
      <c r="R6296" s="651"/>
      <c r="S6296" s="651"/>
    </row>
    <row r="6297" spans="12:19" ht="15.75" customHeight="1" x14ac:dyDescent="0.35">
      <c r="L6297" s="2"/>
      <c r="M6297" s="2"/>
      <c r="N6297" s="650"/>
      <c r="O6297" s="650"/>
      <c r="P6297" s="651"/>
      <c r="Q6297" s="651"/>
      <c r="R6297" s="651"/>
      <c r="S6297" s="651"/>
    </row>
    <row r="6298" spans="12:19" ht="15.75" customHeight="1" x14ac:dyDescent="0.35">
      <c r="L6298" s="2"/>
      <c r="M6298" s="2"/>
      <c r="N6298" s="650"/>
      <c r="O6298" s="650"/>
      <c r="P6298" s="651"/>
      <c r="Q6298" s="651"/>
      <c r="R6298" s="651"/>
      <c r="S6298" s="651"/>
    </row>
    <row r="6299" spans="12:19" ht="15.75" customHeight="1" x14ac:dyDescent="0.35">
      <c r="L6299" s="2"/>
      <c r="M6299" s="2"/>
      <c r="N6299" s="650"/>
      <c r="O6299" s="650"/>
      <c r="P6299" s="651"/>
      <c r="Q6299" s="651"/>
      <c r="R6299" s="651"/>
      <c r="S6299" s="651"/>
    </row>
    <row r="6300" spans="12:19" ht="15.75" customHeight="1" x14ac:dyDescent="0.35">
      <c r="L6300" s="2"/>
      <c r="M6300" s="2"/>
      <c r="N6300" s="650"/>
      <c r="O6300" s="650"/>
      <c r="P6300" s="651"/>
      <c r="Q6300" s="651"/>
      <c r="R6300" s="651"/>
      <c r="S6300" s="651"/>
    </row>
    <row r="6301" spans="12:19" ht="15.75" customHeight="1" x14ac:dyDescent="0.35">
      <c r="L6301" s="2"/>
      <c r="M6301" s="2"/>
      <c r="N6301" s="650"/>
      <c r="O6301" s="650"/>
      <c r="P6301" s="651"/>
      <c r="Q6301" s="651"/>
      <c r="R6301" s="651"/>
      <c r="S6301" s="651"/>
    </row>
    <row r="6302" spans="12:19" ht="15.75" customHeight="1" x14ac:dyDescent="0.35">
      <c r="L6302" s="2"/>
      <c r="M6302" s="2"/>
      <c r="N6302" s="650"/>
      <c r="O6302" s="650"/>
      <c r="P6302" s="651"/>
      <c r="Q6302" s="651"/>
      <c r="R6302" s="651"/>
      <c r="S6302" s="651"/>
    </row>
    <row r="6303" spans="12:19" ht="15.75" customHeight="1" x14ac:dyDescent="0.35">
      <c r="L6303" s="2"/>
      <c r="M6303" s="2"/>
      <c r="N6303" s="650"/>
      <c r="O6303" s="650"/>
      <c r="P6303" s="651"/>
      <c r="Q6303" s="651"/>
      <c r="R6303" s="651"/>
      <c r="S6303" s="651"/>
    </row>
    <row r="6304" spans="12:19" ht="15.75" customHeight="1" x14ac:dyDescent="0.35">
      <c r="L6304" s="2"/>
      <c r="M6304" s="2"/>
      <c r="N6304" s="650"/>
      <c r="O6304" s="650"/>
      <c r="P6304" s="651"/>
      <c r="Q6304" s="651"/>
      <c r="R6304" s="651"/>
      <c r="S6304" s="651"/>
    </row>
    <row r="6305" spans="12:19" ht="15.75" customHeight="1" x14ac:dyDescent="0.35">
      <c r="L6305" s="2"/>
      <c r="M6305" s="2"/>
      <c r="N6305" s="650"/>
      <c r="O6305" s="650"/>
      <c r="P6305" s="651"/>
      <c r="Q6305" s="651"/>
      <c r="R6305" s="651"/>
      <c r="S6305" s="651"/>
    </row>
    <row r="6306" spans="12:19" ht="15.75" customHeight="1" x14ac:dyDescent="0.35">
      <c r="L6306" s="2"/>
      <c r="M6306" s="2"/>
      <c r="N6306" s="650"/>
      <c r="O6306" s="650"/>
      <c r="P6306" s="651"/>
      <c r="Q6306" s="651"/>
      <c r="R6306" s="651"/>
      <c r="S6306" s="651"/>
    </row>
    <row r="6307" spans="12:19" ht="15.75" customHeight="1" x14ac:dyDescent="0.35">
      <c r="L6307" s="2"/>
      <c r="M6307" s="2"/>
      <c r="N6307" s="650"/>
      <c r="O6307" s="650"/>
      <c r="P6307" s="651"/>
      <c r="Q6307" s="651"/>
      <c r="R6307" s="651"/>
      <c r="S6307" s="651"/>
    </row>
    <row r="6308" spans="12:19" ht="15.75" customHeight="1" x14ac:dyDescent="0.35">
      <c r="L6308" s="2"/>
      <c r="M6308" s="2"/>
      <c r="N6308" s="650"/>
      <c r="O6308" s="650"/>
      <c r="P6308" s="651"/>
      <c r="Q6308" s="651"/>
      <c r="R6308" s="651"/>
      <c r="S6308" s="651"/>
    </row>
    <row r="6309" spans="12:19" ht="15.75" customHeight="1" x14ac:dyDescent="0.35">
      <c r="L6309" s="2"/>
      <c r="M6309" s="2"/>
      <c r="N6309" s="650"/>
      <c r="O6309" s="650"/>
      <c r="P6309" s="651"/>
      <c r="Q6309" s="651"/>
      <c r="R6309" s="651"/>
      <c r="S6309" s="651"/>
    </row>
    <row r="6310" spans="12:19" ht="15.75" customHeight="1" x14ac:dyDescent="0.35">
      <c r="L6310" s="2"/>
      <c r="M6310" s="2"/>
      <c r="N6310" s="650"/>
      <c r="O6310" s="650"/>
      <c r="P6310" s="651"/>
      <c r="Q6310" s="651"/>
      <c r="R6310" s="651"/>
      <c r="S6310" s="651"/>
    </row>
    <row r="6311" spans="12:19" ht="15.75" customHeight="1" x14ac:dyDescent="0.35">
      <c r="L6311" s="2"/>
      <c r="M6311" s="2"/>
      <c r="N6311" s="650"/>
      <c r="O6311" s="650"/>
      <c r="P6311" s="651"/>
      <c r="Q6311" s="651"/>
      <c r="R6311" s="651"/>
      <c r="S6311" s="651"/>
    </row>
    <row r="6312" spans="12:19" ht="15.75" customHeight="1" x14ac:dyDescent="0.35">
      <c r="L6312" s="2"/>
      <c r="M6312" s="2"/>
      <c r="N6312" s="650"/>
      <c r="O6312" s="650"/>
      <c r="P6312" s="651"/>
      <c r="Q6312" s="651"/>
      <c r="R6312" s="651"/>
      <c r="S6312" s="651"/>
    </row>
    <row r="6313" spans="12:19" ht="15.75" customHeight="1" x14ac:dyDescent="0.35">
      <c r="L6313" s="2"/>
      <c r="M6313" s="2"/>
      <c r="N6313" s="650"/>
      <c r="O6313" s="650"/>
      <c r="P6313" s="651"/>
      <c r="Q6313" s="651"/>
      <c r="R6313" s="651"/>
      <c r="S6313" s="651"/>
    </row>
    <row r="6314" spans="12:19" ht="15.75" customHeight="1" x14ac:dyDescent="0.35">
      <c r="L6314" s="2"/>
      <c r="M6314" s="2"/>
      <c r="N6314" s="650"/>
      <c r="O6314" s="650"/>
      <c r="P6314" s="651"/>
      <c r="Q6314" s="651"/>
      <c r="R6314" s="651"/>
      <c r="S6314" s="651"/>
    </row>
    <row r="6315" spans="12:19" ht="15.75" customHeight="1" x14ac:dyDescent="0.35">
      <c r="L6315" s="2"/>
      <c r="M6315" s="2"/>
      <c r="N6315" s="650"/>
      <c r="O6315" s="650"/>
      <c r="P6315" s="651"/>
      <c r="Q6315" s="651"/>
      <c r="R6315" s="651"/>
      <c r="S6315" s="651"/>
    </row>
    <row r="6316" spans="12:19" ht="15.75" customHeight="1" x14ac:dyDescent="0.35">
      <c r="L6316" s="2"/>
      <c r="M6316" s="2"/>
      <c r="N6316" s="650"/>
      <c r="O6316" s="650"/>
      <c r="P6316" s="651"/>
      <c r="Q6316" s="651"/>
      <c r="R6316" s="651"/>
      <c r="S6316" s="651"/>
    </row>
    <row r="6317" spans="12:19" ht="15.75" customHeight="1" x14ac:dyDescent="0.35">
      <c r="L6317" s="2"/>
      <c r="M6317" s="2"/>
      <c r="N6317" s="650"/>
      <c r="O6317" s="650"/>
      <c r="P6317" s="651"/>
      <c r="Q6317" s="651"/>
      <c r="R6317" s="651"/>
      <c r="S6317" s="651"/>
    </row>
    <row r="6318" spans="12:19" ht="15.75" customHeight="1" x14ac:dyDescent="0.35">
      <c r="L6318" s="2"/>
      <c r="M6318" s="2"/>
      <c r="N6318" s="650"/>
      <c r="O6318" s="650"/>
      <c r="P6318" s="651"/>
      <c r="Q6318" s="651"/>
      <c r="R6318" s="651"/>
      <c r="S6318" s="651"/>
    </row>
    <row r="6319" spans="12:19" ht="15.75" customHeight="1" x14ac:dyDescent="0.35">
      <c r="L6319" s="2"/>
      <c r="M6319" s="2"/>
      <c r="N6319" s="650"/>
      <c r="O6319" s="650"/>
      <c r="P6319" s="651"/>
      <c r="Q6319" s="651"/>
      <c r="R6319" s="651"/>
      <c r="S6319" s="651"/>
    </row>
    <row r="6320" spans="12:19" ht="15.75" customHeight="1" x14ac:dyDescent="0.35">
      <c r="L6320" s="2"/>
      <c r="M6320" s="2"/>
      <c r="N6320" s="650"/>
      <c r="O6320" s="650"/>
      <c r="P6320" s="651"/>
      <c r="Q6320" s="651"/>
      <c r="R6320" s="651"/>
      <c r="S6320" s="651"/>
    </row>
    <row r="6321" spans="12:19" ht="15.75" customHeight="1" x14ac:dyDescent="0.35">
      <c r="L6321" s="2"/>
      <c r="M6321" s="2"/>
      <c r="N6321" s="650"/>
      <c r="O6321" s="650"/>
      <c r="P6321" s="651"/>
      <c r="Q6321" s="651"/>
      <c r="R6321" s="651"/>
      <c r="S6321" s="651"/>
    </row>
    <row r="6322" spans="12:19" ht="15.75" customHeight="1" x14ac:dyDescent="0.35">
      <c r="L6322" s="2"/>
      <c r="M6322" s="2"/>
      <c r="N6322" s="650"/>
      <c r="O6322" s="650"/>
      <c r="P6322" s="651"/>
      <c r="Q6322" s="651"/>
      <c r="R6322" s="651"/>
      <c r="S6322" s="651"/>
    </row>
    <row r="6323" spans="12:19" ht="15.75" customHeight="1" x14ac:dyDescent="0.35">
      <c r="L6323" s="2"/>
      <c r="M6323" s="2"/>
      <c r="N6323" s="650"/>
      <c r="O6323" s="650"/>
      <c r="P6323" s="651"/>
      <c r="Q6323" s="651"/>
      <c r="R6323" s="651"/>
      <c r="S6323" s="651"/>
    </row>
    <row r="6324" spans="12:19" ht="15.75" customHeight="1" x14ac:dyDescent="0.35">
      <c r="L6324" s="2"/>
      <c r="M6324" s="2"/>
      <c r="N6324" s="650"/>
      <c r="O6324" s="650"/>
      <c r="P6324" s="651"/>
      <c r="Q6324" s="651"/>
      <c r="R6324" s="651"/>
      <c r="S6324" s="651"/>
    </row>
    <row r="6325" spans="12:19" ht="15.75" customHeight="1" x14ac:dyDescent="0.35">
      <c r="L6325" s="2"/>
      <c r="M6325" s="2"/>
      <c r="N6325" s="650"/>
      <c r="O6325" s="650"/>
      <c r="P6325" s="651"/>
      <c r="Q6325" s="651"/>
      <c r="R6325" s="651"/>
      <c r="S6325" s="651"/>
    </row>
    <row r="6326" spans="12:19" ht="15.75" customHeight="1" x14ac:dyDescent="0.35">
      <c r="L6326" s="2"/>
      <c r="M6326" s="2"/>
      <c r="N6326" s="650"/>
      <c r="O6326" s="650"/>
      <c r="P6326" s="651"/>
      <c r="Q6326" s="651"/>
      <c r="R6326" s="651"/>
      <c r="S6326" s="651"/>
    </row>
    <row r="6327" spans="12:19" ht="15.75" customHeight="1" x14ac:dyDescent="0.35">
      <c r="L6327" s="2"/>
      <c r="M6327" s="2"/>
      <c r="N6327" s="650"/>
      <c r="O6327" s="650"/>
      <c r="P6327" s="651"/>
      <c r="Q6327" s="651"/>
      <c r="R6327" s="651"/>
      <c r="S6327" s="651"/>
    </row>
    <row r="6328" spans="12:19" ht="15.75" customHeight="1" x14ac:dyDescent="0.35">
      <c r="L6328" s="2"/>
      <c r="M6328" s="2"/>
      <c r="N6328" s="650"/>
      <c r="O6328" s="650"/>
      <c r="P6328" s="651"/>
      <c r="Q6328" s="651"/>
      <c r="R6328" s="651"/>
      <c r="S6328" s="651"/>
    </row>
    <row r="6329" spans="12:19" ht="15.75" customHeight="1" x14ac:dyDescent="0.35">
      <c r="L6329" s="2"/>
      <c r="M6329" s="2"/>
      <c r="N6329" s="650"/>
      <c r="O6329" s="650"/>
      <c r="P6329" s="651"/>
      <c r="Q6329" s="651"/>
      <c r="R6329" s="651"/>
      <c r="S6329" s="651"/>
    </row>
    <row r="6330" spans="12:19" ht="15.75" customHeight="1" x14ac:dyDescent="0.35">
      <c r="L6330" s="2"/>
      <c r="M6330" s="2"/>
      <c r="N6330" s="650"/>
      <c r="O6330" s="650"/>
      <c r="P6330" s="651"/>
      <c r="Q6330" s="651"/>
      <c r="R6330" s="651"/>
      <c r="S6330" s="651"/>
    </row>
    <row r="6331" spans="12:19" ht="15.75" customHeight="1" x14ac:dyDescent="0.35">
      <c r="L6331" s="2"/>
      <c r="M6331" s="2"/>
      <c r="N6331" s="650"/>
      <c r="O6331" s="650"/>
      <c r="P6331" s="651"/>
      <c r="Q6331" s="651"/>
      <c r="R6331" s="651"/>
      <c r="S6331" s="651"/>
    </row>
    <row r="6332" spans="12:19" ht="15.75" customHeight="1" x14ac:dyDescent="0.35">
      <c r="L6332" s="2"/>
      <c r="M6332" s="2"/>
      <c r="N6332" s="650"/>
      <c r="O6332" s="650"/>
      <c r="P6332" s="651"/>
      <c r="Q6332" s="651"/>
      <c r="R6332" s="651"/>
      <c r="S6332" s="651"/>
    </row>
    <row r="6333" spans="12:19" ht="15.75" customHeight="1" x14ac:dyDescent="0.35">
      <c r="L6333" s="2"/>
      <c r="M6333" s="2"/>
      <c r="N6333" s="650"/>
      <c r="O6333" s="650"/>
      <c r="P6333" s="651"/>
      <c r="Q6333" s="651"/>
      <c r="R6333" s="651"/>
      <c r="S6333" s="651"/>
    </row>
    <row r="6334" spans="12:19" ht="15.75" customHeight="1" x14ac:dyDescent="0.35">
      <c r="L6334" s="2"/>
      <c r="M6334" s="2"/>
      <c r="N6334" s="650"/>
      <c r="O6334" s="650"/>
      <c r="P6334" s="651"/>
      <c r="Q6334" s="651"/>
      <c r="R6334" s="651"/>
      <c r="S6334" s="651"/>
    </row>
    <row r="6335" spans="12:19" ht="15.75" customHeight="1" x14ac:dyDescent="0.35">
      <c r="L6335" s="2"/>
      <c r="M6335" s="2"/>
      <c r="N6335" s="650"/>
      <c r="O6335" s="650"/>
      <c r="P6335" s="651"/>
      <c r="Q6335" s="651"/>
      <c r="R6335" s="651"/>
      <c r="S6335" s="651"/>
    </row>
    <row r="6336" spans="12:19" ht="15.75" customHeight="1" x14ac:dyDescent="0.35">
      <c r="L6336" s="2"/>
      <c r="M6336" s="2"/>
      <c r="N6336" s="650"/>
      <c r="O6336" s="650"/>
      <c r="P6336" s="651"/>
      <c r="Q6336" s="651"/>
      <c r="R6336" s="651"/>
      <c r="S6336" s="651"/>
    </row>
    <row r="6337" spans="12:19" ht="15.75" customHeight="1" x14ac:dyDescent="0.35">
      <c r="L6337" s="2"/>
      <c r="M6337" s="2"/>
      <c r="N6337" s="650"/>
      <c r="O6337" s="650"/>
      <c r="P6337" s="651"/>
      <c r="Q6337" s="651"/>
      <c r="R6337" s="651"/>
      <c r="S6337" s="651"/>
    </row>
    <row r="6338" spans="12:19" ht="15.75" customHeight="1" x14ac:dyDescent="0.35">
      <c r="L6338" s="2"/>
      <c r="M6338" s="2"/>
      <c r="N6338" s="650"/>
      <c r="O6338" s="650"/>
      <c r="P6338" s="651"/>
      <c r="Q6338" s="651"/>
      <c r="R6338" s="651"/>
      <c r="S6338" s="651"/>
    </row>
    <row r="6339" spans="12:19" ht="15.75" customHeight="1" x14ac:dyDescent="0.35">
      <c r="L6339" s="2"/>
      <c r="M6339" s="2"/>
      <c r="N6339" s="650"/>
      <c r="O6339" s="650"/>
      <c r="P6339" s="651"/>
      <c r="Q6339" s="651"/>
      <c r="R6339" s="651"/>
      <c r="S6339" s="651"/>
    </row>
    <row r="6340" spans="12:19" ht="15.75" customHeight="1" x14ac:dyDescent="0.35">
      <c r="L6340" s="2"/>
      <c r="M6340" s="2"/>
      <c r="N6340" s="650"/>
      <c r="O6340" s="650"/>
      <c r="P6340" s="651"/>
      <c r="Q6340" s="651"/>
      <c r="R6340" s="651"/>
      <c r="S6340" s="651"/>
    </row>
    <row r="6341" spans="12:19" ht="15.75" customHeight="1" x14ac:dyDescent="0.35">
      <c r="L6341" s="2"/>
      <c r="M6341" s="2"/>
      <c r="N6341" s="650"/>
      <c r="O6341" s="650"/>
      <c r="P6341" s="651"/>
      <c r="Q6341" s="651"/>
      <c r="R6341" s="651"/>
      <c r="S6341" s="651"/>
    </row>
    <row r="6342" spans="12:19" ht="15.75" customHeight="1" x14ac:dyDescent="0.35">
      <c r="L6342" s="2"/>
      <c r="M6342" s="2"/>
      <c r="N6342" s="650"/>
      <c r="O6342" s="650"/>
      <c r="P6342" s="651"/>
      <c r="Q6342" s="651"/>
      <c r="R6342" s="651"/>
      <c r="S6342" s="651"/>
    </row>
    <row r="6343" spans="12:19" ht="15.75" customHeight="1" x14ac:dyDescent="0.35">
      <c r="L6343" s="2"/>
      <c r="M6343" s="2"/>
      <c r="N6343" s="650"/>
      <c r="O6343" s="650"/>
      <c r="P6343" s="651"/>
      <c r="Q6343" s="651"/>
      <c r="R6343" s="651"/>
      <c r="S6343" s="651"/>
    </row>
    <row r="6344" spans="12:19" ht="15.75" customHeight="1" x14ac:dyDescent="0.35">
      <c r="L6344" s="2"/>
      <c r="M6344" s="2"/>
      <c r="N6344" s="650"/>
      <c r="O6344" s="650"/>
      <c r="P6344" s="651"/>
      <c r="Q6344" s="651"/>
      <c r="R6344" s="651"/>
      <c r="S6344" s="651"/>
    </row>
    <row r="6345" spans="12:19" ht="15.75" customHeight="1" x14ac:dyDescent="0.35">
      <c r="L6345" s="2"/>
      <c r="M6345" s="2"/>
      <c r="N6345" s="650"/>
      <c r="O6345" s="650"/>
      <c r="P6345" s="651"/>
      <c r="Q6345" s="651"/>
      <c r="R6345" s="651"/>
      <c r="S6345" s="651"/>
    </row>
    <row r="6346" spans="12:19" ht="15.75" customHeight="1" x14ac:dyDescent="0.35">
      <c r="L6346" s="2"/>
      <c r="M6346" s="2"/>
      <c r="N6346" s="650"/>
      <c r="O6346" s="650"/>
      <c r="P6346" s="651"/>
      <c r="Q6346" s="651"/>
      <c r="R6346" s="651"/>
      <c r="S6346" s="651"/>
    </row>
    <row r="6347" spans="12:19" ht="15.75" customHeight="1" x14ac:dyDescent="0.35">
      <c r="L6347" s="2"/>
      <c r="M6347" s="2"/>
      <c r="N6347" s="650"/>
      <c r="O6347" s="650"/>
      <c r="P6347" s="651"/>
      <c r="Q6347" s="651"/>
      <c r="R6347" s="651"/>
      <c r="S6347" s="651"/>
    </row>
    <row r="6348" spans="12:19" ht="15.75" customHeight="1" x14ac:dyDescent="0.35">
      <c r="L6348" s="2"/>
      <c r="M6348" s="2"/>
      <c r="N6348" s="650"/>
      <c r="O6348" s="650"/>
      <c r="P6348" s="651"/>
      <c r="Q6348" s="651"/>
      <c r="R6348" s="651"/>
      <c r="S6348" s="651"/>
    </row>
    <row r="6349" spans="12:19" ht="15.75" customHeight="1" x14ac:dyDescent="0.35">
      <c r="L6349" s="2"/>
      <c r="M6349" s="2"/>
      <c r="N6349" s="650"/>
      <c r="O6349" s="650"/>
      <c r="P6349" s="651"/>
      <c r="Q6349" s="651"/>
      <c r="R6349" s="651"/>
      <c r="S6349" s="651"/>
    </row>
    <row r="6350" spans="12:19" ht="15.75" customHeight="1" x14ac:dyDescent="0.35">
      <c r="L6350" s="2"/>
      <c r="M6350" s="2"/>
      <c r="N6350" s="650"/>
      <c r="O6350" s="650"/>
      <c r="P6350" s="651"/>
      <c r="Q6350" s="651"/>
      <c r="R6350" s="651"/>
      <c r="S6350" s="651"/>
    </row>
    <row r="6351" spans="12:19" ht="15.75" customHeight="1" x14ac:dyDescent="0.35">
      <c r="L6351" s="2"/>
      <c r="M6351" s="2"/>
      <c r="N6351" s="650"/>
      <c r="O6351" s="650"/>
      <c r="P6351" s="651"/>
      <c r="Q6351" s="651"/>
      <c r="R6351" s="651"/>
      <c r="S6351" s="651"/>
    </row>
    <row r="6352" spans="12:19" ht="15.75" customHeight="1" x14ac:dyDescent="0.35">
      <c r="L6352" s="2"/>
      <c r="M6352" s="2"/>
      <c r="N6352" s="650"/>
      <c r="O6352" s="650"/>
      <c r="P6352" s="651"/>
      <c r="Q6352" s="651"/>
      <c r="R6352" s="651"/>
      <c r="S6352" s="651"/>
    </row>
    <row r="6353" spans="12:19" ht="15.75" customHeight="1" x14ac:dyDescent="0.35">
      <c r="L6353" s="2"/>
      <c r="M6353" s="2"/>
      <c r="N6353" s="650"/>
      <c r="O6353" s="650"/>
      <c r="P6353" s="651"/>
      <c r="Q6353" s="651"/>
      <c r="R6353" s="651"/>
      <c r="S6353" s="651"/>
    </row>
    <row r="6354" spans="12:19" ht="15.75" customHeight="1" x14ac:dyDescent="0.35">
      <c r="L6354" s="2"/>
      <c r="M6354" s="2"/>
      <c r="N6354" s="650"/>
      <c r="O6354" s="650"/>
      <c r="P6354" s="651"/>
      <c r="Q6354" s="651"/>
      <c r="R6354" s="651"/>
      <c r="S6354" s="651"/>
    </row>
    <row r="6355" spans="12:19" ht="15.75" customHeight="1" x14ac:dyDescent="0.35">
      <c r="L6355" s="2"/>
      <c r="M6355" s="2"/>
      <c r="N6355" s="650"/>
      <c r="O6355" s="650"/>
      <c r="P6355" s="651"/>
      <c r="Q6355" s="651"/>
      <c r="R6355" s="651"/>
      <c r="S6355" s="651"/>
    </row>
    <row r="6356" spans="12:19" ht="15.75" customHeight="1" x14ac:dyDescent="0.35">
      <c r="L6356" s="2"/>
      <c r="M6356" s="2"/>
      <c r="N6356" s="650"/>
      <c r="O6356" s="650"/>
      <c r="P6356" s="651"/>
      <c r="Q6356" s="651"/>
      <c r="R6356" s="651"/>
      <c r="S6356" s="651"/>
    </row>
    <row r="6357" spans="12:19" ht="15.75" customHeight="1" x14ac:dyDescent="0.35">
      <c r="L6357" s="2"/>
      <c r="M6357" s="2"/>
      <c r="N6357" s="650"/>
      <c r="O6357" s="650"/>
      <c r="P6357" s="651"/>
      <c r="Q6357" s="651"/>
      <c r="R6357" s="651"/>
      <c r="S6357" s="651"/>
    </row>
    <row r="6358" spans="12:19" ht="15.75" customHeight="1" x14ac:dyDescent="0.35">
      <c r="L6358" s="2"/>
      <c r="M6358" s="2"/>
      <c r="N6358" s="650"/>
      <c r="O6358" s="650"/>
      <c r="P6358" s="651"/>
      <c r="Q6358" s="651"/>
      <c r="R6358" s="651"/>
      <c r="S6358" s="651"/>
    </row>
    <row r="6359" spans="12:19" ht="15.75" customHeight="1" x14ac:dyDescent="0.35">
      <c r="L6359" s="2"/>
      <c r="M6359" s="2"/>
      <c r="N6359" s="650"/>
      <c r="O6359" s="650"/>
      <c r="P6359" s="651"/>
      <c r="Q6359" s="651"/>
      <c r="R6359" s="651"/>
      <c r="S6359" s="651"/>
    </row>
    <row r="6360" spans="12:19" ht="15.75" customHeight="1" x14ac:dyDescent="0.35">
      <c r="L6360" s="2"/>
      <c r="M6360" s="2"/>
      <c r="N6360" s="650"/>
      <c r="O6360" s="650"/>
      <c r="P6360" s="651"/>
      <c r="Q6360" s="651"/>
      <c r="R6360" s="651"/>
      <c r="S6360" s="651"/>
    </row>
    <row r="6361" spans="12:19" ht="15.75" customHeight="1" x14ac:dyDescent="0.35">
      <c r="L6361" s="2"/>
      <c r="M6361" s="2"/>
      <c r="N6361" s="650"/>
      <c r="O6361" s="650"/>
      <c r="P6361" s="651"/>
      <c r="Q6361" s="651"/>
      <c r="R6361" s="651"/>
      <c r="S6361" s="651"/>
    </row>
    <row r="6362" spans="12:19" ht="15.75" customHeight="1" x14ac:dyDescent="0.35">
      <c r="L6362" s="2"/>
      <c r="M6362" s="2"/>
      <c r="N6362" s="650"/>
      <c r="O6362" s="650"/>
      <c r="P6362" s="651"/>
      <c r="Q6362" s="651"/>
      <c r="R6362" s="651"/>
      <c r="S6362" s="651"/>
    </row>
    <row r="6363" spans="12:19" ht="15.75" customHeight="1" x14ac:dyDescent="0.35">
      <c r="L6363" s="2"/>
      <c r="M6363" s="2"/>
      <c r="N6363" s="650"/>
      <c r="O6363" s="650"/>
      <c r="P6363" s="651"/>
      <c r="Q6363" s="651"/>
      <c r="R6363" s="651"/>
      <c r="S6363" s="651"/>
    </row>
    <row r="6364" spans="12:19" ht="15.75" customHeight="1" x14ac:dyDescent="0.35">
      <c r="L6364" s="2"/>
      <c r="M6364" s="2"/>
      <c r="N6364" s="650"/>
      <c r="O6364" s="650"/>
      <c r="P6364" s="651"/>
      <c r="Q6364" s="651"/>
      <c r="R6364" s="651"/>
      <c r="S6364" s="651"/>
    </row>
    <row r="6365" spans="12:19" ht="15.75" customHeight="1" x14ac:dyDescent="0.35">
      <c r="L6365" s="2"/>
      <c r="M6365" s="2"/>
      <c r="N6365" s="650"/>
      <c r="O6365" s="650"/>
      <c r="P6365" s="651"/>
      <c r="Q6365" s="651"/>
      <c r="R6365" s="651"/>
      <c r="S6365" s="651"/>
    </row>
    <row r="6366" spans="12:19" ht="15.75" customHeight="1" x14ac:dyDescent="0.35">
      <c r="L6366" s="2"/>
      <c r="M6366" s="2"/>
      <c r="N6366" s="650"/>
      <c r="O6366" s="650"/>
      <c r="P6366" s="651"/>
      <c r="Q6366" s="651"/>
      <c r="R6366" s="651"/>
      <c r="S6366" s="651"/>
    </row>
    <row r="6367" spans="12:19" ht="15.75" customHeight="1" x14ac:dyDescent="0.35">
      <c r="L6367" s="2"/>
      <c r="M6367" s="2"/>
      <c r="N6367" s="650"/>
      <c r="O6367" s="650"/>
      <c r="P6367" s="651"/>
      <c r="Q6367" s="651"/>
      <c r="R6367" s="651"/>
      <c r="S6367" s="651"/>
    </row>
    <row r="6368" spans="12:19" ht="15.75" customHeight="1" x14ac:dyDescent="0.35">
      <c r="L6368" s="2"/>
      <c r="M6368" s="2"/>
      <c r="N6368" s="650"/>
      <c r="O6368" s="650"/>
      <c r="P6368" s="651"/>
      <c r="Q6368" s="651"/>
      <c r="R6368" s="651"/>
      <c r="S6368" s="651"/>
    </row>
    <row r="6369" spans="12:19" ht="15.75" customHeight="1" x14ac:dyDescent="0.35">
      <c r="L6369" s="2"/>
      <c r="M6369" s="2"/>
      <c r="N6369" s="650"/>
      <c r="O6369" s="650"/>
      <c r="P6369" s="651"/>
      <c r="Q6369" s="651"/>
      <c r="R6369" s="651"/>
      <c r="S6369" s="651"/>
    </row>
    <row r="6370" spans="12:19" ht="15.75" customHeight="1" x14ac:dyDescent="0.35">
      <c r="L6370" s="2"/>
      <c r="M6370" s="2"/>
      <c r="N6370" s="650"/>
      <c r="O6370" s="650"/>
      <c r="P6370" s="651"/>
      <c r="Q6370" s="651"/>
      <c r="R6370" s="651"/>
      <c r="S6370" s="651"/>
    </row>
    <row r="6371" spans="12:19" ht="15.75" customHeight="1" x14ac:dyDescent="0.35">
      <c r="L6371" s="2"/>
      <c r="M6371" s="2"/>
      <c r="N6371" s="650"/>
      <c r="O6371" s="650"/>
      <c r="P6371" s="651"/>
      <c r="Q6371" s="651"/>
      <c r="R6371" s="651"/>
      <c r="S6371" s="651"/>
    </row>
    <row r="6372" spans="12:19" ht="15.75" customHeight="1" x14ac:dyDescent="0.35">
      <c r="L6372" s="2"/>
      <c r="M6372" s="2"/>
      <c r="N6372" s="650"/>
      <c r="O6372" s="650"/>
      <c r="P6372" s="651"/>
      <c r="Q6372" s="651"/>
      <c r="R6372" s="651"/>
      <c r="S6372" s="651"/>
    </row>
    <row r="6373" spans="12:19" ht="15.75" customHeight="1" x14ac:dyDescent="0.35">
      <c r="L6373" s="2"/>
      <c r="M6373" s="2"/>
      <c r="N6373" s="650"/>
      <c r="O6373" s="650"/>
      <c r="P6373" s="651"/>
      <c r="Q6373" s="651"/>
      <c r="R6373" s="651"/>
      <c r="S6373" s="651"/>
    </row>
    <row r="6374" spans="12:19" ht="15.75" customHeight="1" x14ac:dyDescent="0.35">
      <c r="L6374" s="2"/>
      <c r="M6374" s="2"/>
      <c r="N6374" s="650"/>
      <c r="O6374" s="650"/>
      <c r="P6374" s="651"/>
      <c r="Q6374" s="651"/>
      <c r="R6374" s="651"/>
      <c r="S6374" s="651"/>
    </row>
    <row r="6375" spans="12:19" ht="15.75" customHeight="1" x14ac:dyDescent="0.35">
      <c r="L6375" s="2"/>
      <c r="M6375" s="2"/>
      <c r="N6375" s="650"/>
      <c r="O6375" s="650"/>
      <c r="P6375" s="651"/>
      <c r="Q6375" s="651"/>
      <c r="R6375" s="651"/>
      <c r="S6375" s="651"/>
    </row>
    <row r="6376" spans="12:19" ht="15.75" customHeight="1" x14ac:dyDescent="0.35">
      <c r="L6376" s="2"/>
      <c r="M6376" s="2"/>
      <c r="N6376" s="650"/>
      <c r="O6376" s="650"/>
      <c r="P6376" s="651"/>
      <c r="Q6376" s="651"/>
      <c r="R6376" s="651"/>
      <c r="S6376" s="651"/>
    </row>
    <row r="6377" spans="12:19" ht="15.75" customHeight="1" x14ac:dyDescent="0.35">
      <c r="L6377" s="2"/>
      <c r="M6377" s="2"/>
      <c r="N6377" s="650"/>
      <c r="O6377" s="650"/>
      <c r="P6377" s="651"/>
      <c r="Q6377" s="651"/>
      <c r="R6377" s="651"/>
      <c r="S6377" s="651"/>
    </row>
    <row r="6378" spans="12:19" ht="15.75" customHeight="1" x14ac:dyDescent="0.35">
      <c r="L6378" s="2"/>
      <c r="M6378" s="2"/>
      <c r="N6378" s="650"/>
      <c r="O6378" s="650"/>
      <c r="P6378" s="651"/>
      <c r="Q6378" s="651"/>
      <c r="R6378" s="651"/>
      <c r="S6378" s="651"/>
    </row>
    <row r="6379" spans="12:19" ht="15.75" customHeight="1" x14ac:dyDescent="0.35">
      <c r="L6379" s="2"/>
      <c r="M6379" s="2"/>
      <c r="N6379" s="650"/>
      <c r="O6379" s="650"/>
      <c r="P6379" s="651"/>
      <c r="Q6379" s="651"/>
      <c r="R6379" s="651"/>
      <c r="S6379" s="651"/>
    </row>
    <row r="6380" spans="12:19" ht="15.75" customHeight="1" x14ac:dyDescent="0.35">
      <c r="L6380" s="2"/>
      <c r="M6380" s="2"/>
      <c r="N6380" s="650"/>
      <c r="O6380" s="650"/>
      <c r="P6380" s="651"/>
      <c r="Q6380" s="651"/>
      <c r="R6380" s="651"/>
      <c r="S6380" s="651"/>
    </row>
    <row r="6381" spans="12:19" ht="15.75" customHeight="1" x14ac:dyDescent="0.35">
      <c r="L6381" s="2"/>
      <c r="M6381" s="2"/>
      <c r="N6381" s="650"/>
      <c r="O6381" s="650"/>
      <c r="P6381" s="651"/>
      <c r="Q6381" s="651"/>
      <c r="R6381" s="651"/>
      <c r="S6381" s="651"/>
    </row>
    <row r="6382" spans="12:19" ht="15.75" customHeight="1" x14ac:dyDescent="0.35">
      <c r="L6382" s="2"/>
      <c r="M6382" s="2"/>
      <c r="N6382" s="650"/>
      <c r="O6382" s="650"/>
      <c r="P6382" s="651"/>
      <c r="Q6382" s="651"/>
      <c r="R6382" s="651"/>
      <c r="S6382" s="651"/>
    </row>
    <row r="6383" spans="12:19" ht="15.75" customHeight="1" x14ac:dyDescent="0.35">
      <c r="L6383" s="2"/>
      <c r="M6383" s="2"/>
      <c r="N6383" s="650"/>
      <c r="O6383" s="650"/>
      <c r="P6383" s="651"/>
      <c r="Q6383" s="651"/>
      <c r="R6383" s="651"/>
      <c r="S6383" s="651"/>
    </row>
    <row r="6384" spans="12:19" ht="15.75" customHeight="1" x14ac:dyDescent="0.35">
      <c r="L6384" s="2"/>
      <c r="M6384" s="2"/>
      <c r="N6384" s="650"/>
      <c r="O6384" s="650"/>
      <c r="P6384" s="651"/>
      <c r="Q6384" s="651"/>
      <c r="R6384" s="651"/>
      <c r="S6384" s="651"/>
    </row>
    <row r="6385" spans="12:19" ht="15.75" customHeight="1" x14ac:dyDescent="0.35">
      <c r="L6385" s="2"/>
      <c r="M6385" s="2"/>
      <c r="N6385" s="650"/>
      <c r="O6385" s="650"/>
      <c r="P6385" s="651"/>
      <c r="Q6385" s="651"/>
      <c r="R6385" s="651"/>
      <c r="S6385" s="651"/>
    </row>
    <row r="6386" spans="12:19" ht="15.75" customHeight="1" x14ac:dyDescent="0.35">
      <c r="L6386" s="2"/>
      <c r="M6386" s="2"/>
      <c r="N6386" s="650"/>
      <c r="O6386" s="650"/>
      <c r="P6386" s="651"/>
      <c r="Q6386" s="651"/>
      <c r="R6386" s="651"/>
      <c r="S6386" s="651"/>
    </row>
    <row r="6387" spans="12:19" ht="15.75" customHeight="1" x14ac:dyDescent="0.35">
      <c r="L6387" s="2"/>
      <c r="M6387" s="2"/>
      <c r="N6387" s="650"/>
      <c r="O6387" s="650"/>
      <c r="P6387" s="651"/>
      <c r="Q6387" s="651"/>
      <c r="R6387" s="651"/>
      <c r="S6387" s="651"/>
    </row>
    <row r="6388" spans="12:19" ht="15.75" customHeight="1" x14ac:dyDescent="0.35">
      <c r="L6388" s="2"/>
      <c r="M6388" s="2"/>
      <c r="N6388" s="650"/>
      <c r="O6388" s="650"/>
      <c r="P6388" s="651"/>
      <c r="Q6388" s="651"/>
      <c r="R6388" s="651"/>
      <c r="S6388" s="651"/>
    </row>
    <row r="6389" spans="12:19" ht="15.75" customHeight="1" x14ac:dyDescent="0.35">
      <c r="L6389" s="2"/>
      <c r="M6389" s="2"/>
      <c r="N6389" s="650"/>
      <c r="O6389" s="650"/>
      <c r="P6389" s="651"/>
      <c r="Q6389" s="651"/>
      <c r="R6389" s="651"/>
      <c r="S6389" s="651"/>
    </row>
    <row r="6390" spans="12:19" ht="15.75" customHeight="1" x14ac:dyDescent="0.35">
      <c r="L6390" s="2"/>
      <c r="M6390" s="2"/>
      <c r="N6390" s="650"/>
      <c r="O6390" s="650"/>
      <c r="P6390" s="651"/>
      <c r="Q6390" s="651"/>
      <c r="R6390" s="651"/>
      <c r="S6390" s="651"/>
    </row>
    <row r="6391" spans="12:19" ht="15.75" customHeight="1" x14ac:dyDescent="0.35">
      <c r="L6391" s="2"/>
      <c r="M6391" s="2"/>
      <c r="N6391" s="650"/>
      <c r="O6391" s="650"/>
      <c r="P6391" s="651"/>
      <c r="Q6391" s="651"/>
      <c r="R6391" s="651"/>
      <c r="S6391" s="651"/>
    </row>
    <row r="6392" spans="12:19" ht="15.75" customHeight="1" x14ac:dyDescent="0.35">
      <c r="L6392" s="2"/>
      <c r="M6392" s="2"/>
      <c r="N6392" s="650"/>
      <c r="O6392" s="650"/>
      <c r="P6392" s="651"/>
      <c r="Q6392" s="651"/>
      <c r="R6392" s="651"/>
      <c r="S6392" s="651"/>
    </row>
    <row r="6393" spans="12:19" ht="15.75" customHeight="1" x14ac:dyDescent="0.35">
      <c r="L6393" s="2"/>
      <c r="M6393" s="2"/>
      <c r="N6393" s="650"/>
      <c r="O6393" s="650"/>
      <c r="P6393" s="651"/>
      <c r="Q6393" s="651"/>
      <c r="R6393" s="651"/>
      <c r="S6393" s="651"/>
    </row>
    <row r="6394" spans="12:19" ht="15.75" customHeight="1" x14ac:dyDescent="0.35">
      <c r="L6394" s="2"/>
      <c r="M6394" s="2"/>
      <c r="N6394" s="650"/>
      <c r="O6394" s="650"/>
      <c r="P6394" s="651"/>
      <c r="Q6394" s="651"/>
      <c r="R6394" s="651"/>
      <c r="S6394" s="651"/>
    </row>
    <row r="6395" spans="12:19" ht="15.75" customHeight="1" x14ac:dyDescent="0.35">
      <c r="L6395" s="2"/>
      <c r="M6395" s="2"/>
      <c r="N6395" s="650"/>
      <c r="O6395" s="650"/>
      <c r="P6395" s="651"/>
      <c r="Q6395" s="651"/>
      <c r="R6395" s="651"/>
      <c r="S6395" s="651"/>
    </row>
    <row r="6396" spans="12:19" ht="15.75" customHeight="1" x14ac:dyDescent="0.35">
      <c r="L6396" s="2"/>
      <c r="M6396" s="2"/>
      <c r="N6396" s="650"/>
      <c r="O6396" s="650"/>
      <c r="P6396" s="651"/>
      <c r="Q6396" s="651"/>
      <c r="R6396" s="651"/>
      <c r="S6396" s="651"/>
    </row>
    <row r="6397" spans="12:19" ht="15.75" customHeight="1" x14ac:dyDescent="0.35">
      <c r="L6397" s="2"/>
      <c r="M6397" s="2"/>
      <c r="N6397" s="650"/>
      <c r="O6397" s="650"/>
      <c r="P6397" s="651"/>
      <c r="Q6397" s="651"/>
      <c r="R6397" s="651"/>
      <c r="S6397" s="651"/>
    </row>
    <row r="6398" spans="12:19" ht="15.75" customHeight="1" x14ac:dyDescent="0.35">
      <c r="L6398" s="2"/>
      <c r="M6398" s="2"/>
      <c r="N6398" s="650"/>
      <c r="O6398" s="650"/>
      <c r="P6398" s="651"/>
      <c r="Q6398" s="651"/>
      <c r="R6398" s="651"/>
      <c r="S6398" s="651"/>
    </row>
    <row r="6399" spans="12:19" ht="15.75" customHeight="1" x14ac:dyDescent="0.35">
      <c r="L6399" s="2"/>
      <c r="M6399" s="2"/>
      <c r="N6399" s="650"/>
      <c r="O6399" s="650"/>
      <c r="P6399" s="651"/>
      <c r="Q6399" s="651"/>
      <c r="R6399" s="651"/>
      <c r="S6399" s="651"/>
    </row>
    <row r="6400" spans="12:19" ht="15.75" customHeight="1" x14ac:dyDescent="0.35">
      <c r="L6400" s="2"/>
      <c r="M6400" s="2"/>
      <c r="N6400" s="650"/>
      <c r="O6400" s="650"/>
      <c r="P6400" s="651"/>
      <c r="Q6400" s="651"/>
      <c r="R6400" s="651"/>
      <c r="S6400" s="651"/>
    </row>
    <row r="6401" spans="12:19" ht="15.75" customHeight="1" x14ac:dyDescent="0.35">
      <c r="L6401" s="2"/>
      <c r="M6401" s="2"/>
      <c r="N6401" s="650"/>
      <c r="O6401" s="650"/>
      <c r="P6401" s="651"/>
      <c r="Q6401" s="651"/>
      <c r="R6401" s="651"/>
      <c r="S6401" s="651"/>
    </row>
    <row r="6402" spans="12:19" ht="15.75" customHeight="1" x14ac:dyDescent="0.35">
      <c r="L6402" s="2"/>
      <c r="M6402" s="2"/>
      <c r="N6402" s="650"/>
      <c r="O6402" s="650"/>
      <c r="P6402" s="651"/>
      <c r="Q6402" s="651"/>
      <c r="R6402" s="651"/>
      <c r="S6402" s="651"/>
    </row>
    <row r="6403" spans="12:19" ht="15.75" customHeight="1" x14ac:dyDescent="0.35">
      <c r="L6403" s="2"/>
      <c r="M6403" s="2"/>
      <c r="N6403" s="650"/>
      <c r="O6403" s="650"/>
      <c r="P6403" s="651"/>
      <c r="Q6403" s="651"/>
      <c r="R6403" s="651"/>
      <c r="S6403" s="651"/>
    </row>
    <row r="6404" spans="12:19" ht="15.75" customHeight="1" x14ac:dyDescent="0.35">
      <c r="L6404" s="2"/>
      <c r="M6404" s="2"/>
      <c r="N6404" s="650"/>
      <c r="O6404" s="650"/>
      <c r="P6404" s="651"/>
      <c r="Q6404" s="651"/>
      <c r="R6404" s="651"/>
      <c r="S6404" s="651"/>
    </row>
    <row r="6405" spans="12:19" ht="15.75" customHeight="1" x14ac:dyDescent="0.35">
      <c r="L6405" s="2"/>
      <c r="M6405" s="2"/>
      <c r="N6405" s="650"/>
      <c r="O6405" s="650"/>
      <c r="P6405" s="651"/>
      <c r="Q6405" s="651"/>
      <c r="R6405" s="651"/>
      <c r="S6405" s="651"/>
    </row>
    <row r="6406" spans="12:19" ht="15.75" customHeight="1" x14ac:dyDescent="0.35">
      <c r="L6406" s="2"/>
      <c r="M6406" s="2"/>
      <c r="N6406" s="650"/>
      <c r="O6406" s="650"/>
      <c r="P6406" s="651"/>
      <c r="Q6406" s="651"/>
      <c r="R6406" s="651"/>
      <c r="S6406" s="651"/>
    </row>
    <row r="6407" spans="12:19" ht="15.75" customHeight="1" x14ac:dyDescent="0.35">
      <c r="L6407" s="2"/>
      <c r="M6407" s="2"/>
      <c r="N6407" s="650"/>
      <c r="O6407" s="650"/>
      <c r="P6407" s="651"/>
      <c r="Q6407" s="651"/>
      <c r="R6407" s="651"/>
      <c r="S6407" s="651"/>
    </row>
    <row r="6408" spans="12:19" ht="15.75" customHeight="1" x14ac:dyDescent="0.35">
      <c r="L6408" s="2"/>
      <c r="M6408" s="2"/>
      <c r="N6408" s="650"/>
      <c r="O6408" s="650"/>
      <c r="P6408" s="651"/>
      <c r="Q6408" s="651"/>
      <c r="R6408" s="651"/>
      <c r="S6408" s="651"/>
    </row>
    <row r="6409" spans="12:19" ht="15.75" customHeight="1" x14ac:dyDescent="0.35">
      <c r="L6409" s="2"/>
      <c r="M6409" s="2"/>
      <c r="N6409" s="650"/>
      <c r="O6409" s="650"/>
      <c r="P6409" s="651"/>
      <c r="Q6409" s="651"/>
      <c r="R6409" s="651"/>
      <c r="S6409" s="651"/>
    </row>
    <row r="6410" spans="12:19" ht="15.75" customHeight="1" x14ac:dyDescent="0.35">
      <c r="L6410" s="2"/>
      <c r="M6410" s="2"/>
      <c r="N6410" s="650"/>
      <c r="O6410" s="650"/>
      <c r="P6410" s="651"/>
      <c r="Q6410" s="651"/>
      <c r="R6410" s="651"/>
      <c r="S6410" s="651"/>
    </row>
    <row r="6411" spans="12:19" ht="15.75" customHeight="1" x14ac:dyDescent="0.35">
      <c r="L6411" s="2"/>
      <c r="M6411" s="2"/>
      <c r="N6411" s="650"/>
      <c r="O6411" s="650"/>
      <c r="P6411" s="651"/>
      <c r="Q6411" s="651"/>
      <c r="R6411" s="651"/>
      <c r="S6411" s="651"/>
    </row>
    <row r="6412" spans="12:19" ht="15.75" customHeight="1" x14ac:dyDescent="0.35">
      <c r="L6412" s="2"/>
      <c r="M6412" s="2"/>
      <c r="N6412" s="650"/>
      <c r="O6412" s="650"/>
      <c r="P6412" s="651"/>
      <c r="Q6412" s="651"/>
      <c r="R6412" s="651"/>
      <c r="S6412" s="651"/>
    </row>
    <row r="6413" spans="12:19" ht="15.75" customHeight="1" x14ac:dyDescent="0.35">
      <c r="L6413" s="2"/>
      <c r="M6413" s="2"/>
      <c r="N6413" s="650"/>
      <c r="O6413" s="650"/>
      <c r="P6413" s="651"/>
      <c r="Q6413" s="651"/>
      <c r="R6413" s="651"/>
      <c r="S6413" s="651"/>
    </row>
    <row r="6414" spans="12:19" ht="15.75" customHeight="1" x14ac:dyDescent="0.35">
      <c r="L6414" s="2"/>
      <c r="M6414" s="2"/>
      <c r="N6414" s="650"/>
      <c r="O6414" s="650"/>
      <c r="P6414" s="651"/>
      <c r="Q6414" s="651"/>
      <c r="R6414" s="651"/>
      <c r="S6414" s="651"/>
    </row>
    <row r="6415" spans="12:19" ht="15.75" customHeight="1" x14ac:dyDescent="0.35">
      <c r="L6415" s="2"/>
      <c r="M6415" s="2"/>
      <c r="N6415" s="650"/>
      <c r="O6415" s="650"/>
      <c r="P6415" s="651"/>
      <c r="Q6415" s="651"/>
      <c r="R6415" s="651"/>
      <c r="S6415" s="651"/>
    </row>
    <row r="6416" spans="12:19" ht="15.75" customHeight="1" x14ac:dyDescent="0.35">
      <c r="L6416" s="2"/>
      <c r="M6416" s="2"/>
      <c r="N6416" s="650"/>
      <c r="O6416" s="650"/>
      <c r="P6416" s="651"/>
      <c r="Q6416" s="651"/>
      <c r="R6416" s="651"/>
      <c r="S6416" s="651"/>
    </row>
    <row r="6417" spans="12:19" ht="15.75" customHeight="1" x14ac:dyDescent="0.35">
      <c r="L6417" s="2"/>
      <c r="M6417" s="2"/>
      <c r="N6417" s="650"/>
      <c r="O6417" s="650"/>
      <c r="P6417" s="651"/>
      <c r="Q6417" s="651"/>
      <c r="R6417" s="651"/>
      <c r="S6417" s="651"/>
    </row>
    <row r="6418" spans="12:19" ht="15.75" customHeight="1" x14ac:dyDescent="0.35">
      <c r="L6418" s="2"/>
      <c r="M6418" s="2"/>
      <c r="N6418" s="650"/>
      <c r="O6418" s="650"/>
      <c r="P6418" s="651"/>
      <c r="Q6418" s="651"/>
      <c r="R6418" s="651"/>
      <c r="S6418" s="651"/>
    </row>
    <row r="6419" spans="12:19" ht="15.75" customHeight="1" x14ac:dyDescent="0.35">
      <c r="L6419" s="2"/>
      <c r="M6419" s="2"/>
      <c r="N6419" s="650"/>
      <c r="O6419" s="650"/>
      <c r="P6419" s="651"/>
      <c r="Q6419" s="651"/>
      <c r="R6419" s="651"/>
      <c r="S6419" s="651"/>
    </row>
    <row r="6420" spans="12:19" ht="15.75" customHeight="1" x14ac:dyDescent="0.35">
      <c r="L6420" s="2"/>
      <c r="M6420" s="2"/>
      <c r="N6420" s="650"/>
      <c r="O6420" s="650"/>
      <c r="P6420" s="651"/>
      <c r="Q6420" s="651"/>
      <c r="R6420" s="651"/>
      <c r="S6420" s="651"/>
    </row>
    <row r="6421" spans="12:19" ht="15.75" customHeight="1" x14ac:dyDescent="0.35">
      <c r="L6421" s="2"/>
      <c r="M6421" s="2"/>
      <c r="N6421" s="650"/>
      <c r="O6421" s="650"/>
      <c r="P6421" s="651"/>
      <c r="Q6421" s="651"/>
      <c r="R6421" s="651"/>
      <c r="S6421" s="651"/>
    </row>
    <row r="6422" spans="12:19" ht="15.75" customHeight="1" x14ac:dyDescent="0.35">
      <c r="L6422" s="2"/>
      <c r="M6422" s="2"/>
      <c r="N6422" s="650"/>
      <c r="O6422" s="650"/>
      <c r="P6422" s="651"/>
      <c r="Q6422" s="651"/>
      <c r="R6422" s="651"/>
      <c r="S6422" s="651"/>
    </row>
    <row r="6423" spans="12:19" ht="15.75" customHeight="1" x14ac:dyDescent="0.35">
      <c r="L6423" s="2"/>
      <c r="M6423" s="2"/>
      <c r="N6423" s="650"/>
      <c r="O6423" s="650"/>
      <c r="P6423" s="651"/>
      <c r="Q6423" s="651"/>
      <c r="R6423" s="651"/>
      <c r="S6423" s="651"/>
    </row>
    <row r="6424" spans="12:19" ht="15.75" customHeight="1" x14ac:dyDescent="0.35">
      <c r="L6424" s="2"/>
      <c r="M6424" s="2"/>
      <c r="N6424" s="650"/>
      <c r="O6424" s="650"/>
      <c r="P6424" s="651"/>
      <c r="Q6424" s="651"/>
      <c r="R6424" s="651"/>
      <c r="S6424" s="651"/>
    </row>
    <row r="6425" spans="12:19" ht="15.75" customHeight="1" x14ac:dyDescent="0.35">
      <c r="L6425" s="2"/>
      <c r="M6425" s="2"/>
      <c r="N6425" s="650"/>
      <c r="O6425" s="650"/>
      <c r="P6425" s="651"/>
      <c r="Q6425" s="651"/>
      <c r="R6425" s="651"/>
      <c r="S6425" s="651"/>
    </row>
    <row r="6426" spans="12:19" ht="15.75" customHeight="1" x14ac:dyDescent="0.35">
      <c r="L6426" s="2"/>
      <c r="M6426" s="2"/>
      <c r="N6426" s="650"/>
      <c r="O6426" s="650"/>
      <c r="P6426" s="651"/>
      <c r="Q6426" s="651"/>
      <c r="R6426" s="651"/>
      <c r="S6426" s="651"/>
    </row>
    <row r="6427" spans="12:19" ht="15.75" customHeight="1" x14ac:dyDescent="0.35">
      <c r="L6427" s="2"/>
      <c r="M6427" s="2"/>
      <c r="N6427" s="650"/>
      <c r="O6427" s="650"/>
      <c r="P6427" s="651"/>
      <c r="Q6427" s="651"/>
      <c r="R6427" s="651"/>
      <c r="S6427" s="651"/>
    </row>
    <row r="6428" spans="12:19" ht="15.75" customHeight="1" x14ac:dyDescent="0.35">
      <c r="L6428" s="2"/>
      <c r="M6428" s="2"/>
      <c r="N6428" s="650"/>
      <c r="O6428" s="650"/>
      <c r="P6428" s="651"/>
      <c r="Q6428" s="651"/>
      <c r="R6428" s="651"/>
      <c r="S6428" s="651"/>
    </row>
    <row r="6429" spans="12:19" ht="15.75" customHeight="1" x14ac:dyDescent="0.35">
      <c r="L6429" s="2"/>
      <c r="M6429" s="2"/>
      <c r="N6429" s="650"/>
      <c r="O6429" s="650"/>
      <c r="P6429" s="651"/>
      <c r="Q6429" s="651"/>
      <c r="R6429" s="651"/>
      <c r="S6429" s="651"/>
    </row>
    <row r="6430" spans="12:19" ht="15.75" customHeight="1" x14ac:dyDescent="0.35">
      <c r="L6430" s="2"/>
      <c r="M6430" s="2"/>
      <c r="N6430" s="650"/>
      <c r="O6430" s="650"/>
      <c r="P6430" s="651"/>
      <c r="Q6430" s="651"/>
      <c r="R6430" s="651"/>
      <c r="S6430" s="651"/>
    </row>
    <row r="6431" spans="12:19" ht="15.75" customHeight="1" x14ac:dyDescent="0.35">
      <c r="L6431" s="2"/>
      <c r="M6431" s="2"/>
      <c r="N6431" s="650"/>
      <c r="O6431" s="650"/>
      <c r="P6431" s="651"/>
      <c r="Q6431" s="651"/>
      <c r="R6431" s="651"/>
      <c r="S6431" s="651"/>
    </row>
    <row r="6432" spans="12:19" ht="15.75" customHeight="1" x14ac:dyDescent="0.35">
      <c r="L6432" s="2"/>
      <c r="M6432" s="2"/>
      <c r="N6432" s="650"/>
      <c r="O6432" s="650"/>
      <c r="P6432" s="651"/>
      <c r="Q6432" s="651"/>
      <c r="R6432" s="651"/>
      <c r="S6432" s="651"/>
    </row>
    <row r="6433" spans="12:19" ht="15.75" customHeight="1" x14ac:dyDescent="0.35">
      <c r="L6433" s="2"/>
      <c r="M6433" s="2"/>
      <c r="N6433" s="650"/>
      <c r="O6433" s="650"/>
      <c r="P6433" s="651"/>
      <c r="Q6433" s="651"/>
      <c r="R6433" s="651"/>
      <c r="S6433" s="651"/>
    </row>
    <row r="6434" spans="12:19" ht="15.75" customHeight="1" x14ac:dyDescent="0.35">
      <c r="L6434" s="2"/>
      <c r="M6434" s="2"/>
      <c r="N6434" s="650"/>
      <c r="O6434" s="650"/>
      <c r="P6434" s="651"/>
      <c r="Q6434" s="651"/>
      <c r="R6434" s="651"/>
      <c r="S6434" s="651"/>
    </row>
    <row r="6435" spans="12:19" ht="15.75" customHeight="1" x14ac:dyDescent="0.35">
      <c r="L6435" s="2"/>
      <c r="M6435" s="2"/>
      <c r="N6435" s="650"/>
      <c r="O6435" s="650"/>
      <c r="P6435" s="651"/>
      <c r="Q6435" s="651"/>
      <c r="R6435" s="651"/>
      <c r="S6435" s="651"/>
    </row>
    <row r="6436" spans="12:19" ht="15.75" customHeight="1" x14ac:dyDescent="0.35">
      <c r="L6436" s="2"/>
      <c r="M6436" s="2"/>
      <c r="N6436" s="650"/>
      <c r="O6436" s="650"/>
      <c r="P6436" s="651"/>
      <c r="Q6436" s="651"/>
      <c r="R6436" s="651"/>
      <c r="S6436" s="651"/>
    </row>
    <row r="6437" spans="12:19" ht="15.75" customHeight="1" x14ac:dyDescent="0.35">
      <c r="L6437" s="2"/>
      <c r="M6437" s="2"/>
      <c r="N6437" s="650"/>
      <c r="O6437" s="650"/>
      <c r="P6437" s="651"/>
      <c r="Q6437" s="651"/>
      <c r="R6437" s="651"/>
      <c r="S6437" s="651"/>
    </row>
    <row r="6438" spans="12:19" ht="15.75" customHeight="1" x14ac:dyDescent="0.35">
      <c r="L6438" s="2"/>
      <c r="M6438" s="2"/>
      <c r="N6438" s="650"/>
      <c r="O6438" s="650"/>
      <c r="P6438" s="651"/>
      <c r="Q6438" s="651"/>
      <c r="R6438" s="651"/>
      <c r="S6438" s="651"/>
    </row>
    <row r="6439" spans="12:19" ht="15.75" customHeight="1" x14ac:dyDescent="0.35">
      <c r="L6439" s="2"/>
      <c r="M6439" s="2"/>
      <c r="N6439" s="650"/>
      <c r="O6439" s="650"/>
      <c r="P6439" s="651"/>
      <c r="Q6439" s="651"/>
      <c r="R6439" s="651"/>
      <c r="S6439" s="651"/>
    </row>
    <row r="6440" spans="12:19" ht="15.75" customHeight="1" x14ac:dyDescent="0.35">
      <c r="L6440" s="2"/>
      <c r="M6440" s="2"/>
      <c r="N6440" s="650"/>
      <c r="O6440" s="650"/>
      <c r="P6440" s="651"/>
      <c r="Q6440" s="651"/>
      <c r="R6440" s="651"/>
      <c r="S6440" s="651"/>
    </row>
    <row r="6441" spans="12:19" ht="15.75" customHeight="1" x14ac:dyDescent="0.35">
      <c r="L6441" s="2"/>
      <c r="M6441" s="2"/>
      <c r="N6441" s="650"/>
      <c r="O6441" s="650"/>
      <c r="P6441" s="651"/>
      <c r="Q6441" s="651"/>
      <c r="R6441" s="651"/>
      <c r="S6441" s="651"/>
    </row>
    <row r="6442" spans="12:19" ht="15.75" customHeight="1" x14ac:dyDescent="0.35">
      <c r="L6442" s="2"/>
      <c r="M6442" s="2"/>
      <c r="N6442" s="650"/>
      <c r="O6442" s="650"/>
      <c r="P6442" s="651"/>
      <c r="Q6442" s="651"/>
      <c r="R6442" s="651"/>
      <c r="S6442" s="651"/>
    </row>
    <row r="6443" spans="12:19" ht="15.75" customHeight="1" x14ac:dyDescent="0.35">
      <c r="L6443" s="2"/>
      <c r="M6443" s="2"/>
      <c r="N6443" s="650"/>
      <c r="O6443" s="650"/>
      <c r="P6443" s="651"/>
      <c r="Q6443" s="651"/>
      <c r="R6443" s="651"/>
      <c r="S6443" s="651"/>
    </row>
    <row r="6444" spans="12:19" ht="15.75" customHeight="1" x14ac:dyDescent="0.35">
      <c r="L6444" s="2"/>
      <c r="M6444" s="2"/>
      <c r="N6444" s="650"/>
      <c r="O6444" s="650"/>
      <c r="P6444" s="651"/>
      <c r="Q6444" s="651"/>
      <c r="R6444" s="651"/>
      <c r="S6444" s="651"/>
    </row>
    <row r="6445" spans="12:19" ht="15.75" customHeight="1" x14ac:dyDescent="0.35">
      <c r="L6445" s="2"/>
      <c r="M6445" s="2"/>
      <c r="N6445" s="650"/>
      <c r="O6445" s="650"/>
      <c r="P6445" s="651"/>
      <c r="Q6445" s="651"/>
      <c r="R6445" s="651"/>
      <c r="S6445" s="651"/>
    </row>
    <row r="6446" spans="12:19" ht="15.75" customHeight="1" x14ac:dyDescent="0.35">
      <c r="L6446" s="2"/>
      <c r="M6446" s="2"/>
      <c r="N6446" s="650"/>
      <c r="O6446" s="650"/>
      <c r="P6446" s="651"/>
      <c r="Q6446" s="651"/>
      <c r="R6446" s="651"/>
      <c r="S6446" s="651"/>
    </row>
    <row r="6447" spans="12:19" ht="15.75" customHeight="1" x14ac:dyDescent="0.35">
      <c r="L6447" s="2"/>
      <c r="M6447" s="2"/>
      <c r="N6447" s="650"/>
      <c r="O6447" s="650"/>
      <c r="P6447" s="651"/>
      <c r="Q6447" s="651"/>
      <c r="R6447" s="651"/>
      <c r="S6447" s="651"/>
    </row>
    <row r="6448" spans="12:19" ht="15.75" customHeight="1" x14ac:dyDescent="0.35">
      <c r="L6448" s="2"/>
      <c r="M6448" s="2"/>
      <c r="N6448" s="650"/>
      <c r="O6448" s="650"/>
      <c r="P6448" s="651"/>
      <c r="Q6448" s="651"/>
      <c r="R6448" s="651"/>
      <c r="S6448" s="651"/>
    </row>
    <row r="6449" spans="12:19" ht="15.75" customHeight="1" x14ac:dyDescent="0.35">
      <c r="L6449" s="2"/>
      <c r="M6449" s="2"/>
      <c r="N6449" s="650"/>
      <c r="O6449" s="650"/>
      <c r="P6449" s="651"/>
      <c r="Q6449" s="651"/>
      <c r="R6449" s="651"/>
      <c r="S6449" s="651"/>
    </row>
    <row r="6450" spans="12:19" ht="15.75" customHeight="1" x14ac:dyDescent="0.35">
      <c r="L6450" s="2"/>
      <c r="M6450" s="2"/>
      <c r="N6450" s="650"/>
      <c r="O6450" s="650"/>
      <c r="P6450" s="651"/>
      <c r="Q6450" s="651"/>
      <c r="R6450" s="651"/>
      <c r="S6450" s="651"/>
    </row>
    <row r="6451" spans="12:19" ht="15.75" customHeight="1" x14ac:dyDescent="0.35">
      <c r="L6451" s="2"/>
      <c r="M6451" s="2"/>
      <c r="N6451" s="650"/>
      <c r="O6451" s="650"/>
      <c r="P6451" s="651"/>
      <c r="Q6451" s="651"/>
      <c r="R6451" s="651"/>
      <c r="S6451" s="651"/>
    </row>
    <row r="6452" spans="12:19" ht="15.75" customHeight="1" x14ac:dyDescent="0.35">
      <c r="L6452" s="2"/>
      <c r="M6452" s="2"/>
      <c r="N6452" s="650"/>
      <c r="O6452" s="650"/>
      <c r="P6452" s="651"/>
      <c r="Q6452" s="651"/>
      <c r="R6452" s="651"/>
      <c r="S6452" s="651"/>
    </row>
    <row r="6453" spans="12:19" ht="15.75" customHeight="1" x14ac:dyDescent="0.35">
      <c r="L6453" s="2"/>
      <c r="M6453" s="2"/>
      <c r="N6453" s="650"/>
      <c r="O6453" s="650"/>
      <c r="P6453" s="651"/>
      <c r="Q6453" s="651"/>
      <c r="R6453" s="651"/>
      <c r="S6453" s="651"/>
    </row>
    <row r="6454" spans="12:19" ht="15.75" customHeight="1" x14ac:dyDescent="0.35">
      <c r="L6454" s="2"/>
      <c r="M6454" s="2"/>
      <c r="N6454" s="650"/>
      <c r="O6454" s="650"/>
      <c r="P6454" s="651"/>
      <c r="Q6454" s="651"/>
      <c r="R6454" s="651"/>
      <c r="S6454" s="651"/>
    </row>
    <row r="6455" spans="12:19" ht="15.75" customHeight="1" x14ac:dyDescent="0.35">
      <c r="L6455" s="2"/>
      <c r="M6455" s="2"/>
      <c r="N6455" s="650"/>
      <c r="O6455" s="650"/>
      <c r="P6455" s="651"/>
      <c r="Q6455" s="651"/>
      <c r="R6455" s="651"/>
      <c r="S6455" s="651"/>
    </row>
    <row r="6456" spans="12:19" ht="15.75" customHeight="1" x14ac:dyDescent="0.35">
      <c r="L6456" s="2"/>
      <c r="M6456" s="2"/>
      <c r="N6456" s="650"/>
      <c r="O6456" s="650"/>
      <c r="P6456" s="651"/>
      <c r="Q6456" s="651"/>
      <c r="R6456" s="651"/>
      <c r="S6456" s="651"/>
    </row>
    <row r="6457" spans="12:19" ht="15.75" customHeight="1" x14ac:dyDescent="0.35">
      <c r="L6457" s="2"/>
      <c r="M6457" s="2"/>
      <c r="N6457" s="650"/>
      <c r="O6457" s="650"/>
      <c r="P6457" s="651"/>
      <c r="Q6457" s="651"/>
      <c r="R6457" s="651"/>
      <c r="S6457" s="651"/>
    </row>
    <row r="6458" spans="12:19" ht="15.75" customHeight="1" x14ac:dyDescent="0.35">
      <c r="L6458" s="2"/>
      <c r="M6458" s="2"/>
      <c r="N6458" s="650"/>
      <c r="O6458" s="650"/>
      <c r="P6458" s="651"/>
      <c r="Q6458" s="651"/>
      <c r="R6458" s="651"/>
      <c r="S6458" s="651"/>
    </row>
    <row r="6459" spans="12:19" ht="15.75" customHeight="1" x14ac:dyDescent="0.35">
      <c r="L6459" s="2"/>
      <c r="M6459" s="2"/>
      <c r="N6459" s="650"/>
      <c r="O6459" s="650"/>
      <c r="P6459" s="651"/>
      <c r="Q6459" s="651"/>
      <c r="R6459" s="651"/>
      <c r="S6459" s="651"/>
    </row>
    <row r="6460" spans="12:19" ht="15.75" customHeight="1" x14ac:dyDescent="0.35">
      <c r="L6460" s="2"/>
      <c r="M6460" s="2"/>
      <c r="N6460" s="650"/>
      <c r="O6460" s="650"/>
      <c r="P6460" s="651"/>
      <c r="Q6460" s="651"/>
      <c r="R6460" s="651"/>
      <c r="S6460" s="651"/>
    </row>
    <row r="6461" spans="12:19" ht="15.75" customHeight="1" x14ac:dyDescent="0.35">
      <c r="L6461" s="2"/>
      <c r="M6461" s="2"/>
      <c r="N6461" s="650"/>
      <c r="O6461" s="650"/>
      <c r="P6461" s="651"/>
      <c r="Q6461" s="651"/>
      <c r="R6461" s="651"/>
      <c r="S6461" s="651"/>
    </row>
    <row r="6462" spans="12:19" ht="15.75" customHeight="1" x14ac:dyDescent="0.35">
      <c r="L6462" s="2"/>
      <c r="M6462" s="2"/>
      <c r="N6462" s="650"/>
      <c r="O6462" s="650"/>
      <c r="P6462" s="651"/>
      <c r="Q6462" s="651"/>
      <c r="R6462" s="651"/>
      <c r="S6462" s="651"/>
    </row>
    <row r="6463" spans="12:19" ht="15.75" customHeight="1" x14ac:dyDescent="0.35">
      <c r="L6463" s="2"/>
      <c r="M6463" s="2"/>
      <c r="N6463" s="650"/>
      <c r="O6463" s="650"/>
      <c r="P6463" s="651"/>
      <c r="Q6463" s="651"/>
      <c r="R6463" s="651"/>
      <c r="S6463" s="651"/>
    </row>
    <row r="6464" spans="12:19" ht="15.75" customHeight="1" x14ac:dyDescent="0.35">
      <c r="L6464" s="2"/>
      <c r="M6464" s="2"/>
      <c r="N6464" s="650"/>
      <c r="O6464" s="650"/>
      <c r="P6464" s="651"/>
      <c r="Q6464" s="651"/>
      <c r="R6464" s="651"/>
      <c r="S6464" s="651"/>
    </row>
    <row r="6465" spans="12:19" ht="15.75" customHeight="1" x14ac:dyDescent="0.35">
      <c r="L6465" s="2"/>
      <c r="M6465" s="2"/>
      <c r="N6465" s="650"/>
      <c r="O6465" s="650"/>
      <c r="P6465" s="651"/>
      <c r="Q6465" s="651"/>
      <c r="R6465" s="651"/>
      <c r="S6465" s="651"/>
    </row>
    <row r="6466" spans="12:19" ht="15.75" customHeight="1" x14ac:dyDescent="0.35">
      <c r="L6466" s="2"/>
      <c r="M6466" s="2"/>
      <c r="N6466" s="650"/>
      <c r="O6466" s="650"/>
      <c r="P6466" s="651"/>
      <c r="Q6466" s="651"/>
      <c r="R6466" s="651"/>
      <c r="S6466" s="651"/>
    </row>
    <row r="6467" spans="12:19" ht="15.75" customHeight="1" x14ac:dyDescent="0.35">
      <c r="L6467" s="2"/>
      <c r="M6467" s="2"/>
      <c r="N6467" s="650"/>
      <c r="O6467" s="650"/>
      <c r="P6467" s="651"/>
      <c r="Q6467" s="651"/>
      <c r="R6467" s="651"/>
      <c r="S6467" s="651"/>
    </row>
    <row r="6468" spans="12:19" ht="15.75" customHeight="1" x14ac:dyDescent="0.35">
      <c r="L6468" s="2"/>
      <c r="M6468" s="2"/>
      <c r="N6468" s="650"/>
      <c r="O6468" s="650"/>
      <c r="P6468" s="651"/>
      <c r="Q6468" s="651"/>
      <c r="R6468" s="651"/>
      <c r="S6468" s="651"/>
    </row>
    <row r="6469" spans="12:19" ht="15.75" customHeight="1" x14ac:dyDescent="0.35">
      <c r="L6469" s="2"/>
      <c r="M6469" s="2"/>
      <c r="N6469" s="650"/>
      <c r="O6469" s="650"/>
      <c r="P6469" s="651"/>
      <c r="Q6469" s="651"/>
      <c r="R6469" s="651"/>
      <c r="S6469" s="651"/>
    </row>
    <row r="6470" spans="12:19" ht="15.75" customHeight="1" x14ac:dyDescent="0.35">
      <c r="L6470" s="2"/>
      <c r="M6470" s="2"/>
      <c r="N6470" s="650"/>
      <c r="O6470" s="650"/>
      <c r="P6470" s="651"/>
      <c r="Q6470" s="651"/>
      <c r="R6470" s="651"/>
      <c r="S6470" s="651"/>
    </row>
    <row r="6471" spans="12:19" ht="15.75" customHeight="1" x14ac:dyDescent="0.35">
      <c r="L6471" s="2"/>
      <c r="M6471" s="2"/>
      <c r="N6471" s="650"/>
      <c r="O6471" s="650"/>
      <c r="P6471" s="651"/>
      <c r="Q6471" s="651"/>
      <c r="R6471" s="651"/>
      <c r="S6471" s="651"/>
    </row>
    <row r="6472" spans="12:19" ht="15.75" customHeight="1" x14ac:dyDescent="0.35">
      <c r="L6472" s="2"/>
      <c r="M6472" s="2"/>
      <c r="N6472" s="650"/>
      <c r="O6472" s="650"/>
      <c r="P6472" s="651"/>
      <c r="Q6472" s="651"/>
      <c r="R6472" s="651"/>
      <c r="S6472" s="651"/>
    </row>
    <row r="6473" spans="12:19" ht="15.75" customHeight="1" x14ac:dyDescent="0.35">
      <c r="L6473" s="2"/>
      <c r="M6473" s="2"/>
      <c r="N6473" s="650"/>
      <c r="O6473" s="650"/>
      <c r="P6473" s="651"/>
      <c r="Q6473" s="651"/>
      <c r="R6473" s="651"/>
      <c r="S6473" s="651"/>
    </row>
    <row r="6474" spans="12:19" ht="15.75" customHeight="1" x14ac:dyDescent="0.35">
      <c r="L6474" s="2"/>
      <c r="M6474" s="2"/>
      <c r="N6474" s="650"/>
      <c r="O6474" s="650"/>
      <c r="P6474" s="651"/>
      <c r="Q6474" s="651"/>
      <c r="R6474" s="651"/>
      <c r="S6474" s="651"/>
    </row>
    <row r="6475" spans="12:19" ht="15.75" customHeight="1" x14ac:dyDescent="0.35">
      <c r="L6475" s="2"/>
      <c r="M6475" s="2"/>
      <c r="N6475" s="650"/>
      <c r="O6475" s="650"/>
      <c r="P6475" s="651"/>
      <c r="Q6475" s="651"/>
      <c r="R6475" s="651"/>
      <c r="S6475" s="651"/>
    </row>
    <row r="6476" spans="12:19" ht="15.75" customHeight="1" x14ac:dyDescent="0.35">
      <c r="L6476" s="2"/>
      <c r="M6476" s="2"/>
      <c r="N6476" s="650"/>
      <c r="O6476" s="650"/>
      <c r="P6476" s="651"/>
      <c r="Q6476" s="651"/>
      <c r="R6476" s="651"/>
      <c r="S6476" s="651"/>
    </row>
    <row r="6477" spans="12:19" ht="15.75" customHeight="1" x14ac:dyDescent="0.35">
      <c r="L6477" s="2"/>
      <c r="M6477" s="2"/>
      <c r="N6477" s="650"/>
      <c r="O6477" s="650"/>
      <c r="P6477" s="651"/>
      <c r="Q6477" s="651"/>
      <c r="R6477" s="651"/>
      <c r="S6477" s="651"/>
    </row>
    <row r="6478" spans="12:19" ht="15.75" customHeight="1" x14ac:dyDescent="0.35">
      <c r="L6478" s="2"/>
      <c r="M6478" s="2"/>
      <c r="N6478" s="650"/>
      <c r="O6478" s="650"/>
      <c r="P6478" s="651"/>
      <c r="Q6478" s="651"/>
      <c r="R6478" s="651"/>
      <c r="S6478" s="651"/>
    </row>
    <row r="6479" spans="12:19" ht="15.75" customHeight="1" x14ac:dyDescent="0.35">
      <c r="L6479" s="2"/>
      <c r="M6479" s="2"/>
      <c r="N6479" s="650"/>
      <c r="O6479" s="650"/>
      <c r="P6479" s="651"/>
      <c r="Q6479" s="651"/>
      <c r="R6479" s="651"/>
      <c r="S6479" s="651"/>
    </row>
    <row r="6480" spans="12:19" ht="15.75" customHeight="1" x14ac:dyDescent="0.35">
      <c r="L6480" s="2"/>
      <c r="M6480" s="2"/>
      <c r="N6480" s="650"/>
      <c r="O6480" s="650"/>
      <c r="P6480" s="651"/>
      <c r="Q6480" s="651"/>
      <c r="R6480" s="651"/>
      <c r="S6480" s="651"/>
    </row>
    <row r="6481" spans="12:19" ht="15.75" customHeight="1" x14ac:dyDescent="0.35">
      <c r="L6481" s="2"/>
      <c r="M6481" s="2"/>
      <c r="N6481" s="650"/>
      <c r="O6481" s="650"/>
      <c r="P6481" s="651"/>
      <c r="Q6481" s="651"/>
      <c r="R6481" s="651"/>
      <c r="S6481" s="651"/>
    </row>
    <row r="6482" spans="12:19" ht="15.75" customHeight="1" x14ac:dyDescent="0.35">
      <c r="L6482" s="2"/>
      <c r="M6482" s="2"/>
      <c r="N6482" s="650"/>
      <c r="O6482" s="650"/>
      <c r="P6482" s="651"/>
      <c r="Q6482" s="651"/>
      <c r="R6482" s="651"/>
      <c r="S6482" s="651"/>
    </row>
    <row r="6483" spans="12:19" ht="15.75" customHeight="1" x14ac:dyDescent="0.35">
      <c r="L6483" s="2"/>
      <c r="M6483" s="2"/>
      <c r="N6483" s="650"/>
      <c r="O6483" s="650"/>
      <c r="P6483" s="651"/>
      <c r="Q6483" s="651"/>
      <c r="R6483" s="651"/>
      <c r="S6483" s="651"/>
    </row>
    <row r="6484" spans="12:19" ht="15.75" customHeight="1" x14ac:dyDescent="0.35">
      <c r="L6484" s="2"/>
      <c r="M6484" s="2"/>
      <c r="N6484" s="650"/>
      <c r="O6484" s="650"/>
      <c r="P6484" s="651"/>
      <c r="Q6484" s="651"/>
      <c r="R6484" s="651"/>
      <c r="S6484" s="651"/>
    </row>
    <row r="6485" spans="12:19" ht="15.75" customHeight="1" x14ac:dyDescent="0.35">
      <c r="L6485" s="2"/>
      <c r="M6485" s="2"/>
      <c r="N6485" s="650"/>
      <c r="O6485" s="650"/>
      <c r="P6485" s="651"/>
      <c r="Q6485" s="651"/>
      <c r="R6485" s="651"/>
      <c r="S6485" s="651"/>
    </row>
    <row r="6486" spans="12:19" ht="15.75" customHeight="1" x14ac:dyDescent="0.35">
      <c r="L6486" s="2"/>
      <c r="M6486" s="2"/>
      <c r="N6486" s="650"/>
      <c r="O6486" s="650"/>
      <c r="P6486" s="651"/>
      <c r="Q6486" s="651"/>
      <c r="R6486" s="651"/>
      <c r="S6486" s="651"/>
    </row>
    <row r="6487" spans="12:19" ht="15.75" customHeight="1" x14ac:dyDescent="0.35">
      <c r="L6487" s="2"/>
      <c r="M6487" s="2"/>
      <c r="N6487" s="650"/>
      <c r="O6487" s="650"/>
      <c r="P6487" s="651"/>
      <c r="Q6487" s="651"/>
      <c r="R6487" s="651"/>
      <c r="S6487" s="651"/>
    </row>
    <row r="6488" spans="12:19" ht="15.75" customHeight="1" x14ac:dyDescent="0.35">
      <c r="L6488" s="2"/>
      <c r="M6488" s="2"/>
      <c r="N6488" s="650"/>
      <c r="O6488" s="650"/>
      <c r="P6488" s="651"/>
      <c r="Q6488" s="651"/>
      <c r="R6488" s="651"/>
      <c r="S6488" s="651"/>
    </row>
    <row r="6489" spans="12:19" ht="15.75" customHeight="1" x14ac:dyDescent="0.35">
      <c r="L6489" s="2"/>
      <c r="M6489" s="2"/>
      <c r="N6489" s="650"/>
      <c r="O6489" s="650"/>
      <c r="P6489" s="651"/>
      <c r="Q6489" s="651"/>
      <c r="R6489" s="651"/>
      <c r="S6489" s="651"/>
    </row>
    <row r="6490" spans="12:19" ht="15.75" customHeight="1" x14ac:dyDescent="0.35">
      <c r="L6490" s="2"/>
      <c r="M6490" s="2"/>
      <c r="N6490" s="650"/>
      <c r="O6490" s="650"/>
      <c r="P6490" s="651"/>
      <c r="Q6490" s="651"/>
      <c r="R6490" s="651"/>
      <c r="S6490" s="651"/>
    </row>
    <row r="6491" spans="12:19" ht="15.75" customHeight="1" x14ac:dyDescent="0.35">
      <c r="L6491" s="2"/>
      <c r="M6491" s="2"/>
      <c r="N6491" s="650"/>
      <c r="O6491" s="650"/>
      <c r="P6491" s="651"/>
      <c r="Q6491" s="651"/>
      <c r="R6491" s="651"/>
      <c r="S6491" s="651"/>
    </row>
    <row r="6492" spans="12:19" ht="15.75" customHeight="1" x14ac:dyDescent="0.35">
      <c r="L6492" s="2"/>
      <c r="M6492" s="2"/>
      <c r="N6492" s="650"/>
      <c r="O6492" s="650"/>
      <c r="P6492" s="651"/>
      <c r="Q6492" s="651"/>
      <c r="R6492" s="651"/>
      <c r="S6492" s="651"/>
    </row>
    <row r="6493" spans="12:19" ht="15.75" customHeight="1" x14ac:dyDescent="0.35">
      <c r="L6493" s="2"/>
      <c r="M6493" s="2"/>
      <c r="N6493" s="650"/>
      <c r="O6493" s="650"/>
      <c r="P6493" s="651"/>
      <c r="Q6493" s="651"/>
      <c r="R6493" s="651"/>
      <c r="S6493" s="651"/>
    </row>
    <row r="6494" spans="12:19" ht="15.75" customHeight="1" x14ac:dyDescent="0.35">
      <c r="L6494" s="2"/>
      <c r="M6494" s="2"/>
      <c r="N6494" s="650"/>
      <c r="O6494" s="650"/>
      <c r="P6494" s="651"/>
      <c r="Q6494" s="651"/>
      <c r="R6494" s="651"/>
      <c r="S6494" s="651"/>
    </row>
    <row r="6495" spans="12:19" ht="15.75" customHeight="1" x14ac:dyDescent="0.35">
      <c r="L6495" s="2"/>
      <c r="M6495" s="2"/>
      <c r="N6495" s="650"/>
      <c r="O6495" s="650"/>
      <c r="P6495" s="651"/>
      <c r="Q6495" s="651"/>
      <c r="R6495" s="651"/>
      <c r="S6495" s="651"/>
    </row>
    <row r="6496" spans="12:19" ht="15.75" customHeight="1" x14ac:dyDescent="0.35">
      <c r="L6496" s="2"/>
      <c r="M6496" s="2"/>
      <c r="N6496" s="650"/>
      <c r="O6496" s="650"/>
      <c r="P6496" s="651"/>
      <c r="Q6496" s="651"/>
      <c r="R6496" s="651"/>
      <c r="S6496" s="651"/>
    </row>
    <row r="6497" spans="12:19" ht="15.75" customHeight="1" x14ac:dyDescent="0.35">
      <c r="L6497" s="2"/>
      <c r="M6497" s="2"/>
      <c r="N6497" s="650"/>
      <c r="O6497" s="650"/>
      <c r="P6497" s="651"/>
      <c r="Q6497" s="651"/>
      <c r="R6497" s="651"/>
      <c r="S6497" s="651"/>
    </row>
    <row r="6498" spans="12:19" ht="15.75" customHeight="1" x14ac:dyDescent="0.35">
      <c r="L6498" s="2"/>
      <c r="M6498" s="2"/>
      <c r="N6498" s="650"/>
      <c r="O6498" s="650"/>
      <c r="P6498" s="651"/>
      <c r="Q6498" s="651"/>
      <c r="R6498" s="651"/>
      <c r="S6498" s="651"/>
    </row>
    <row r="6499" spans="12:19" ht="15.75" customHeight="1" x14ac:dyDescent="0.35">
      <c r="L6499" s="2"/>
      <c r="M6499" s="2"/>
      <c r="N6499" s="650"/>
      <c r="O6499" s="650"/>
      <c r="P6499" s="651"/>
      <c r="Q6499" s="651"/>
      <c r="R6499" s="651"/>
      <c r="S6499" s="651"/>
    </row>
    <row r="6500" spans="12:19" ht="15.75" customHeight="1" x14ac:dyDescent="0.35">
      <c r="L6500" s="2"/>
      <c r="M6500" s="2"/>
      <c r="N6500" s="650"/>
      <c r="O6500" s="650"/>
      <c r="P6500" s="651"/>
      <c r="Q6500" s="651"/>
      <c r="R6500" s="651"/>
      <c r="S6500" s="651"/>
    </row>
    <row r="6501" spans="12:19" ht="15.75" customHeight="1" x14ac:dyDescent="0.35">
      <c r="L6501" s="2"/>
      <c r="M6501" s="2"/>
      <c r="N6501" s="650"/>
      <c r="O6501" s="650"/>
      <c r="P6501" s="651"/>
      <c r="Q6501" s="651"/>
      <c r="R6501" s="651"/>
      <c r="S6501" s="651"/>
    </row>
    <row r="6502" spans="12:19" ht="15.75" customHeight="1" x14ac:dyDescent="0.35">
      <c r="L6502" s="2"/>
      <c r="M6502" s="2"/>
      <c r="N6502" s="650"/>
      <c r="O6502" s="650"/>
      <c r="P6502" s="651"/>
      <c r="Q6502" s="651"/>
      <c r="R6502" s="651"/>
      <c r="S6502" s="651"/>
    </row>
    <row r="6503" spans="12:19" ht="15.75" customHeight="1" x14ac:dyDescent="0.35">
      <c r="L6503" s="2"/>
      <c r="M6503" s="2"/>
      <c r="N6503" s="650"/>
      <c r="O6503" s="650"/>
      <c r="P6503" s="651"/>
      <c r="Q6503" s="651"/>
      <c r="R6503" s="651"/>
      <c r="S6503" s="651"/>
    </row>
    <row r="6504" spans="12:19" ht="15.75" customHeight="1" x14ac:dyDescent="0.35">
      <c r="L6504" s="2"/>
      <c r="M6504" s="2"/>
      <c r="N6504" s="650"/>
      <c r="O6504" s="650"/>
      <c r="P6504" s="651"/>
      <c r="Q6504" s="651"/>
      <c r="R6504" s="651"/>
      <c r="S6504" s="651"/>
    </row>
    <row r="6505" spans="12:19" ht="15.75" customHeight="1" x14ac:dyDescent="0.35">
      <c r="L6505" s="2"/>
      <c r="M6505" s="2"/>
      <c r="N6505" s="650"/>
      <c r="O6505" s="650"/>
      <c r="P6505" s="651"/>
      <c r="Q6505" s="651"/>
      <c r="R6505" s="651"/>
      <c r="S6505" s="651"/>
    </row>
    <row r="6506" spans="12:19" ht="15.75" customHeight="1" x14ac:dyDescent="0.35">
      <c r="L6506" s="2"/>
      <c r="M6506" s="2"/>
      <c r="N6506" s="650"/>
      <c r="O6506" s="650"/>
      <c r="P6506" s="651"/>
      <c r="Q6506" s="651"/>
      <c r="R6506" s="651"/>
      <c r="S6506" s="651"/>
    </row>
    <row r="6507" spans="12:19" ht="15.75" customHeight="1" x14ac:dyDescent="0.35">
      <c r="L6507" s="2"/>
      <c r="M6507" s="2"/>
      <c r="N6507" s="650"/>
      <c r="O6507" s="650"/>
      <c r="P6507" s="651"/>
      <c r="Q6507" s="651"/>
      <c r="R6507" s="651"/>
      <c r="S6507" s="651"/>
    </row>
    <row r="6508" spans="12:19" ht="15.75" customHeight="1" x14ac:dyDescent="0.35">
      <c r="L6508" s="2"/>
      <c r="M6508" s="2"/>
      <c r="N6508" s="650"/>
      <c r="O6508" s="650"/>
      <c r="P6508" s="651"/>
      <c r="Q6508" s="651"/>
      <c r="R6508" s="651"/>
      <c r="S6508" s="651"/>
    </row>
    <row r="6509" spans="12:19" ht="15.75" customHeight="1" x14ac:dyDescent="0.35">
      <c r="L6509" s="2"/>
      <c r="M6509" s="2"/>
      <c r="N6509" s="650"/>
      <c r="O6509" s="650"/>
      <c r="P6509" s="651"/>
      <c r="Q6509" s="651"/>
      <c r="R6509" s="651"/>
      <c r="S6509" s="651"/>
    </row>
    <row r="6510" spans="12:19" ht="15.75" customHeight="1" x14ac:dyDescent="0.35">
      <c r="L6510" s="2"/>
      <c r="M6510" s="2"/>
      <c r="N6510" s="650"/>
      <c r="O6510" s="650"/>
      <c r="P6510" s="651"/>
      <c r="Q6510" s="651"/>
      <c r="R6510" s="651"/>
      <c r="S6510" s="651"/>
    </row>
    <row r="6511" spans="12:19" ht="15.75" customHeight="1" x14ac:dyDescent="0.35">
      <c r="L6511" s="2"/>
      <c r="M6511" s="2"/>
      <c r="N6511" s="650"/>
      <c r="O6511" s="650"/>
      <c r="P6511" s="651"/>
      <c r="Q6511" s="651"/>
      <c r="R6511" s="651"/>
      <c r="S6511" s="651"/>
    </row>
    <row r="6512" spans="12:19" ht="15.75" customHeight="1" x14ac:dyDescent="0.35">
      <c r="L6512" s="2"/>
      <c r="M6512" s="2"/>
      <c r="N6512" s="650"/>
      <c r="O6512" s="650"/>
      <c r="P6512" s="651"/>
      <c r="Q6512" s="651"/>
      <c r="R6512" s="651"/>
      <c r="S6512" s="651"/>
    </row>
    <row r="6513" spans="12:19" ht="15.75" customHeight="1" x14ac:dyDescent="0.35">
      <c r="L6513" s="2"/>
      <c r="M6513" s="2"/>
      <c r="N6513" s="650"/>
      <c r="O6513" s="650"/>
      <c r="P6513" s="651"/>
      <c r="Q6513" s="651"/>
      <c r="R6513" s="651"/>
      <c r="S6513" s="651"/>
    </row>
    <row r="6514" spans="12:19" ht="15.75" customHeight="1" x14ac:dyDescent="0.35">
      <c r="L6514" s="2"/>
      <c r="M6514" s="2"/>
      <c r="N6514" s="650"/>
      <c r="O6514" s="650"/>
      <c r="P6514" s="651"/>
      <c r="Q6514" s="651"/>
      <c r="R6514" s="651"/>
      <c r="S6514" s="651"/>
    </row>
    <row r="6515" spans="12:19" ht="15.75" customHeight="1" x14ac:dyDescent="0.35">
      <c r="L6515" s="2"/>
      <c r="M6515" s="2"/>
      <c r="N6515" s="650"/>
      <c r="O6515" s="650"/>
      <c r="P6515" s="651"/>
      <c r="Q6515" s="651"/>
      <c r="R6515" s="651"/>
      <c r="S6515" s="651"/>
    </row>
    <row r="6516" spans="12:19" ht="15.75" customHeight="1" x14ac:dyDescent="0.35">
      <c r="L6516" s="2"/>
      <c r="M6516" s="2"/>
      <c r="N6516" s="650"/>
      <c r="O6516" s="650"/>
      <c r="P6516" s="651"/>
      <c r="Q6516" s="651"/>
      <c r="R6516" s="651"/>
      <c r="S6516" s="651"/>
    </row>
    <row r="6517" spans="12:19" ht="15.75" customHeight="1" x14ac:dyDescent="0.35">
      <c r="L6517" s="2"/>
      <c r="M6517" s="2"/>
      <c r="N6517" s="650"/>
      <c r="O6517" s="650"/>
      <c r="P6517" s="651"/>
      <c r="Q6517" s="651"/>
      <c r="R6517" s="651"/>
      <c r="S6517" s="651"/>
    </row>
    <row r="6518" spans="12:19" ht="15.75" customHeight="1" x14ac:dyDescent="0.35">
      <c r="L6518" s="2"/>
      <c r="M6518" s="2"/>
      <c r="N6518" s="650"/>
      <c r="O6518" s="650"/>
      <c r="P6518" s="651"/>
      <c r="Q6518" s="651"/>
      <c r="R6518" s="651"/>
      <c r="S6518" s="651"/>
    </row>
    <row r="6519" spans="12:19" ht="15.75" customHeight="1" x14ac:dyDescent="0.35">
      <c r="L6519" s="2"/>
      <c r="M6519" s="2"/>
      <c r="N6519" s="650"/>
      <c r="O6519" s="650"/>
      <c r="P6519" s="651"/>
      <c r="Q6519" s="651"/>
      <c r="R6519" s="651"/>
      <c r="S6519" s="651"/>
    </row>
    <row r="6520" spans="12:19" ht="15.75" customHeight="1" x14ac:dyDescent="0.35">
      <c r="L6520" s="2"/>
      <c r="M6520" s="2"/>
      <c r="N6520" s="650"/>
      <c r="O6520" s="650"/>
      <c r="P6520" s="651"/>
      <c r="Q6520" s="651"/>
      <c r="R6520" s="651"/>
      <c r="S6520" s="651"/>
    </row>
    <row r="6521" spans="12:19" ht="15.75" customHeight="1" x14ac:dyDescent="0.35">
      <c r="L6521" s="2"/>
      <c r="M6521" s="2"/>
      <c r="N6521" s="650"/>
      <c r="O6521" s="650"/>
      <c r="P6521" s="651"/>
      <c r="Q6521" s="651"/>
      <c r="R6521" s="651"/>
      <c r="S6521" s="651"/>
    </row>
    <row r="6522" spans="12:19" ht="15.75" customHeight="1" x14ac:dyDescent="0.35">
      <c r="L6522" s="2"/>
      <c r="M6522" s="2"/>
      <c r="N6522" s="650"/>
      <c r="O6522" s="650"/>
      <c r="P6522" s="651"/>
      <c r="Q6522" s="651"/>
      <c r="R6522" s="651"/>
      <c r="S6522" s="651"/>
    </row>
    <row r="6523" spans="12:19" ht="15.75" customHeight="1" x14ac:dyDescent="0.35">
      <c r="L6523" s="2"/>
      <c r="M6523" s="2"/>
      <c r="N6523" s="650"/>
      <c r="O6523" s="650"/>
      <c r="P6523" s="651"/>
      <c r="Q6523" s="651"/>
      <c r="R6523" s="651"/>
      <c r="S6523" s="651"/>
    </row>
    <row r="6524" spans="12:19" ht="15.75" customHeight="1" x14ac:dyDescent="0.35">
      <c r="L6524" s="2"/>
      <c r="M6524" s="2"/>
      <c r="N6524" s="650"/>
      <c r="O6524" s="650"/>
      <c r="P6524" s="651"/>
      <c r="Q6524" s="651"/>
      <c r="R6524" s="651"/>
      <c r="S6524" s="651"/>
    </row>
    <row r="6525" spans="12:19" ht="15.75" customHeight="1" x14ac:dyDescent="0.35">
      <c r="L6525" s="2"/>
      <c r="M6525" s="2"/>
      <c r="N6525" s="650"/>
      <c r="O6525" s="650"/>
      <c r="P6525" s="651"/>
      <c r="Q6525" s="651"/>
      <c r="R6525" s="651"/>
      <c r="S6525" s="651"/>
    </row>
    <row r="6526" spans="12:19" ht="15.75" customHeight="1" x14ac:dyDescent="0.35">
      <c r="L6526" s="2"/>
      <c r="M6526" s="2"/>
      <c r="N6526" s="650"/>
      <c r="O6526" s="650"/>
      <c r="P6526" s="651"/>
      <c r="Q6526" s="651"/>
      <c r="R6526" s="651"/>
      <c r="S6526" s="651"/>
    </row>
    <row r="6527" spans="12:19" ht="15.75" customHeight="1" x14ac:dyDescent="0.35">
      <c r="L6527" s="2"/>
      <c r="M6527" s="2"/>
      <c r="N6527" s="650"/>
      <c r="O6527" s="650"/>
      <c r="P6527" s="651"/>
      <c r="Q6527" s="651"/>
      <c r="R6527" s="651"/>
      <c r="S6527" s="651"/>
    </row>
    <row r="6528" spans="12:19" ht="15.75" customHeight="1" x14ac:dyDescent="0.35">
      <c r="L6528" s="2"/>
      <c r="M6528" s="2"/>
      <c r="N6528" s="650"/>
      <c r="O6528" s="650"/>
      <c r="P6528" s="651"/>
      <c r="Q6528" s="651"/>
      <c r="R6528" s="651"/>
      <c r="S6528" s="651"/>
    </row>
    <row r="6529" spans="12:19" ht="15.75" customHeight="1" x14ac:dyDescent="0.35">
      <c r="L6529" s="2"/>
      <c r="M6529" s="2"/>
      <c r="N6529" s="650"/>
      <c r="O6529" s="650"/>
      <c r="P6529" s="651"/>
      <c r="Q6529" s="651"/>
      <c r="R6529" s="651"/>
      <c r="S6529" s="651"/>
    </row>
    <row r="6530" spans="12:19" ht="15.75" customHeight="1" x14ac:dyDescent="0.35">
      <c r="L6530" s="2"/>
      <c r="M6530" s="2"/>
      <c r="N6530" s="650"/>
      <c r="O6530" s="650"/>
      <c r="P6530" s="651"/>
      <c r="Q6530" s="651"/>
      <c r="R6530" s="651"/>
      <c r="S6530" s="651"/>
    </row>
    <row r="6531" spans="12:19" ht="15.75" customHeight="1" x14ac:dyDescent="0.35">
      <c r="L6531" s="2"/>
      <c r="M6531" s="2"/>
      <c r="N6531" s="650"/>
      <c r="O6531" s="650"/>
      <c r="P6531" s="651"/>
      <c r="Q6531" s="651"/>
      <c r="R6531" s="651"/>
      <c r="S6531" s="651"/>
    </row>
    <row r="6532" spans="12:19" ht="15.75" customHeight="1" x14ac:dyDescent="0.35">
      <c r="L6532" s="2"/>
      <c r="M6532" s="2"/>
      <c r="N6532" s="650"/>
      <c r="O6532" s="650"/>
      <c r="P6532" s="651"/>
      <c r="Q6532" s="651"/>
      <c r="R6532" s="651"/>
      <c r="S6532" s="651"/>
    </row>
    <row r="6533" spans="12:19" ht="15.75" customHeight="1" x14ac:dyDescent="0.35">
      <c r="L6533" s="2"/>
      <c r="M6533" s="2"/>
      <c r="N6533" s="650"/>
      <c r="O6533" s="650"/>
      <c r="P6533" s="651"/>
      <c r="Q6533" s="651"/>
      <c r="R6533" s="651"/>
      <c r="S6533" s="651"/>
    </row>
    <row r="6534" spans="12:19" ht="15.75" customHeight="1" x14ac:dyDescent="0.35">
      <c r="L6534" s="2"/>
      <c r="M6534" s="2"/>
      <c r="N6534" s="650"/>
      <c r="O6534" s="650"/>
      <c r="P6534" s="651"/>
      <c r="Q6534" s="651"/>
      <c r="R6534" s="651"/>
      <c r="S6534" s="651"/>
    </row>
    <row r="6535" spans="12:19" ht="15.75" customHeight="1" x14ac:dyDescent="0.35">
      <c r="L6535" s="2"/>
      <c r="M6535" s="2"/>
      <c r="N6535" s="650"/>
      <c r="O6535" s="650"/>
      <c r="P6535" s="651"/>
      <c r="Q6535" s="651"/>
      <c r="R6535" s="651"/>
      <c r="S6535" s="651"/>
    </row>
    <row r="6536" spans="12:19" ht="15.75" customHeight="1" x14ac:dyDescent="0.35">
      <c r="L6536" s="2"/>
      <c r="M6536" s="2"/>
      <c r="N6536" s="650"/>
      <c r="O6536" s="650"/>
      <c r="P6536" s="651"/>
      <c r="Q6536" s="651"/>
      <c r="R6536" s="651"/>
      <c r="S6536" s="651"/>
    </row>
    <row r="6537" spans="12:19" ht="15.75" customHeight="1" x14ac:dyDescent="0.35">
      <c r="L6537" s="2"/>
      <c r="M6537" s="2"/>
      <c r="N6537" s="650"/>
      <c r="O6537" s="650"/>
      <c r="P6537" s="651"/>
      <c r="Q6537" s="651"/>
      <c r="R6537" s="651"/>
      <c r="S6537" s="651"/>
    </row>
    <row r="6538" spans="12:19" ht="15.75" customHeight="1" x14ac:dyDescent="0.35">
      <c r="L6538" s="2"/>
      <c r="M6538" s="2"/>
      <c r="N6538" s="650"/>
      <c r="O6538" s="650"/>
      <c r="P6538" s="651"/>
      <c r="Q6538" s="651"/>
      <c r="R6538" s="651"/>
      <c r="S6538" s="651"/>
    </row>
    <row r="6539" spans="12:19" ht="15.75" customHeight="1" x14ac:dyDescent="0.35">
      <c r="L6539" s="2"/>
      <c r="M6539" s="2"/>
      <c r="N6539" s="650"/>
      <c r="O6539" s="650"/>
      <c r="P6539" s="651"/>
      <c r="Q6539" s="651"/>
      <c r="R6539" s="651"/>
      <c r="S6539" s="651"/>
    </row>
    <row r="6540" spans="12:19" ht="15.75" customHeight="1" x14ac:dyDescent="0.35">
      <c r="L6540" s="2"/>
      <c r="M6540" s="2"/>
      <c r="N6540" s="650"/>
      <c r="O6540" s="650"/>
      <c r="P6540" s="651"/>
      <c r="Q6540" s="651"/>
      <c r="R6540" s="651"/>
      <c r="S6540" s="651"/>
    </row>
    <row r="6541" spans="12:19" ht="15.75" customHeight="1" x14ac:dyDescent="0.35">
      <c r="L6541" s="2"/>
      <c r="M6541" s="2"/>
      <c r="N6541" s="650"/>
      <c r="O6541" s="650"/>
      <c r="P6541" s="651"/>
      <c r="Q6541" s="651"/>
      <c r="R6541" s="651"/>
      <c r="S6541" s="651"/>
    </row>
    <row r="6542" spans="12:19" ht="15.75" customHeight="1" x14ac:dyDescent="0.35">
      <c r="L6542" s="2"/>
      <c r="M6542" s="2"/>
      <c r="N6542" s="650"/>
      <c r="O6542" s="650"/>
      <c r="P6542" s="651"/>
      <c r="Q6542" s="651"/>
      <c r="R6542" s="651"/>
      <c r="S6542" s="651"/>
    </row>
    <row r="6543" spans="12:19" ht="15.75" customHeight="1" x14ac:dyDescent="0.35">
      <c r="L6543" s="2"/>
      <c r="M6543" s="2"/>
      <c r="N6543" s="650"/>
      <c r="O6543" s="650"/>
      <c r="P6543" s="651"/>
      <c r="Q6543" s="651"/>
      <c r="R6543" s="651"/>
      <c r="S6543" s="651"/>
    </row>
    <row r="6544" spans="12:19" ht="15.75" customHeight="1" x14ac:dyDescent="0.35">
      <c r="L6544" s="2"/>
      <c r="M6544" s="2"/>
      <c r="N6544" s="650"/>
      <c r="O6544" s="650"/>
      <c r="P6544" s="651"/>
      <c r="Q6544" s="651"/>
      <c r="R6544" s="651"/>
      <c r="S6544" s="651"/>
    </row>
    <row r="6545" spans="12:19" ht="15.75" customHeight="1" x14ac:dyDescent="0.35">
      <c r="L6545" s="2"/>
      <c r="M6545" s="2"/>
      <c r="N6545" s="650"/>
      <c r="O6545" s="650"/>
      <c r="P6545" s="651"/>
      <c r="Q6545" s="651"/>
      <c r="R6545" s="651"/>
      <c r="S6545" s="651"/>
    </row>
    <row r="6546" spans="12:19" ht="15.75" customHeight="1" x14ac:dyDescent="0.35">
      <c r="L6546" s="2"/>
      <c r="M6546" s="2"/>
      <c r="N6546" s="650"/>
      <c r="O6546" s="650"/>
      <c r="P6546" s="651"/>
      <c r="Q6546" s="651"/>
      <c r="R6546" s="651"/>
      <c r="S6546" s="651"/>
    </row>
    <row r="6547" spans="12:19" ht="15.75" customHeight="1" x14ac:dyDescent="0.35">
      <c r="L6547" s="2"/>
      <c r="M6547" s="2"/>
      <c r="N6547" s="650"/>
      <c r="O6547" s="650"/>
      <c r="P6547" s="651"/>
      <c r="Q6547" s="651"/>
      <c r="R6547" s="651"/>
      <c r="S6547" s="651"/>
    </row>
    <row r="6548" spans="12:19" ht="15.75" customHeight="1" x14ac:dyDescent="0.35">
      <c r="L6548" s="2"/>
      <c r="M6548" s="2"/>
      <c r="N6548" s="650"/>
      <c r="O6548" s="650"/>
      <c r="P6548" s="651"/>
      <c r="Q6548" s="651"/>
      <c r="R6548" s="651"/>
      <c r="S6548" s="651"/>
    </row>
    <row r="6549" spans="12:19" ht="15.75" customHeight="1" x14ac:dyDescent="0.35">
      <c r="L6549" s="2"/>
      <c r="M6549" s="2"/>
      <c r="N6549" s="650"/>
      <c r="O6549" s="650"/>
      <c r="P6549" s="651"/>
      <c r="Q6549" s="651"/>
      <c r="R6549" s="651"/>
      <c r="S6549" s="651"/>
    </row>
    <row r="6550" spans="12:19" ht="15.75" customHeight="1" x14ac:dyDescent="0.35">
      <c r="L6550" s="2"/>
      <c r="M6550" s="2"/>
      <c r="N6550" s="650"/>
      <c r="O6550" s="650"/>
      <c r="P6550" s="651"/>
      <c r="Q6550" s="651"/>
      <c r="R6550" s="651"/>
      <c r="S6550" s="651"/>
    </row>
    <row r="6551" spans="12:19" ht="15.75" customHeight="1" x14ac:dyDescent="0.35">
      <c r="L6551" s="2"/>
      <c r="M6551" s="2"/>
      <c r="N6551" s="650"/>
      <c r="O6551" s="650"/>
      <c r="P6551" s="651"/>
      <c r="Q6551" s="651"/>
      <c r="R6551" s="651"/>
      <c r="S6551" s="651"/>
    </row>
    <row r="6552" spans="12:19" ht="15.75" customHeight="1" x14ac:dyDescent="0.35">
      <c r="L6552" s="2"/>
      <c r="M6552" s="2"/>
      <c r="N6552" s="650"/>
      <c r="O6552" s="650"/>
      <c r="P6552" s="651"/>
      <c r="Q6552" s="651"/>
      <c r="R6552" s="651"/>
      <c r="S6552" s="651"/>
    </row>
    <row r="6553" spans="12:19" ht="15.75" customHeight="1" x14ac:dyDescent="0.35">
      <c r="L6553" s="2"/>
      <c r="M6553" s="2"/>
      <c r="N6553" s="650"/>
      <c r="O6553" s="650"/>
      <c r="P6553" s="651"/>
      <c r="Q6553" s="651"/>
      <c r="R6553" s="651"/>
      <c r="S6553" s="651"/>
    </row>
    <row r="6554" spans="12:19" ht="15.75" customHeight="1" x14ac:dyDescent="0.35">
      <c r="L6554" s="2"/>
      <c r="M6554" s="2"/>
      <c r="N6554" s="650"/>
      <c r="O6554" s="650"/>
      <c r="P6554" s="651"/>
      <c r="Q6554" s="651"/>
      <c r="R6554" s="651"/>
      <c r="S6554" s="651"/>
    </row>
    <row r="6555" spans="12:19" ht="15.75" customHeight="1" x14ac:dyDescent="0.35">
      <c r="L6555" s="2"/>
      <c r="M6555" s="2"/>
      <c r="N6555" s="650"/>
      <c r="O6555" s="650"/>
      <c r="P6555" s="651"/>
      <c r="Q6555" s="651"/>
      <c r="R6555" s="651"/>
      <c r="S6555" s="651"/>
    </row>
    <row r="6556" spans="12:19" ht="15.75" customHeight="1" x14ac:dyDescent="0.35">
      <c r="L6556" s="2"/>
      <c r="M6556" s="2"/>
      <c r="N6556" s="650"/>
      <c r="O6556" s="650"/>
      <c r="P6556" s="651"/>
      <c r="Q6556" s="651"/>
      <c r="R6556" s="651"/>
      <c r="S6556" s="651"/>
    </row>
    <row r="6557" spans="12:19" ht="15.75" customHeight="1" x14ac:dyDescent="0.35">
      <c r="L6557" s="2"/>
      <c r="M6557" s="2"/>
      <c r="N6557" s="650"/>
      <c r="O6557" s="650"/>
      <c r="P6557" s="651"/>
      <c r="Q6557" s="651"/>
      <c r="R6557" s="651"/>
      <c r="S6557" s="651"/>
    </row>
    <row r="6558" spans="12:19" ht="15.75" customHeight="1" x14ac:dyDescent="0.35">
      <c r="L6558" s="2"/>
      <c r="M6558" s="2"/>
      <c r="N6558" s="650"/>
      <c r="O6558" s="650"/>
      <c r="P6558" s="651"/>
      <c r="Q6558" s="651"/>
      <c r="R6558" s="651"/>
      <c r="S6558" s="651"/>
    </row>
    <row r="6559" spans="12:19" ht="15.75" customHeight="1" x14ac:dyDescent="0.35">
      <c r="L6559" s="2"/>
      <c r="M6559" s="2"/>
      <c r="N6559" s="650"/>
      <c r="O6559" s="650"/>
      <c r="P6559" s="651"/>
      <c r="Q6559" s="651"/>
      <c r="R6559" s="651"/>
      <c r="S6559" s="651"/>
    </row>
    <row r="6560" spans="12:19" ht="15.75" customHeight="1" x14ac:dyDescent="0.35">
      <c r="L6560" s="2"/>
      <c r="M6560" s="2"/>
      <c r="N6560" s="650"/>
      <c r="O6560" s="650"/>
      <c r="P6560" s="651"/>
      <c r="Q6560" s="651"/>
      <c r="R6560" s="651"/>
      <c r="S6560" s="651"/>
    </row>
    <row r="6561" spans="12:19" ht="15.75" customHeight="1" x14ac:dyDescent="0.35">
      <c r="L6561" s="2"/>
      <c r="M6561" s="2"/>
      <c r="N6561" s="650"/>
      <c r="O6561" s="650"/>
      <c r="P6561" s="651"/>
      <c r="Q6561" s="651"/>
      <c r="R6561" s="651"/>
      <c r="S6561" s="651"/>
    </row>
    <row r="6562" spans="12:19" ht="15.75" customHeight="1" x14ac:dyDescent="0.35">
      <c r="L6562" s="2"/>
      <c r="M6562" s="2"/>
      <c r="N6562" s="650"/>
      <c r="O6562" s="650"/>
      <c r="P6562" s="651"/>
      <c r="Q6562" s="651"/>
      <c r="R6562" s="651"/>
      <c r="S6562" s="651"/>
    </row>
    <row r="6563" spans="12:19" ht="15.75" customHeight="1" x14ac:dyDescent="0.35">
      <c r="L6563" s="2"/>
      <c r="M6563" s="2"/>
      <c r="N6563" s="650"/>
      <c r="O6563" s="650"/>
      <c r="P6563" s="651"/>
      <c r="Q6563" s="651"/>
      <c r="R6563" s="651"/>
      <c r="S6563" s="651"/>
    </row>
    <row r="6564" spans="12:19" ht="15.75" customHeight="1" x14ac:dyDescent="0.35">
      <c r="L6564" s="2"/>
      <c r="M6564" s="2"/>
      <c r="N6564" s="650"/>
      <c r="O6564" s="650"/>
      <c r="P6564" s="651"/>
      <c r="Q6564" s="651"/>
      <c r="R6564" s="651"/>
      <c r="S6564" s="651"/>
    </row>
    <row r="6565" spans="12:19" ht="15.75" customHeight="1" x14ac:dyDescent="0.35">
      <c r="L6565" s="2"/>
      <c r="M6565" s="2"/>
      <c r="N6565" s="650"/>
      <c r="O6565" s="650"/>
      <c r="P6565" s="651"/>
      <c r="Q6565" s="651"/>
      <c r="R6565" s="651"/>
      <c r="S6565" s="651"/>
    </row>
    <row r="6566" spans="12:19" ht="15.75" customHeight="1" x14ac:dyDescent="0.35">
      <c r="L6566" s="2"/>
      <c r="M6566" s="2"/>
      <c r="N6566" s="650"/>
      <c r="O6566" s="650"/>
      <c r="P6566" s="651"/>
      <c r="Q6566" s="651"/>
      <c r="R6566" s="651"/>
      <c r="S6566" s="651"/>
    </row>
    <row r="6567" spans="12:19" ht="15.75" customHeight="1" x14ac:dyDescent="0.35">
      <c r="L6567" s="2"/>
      <c r="M6567" s="2"/>
      <c r="N6567" s="650"/>
      <c r="O6567" s="650"/>
      <c r="P6567" s="651"/>
      <c r="Q6567" s="651"/>
      <c r="R6567" s="651"/>
      <c r="S6567" s="651"/>
    </row>
    <row r="6568" spans="12:19" ht="15.75" customHeight="1" x14ac:dyDescent="0.35">
      <c r="L6568" s="2"/>
      <c r="M6568" s="2"/>
      <c r="N6568" s="650"/>
      <c r="O6568" s="650"/>
      <c r="P6568" s="651"/>
      <c r="Q6568" s="651"/>
      <c r="R6568" s="651"/>
      <c r="S6568" s="651"/>
    </row>
    <row r="6569" spans="12:19" ht="15.75" customHeight="1" x14ac:dyDescent="0.35">
      <c r="L6569" s="2"/>
      <c r="M6569" s="2"/>
      <c r="N6569" s="650"/>
      <c r="O6569" s="650"/>
      <c r="P6569" s="651"/>
      <c r="Q6569" s="651"/>
      <c r="R6569" s="651"/>
      <c r="S6569" s="651"/>
    </row>
    <row r="6570" spans="12:19" ht="15.75" customHeight="1" x14ac:dyDescent="0.35">
      <c r="L6570" s="2"/>
      <c r="M6570" s="2"/>
      <c r="N6570" s="650"/>
      <c r="O6570" s="650"/>
      <c r="P6570" s="651"/>
      <c r="Q6570" s="651"/>
      <c r="R6570" s="651"/>
      <c r="S6570" s="651"/>
    </row>
    <row r="6571" spans="12:19" ht="15.75" customHeight="1" x14ac:dyDescent="0.35">
      <c r="L6571" s="2"/>
      <c r="M6571" s="2"/>
      <c r="N6571" s="650"/>
      <c r="O6571" s="650"/>
      <c r="P6571" s="651"/>
      <c r="Q6571" s="651"/>
      <c r="R6571" s="651"/>
      <c r="S6571" s="651"/>
    </row>
    <row r="6572" spans="12:19" ht="15.75" customHeight="1" x14ac:dyDescent="0.35">
      <c r="L6572" s="2"/>
      <c r="M6572" s="2"/>
      <c r="N6572" s="650"/>
      <c r="O6572" s="650"/>
      <c r="P6572" s="651"/>
      <c r="Q6572" s="651"/>
      <c r="R6572" s="651"/>
      <c r="S6572" s="651"/>
    </row>
    <row r="6573" spans="12:19" ht="15.75" customHeight="1" x14ac:dyDescent="0.35">
      <c r="L6573" s="2"/>
      <c r="M6573" s="2"/>
      <c r="N6573" s="650"/>
      <c r="O6573" s="650"/>
      <c r="P6573" s="651"/>
      <c r="Q6573" s="651"/>
      <c r="R6573" s="651"/>
      <c r="S6573" s="651"/>
    </row>
    <row r="6574" spans="12:19" ht="15.75" customHeight="1" x14ac:dyDescent="0.35">
      <c r="L6574" s="2"/>
      <c r="M6574" s="2"/>
      <c r="N6574" s="650"/>
      <c r="O6574" s="650"/>
      <c r="P6574" s="651"/>
      <c r="Q6574" s="651"/>
      <c r="R6574" s="651"/>
      <c r="S6574" s="651"/>
    </row>
    <row r="6575" spans="12:19" ht="15.75" customHeight="1" x14ac:dyDescent="0.35">
      <c r="L6575" s="2"/>
      <c r="M6575" s="2"/>
      <c r="N6575" s="650"/>
      <c r="O6575" s="650"/>
      <c r="P6575" s="651"/>
      <c r="Q6575" s="651"/>
      <c r="R6575" s="651"/>
      <c r="S6575" s="651"/>
    </row>
    <row r="6576" spans="12:19" ht="15.75" customHeight="1" x14ac:dyDescent="0.35">
      <c r="L6576" s="2"/>
      <c r="M6576" s="2"/>
      <c r="N6576" s="650"/>
      <c r="O6576" s="650"/>
      <c r="P6576" s="651"/>
      <c r="Q6576" s="651"/>
      <c r="R6576" s="651"/>
      <c r="S6576" s="651"/>
    </row>
    <row r="6577" spans="12:19" ht="15.75" customHeight="1" x14ac:dyDescent="0.35">
      <c r="L6577" s="2"/>
      <c r="M6577" s="2"/>
      <c r="N6577" s="650"/>
      <c r="O6577" s="650"/>
      <c r="P6577" s="651"/>
      <c r="Q6577" s="651"/>
      <c r="R6577" s="651"/>
      <c r="S6577" s="651"/>
    </row>
    <row r="6578" spans="12:19" ht="15.75" customHeight="1" x14ac:dyDescent="0.35">
      <c r="L6578" s="2"/>
      <c r="M6578" s="2"/>
      <c r="N6578" s="650"/>
      <c r="O6578" s="650"/>
      <c r="P6578" s="651"/>
      <c r="Q6578" s="651"/>
      <c r="R6578" s="651"/>
      <c r="S6578" s="651"/>
    </row>
    <row r="6579" spans="12:19" ht="15.75" customHeight="1" x14ac:dyDescent="0.35">
      <c r="L6579" s="2"/>
      <c r="M6579" s="2"/>
      <c r="N6579" s="650"/>
      <c r="O6579" s="650"/>
      <c r="P6579" s="651"/>
      <c r="Q6579" s="651"/>
      <c r="R6579" s="651"/>
      <c r="S6579" s="651"/>
    </row>
    <row r="6580" spans="12:19" ht="15.75" customHeight="1" x14ac:dyDescent="0.35">
      <c r="L6580" s="2"/>
      <c r="M6580" s="2"/>
      <c r="N6580" s="650"/>
      <c r="O6580" s="650"/>
      <c r="P6580" s="651"/>
      <c r="Q6580" s="651"/>
      <c r="R6580" s="651"/>
      <c r="S6580" s="651"/>
    </row>
    <row r="6581" spans="12:19" ht="15.75" customHeight="1" x14ac:dyDescent="0.35">
      <c r="L6581" s="2"/>
      <c r="M6581" s="2"/>
      <c r="N6581" s="650"/>
      <c r="O6581" s="650"/>
      <c r="P6581" s="651"/>
      <c r="Q6581" s="651"/>
      <c r="R6581" s="651"/>
      <c r="S6581" s="651"/>
    </row>
    <row r="6582" spans="12:19" ht="15.75" customHeight="1" x14ac:dyDescent="0.35">
      <c r="L6582" s="2"/>
      <c r="M6582" s="2"/>
      <c r="N6582" s="650"/>
      <c r="O6582" s="650"/>
      <c r="P6582" s="651"/>
      <c r="Q6582" s="651"/>
      <c r="R6582" s="651"/>
      <c r="S6582" s="651"/>
    </row>
    <row r="6583" spans="12:19" ht="15.75" customHeight="1" x14ac:dyDescent="0.35">
      <c r="L6583" s="2"/>
      <c r="M6583" s="2"/>
      <c r="N6583" s="650"/>
      <c r="O6583" s="650"/>
      <c r="P6583" s="651"/>
      <c r="Q6583" s="651"/>
      <c r="R6583" s="651"/>
      <c r="S6583" s="651"/>
    </row>
    <row r="6584" spans="12:19" ht="15.75" customHeight="1" x14ac:dyDescent="0.35">
      <c r="L6584" s="2"/>
      <c r="M6584" s="2"/>
      <c r="N6584" s="650"/>
      <c r="O6584" s="650"/>
      <c r="P6584" s="651"/>
      <c r="Q6584" s="651"/>
      <c r="R6584" s="651"/>
      <c r="S6584" s="651"/>
    </row>
    <row r="6585" spans="12:19" ht="15.75" customHeight="1" x14ac:dyDescent="0.35">
      <c r="L6585" s="2"/>
      <c r="M6585" s="2"/>
      <c r="N6585" s="650"/>
      <c r="O6585" s="650"/>
      <c r="P6585" s="651"/>
      <c r="Q6585" s="651"/>
      <c r="R6585" s="651"/>
      <c r="S6585" s="651"/>
    </row>
    <row r="6586" spans="12:19" ht="15.75" customHeight="1" x14ac:dyDescent="0.35">
      <c r="L6586" s="2"/>
      <c r="M6586" s="2"/>
      <c r="N6586" s="650"/>
      <c r="O6586" s="650"/>
      <c r="P6586" s="651"/>
      <c r="Q6586" s="651"/>
      <c r="R6586" s="651"/>
      <c r="S6586" s="651"/>
    </row>
    <row r="6587" spans="12:19" ht="15.75" customHeight="1" x14ac:dyDescent="0.35">
      <c r="L6587" s="2"/>
      <c r="M6587" s="2"/>
      <c r="N6587" s="650"/>
      <c r="O6587" s="650"/>
      <c r="P6587" s="651"/>
      <c r="Q6587" s="651"/>
      <c r="R6587" s="651"/>
      <c r="S6587" s="651"/>
    </row>
    <row r="6588" spans="12:19" ht="15.75" customHeight="1" x14ac:dyDescent="0.35">
      <c r="L6588" s="2"/>
      <c r="M6588" s="2"/>
      <c r="N6588" s="650"/>
      <c r="O6588" s="650"/>
      <c r="P6588" s="651"/>
      <c r="Q6588" s="651"/>
      <c r="R6588" s="651"/>
      <c r="S6588" s="651"/>
    </row>
    <row r="6589" spans="12:19" ht="15.75" customHeight="1" x14ac:dyDescent="0.35">
      <c r="L6589" s="2"/>
      <c r="M6589" s="2"/>
      <c r="N6589" s="650"/>
      <c r="O6589" s="650"/>
      <c r="P6589" s="651"/>
      <c r="Q6589" s="651"/>
      <c r="R6589" s="651"/>
      <c r="S6589" s="651"/>
    </row>
    <row r="6590" spans="12:19" ht="15.75" customHeight="1" x14ac:dyDescent="0.35">
      <c r="L6590" s="2"/>
      <c r="M6590" s="2"/>
      <c r="N6590" s="650"/>
      <c r="O6590" s="650"/>
      <c r="P6590" s="651"/>
      <c r="Q6590" s="651"/>
      <c r="R6590" s="651"/>
      <c r="S6590" s="651"/>
    </row>
    <row r="6591" spans="12:19" ht="15.75" customHeight="1" x14ac:dyDescent="0.35">
      <c r="L6591" s="2"/>
      <c r="M6591" s="2"/>
      <c r="N6591" s="650"/>
      <c r="O6591" s="650"/>
      <c r="P6591" s="651"/>
      <c r="Q6591" s="651"/>
      <c r="R6591" s="651"/>
      <c r="S6591" s="651"/>
    </row>
    <row r="6592" spans="12:19" ht="15.75" customHeight="1" x14ac:dyDescent="0.35">
      <c r="L6592" s="2"/>
      <c r="M6592" s="2"/>
      <c r="N6592" s="650"/>
      <c r="O6592" s="650"/>
      <c r="P6592" s="651"/>
      <c r="Q6592" s="651"/>
      <c r="R6592" s="651"/>
      <c r="S6592" s="651"/>
    </row>
    <row r="6593" spans="12:19" ht="15.75" customHeight="1" x14ac:dyDescent="0.35">
      <c r="L6593" s="2"/>
      <c r="M6593" s="2"/>
      <c r="N6593" s="650"/>
      <c r="O6593" s="650"/>
      <c r="P6593" s="651"/>
      <c r="Q6593" s="651"/>
      <c r="R6593" s="651"/>
      <c r="S6593" s="651"/>
    </row>
    <row r="6594" spans="12:19" ht="15.75" customHeight="1" x14ac:dyDescent="0.35">
      <c r="L6594" s="2"/>
      <c r="M6594" s="2"/>
      <c r="N6594" s="650"/>
      <c r="O6594" s="650"/>
      <c r="P6594" s="651"/>
      <c r="Q6594" s="651"/>
      <c r="R6594" s="651"/>
      <c r="S6594" s="651"/>
    </row>
    <row r="6595" spans="12:19" ht="15.75" customHeight="1" x14ac:dyDescent="0.35">
      <c r="L6595" s="2"/>
      <c r="M6595" s="2"/>
      <c r="N6595" s="650"/>
      <c r="O6595" s="650"/>
      <c r="P6595" s="651"/>
      <c r="Q6595" s="651"/>
      <c r="R6595" s="651"/>
      <c r="S6595" s="651"/>
    </row>
    <row r="6596" spans="12:19" ht="15.75" customHeight="1" x14ac:dyDescent="0.35">
      <c r="L6596" s="2"/>
      <c r="M6596" s="2"/>
      <c r="N6596" s="650"/>
      <c r="O6596" s="650"/>
      <c r="P6596" s="651"/>
      <c r="Q6596" s="651"/>
      <c r="R6596" s="651"/>
      <c r="S6596" s="651"/>
    </row>
    <row r="6597" spans="12:19" ht="15.75" customHeight="1" x14ac:dyDescent="0.35">
      <c r="L6597" s="2"/>
      <c r="M6597" s="2"/>
      <c r="N6597" s="650"/>
      <c r="O6597" s="650"/>
      <c r="P6597" s="651"/>
      <c r="Q6597" s="651"/>
      <c r="R6597" s="651"/>
      <c r="S6597" s="651"/>
    </row>
    <row r="6598" spans="12:19" ht="15.75" customHeight="1" x14ac:dyDescent="0.35">
      <c r="L6598" s="2"/>
      <c r="M6598" s="2"/>
      <c r="N6598" s="650"/>
      <c r="O6598" s="650"/>
      <c r="P6598" s="651"/>
      <c r="Q6598" s="651"/>
      <c r="R6598" s="651"/>
      <c r="S6598" s="651"/>
    </row>
    <row r="6599" spans="12:19" ht="15.75" customHeight="1" x14ac:dyDescent="0.35">
      <c r="L6599" s="2"/>
      <c r="M6599" s="2"/>
      <c r="N6599" s="650"/>
      <c r="O6599" s="650"/>
      <c r="P6599" s="651"/>
      <c r="Q6599" s="651"/>
      <c r="R6599" s="651"/>
      <c r="S6599" s="651"/>
    </row>
    <row r="6600" spans="12:19" ht="15.75" customHeight="1" x14ac:dyDescent="0.35">
      <c r="L6600" s="2"/>
      <c r="M6600" s="2"/>
      <c r="N6600" s="650"/>
      <c r="O6600" s="650"/>
      <c r="P6600" s="651"/>
      <c r="Q6600" s="651"/>
      <c r="R6600" s="651"/>
      <c r="S6600" s="651"/>
    </row>
    <row r="6601" spans="12:19" ht="15.75" customHeight="1" x14ac:dyDescent="0.35">
      <c r="L6601" s="2"/>
      <c r="M6601" s="2"/>
      <c r="N6601" s="650"/>
      <c r="O6601" s="650"/>
      <c r="P6601" s="651"/>
      <c r="Q6601" s="651"/>
      <c r="R6601" s="651"/>
      <c r="S6601" s="651"/>
    </row>
    <row r="6602" spans="12:19" ht="15.75" customHeight="1" x14ac:dyDescent="0.35">
      <c r="L6602" s="2"/>
      <c r="M6602" s="2"/>
      <c r="N6602" s="650"/>
      <c r="O6602" s="650"/>
      <c r="P6602" s="651"/>
      <c r="Q6602" s="651"/>
      <c r="R6602" s="651"/>
      <c r="S6602" s="651"/>
    </row>
    <row r="6603" spans="12:19" ht="15.75" customHeight="1" x14ac:dyDescent="0.35">
      <c r="L6603" s="2"/>
      <c r="M6603" s="2"/>
      <c r="N6603" s="650"/>
      <c r="O6603" s="650"/>
      <c r="P6603" s="651"/>
      <c r="Q6603" s="651"/>
      <c r="R6603" s="651"/>
      <c r="S6603" s="651"/>
    </row>
    <row r="6604" spans="12:19" ht="15.75" customHeight="1" x14ac:dyDescent="0.35">
      <c r="L6604" s="2"/>
      <c r="M6604" s="2"/>
      <c r="N6604" s="650"/>
      <c r="O6604" s="650"/>
      <c r="P6604" s="651"/>
      <c r="Q6604" s="651"/>
      <c r="R6604" s="651"/>
      <c r="S6604" s="651"/>
    </row>
    <row r="6605" spans="12:19" ht="15.75" customHeight="1" x14ac:dyDescent="0.35">
      <c r="L6605" s="2"/>
      <c r="M6605" s="2"/>
      <c r="N6605" s="650"/>
      <c r="O6605" s="650"/>
      <c r="P6605" s="651"/>
      <c r="Q6605" s="651"/>
      <c r="R6605" s="651"/>
      <c r="S6605" s="651"/>
    </row>
    <row r="6606" spans="12:19" ht="15.75" customHeight="1" x14ac:dyDescent="0.35">
      <c r="L6606" s="2"/>
      <c r="M6606" s="2"/>
      <c r="N6606" s="650"/>
      <c r="O6606" s="650"/>
      <c r="P6606" s="651"/>
      <c r="Q6606" s="651"/>
      <c r="R6606" s="651"/>
      <c r="S6606" s="651"/>
    </row>
    <row r="6607" spans="12:19" ht="15.75" customHeight="1" x14ac:dyDescent="0.35">
      <c r="L6607" s="2"/>
      <c r="M6607" s="2"/>
      <c r="N6607" s="650"/>
      <c r="O6607" s="650"/>
      <c r="P6607" s="651"/>
      <c r="Q6607" s="651"/>
      <c r="R6607" s="651"/>
      <c r="S6607" s="651"/>
    </row>
    <row r="6608" spans="12:19" ht="15.75" customHeight="1" x14ac:dyDescent="0.35">
      <c r="L6608" s="2"/>
      <c r="M6608" s="2"/>
      <c r="N6608" s="650"/>
      <c r="O6608" s="650"/>
      <c r="P6608" s="651"/>
      <c r="Q6608" s="651"/>
      <c r="R6608" s="651"/>
      <c r="S6608" s="651"/>
    </row>
    <row r="6609" spans="12:19" ht="15.75" customHeight="1" x14ac:dyDescent="0.35">
      <c r="L6609" s="2"/>
      <c r="M6609" s="2"/>
      <c r="N6609" s="650"/>
      <c r="O6609" s="650"/>
      <c r="P6609" s="651"/>
      <c r="Q6609" s="651"/>
      <c r="R6609" s="651"/>
      <c r="S6609" s="651"/>
    </row>
    <row r="6610" spans="12:19" ht="15.75" customHeight="1" x14ac:dyDescent="0.35">
      <c r="L6610" s="2"/>
      <c r="M6610" s="2"/>
      <c r="N6610" s="650"/>
      <c r="O6610" s="650"/>
      <c r="P6610" s="651"/>
      <c r="Q6610" s="651"/>
      <c r="R6610" s="651"/>
      <c r="S6610" s="651"/>
    </row>
    <row r="6611" spans="12:19" ht="15.75" customHeight="1" x14ac:dyDescent="0.35">
      <c r="L6611" s="2"/>
      <c r="M6611" s="2"/>
      <c r="N6611" s="650"/>
      <c r="O6611" s="650"/>
      <c r="P6611" s="651"/>
      <c r="Q6611" s="651"/>
      <c r="R6611" s="651"/>
      <c r="S6611" s="651"/>
    </row>
    <row r="6612" spans="12:19" ht="15.75" customHeight="1" x14ac:dyDescent="0.35">
      <c r="L6612" s="2"/>
      <c r="M6612" s="2"/>
      <c r="N6612" s="650"/>
      <c r="O6612" s="650"/>
      <c r="P6612" s="651"/>
      <c r="Q6612" s="651"/>
      <c r="R6612" s="651"/>
      <c r="S6612" s="651"/>
    </row>
    <row r="6613" spans="12:19" ht="15.75" customHeight="1" x14ac:dyDescent="0.35">
      <c r="L6613" s="2"/>
      <c r="M6613" s="2"/>
      <c r="N6613" s="650"/>
      <c r="O6613" s="650"/>
      <c r="P6613" s="651"/>
      <c r="Q6613" s="651"/>
      <c r="R6613" s="651"/>
      <c r="S6613" s="651"/>
    </row>
    <row r="6614" spans="12:19" ht="15.75" customHeight="1" x14ac:dyDescent="0.35">
      <c r="L6614" s="2"/>
      <c r="M6614" s="2"/>
      <c r="N6614" s="650"/>
      <c r="O6614" s="650"/>
      <c r="P6614" s="651"/>
      <c r="Q6614" s="651"/>
      <c r="R6614" s="651"/>
      <c r="S6614" s="651"/>
    </row>
    <row r="6615" spans="12:19" ht="15.75" customHeight="1" x14ac:dyDescent="0.35">
      <c r="L6615" s="2"/>
      <c r="M6615" s="2"/>
      <c r="N6615" s="650"/>
      <c r="O6615" s="650"/>
      <c r="P6615" s="651"/>
      <c r="Q6615" s="651"/>
      <c r="R6615" s="651"/>
      <c r="S6615" s="651"/>
    </row>
    <row r="6616" spans="12:19" ht="15.75" customHeight="1" x14ac:dyDescent="0.35">
      <c r="L6616" s="2"/>
      <c r="M6616" s="2"/>
      <c r="N6616" s="650"/>
      <c r="O6616" s="650"/>
      <c r="P6616" s="651"/>
      <c r="Q6616" s="651"/>
      <c r="R6616" s="651"/>
      <c r="S6616" s="651"/>
    </row>
    <row r="6617" spans="12:19" ht="15.75" customHeight="1" x14ac:dyDescent="0.35">
      <c r="L6617" s="2"/>
      <c r="M6617" s="2"/>
      <c r="N6617" s="650"/>
      <c r="O6617" s="650"/>
      <c r="P6617" s="651"/>
      <c r="Q6617" s="651"/>
      <c r="R6617" s="651"/>
      <c r="S6617" s="651"/>
    </row>
    <row r="6618" spans="12:19" ht="15.75" customHeight="1" x14ac:dyDescent="0.35">
      <c r="L6618" s="2"/>
      <c r="M6618" s="2"/>
      <c r="N6618" s="650"/>
      <c r="O6618" s="650"/>
      <c r="P6618" s="651"/>
      <c r="Q6618" s="651"/>
      <c r="R6618" s="651"/>
      <c r="S6618" s="651"/>
    </row>
    <row r="6619" spans="12:19" ht="15.75" customHeight="1" x14ac:dyDescent="0.35">
      <c r="L6619" s="2"/>
      <c r="M6619" s="2"/>
      <c r="N6619" s="650"/>
      <c r="O6619" s="650"/>
      <c r="P6619" s="651"/>
      <c r="Q6619" s="651"/>
      <c r="R6619" s="651"/>
      <c r="S6619" s="651"/>
    </row>
    <row r="6620" spans="12:19" ht="15.75" customHeight="1" x14ac:dyDescent="0.35">
      <c r="L6620" s="2"/>
      <c r="M6620" s="2"/>
      <c r="N6620" s="650"/>
      <c r="O6620" s="650"/>
      <c r="P6620" s="651"/>
      <c r="Q6620" s="651"/>
      <c r="R6620" s="651"/>
      <c r="S6620" s="651"/>
    </row>
    <row r="6621" spans="12:19" ht="15.75" customHeight="1" x14ac:dyDescent="0.35">
      <c r="L6621" s="2"/>
      <c r="M6621" s="2"/>
      <c r="N6621" s="650"/>
      <c r="O6621" s="650"/>
      <c r="P6621" s="651"/>
      <c r="Q6621" s="651"/>
      <c r="R6621" s="651"/>
      <c r="S6621" s="651"/>
    </row>
    <row r="6622" spans="12:19" ht="15.75" customHeight="1" x14ac:dyDescent="0.35">
      <c r="L6622" s="2"/>
      <c r="M6622" s="2"/>
      <c r="N6622" s="650"/>
      <c r="O6622" s="650"/>
      <c r="P6622" s="651"/>
      <c r="Q6622" s="651"/>
      <c r="R6622" s="651"/>
      <c r="S6622" s="651"/>
    </row>
    <row r="6623" spans="12:19" ht="15.75" customHeight="1" x14ac:dyDescent="0.35">
      <c r="L6623" s="2"/>
      <c r="M6623" s="2"/>
      <c r="N6623" s="650"/>
      <c r="O6623" s="650"/>
      <c r="P6623" s="651"/>
      <c r="Q6623" s="651"/>
      <c r="R6623" s="651"/>
      <c r="S6623" s="651"/>
    </row>
    <row r="6624" spans="12:19" ht="15.75" customHeight="1" x14ac:dyDescent="0.35">
      <c r="L6624" s="2"/>
      <c r="M6624" s="2"/>
      <c r="N6624" s="650"/>
      <c r="O6624" s="650"/>
      <c r="P6624" s="651"/>
      <c r="Q6624" s="651"/>
      <c r="R6624" s="651"/>
      <c r="S6624" s="651"/>
    </row>
    <row r="6625" spans="12:19" ht="15.75" customHeight="1" x14ac:dyDescent="0.35">
      <c r="L6625" s="2"/>
      <c r="M6625" s="2"/>
      <c r="N6625" s="650"/>
      <c r="O6625" s="650"/>
      <c r="P6625" s="651"/>
      <c r="Q6625" s="651"/>
      <c r="R6625" s="651"/>
      <c r="S6625" s="651"/>
    </row>
    <row r="6626" spans="12:19" ht="15.75" customHeight="1" x14ac:dyDescent="0.35">
      <c r="L6626" s="2"/>
      <c r="M6626" s="2"/>
      <c r="N6626" s="650"/>
      <c r="O6626" s="650"/>
      <c r="P6626" s="651"/>
      <c r="Q6626" s="651"/>
      <c r="R6626" s="651"/>
      <c r="S6626" s="651"/>
    </row>
    <row r="6627" spans="12:19" ht="15.75" customHeight="1" x14ac:dyDescent="0.35">
      <c r="L6627" s="2"/>
      <c r="M6627" s="2"/>
      <c r="N6627" s="650"/>
      <c r="O6627" s="650"/>
      <c r="P6627" s="651"/>
      <c r="Q6627" s="651"/>
      <c r="R6627" s="651"/>
      <c r="S6627" s="651"/>
    </row>
    <row r="6628" spans="12:19" ht="15.75" customHeight="1" x14ac:dyDescent="0.35">
      <c r="L6628" s="2"/>
      <c r="M6628" s="2"/>
      <c r="N6628" s="650"/>
      <c r="O6628" s="650"/>
      <c r="P6628" s="651"/>
      <c r="Q6628" s="651"/>
      <c r="R6628" s="651"/>
      <c r="S6628" s="651"/>
    </row>
    <row r="6629" spans="12:19" ht="15.75" customHeight="1" x14ac:dyDescent="0.35">
      <c r="L6629" s="2"/>
      <c r="M6629" s="2"/>
      <c r="N6629" s="650"/>
      <c r="O6629" s="650"/>
      <c r="P6629" s="651"/>
      <c r="Q6629" s="651"/>
      <c r="R6629" s="651"/>
      <c r="S6629" s="651"/>
    </row>
    <row r="6630" spans="12:19" ht="15.75" customHeight="1" x14ac:dyDescent="0.35">
      <c r="L6630" s="2"/>
      <c r="M6630" s="2"/>
      <c r="N6630" s="650"/>
      <c r="O6630" s="650"/>
      <c r="P6630" s="651"/>
      <c r="Q6630" s="651"/>
      <c r="R6630" s="651"/>
      <c r="S6630" s="651"/>
    </row>
    <row r="6631" spans="12:19" ht="15.75" customHeight="1" x14ac:dyDescent="0.35">
      <c r="L6631" s="2"/>
      <c r="M6631" s="2"/>
      <c r="N6631" s="650"/>
      <c r="O6631" s="650"/>
      <c r="P6631" s="651"/>
      <c r="Q6631" s="651"/>
      <c r="R6631" s="651"/>
      <c r="S6631" s="651"/>
    </row>
    <row r="6632" spans="12:19" ht="15.75" customHeight="1" x14ac:dyDescent="0.35">
      <c r="L6632" s="2"/>
      <c r="M6632" s="2"/>
      <c r="N6632" s="650"/>
      <c r="O6632" s="650"/>
      <c r="P6632" s="651"/>
      <c r="Q6632" s="651"/>
      <c r="R6632" s="651"/>
      <c r="S6632" s="651"/>
    </row>
    <row r="6633" spans="12:19" ht="15.75" customHeight="1" x14ac:dyDescent="0.35">
      <c r="L6633" s="2"/>
      <c r="M6633" s="2"/>
      <c r="N6633" s="650"/>
      <c r="O6633" s="650"/>
      <c r="P6633" s="651"/>
      <c r="Q6633" s="651"/>
      <c r="R6633" s="651"/>
      <c r="S6633" s="651"/>
    </row>
    <row r="6634" spans="12:19" ht="15.75" customHeight="1" x14ac:dyDescent="0.35">
      <c r="L6634" s="2"/>
      <c r="M6634" s="2"/>
      <c r="N6634" s="650"/>
      <c r="O6634" s="650"/>
      <c r="P6634" s="651"/>
      <c r="Q6634" s="651"/>
      <c r="R6634" s="651"/>
      <c r="S6634" s="651"/>
    </row>
    <row r="6635" spans="12:19" ht="15.75" customHeight="1" x14ac:dyDescent="0.35">
      <c r="L6635" s="2"/>
      <c r="M6635" s="2"/>
      <c r="N6635" s="650"/>
      <c r="O6635" s="650"/>
      <c r="P6635" s="651"/>
      <c r="Q6635" s="651"/>
      <c r="R6635" s="651"/>
      <c r="S6635" s="651"/>
    </row>
    <row r="6636" spans="12:19" ht="15.75" customHeight="1" x14ac:dyDescent="0.35">
      <c r="L6636" s="2"/>
      <c r="M6636" s="2"/>
      <c r="N6636" s="650"/>
      <c r="O6636" s="650"/>
      <c r="P6636" s="651"/>
      <c r="Q6636" s="651"/>
      <c r="R6636" s="651"/>
      <c r="S6636" s="651"/>
    </row>
    <row r="6637" spans="12:19" ht="15.75" customHeight="1" x14ac:dyDescent="0.35">
      <c r="L6637" s="2"/>
      <c r="M6637" s="2"/>
      <c r="N6637" s="650"/>
      <c r="O6637" s="650"/>
      <c r="P6637" s="651"/>
      <c r="Q6637" s="651"/>
      <c r="R6637" s="651"/>
      <c r="S6637" s="651"/>
    </row>
    <row r="6638" spans="12:19" ht="15.75" customHeight="1" x14ac:dyDescent="0.35">
      <c r="L6638" s="2"/>
      <c r="M6638" s="2"/>
      <c r="N6638" s="650"/>
      <c r="O6638" s="650"/>
      <c r="P6638" s="651"/>
      <c r="Q6638" s="651"/>
      <c r="R6638" s="651"/>
      <c r="S6638" s="651"/>
    </row>
    <row r="6639" spans="12:19" ht="15.75" customHeight="1" x14ac:dyDescent="0.35">
      <c r="L6639" s="2"/>
      <c r="M6639" s="2"/>
      <c r="N6639" s="650"/>
      <c r="O6639" s="650"/>
      <c r="P6639" s="651"/>
      <c r="Q6639" s="651"/>
      <c r="R6639" s="651"/>
      <c r="S6639" s="651"/>
    </row>
    <row r="6640" spans="12:19" ht="15.75" customHeight="1" x14ac:dyDescent="0.35">
      <c r="L6640" s="2"/>
      <c r="M6640" s="2"/>
      <c r="N6640" s="650"/>
      <c r="O6640" s="650"/>
      <c r="P6640" s="651"/>
      <c r="Q6640" s="651"/>
      <c r="R6640" s="651"/>
      <c r="S6640" s="651"/>
    </row>
    <row r="6641" spans="12:19" ht="15.75" customHeight="1" x14ac:dyDescent="0.35">
      <c r="L6641" s="2"/>
      <c r="M6641" s="2"/>
      <c r="N6641" s="650"/>
      <c r="O6641" s="650"/>
      <c r="P6641" s="651"/>
      <c r="Q6641" s="651"/>
      <c r="R6641" s="651"/>
      <c r="S6641" s="651"/>
    </row>
    <row r="6642" spans="12:19" ht="15.75" customHeight="1" x14ac:dyDescent="0.35">
      <c r="L6642" s="2"/>
      <c r="M6642" s="2"/>
      <c r="N6642" s="650"/>
      <c r="O6642" s="650"/>
      <c r="P6642" s="651"/>
      <c r="Q6642" s="651"/>
      <c r="R6642" s="651"/>
      <c r="S6642" s="651"/>
    </row>
    <row r="6643" spans="12:19" ht="15.75" customHeight="1" x14ac:dyDescent="0.35">
      <c r="L6643" s="2"/>
      <c r="M6643" s="2"/>
      <c r="N6643" s="650"/>
      <c r="O6643" s="650"/>
      <c r="P6643" s="651"/>
      <c r="Q6643" s="651"/>
      <c r="R6643" s="651"/>
      <c r="S6643" s="651"/>
    </row>
    <row r="6644" spans="12:19" ht="15.75" customHeight="1" x14ac:dyDescent="0.35">
      <c r="L6644" s="2"/>
      <c r="M6644" s="2"/>
      <c r="N6644" s="650"/>
      <c r="O6644" s="650"/>
      <c r="P6644" s="651"/>
      <c r="Q6644" s="651"/>
      <c r="R6644" s="651"/>
      <c r="S6644" s="651"/>
    </row>
    <row r="6645" spans="12:19" ht="15.75" customHeight="1" x14ac:dyDescent="0.35">
      <c r="L6645" s="2"/>
      <c r="M6645" s="2"/>
      <c r="N6645" s="650"/>
      <c r="O6645" s="650"/>
      <c r="P6645" s="651"/>
      <c r="Q6645" s="651"/>
      <c r="R6645" s="651"/>
      <c r="S6645" s="651"/>
    </row>
    <row r="6646" spans="12:19" ht="15.75" customHeight="1" x14ac:dyDescent="0.35">
      <c r="L6646" s="2"/>
      <c r="M6646" s="2"/>
      <c r="N6646" s="650"/>
      <c r="O6646" s="650"/>
      <c r="P6646" s="651"/>
      <c r="Q6646" s="651"/>
      <c r="R6646" s="651"/>
      <c r="S6646" s="651"/>
    </row>
    <row r="6647" spans="12:19" ht="15.75" customHeight="1" x14ac:dyDescent="0.35">
      <c r="L6647" s="2"/>
      <c r="M6647" s="2"/>
      <c r="N6647" s="650"/>
      <c r="O6647" s="650"/>
      <c r="P6647" s="651"/>
      <c r="Q6647" s="651"/>
      <c r="R6647" s="651"/>
      <c r="S6647" s="651"/>
    </row>
    <row r="6648" spans="12:19" ht="15.75" customHeight="1" x14ac:dyDescent="0.35">
      <c r="L6648" s="2"/>
      <c r="M6648" s="2"/>
      <c r="N6648" s="650"/>
      <c r="O6648" s="650"/>
      <c r="P6648" s="651"/>
      <c r="Q6648" s="651"/>
      <c r="R6648" s="651"/>
      <c r="S6648" s="651"/>
    </row>
    <row r="6649" spans="12:19" ht="15.75" customHeight="1" x14ac:dyDescent="0.35">
      <c r="L6649" s="2"/>
      <c r="M6649" s="2"/>
      <c r="N6649" s="650"/>
      <c r="O6649" s="650"/>
      <c r="P6649" s="651"/>
      <c r="Q6649" s="651"/>
      <c r="R6649" s="651"/>
      <c r="S6649" s="651"/>
    </row>
    <row r="6650" spans="12:19" ht="15.75" customHeight="1" x14ac:dyDescent="0.35">
      <c r="L6650" s="2"/>
      <c r="M6650" s="2"/>
      <c r="N6650" s="650"/>
      <c r="O6650" s="650"/>
      <c r="P6650" s="651"/>
      <c r="Q6650" s="651"/>
      <c r="R6650" s="651"/>
      <c r="S6650" s="651"/>
    </row>
    <row r="6651" spans="12:19" ht="15.75" customHeight="1" x14ac:dyDescent="0.35">
      <c r="L6651" s="2"/>
      <c r="M6651" s="2"/>
      <c r="N6651" s="650"/>
      <c r="O6651" s="650"/>
      <c r="P6651" s="651"/>
      <c r="Q6651" s="651"/>
      <c r="R6651" s="651"/>
      <c r="S6651" s="651"/>
    </row>
    <row r="6652" spans="12:19" ht="15.75" customHeight="1" x14ac:dyDescent="0.35">
      <c r="L6652" s="2"/>
      <c r="M6652" s="2"/>
      <c r="N6652" s="650"/>
      <c r="O6652" s="650"/>
      <c r="P6652" s="651"/>
      <c r="Q6652" s="651"/>
      <c r="R6652" s="651"/>
      <c r="S6652" s="651"/>
    </row>
    <row r="6653" spans="12:19" ht="15.75" customHeight="1" x14ac:dyDescent="0.35">
      <c r="L6653" s="2"/>
      <c r="M6653" s="2"/>
      <c r="N6653" s="650"/>
      <c r="O6653" s="650"/>
      <c r="P6653" s="651"/>
      <c r="Q6653" s="651"/>
      <c r="R6653" s="651"/>
      <c r="S6653" s="651"/>
    </row>
    <row r="6654" spans="12:19" ht="15.75" customHeight="1" x14ac:dyDescent="0.35">
      <c r="L6654" s="2"/>
      <c r="M6654" s="2"/>
      <c r="N6654" s="650"/>
      <c r="O6654" s="650"/>
      <c r="P6654" s="651"/>
      <c r="Q6654" s="651"/>
      <c r="R6654" s="651"/>
      <c r="S6654" s="651"/>
    </row>
    <row r="6655" spans="12:19" ht="15.75" customHeight="1" x14ac:dyDescent="0.35">
      <c r="L6655" s="2"/>
      <c r="M6655" s="2"/>
      <c r="N6655" s="650"/>
      <c r="O6655" s="650"/>
      <c r="P6655" s="651"/>
      <c r="Q6655" s="651"/>
      <c r="R6655" s="651"/>
      <c r="S6655" s="651"/>
    </row>
    <row r="6656" spans="12:19" ht="15.75" customHeight="1" x14ac:dyDescent="0.35">
      <c r="L6656" s="2"/>
      <c r="M6656" s="2"/>
      <c r="N6656" s="650"/>
      <c r="O6656" s="650"/>
      <c r="P6656" s="651"/>
      <c r="Q6656" s="651"/>
      <c r="R6656" s="651"/>
      <c r="S6656" s="651"/>
    </row>
    <row r="6657" spans="12:19" ht="15.75" customHeight="1" x14ac:dyDescent="0.35">
      <c r="L6657" s="2"/>
      <c r="M6657" s="2"/>
      <c r="N6657" s="650"/>
      <c r="O6657" s="650"/>
      <c r="P6657" s="651"/>
      <c r="Q6657" s="651"/>
      <c r="R6657" s="651"/>
      <c r="S6657" s="651"/>
    </row>
    <row r="6658" spans="12:19" ht="15.75" customHeight="1" x14ac:dyDescent="0.35">
      <c r="L6658" s="2"/>
      <c r="M6658" s="2"/>
      <c r="N6658" s="650"/>
      <c r="O6658" s="650"/>
      <c r="P6658" s="651"/>
      <c r="Q6658" s="651"/>
      <c r="R6658" s="651"/>
      <c r="S6658" s="651"/>
    </row>
    <row r="6659" spans="12:19" ht="15.75" customHeight="1" x14ac:dyDescent="0.35">
      <c r="L6659" s="2"/>
      <c r="M6659" s="2"/>
      <c r="N6659" s="650"/>
      <c r="O6659" s="650"/>
      <c r="P6659" s="651"/>
      <c r="Q6659" s="651"/>
      <c r="R6659" s="651"/>
      <c r="S6659" s="651"/>
    </row>
    <row r="6660" spans="12:19" ht="15.75" customHeight="1" x14ac:dyDescent="0.35">
      <c r="L6660" s="2"/>
      <c r="M6660" s="2"/>
      <c r="N6660" s="650"/>
      <c r="O6660" s="650"/>
      <c r="P6660" s="651"/>
      <c r="Q6660" s="651"/>
      <c r="R6660" s="651"/>
      <c r="S6660" s="651"/>
    </row>
    <row r="6661" spans="12:19" ht="15.75" customHeight="1" x14ac:dyDescent="0.35">
      <c r="L6661" s="2"/>
      <c r="M6661" s="2"/>
      <c r="N6661" s="650"/>
      <c r="O6661" s="650"/>
      <c r="P6661" s="651"/>
      <c r="Q6661" s="651"/>
      <c r="R6661" s="651"/>
      <c r="S6661" s="651"/>
    </row>
    <row r="6662" spans="12:19" ht="15.75" customHeight="1" x14ac:dyDescent="0.35">
      <c r="L6662" s="2"/>
      <c r="M6662" s="2"/>
      <c r="N6662" s="650"/>
      <c r="O6662" s="650"/>
      <c r="P6662" s="651"/>
      <c r="Q6662" s="651"/>
      <c r="R6662" s="651"/>
      <c r="S6662" s="651"/>
    </row>
    <row r="6663" spans="12:19" ht="15.75" customHeight="1" x14ac:dyDescent="0.35">
      <c r="L6663" s="2"/>
      <c r="M6663" s="2"/>
      <c r="N6663" s="650"/>
      <c r="O6663" s="650"/>
      <c r="P6663" s="651"/>
      <c r="Q6663" s="651"/>
      <c r="R6663" s="651"/>
      <c r="S6663" s="651"/>
    </row>
    <row r="6664" spans="12:19" ht="15.75" customHeight="1" x14ac:dyDescent="0.35">
      <c r="L6664" s="2"/>
      <c r="M6664" s="2"/>
      <c r="N6664" s="650"/>
      <c r="O6664" s="650"/>
      <c r="P6664" s="651"/>
      <c r="Q6664" s="651"/>
      <c r="R6664" s="651"/>
      <c r="S6664" s="651"/>
    </row>
    <row r="6665" spans="12:19" ht="15.75" customHeight="1" x14ac:dyDescent="0.35">
      <c r="L6665" s="2"/>
      <c r="M6665" s="2"/>
      <c r="N6665" s="650"/>
      <c r="O6665" s="650"/>
      <c r="P6665" s="651"/>
      <c r="Q6665" s="651"/>
      <c r="R6665" s="651"/>
      <c r="S6665" s="651"/>
    </row>
    <row r="6666" spans="12:19" ht="15.75" customHeight="1" x14ac:dyDescent="0.35">
      <c r="L6666" s="2"/>
      <c r="M6666" s="2"/>
      <c r="N6666" s="650"/>
      <c r="O6666" s="650"/>
      <c r="P6666" s="651"/>
      <c r="Q6666" s="651"/>
      <c r="R6666" s="651"/>
      <c r="S6666" s="651"/>
    </row>
    <row r="6667" spans="12:19" ht="15.75" customHeight="1" x14ac:dyDescent="0.35">
      <c r="L6667" s="2"/>
      <c r="M6667" s="2"/>
      <c r="N6667" s="650"/>
      <c r="O6667" s="650"/>
      <c r="P6667" s="651"/>
      <c r="Q6667" s="651"/>
      <c r="R6667" s="651"/>
      <c r="S6667" s="651"/>
    </row>
    <row r="6668" spans="12:19" ht="15.75" customHeight="1" x14ac:dyDescent="0.35">
      <c r="L6668" s="2"/>
      <c r="M6668" s="2"/>
      <c r="N6668" s="650"/>
      <c r="O6668" s="650"/>
      <c r="P6668" s="651"/>
      <c r="Q6668" s="651"/>
      <c r="R6668" s="651"/>
      <c r="S6668" s="651"/>
    </row>
    <row r="6669" spans="12:19" ht="15.75" customHeight="1" x14ac:dyDescent="0.35">
      <c r="L6669" s="2"/>
      <c r="M6669" s="2"/>
      <c r="N6669" s="650"/>
      <c r="O6669" s="650"/>
      <c r="P6669" s="651"/>
      <c r="Q6669" s="651"/>
      <c r="R6669" s="651"/>
      <c r="S6669" s="651"/>
    </row>
    <row r="6670" spans="12:19" ht="15.75" customHeight="1" x14ac:dyDescent="0.35">
      <c r="L6670" s="2"/>
      <c r="M6670" s="2"/>
      <c r="N6670" s="650"/>
      <c r="O6670" s="650"/>
      <c r="P6670" s="651"/>
      <c r="Q6670" s="651"/>
      <c r="R6670" s="651"/>
      <c r="S6670" s="651"/>
    </row>
    <row r="6671" spans="12:19" ht="15.75" customHeight="1" x14ac:dyDescent="0.35">
      <c r="L6671" s="2"/>
      <c r="M6671" s="2"/>
      <c r="N6671" s="650"/>
      <c r="O6671" s="650"/>
      <c r="P6671" s="651"/>
      <c r="Q6671" s="651"/>
      <c r="R6671" s="651"/>
      <c r="S6671" s="651"/>
    </row>
    <row r="6672" spans="12:19" ht="15.75" customHeight="1" x14ac:dyDescent="0.35">
      <c r="L6672" s="2"/>
      <c r="M6672" s="2"/>
      <c r="N6672" s="650"/>
      <c r="O6672" s="650"/>
      <c r="P6672" s="651"/>
      <c r="Q6672" s="651"/>
      <c r="R6672" s="651"/>
      <c r="S6672" s="651"/>
    </row>
    <row r="6673" spans="12:19" ht="15.75" customHeight="1" x14ac:dyDescent="0.35">
      <c r="L6673" s="2"/>
      <c r="M6673" s="2"/>
      <c r="N6673" s="650"/>
      <c r="O6673" s="650"/>
      <c r="P6673" s="651"/>
      <c r="Q6673" s="651"/>
      <c r="R6673" s="651"/>
      <c r="S6673" s="651"/>
    </row>
    <row r="6674" spans="12:19" ht="15.75" customHeight="1" x14ac:dyDescent="0.35">
      <c r="L6674" s="2"/>
      <c r="M6674" s="2"/>
      <c r="N6674" s="650"/>
      <c r="O6674" s="650"/>
      <c r="P6674" s="651"/>
      <c r="Q6674" s="651"/>
      <c r="R6674" s="651"/>
      <c r="S6674" s="651"/>
    </row>
    <row r="6675" spans="12:19" ht="15.75" customHeight="1" x14ac:dyDescent="0.35">
      <c r="L6675" s="2"/>
      <c r="M6675" s="2"/>
      <c r="N6675" s="650"/>
      <c r="O6675" s="650"/>
      <c r="P6675" s="651"/>
      <c r="Q6675" s="651"/>
      <c r="R6675" s="651"/>
      <c r="S6675" s="651"/>
    </row>
    <row r="6676" spans="12:19" ht="15.75" customHeight="1" x14ac:dyDescent="0.35">
      <c r="L6676" s="2"/>
      <c r="M6676" s="2"/>
      <c r="N6676" s="650"/>
      <c r="O6676" s="650"/>
      <c r="P6676" s="651"/>
      <c r="Q6676" s="651"/>
      <c r="R6676" s="651"/>
      <c r="S6676" s="651"/>
    </row>
    <row r="6677" spans="12:19" ht="15.75" customHeight="1" x14ac:dyDescent="0.35">
      <c r="L6677" s="2"/>
      <c r="M6677" s="2"/>
      <c r="N6677" s="650"/>
      <c r="O6677" s="650"/>
      <c r="P6677" s="651"/>
      <c r="Q6677" s="651"/>
      <c r="R6677" s="651"/>
      <c r="S6677" s="651"/>
    </row>
    <row r="6678" spans="12:19" ht="15.75" customHeight="1" x14ac:dyDescent="0.35">
      <c r="L6678" s="2"/>
      <c r="M6678" s="2"/>
      <c r="N6678" s="650"/>
      <c r="O6678" s="650"/>
      <c r="P6678" s="651"/>
      <c r="Q6678" s="651"/>
      <c r="R6678" s="651"/>
      <c r="S6678" s="651"/>
    </row>
    <row r="6679" spans="12:19" ht="15.75" customHeight="1" x14ac:dyDescent="0.35">
      <c r="L6679" s="2"/>
      <c r="M6679" s="2"/>
      <c r="N6679" s="650"/>
      <c r="O6679" s="650"/>
      <c r="P6679" s="651"/>
      <c r="Q6679" s="651"/>
      <c r="R6679" s="651"/>
      <c r="S6679" s="651"/>
    </row>
    <row r="6680" spans="12:19" ht="15.75" customHeight="1" x14ac:dyDescent="0.35">
      <c r="L6680" s="2"/>
      <c r="M6680" s="2"/>
      <c r="N6680" s="650"/>
      <c r="O6680" s="650"/>
      <c r="P6680" s="651"/>
      <c r="Q6680" s="651"/>
      <c r="R6680" s="651"/>
      <c r="S6680" s="651"/>
    </row>
    <row r="6681" spans="12:19" ht="15.75" customHeight="1" x14ac:dyDescent="0.35">
      <c r="L6681" s="2"/>
      <c r="M6681" s="2"/>
      <c r="N6681" s="650"/>
      <c r="O6681" s="650"/>
      <c r="P6681" s="651"/>
      <c r="Q6681" s="651"/>
      <c r="R6681" s="651"/>
      <c r="S6681" s="651"/>
    </row>
    <row r="6682" spans="12:19" ht="15.75" customHeight="1" x14ac:dyDescent="0.35">
      <c r="L6682" s="2"/>
      <c r="M6682" s="2"/>
      <c r="N6682" s="650"/>
      <c r="O6682" s="650"/>
      <c r="P6682" s="651"/>
      <c r="Q6682" s="651"/>
      <c r="R6682" s="651"/>
      <c r="S6682" s="651"/>
    </row>
    <row r="6683" spans="12:19" ht="15.75" customHeight="1" x14ac:dyDescent="0.35">
      <c r="L6683" s="2"/>
      <c r="M6683" s="2"/>
      <c r="N6683" s="650"/>
      <c r="O6683" s="650"/>
      <c r="P6683" s="651"/>
      <c r="Q6683" s="651"/>
      <c r="R6683" s="651"/>
      <c r="S6683" s="651"/>
    </row>
    <row r="6684" spans="12:19" ht="15.75" customHeight="1" x14ac:dyDescent="0.35">
      <c r="L6684" s="2"/>
      <c r="M6684" s="2"/>
      <c r="N6684" s="650"/>
      <c r="O6684" s="650"/>
      <c r="P6684" s="651"/>
      <c r="Q6684" s="651"/>
      <c r="R6684" s="651"/>
      <c r="S6684" s="651"/>
    </row>
    <row r="6685" spans="12:19" ht="15.75" customHeight="1" x14ac:dyDescent="0.35">
      <c r="L6685" s="2"/>
      <c r="M6685" s="2"/>
      <c r="N6685" s="650"/>
      <c r="O6685" s="650"/>
      <c r="P6685" s="651"/>
      <c r="Q6685" s="651"/>
      <c r="R6685" s="651"/>
      <c r="S6685" s="651"/>
    </row>
    <row r="6686" spans="12:19" ht="15.75" customHeight="1" x14ac:dyDescent="0.35">
      <c r="L6686" s="2"/>
      <c r="M6686" s="2"/>
      <c r="N6686" s="650"/>
      <c r="O6686" s="650"/>
      <c r="P6686" s="651"/>
      <c r="Q6686" s="651"/>
      <c r="R6686" s="651"/>
      <c r="S6686" s="651"/>
    </row>
    <row r="6687" spans="12:19" ht="15.75" customHeight="1" x14ac:dyDescent="0.35">
      <c r="L6687" s="2"/>
      <c r="M6687" s="2"/>
      <c r="N6687" s="650"/>
      <c r="O6687" s="650"/>
      <c r="P6687" s="651"/>
      <c r="Q6687" s="651"/>
      <c r="R6687" s="651"/>
      <c r="S6687" s="651"/>
    </row>
    <row r="6688" spans="12:19" ht="15.75" customHeight="1" x14ac:dyDescent="0.35">
      <c r="L6688" s="2"/>
      <c r="M6688" s="2"/>
      <c r="N6688" s="650"/>
      <c r="O6688" s="650"/>
      <c r="P6688" s="651"/>
      <c r="Q6688" s="651"/>
      <c r="R6688" s="651"/>
      <c r="S6688" s="651"/>
    </row>
    <row r="6689" spans="12:19" ht="15.75" customHeight="1" x14ac:dyDescent="0.35">
      <c r="L6689" s="2"/>
      <c r="M6689" s="2"/>
      <c r="N6689" s="650"/>
      <c r="O6689" s="650"/>
      <c r="P6689" s="651"/>
      <c r="Q6689" s="651"/>
      <c r="R6689" s="651"/>
      <c r="S6689" s="651"/>
    </row>
    <row r="6690" spans="12:19" ht="15.75" customHeight="1" x14ac:dyDescent="0.35">
      <c r="L6690" s="2"/>
      <c r="M6690" s="2"/>
      <c r="N6690" s="650"/>
      <c r="O6690" s="650"/>
      <c r="P6690" s="651"/>
      <c r="Q6690" s="651"/>
      <c r="R6690" s="651"/>
      <c r="S6690" s="651"/>
    </row>
    <row r="6691" spans="12:19" ht="15.75" customHeight="1" x14ac:dyDescent="0.35">
      <c r="L6691" s="2"/>
      <c r="M6691" s="2"/>
      <c r="N6691" s="650"/>
      <c r="O6691" s="650"/>
      <c r="P6691" s="651"/>
      <c r="Q6691" s="651"/>
      <c r="R6691" s="651"/>
      <c r="S6691" s="651"/>
    </row>
    <row r="6692" spans="12:19" ht="15.75" customHeight="1" x14ac:dyDescent="0.35">
      <c r="L6692" s="2"/>
      <c r="M6692" s="2"/>
      <c r="N6692" s="650"/>
      <c r="O6692" s="650"/>
      <c r="P6692" s="651"/>
      <c r="Q6692" s="651"/>
      <c r="R6692" s="651"/>
      <c r="S6692" s="651"/>
    </row>
    <row r="6693" spans="12:19" ht="15.75" customHeight="1" x14ac:dyDescent="0.35">
      <c r="L6693" s="2"/>
      <c r="M6693" s="2"/>
      <c r="N6693" s="650"/>
      <c r="O6693" s="650"/>
      <c r="P6693" s="651"/>
      <c r="Q6693" s="651"/>
      <c r="R6693" s="651"/>
      <c r="S6693" s="651"/>
    </row>
    <row r="6694" spans="12:19" ht="15.75" customHeight="1" x14ac:dyDescent="0.35">
      <c r="L6694" s="2"/>
      <c r="M6694" s="2"/>
      <c r="N6694" s="650"/>
      <c r="O6694" s="650"/>
      <c r="P6694" s="651"/>
      <c r="Q6694" s="651"/>
      <c r="R6694" s="651"/>
      <c r="S6694" s="651"/>
    </row>
    <row r="6695" spans="12:19" ht="15.75" customHeight="1" x14ac:dyDescent="0.35">
      <c r="L6695" s="2"/>
      <c r="M6695" s="2"/>
      <c r="N6695" s="650"/>
      <c r="O6695" s="650"/>
      <c r="P6695" s="651"/>
      <c r="Q6695" s="651"/>
      <c r="R6695" s="651"/>
      <c r="S6695" s="651"/>
    </row>
    <row r="6696" spans="12:19" ht="15.75" customHeight="1" x14ac:dyDescent="0.35">
      <c r="L6696" s="2"/>
      <c r="M6696" s="2"/>
      <c r="N6696" s="650"/>
      <c r="O6696" s="650"/>
      <c r="P6696" s="651"/>
      <c r="Q6696" s="651"/>
      <c r="R6696" s="651"/>
      <c r="S6696" s="651"/>
    </row>
    <row r="6697" spans="12:19" ht="15.75" customHeight="1" x14ac:dyDescent="0.35">
      <c r="L6697" s="2"/>
      <c r="M6697" s="2"/>
      <c r="N6697" s="650"/>
      <c r="O6697" s="650"/>
      <c r="P6697" s="651"/>
      <c r="Q6697" s="651"/>
      <c r="R6697" s="651"/>
      <c r="S6697" s="651"/>
    </row>
    <row r="6698" spans="12:19" ht="15.75" customHeight="1" x14ac:dyDescent="0.35">
      <c r="L6698" s="2"/>
      <c r="M6698" s="2"/>
      <c r="N6698" s="650"/>
      <c r="O6698" s="650"/>
      <c r="P6698" s="651"/>
      <c r="Q6698" s="651"/>
      <c r="R6698" s="651"/>
      <c r="S6698" s="651"/>
    </row>
    <row r="6699" spans="12:19" ht="15.75" customHeight="1" x14ac:dyDescent="0.35">
      <c r="L6699" s="2"/>
      <c r="M6699" s="2"/>
      <c r="N6699" s="650"/>
      <c r="O6699" s="650"/>
      <c r="P6699" s="651"/>
      <c r="Q6699" s="651"/>
      <c r="R6699" s="651"/>
      <c r="S6699" s="651"/>
    </row>
    <row r="6700" spans="12:19" ht="15.75" customHeight="1" x14ac:dyDescent="0.35">
      <c r="L6700" s="2"/>
      <c r="M6700" s="2"/>
      <c r="N6700" s="650"/>
      <c r="O6700" s="650"/>
      <c r="P6700" s="651"/>
      <c r="Q6700" s="651"/>
      <c r="R6700" s="651"/>
      <c r="S6700" s="651"/>
    </row>
    <row r="6701" spans="12:19" ht="15.75" customHeight="1" x14ac:dyDescent="0.35">
      <c r="L6701" s="2"/>
      <c r="M6701" s="2"/>
      <c r="N6701" s="650"/>
      <c r="O6701" s="650"/>
      <c r="P6701" s="651"/>
      <c r="Q6701" s="651"/>
      <c r="R6701" s="651"/>
      <c r="S6701" s="651"/>
    </row>
    <row r="6702" spans="12:19" ht="15.75" customHeight="1" x14ac:dyDescent="0.35">
      <c r="L6702" s="2"/>
      <c r="M6702" s="2"/>
      <c r="N6702" s="650"/>
      <c r="O6702" s="650"/>
      <c r="P6702" s="651"/>
      <c r="Q6702" s="651"/>
      <c r="R6702" s="651"/>
      <c r="S6702" s="651"/>
    </row>
    <row r="6703" spans="12:19" ht="15.75" customHeight="1" x14ac:dyDescent="0.35">
      <c r="L6703" s="2"/>
      <c r="M6703" s="2"/>
      <c r="N6703" s="650"/>
      <c r="O6703" s="650"/>
      <c r="P6703" s="651"/>
      <c r="Q6703" s="651"/>
      <c r="R6703" s="651"/>
      <c r="S6703" s="651"/>
    </row>
    <row r="6704" spans="12:19" ht="15.75" customHeight="1" x14ac:dyDescent="0.35">
      <c r="L6704" s="2"/>
      <c r="M6704" s="2"/>
      <c r="N6704" s="650"/>
      <c r="O6704" s="650"/>
      <c r="P6704" s="651"/>
      <c r="Q6704" s="651"/>
      <c r="R6704" s="651"/>
      <c r="S6704" s="651"/>
    </row>
    <row r="6705" spans="12:19" ht="15.75" customHeight="1" x14ac:dyDescent="0.35">
      <c r="L6705" s="2"/>
      <c r="M6705" s="2"/>
      <c r="N6705" s="650"/>
      <c r="O6705" s="650"/>
      <c r="P6705" s="651"/>
      <c r="Q6705" s="651"/>
      <c r="R6705" s="651"/>
      <c r="S6705" s="651"/>
    </row>
    <row r="6706" spans="12:19" ht="15.75" customHeight="1" x14ac:dyDescent="0.35">
      <c r="L6706" s="2"/>
      <c r="M6706" s="2"/>
      <c r="N6706" s="650"/>
      <c r="O6706" s="650"/>
      <c r="P6706" s="651"/>
      <c r="Q6706" s="651"/>
      <c r="R6706" s="651"/>
      <c r="S6706" s="651"/>
    </row>
    <row r="6707" spans="12:19" ht="15.75" customHeight="1" x14ac:dyDescent="0.35">
      <c r="L6707" s="2"/>
      <c r="M6707" s="2"/>
      <c r="N6707" s="650"/>
      <c r="O6707" s="650"/>
      <c r="P6707" s="651"/>
      <c r="Q6707" s="651"/>
      <c r="R6707" s="651"/>
      <c r="S6707" s="651"/>
    </row>
    <row r="6708" spans="12:19" ht="15.75" customHeight="1" x14ac:dyDescent="0.35">
      <c r="L6708" s="2"/>
      <c r="M6708" s="2"/>
      <c r="N6708" s="650"/>
      <c r="O6708" s="650"/>
      <c r="P6708" s="651"/>
      <c r="Q6708" s="651"/>
      <c r="R6708" s="651"/>
      <c r="S6708" s="651"/>
    </row>
    <row r="6709" spans="12:19" ht="15.75" customHeight="1" x14ac:dyDescent="0.35">
      <c r="L6709" s="2"/>
      <c r="M6709" s="2"/>
      <c r="N6709" s="650"/>
      <c r="O6709" s="650"/>
      <c r="P6709" s="651"/>
      <c r="Q6709" s="651"/>
      <c r="R6709" s="651"/>
      <c r="S6709" s="651"/>
    </row>
    <row r="6710" spans="12:19" ht="15.75" customHeight="1" x14ac:dyDescent="0.35">
      <c r="L6710" s="2"/>
      <c r="M6710" s="2"/>
      <c r="N6710" s="650"/>
      <c r="O6710" s="650"/>
      <c r="P6710" s="651"/>
      <c r="Q6710" s="651"/>
      <c r="R6710" s="651"/>
      <c r="S6710" s="651"/>
    </row>
    <row r="6711" spans="12:19" ht="15.75" customHeight="1" x14ac:dyDescent="0.35">
      <c r="L6711" s="2"/>
      <c r="M6711" s="2"/>
      <c r="N6711" s="650"/>
      <c r="O6711" s="650"/>
      <c r="P6711" s="651"/>
      <c r="Q6711" s="651"/>
      <c r="R6711" s="651"/>
      <c r="S6711" s="651"/>
    </row>
    <row r="6712" spans="12:19" ht="15.75" customHeight="1" x14ac:dyDescent="0.35">
      <c r="L6712" s="2"/>
      <c r="M6712" s="2"/>
      <c r="N6712" s="650"/>
      <c r="O6712" s="650"/>
      <c r="P6712" s="651"/>
      <c r="Q6712" s="651"/>
      <c r="R6712" s="651"/>
      <c r="S6712" s="651"/>
    </row>
    <row r="6713" spans="12:19" ht="15.75" customHeight="1" x14ac:dyDescent="0.35">
      <c r="L6713" s="2"/>
      <c r="M6713" s="2"/>
      <c r="N6713" s="650"/>
      <c r="O6713" s="650"/>
      <c r="P6713" s="651"/>
      <c r="Q6713" s="651"/>
      <c r="R6713" s="651"/>
      <c r="S6713" s="651"/>
    </row>
    <row r="6714" spans="12:19" ht="15.75" customHeight="1" x14ac:dyDescent="0.35">
      <c r="L6714" s="2"/>
      <c r="M6714" s="2"/>
      <c r="N6714" s="650"/>
      <c r="O6714" s="650"/>
      <c r="P6714" s="651"/>
      <c r="Q6714" s="651"/>
      <c r="R6714" s="651"/>
      <c r="S6714" s="651"/>
    </row>
    <row r="6715" spans="12:19" ht="15.75" customHeight="1" x14ac:dyDescent="0.35">
      <c r="L6715" s="2"/>
      <c r="M6715" s="2"/>
      <c r="N6715" s="650"/>
      <c r="O6715" s="650"/>
      <c r="P6715" s="651"/>
      <c r="Q6715" s="651"/>
      <c r="R6715" s="651"/>
      <c r="S6715" s="651"/>
    </row>
    <row r="6716" spans="12:19" ht="15.75" customHeight="1" x14ac:dyDescent="0.35">
      <c r="L6716" s="2"/>
      <c r="M6716" s="2"/>
      <c r="N6716" s="650"/>
      <c r="O6716" s="650"/>
      <c r="P6716" s="651"/>
      <c r="Q6716" s="651"/>
      <c r="R6716" s="651"/>
      <c r="S6716" s="651"/>
    </row>
    <row r="6717" spans="12:19" ht="15.75" customHeight="1" x14ac:dyDescent="0.35">
      <c r="L6717" s="2"/>
      <c r="M6717" s="2"/>
      <c r="N6717" s="650"/>
      <c r="O6717" s="650"/>
      <c r="P6717" s="651"/>
      <c r="Q6717" s="651"/>
      <c r="R6717" s="651"/>
      <c r="S6717" s="651"/>
    </row>
    <row r="6718" spans="12:19" ht="15.75" customHeight="1" x14ac:dyDescent="0.35">
      <c r="L6718" s="2"/>
      <c r="M6718" s="2"/>
      <c r="N6718" s="650"/>
      <c r="O6718" s="650"/>
      <c r="P6718" s="651"/>
      <c r="Q6718" s="651"/>
      <c r="R6718" s="651"/>
      <c r="S6718" s="651"/>
    </row>
    <row r="6719" spans="12:19" ht="15.75" customHeight="1" x14ac:dyDescent="0.35">
      <c r="L6719" s="2"/>
      <c r="M6719" s="2"/>
      <c r="N6719" s="650"/>
      <c r="O6719" s="650"/>
      <c r="P6719" s="651"/>
      <c r="Q6719" s="651"/>
      <c r="R6719" s="651"/>
      <c r="S6719" s="651"/>
    </row>
    <row r="6720" spans="12:19" ht="15.75" customHeight="1" x14ac:dyDescent="0.35">
      <c r="L6720" s="2"/>
      <c r="M6720" s="2"/>
      <c r="N6720" s="650"/>
      <c r="O6720" s="650"/>
      <c r="P6720" s="651"/>
      <c r="Q6720" s="651"/>
      <c r="R6720" s="651"/>
      <c r="S6720" s="651"/>
    </row>
    <row r="6721" spans="12:19" ht="15.75" customHeight="1" x14ac:dyDescent="0.35">
      <c r="L6721" s="2"/>
      <c r="M6721" s="2"/>
      <c r="N6721" s="650"/>
      <c r="O6721" s="650"/>
      <c r="P6721" s="651"/>
      <c r="Q6721" s="651"/>
      <c r="R6721" s="651"/>
      <c r="S6721" s="651"/>
    </row>
    <row r="6722" spans="12:19" ht="15.75" customHeight="1" x14ac:dyDescent="0.35">
      <c r="L6722" s="2"/>
      <c r="M6722" s="2"/>
      <c r="N6722" s="650"/>
      <c r="O6722" s="650"/>
      <c r="P6722" s="651"/>
      <c r="Q6722" s="651"/>
      <c r="R6722" s="651"/>
      <c r="S6722" s="651"/>
    </row>
    <row r="6723" spans="12:19" ht="15.75" customHeight="1" x14ac:dyDescent="0.35">
      <c r="L6723" s="2"/>
      <c r="M6723" s="2"/>
      <c r="N6723" s="650"/>
      <c r="O6723" s="650"/>
      <c r="P6723" s="651"/>
      <c r="Q6723" s="651"/>
      <c r="R6723" s="651"/>
      <c r="S6723" s="651"/>
    </row>
    <row r="6724" spans="12:19" ht="15.75" customHeight="1" x14ac:dyDescent="0.35">
      <c r="L6724" s="2"/>
      <c r="M6724" s="2"/>
      <c r="N6724" s="650"/>
      <c r="O6724" s="650"/>
      <c r="P6724" s="651"/>
      <c r="Q6724" s="651"/>
      <c r="R6724" s="651"/>
      <c r="S6724" s="651"/>
    </row>
    <row r="6725" spans="12:19" ht="15.75" customHeight="1" x14ac:dyDescent="0.35">
      <c r="L6725" s="2"/>
      <c r="M6725" s="2"/>
      <c r="N6725" s="650"/>
      <c r="O6725" s="650"/>
      <c r="P6725" s="651"/>
      <c r="Q6725" s="651"/>
      <c r="R6725" s="651"/>
      <c r="S6725" s="651"/>
    </row>
    <row r="6726" spans="12:19" ht="15.75" customHeight="1" x14ac:dyDescent="0.35">
      <c r="L6726" s="2"/>
      <c r="M6726" s="2"/>
      <c r="N6726" s="650"/>
      <c r="O6726" s="650"/>
      <c r="P6726" s="651"/>
      <c r="Q6726" s="651"/>
      <c r="R6726" s="651"/>
      <c r="S6726" s="651"/>
    </row>
    <row r="6727" spans="12:19" ht="15.75" customHeight="1" x14ac:dyDescent="0.35">
      <c r="L6727" s="2"/>
      <c r="M6727" s="2"/>
      <c r="N6727" s="650"/>
      <c r="O6727" s="650"/>
      <c r="P6727" s="651"/>
      <c r="Q6727" s="651"/>
      <c r="R6727" s="651"/>
      <c r="S6727" s="651"/>
    </row>
    <row r="6728" spans="12:19" ht="15.75" customHeight="1" x14ac:dyDescent="0.35">
      <c r="L6728" s="2"/>
      <c r="M6728" s="2"/>
      <c r="N6728" s="650"/>
      <c r="O6728" s="650"/>
      <c r="P6728" s="651"/>
      <c r="Q6728" s="651"/>
      <c r="R6728" s="651"/>
      <c r="S6728" s="651"/>
    </row>
    <row r="6729" spans="12:19" ht="15.75" customHeight="1" x14ac:dyDescent="0.35">
      <c r="L6729" s="2"/>
      <c r="M6729" s="2"/>
      <c r="N6729" s="650"/>
      <c r="O6729" s="650"/>
      <c r="P6729" s="651"/>
      <c r="Q6729" s="651"/>
      <c r="R6729" s="651"/>
      <c r="S6729" s="651"/>
    </row>
    <row r="6730" spans="12:19" ht="15.75" customHeight="1" x14ac:dyDescent="0.35">
      <c r="L6730" s="2"/>
      <c r="M6730" s="2"/>
      <c r="N6730" s="650"/>
      <c r="O6730" s="650"/>
      <c r="P6730" s="651"/>
      <c r="Q6730" s="651"/>
      <c r="R6730" s="651"/>
      <c r="S6730" s="651"/>
    </row>
    <row r="6731" spans="12:19" ht="15.75" customHeight="1" x14ac:dyDescent="0.35">
      <c r="L6731" s="2"/>
      <c r="M6731" s="2"/>
      <c r="N6731" s="650"/>
      <c r="O6731" s="650"/>
      <c r="P6731" s="651"/>
      <c r="Q6731" s="651"/>
      <c r="R6731" s="651"/>
      <c r="S6731" s="651"/>
    </row>
    <row r="6732" spans="12:19" ht="15.75" customHeight="1" x14ac:dyDescent="0.35">
      <c r="L6732" s="2"/>
      <c r="M6732" s="2"/>
      <c r="N6732" s="650"/>
      <c r="O6732" s="650"/>
      <c r="P6732" s="651"/>
      <c r="Q6732" s="651"/>
      <c r="R6732" s="651"/>
      <c r="S6732" s="651"/>
    </row>
    <row r="6733" spans="12:19" ht="15.75" customHeight="1" x14ac:dyDescent="0.35">
      <c r="L6733" s="2"/>
      <c r="M6733" s="2"/>
      <c r="N6733" s="650"/>
      <c r="O6733" s="650"/>
      <c r="P6733" s="651"/>
      <c r="Q6733" s="651"/>
      <c r="R6733" s="651"/>
      <c r="S6733" s="651"/>
    </row>
    <row r="6734" spans="12:19" ht="15.75" customHeight="1" x14ac:dyDescent="0.35">
      <c r="L6734" s="2"/>
      <c r="M6734" s="2"/>
      <c r="N6734" s="650"/>
      <c r="O6734" s="650"/>
      <c r="P6734" s="651"/>
      <c r="Q6734" s="651"/>
      <c r="R6734" s="651"/>
      <c r="S6734" s="651"/>
    </row>
    <row r="6735" spans="12:19" ht="15.75" customHeight="1" x14ac:dyDescent="0.35">
      <c r="L6735" s="2"/>
      <c r="M6735" s="2"/>
      <c r="N6735" s="650"/>
      <c r="O6735" s="650"/>
      <c r="P6735" s="651"/>
      <c r="Q6735" s="651"/>
      <c r="R6735" s="651"/>
      <c r="S6735" s="651"/>
    </row>
    <row r="6736" spans="12:19" ht="15.75" customHeight="1" x14ac:dyDescent="0.35">
      <c r="L6736" s="2"/>
      <c r="M6736" s="2"/>
      <c r="N6736" s="650"/>
      <c r="O6736" s="650"/>
      <c r="P6736" s="651"/>
      <c r="Q6736" s="651"/>
      <c r="R6736" s="651"/>
      <c r="S6736" s="651"/>
    </row>
    <row r="6737" spans="12:19" ht="15.75" customHeight="1" x14ac:dyDescent="0.35">
      <c r="L6737" s="2"/>
      <c r="M6737" s="2"/>
      <c r="N6737" s="650"/>
      <c r="O6737" s="650"/>
      <c r="P6737" s="651"/>
      <c r="Q6737" s="651"/>
      <c r="R6737" s="651"/>
      <c r="S6737" s="651"/>
    </row>
    <row r="6738" spans="12:19" ht="15.75" customHeight="1" x14ac:dyDescent="0.35">
      <c r="L6738" s="2"/>
      <c r="M6738" s="2"/>
      <c r="N6738" s="650"/>
      <c r="O6738" s="650"/>
      <c r="P6738" s="651"/>
      <c r="Q6738" s="651"/>
      <c r="R6738" s="651"/>
      <c r="S6738" s="651"/>
    </row>
    <row r="6739" spans="12:19" ht="15.75" customHeight="1" x14ac:dyDescent="0.35">
      <c r="L6739" s="2"/>
      <c r="M6739" s="2"/>
      <c r="N6739" s="650"/>
      <c r="O6739" s="650"/>
      <c r="P6739" s="651"/>
      <c r="Q6739" s="651"/>
      <c r="R6739" s="651"/>
      <c r="S6739" s="651"/>
    </row>
    <row r="6740" spans="12:19" ht="15.75" customHeight="1" x14ac:dyDescent="0.35">
      <c r="L6740" s="2"/>
      <c r="M6740" s="2"/>
      <c r="N6740" s="650"/>
      <c r="O6740" s="650"/>
      <c r="P6740" s="651"/>
      <c r="Q6740" s="651"/>
      <c r="R6740" s="651"/>
      <c r="S6740" s="651"/>
    </row>
    <row r="6741" spans="12:19" ht="15.75" customHeight="1" x14ac:dyDescent="0.35">
      <c r="L6741" s="2"/>
      <c r="M6741" s="2"/>
      <c r="N6741" s="650"/>
      <c r="O6741" s="650"/>
      <c r="P6741" s="651"/>
      <c r="Q6741" s="651"/>
      <c r="R6741" s="651"/>
      <c r="S6741" s="651"/>
    </row>
    <row r="6742" spans="12:19" ht="15.75" customHeight="1" x14ac:dyDescent="0.35">
      <c r="L6742" s="2"/>
      <c r="M6742" s="2"/>
      <c r="N6742" s="650"/>
      <c r="O6742" s="650"/>
      <c r="P6742" s="651"/>
      <c r="Q6742" s="651"/>
      <c r="R6742" s="651"/>
      <c r="S6742" s="651"/>
    </row>
    <row r="6743" spans="12:19" ht="15.75" customHeight="1" x14ac:dyDescent="0.35">
      <c r="L6743" s="2"/>
      <c r="M6743" s="2"/>
      <c r="N6743" s="650"/>
      <c r="O6743" s="650"/>
      <c r="P6743" s="651"/>
      <c r="Q6743" s="651"/>
      <c r="R6743" s="651"/>
      <c r="S6743" s="651"/>
    </row>
    <row r="6744" spans="12:19" ht="15.75" customHeight="1" x14ac:dyDescent="0.35">
      <c r="L6744" s="2"/>
      <c r="M6744" s="2"/>
      <c r="N6744" s="650"/>
      <c r="O6744" s="650"/>
      <c r="P6744" s="651"/>
      <c r="Q6744" s="651"/>
      <c r="R6744" s="651"/>
      <c r="S6744" s="651"/>
    </row>
    <row r="6745" spans="12:19" ht="15.75" customHeight="1" x14ac:dyDescent="0.35">
      <c r="L6745" s="2"/>
      <c r="M6745" s="2"/>
      <c r="N6745" s="650"/>
      <c r="O6745" s="650"/>
      <c r="P6745" s="651"/>
      <c r="Q6745" s="651"/>
      <c r="R6745" s="651"/>
      <c r="S6745" s="651"/>
    </row>
    <row r="6746" spans="12:19" ht="15.75" customHeight="1" x14ac:dyDescent="0.35">
      <c r="L6746" s="2"/>
      <c r="M6746" s="2"/>
      <c r="N6746" s="650"/>
      <c r="O6746" s="650"/>
      <c r="P6746" s="651"/>
      <c r="Q6746" s="651"/>
      <c r="R6746" s="651"/>
      <c r="S6746" s="651"/>
    </row>
    <row r="6747" spans="12:19" ht="15.75" customHeight="1" x14ac:dyDescent="0.35">
      <c r="L6747" s="2"/>
      <c r="M6747" s="2"/>
      <c r="N6747" s="650"/>
      <c r="O6747" s="650"/>
      <c r="P6747" s="651"/>
      <c r="Q6747" s="651"/>
      <c r="R6747" s="651"/>
      <c r="S6747" s="651"/>
    </row>
    <row r="6748" spans="12:19" ht="15.75" customHeight="1" x14ac:dyDescent="0.35">
      <c r="L6748" s="2"/>
      <c r="M6748" s="2"/>
      <c r="N6748" s="650"/>
      <c r="O6748" s="650"/>
      <c r="P6748" s="651"/>
      <c r="Q6748" s="651"/>
      <c r="R6748" s="651"/>
      <c r="S6748" s="651"/>
    </row>
    <row r="6749" spans="12:19" ht="15.75" customHeight="1" x14ac:dyDescent="0.35">
      <c r="L6749" s="2"/>
      <c r="M6749" s="2"/>
      <c r="N6749" s="650"/>
      <c r="O6749" s="650"/>
      <c r="P6749" s="651"/>
      <c r="Q6749" s="651"/>
      <c r="R6749" s="651"/>
      <c r="S6749" s="651"/>
    </row>
    <row r="6750" spans="12:19" ht="15.75" customHeight="1" x14ac:dyDescent="0.35">
      <c r="L6750" s="2"/>
      <c r="M6750" s="2"/>
      <c r="N6750" s="650"/>
      <c r="O6750" s="650"/>
      <c r="P6750" s="651"/>
      <c r="Q6750" s="651"/>
      <c r="R6750" s="651"/>
      <c r="S6750" s="651"/>
    </row>
    <row r="6751" spans="12:19" ht="15.75" customHeight="1" x14ac:dyDescent="0.35">
      <c r="L6751" s="2"/>
      <c r="M6751" s="2"/>
      <c r="N6751" s="650"/>
      <c r="O6751" s="650"/>
      <c r="P6751" s="651"/>
      <c r="Q6751" s="651"/>
      <c r="R6751" s="651"/>
      <c r="S6751" s="651"/>
    </row>
    <row r="6752" spans="12:19" ht="15.75" customHeight="1" x14ac:dyDescent="0.35">
      <c r="L6752" s="2"/>
      <c r="M6752" s="2"/>
      <c r="N6752" s="650"/>
      <c r="O6752" s="650"/>
      <c r="P6752" s="651"/>
      <c r="Q6752" s="651"/>
      <c r="R6752" s="651"/>
      <c r="S6752" s="651"/>
    </row>
    <row r="6753" spans="12:19" ht="15.75" customHeight="1" x14ac:dyDescent="0.35">
      <c r="L6753" s="2"/>
      <c r="M6753" s="2"/>
      <c r="N6753" s="650"/>
      <c r="O6753" s="650"/>
      <c r="P6753" s="651"/>
      <c r="Q6753" s="651"/>
      <c r="R6753" s="651"/>
      <c r="S6753" s="651"/>
    </row>
    <row r="6754" spans="12:19" ht="15.75" customHeight="1" x14ac:dyDescent="0.35">
      <c r="L6754" s="2"/>
      <c r="M6754" s="2"/>
      <c r="N6754" s="650"/>
      <c r="O6754" s="650"/>
      <c r="P6754" s="651"/>
      <c r="Q6754" s="651"/>
      <c r="R6754" s="651"/>
      <c r="S6754" s="651"/>
    </row>
    <row r="6755" spans="12:19" ht="15.75" customHeight="1" x14ac:dyDescent="0.35">
      <c r="L6755" s="2"/>
      <c r="M6755" s="2"/>
      <c r="N6755" s="650"/>
      <c r="O6755" s="650"/>
      <c r="P6755" s="651"/>
      <c r="Q6755" s="651"/>
      <c r="R6755" s="651"/>
      <c r="S6755" s="651"/>
    </row>
    <row r="6756" spans="12:19" ht="15.75" customHeight="1" x14ac:dyDescent="0.35">
      <c r="L6756" s="2"/>
      <c r="M6756" s="2"/>
      <c r="N6756" s="650"/>
      <c r="O6756" s="650"/>
      <c r="P6756" s="651"/>
      <c r="Q6756" s="651"/>
      <c r="R6756" s="651"/>
      <c r="S6756" s="651"/>
    </row>
    <row r="6757" spans="12:19" ht="15.75" customHeight="1" x14ac:dyDescent="0.35">
      <c r="L6757" s="2"/>
      <c r="M6757" s="2"/>
      <c r="N6757" s="650"/>
      <c r="O6757" s="650"/>
      <c r="P6757" s="651"/>
      <c r="Q6757" s="651"/>
      <c r="R6757" s="651"/>
      <c r="S6757" s="651"/>
    </row>
    <row r="6758" spans="12:19" ht="15.75" customHeight="1" x14ac:dyDescent="0.35">
      <c r="L6758" s="2"/>
      <c r="M6758" s="2"/>
      <c r="N6758" s="650"/>
      <c r="O6758" s="650"/>
      <c r="P6758" s="651"/>
      <c r="Q6758" s="651"/>
      <c r="R6758" s="651"/>
      <c r="S6758" s="651"/>
    </row>
    <row r="6759" spans="12:19" ht="15.75" customHeight="1" x14ac:dyDescent="0.35">
      <c r="L6759" s="2"/>
      <c r="M6759" s="2"/>
      <c r="N6759" s="650"/>
      <c r="O6759" s="650"/>
      <c r="P6759" s="651"/>
      <c r="Q6759" s="651"/>
      <c r="R6759" s="651"/>
      <c r="S6759" s="651"/>
    </row>
    <row r="6760" spans="12:19" ht="15.75" customHeight="1" x14ac:dyDescent="0.35">
      <c r="L6760" s="2"/>
      <c r="M6760" s="2"/>
      <c r="N6760" s="650"/>
      <c r="O6760" s="650"/>
      <c r="P6760" s="651"/>
      <c r="Q6760" s="651"/>
      <c r="R6760" s="651"/>
      <c r="S6760" s="651"/>
    </row>
    <row r="6761" spans="12:19" ht="15.75" customHeight="1" x14ac:dyDescent="0.35">
      <c r="L6761" s="2"/>
      <c r="M6761" s="2"/>
      <c r="N6761" s="650"/>
      <c r="O6761" s="650"/>
      <c r="P6761" s="651"/>
      <c r="Q6761" s="651"/>
      <c r="R6761" s="651"/>
      <c r="S6761" s="651"/>
    </row>
    <row r="6762" spans="12:19" ht="15.75" customHeight="1" x14ac:dyDescent="0.35">
      <c r="L6762" s="2"/>
      <c r="M6762" s="2"/>
      <c r="N6762" s="650"/>
      <c r="O6762" s="650"/>
      <c r="P6762" s="651"/>
      <c r="Q6762" s="651"/>
      <c r="R6762" s="651"/>
      <c r="S6762" s="651"/>
    </row>
    <row r="6763" spans="12:19" ht="15.75" customHeight="1" x14ac:dyDescent="0.35">
      <c r="L6763" s="2"/>
      <c r="M6763" s="2"/>
      <c r="N6763" s="650"/>
      <c r="O6763" s="650"/>
      <c r="P6763" s="651"/>
      <c r="Q6763" s="651"/>
      <c r="R6763" s="651"/>
      <c r="S6763" s="651"/>
    </row>
    <row r="6764" spans="12:19" ht="15.75" customHeight="1" x14ac:dyDescent="0.35">
      <c r="L6764" s="2"/>
      <c r="M6764" s="2"/>
      <c r="N6764" s="650"/>
      <c r="O6764" s="650"/>
      <c r="P6764" s="651"/>
      <c r="Q6764" s="651"/>
      <c r="R6764" s="651"/>
      <c r="S6764" s="651"/>
    </row>
    <row r="6765" spans="12:19" ht="15.75" customHeight="1" x14ac:dyDescent="0.35">
      <c r="L6765" s="2"/>
      <c r="M6765" s="2"/>
      <c r="N6765" s="650"/>
      <c r="O6765" s="650"/>
      <c r="P6765" s="651"/>
      <c r="Q6765" s="651"/>
      <c r="R6765" s="651"/>
      <c r="S6765" s="651"/>
    </row>
    <row r="6766" spans="12:19" ht="15.75" customHeight="1" x14ac:dyDescent="0.35">
      <c r="L6766" s="2"/>
      <c r="M6766" s="2"/>
      <c r="N6766" s="650"/>
      <c r="O6766" s="650"/>
      <c r="P6766" s="651"/>
      <c r="Q6766" s="651"/>
      <c r="R6766" s="651"/>
      <c r="S6766" s="651"/>
    </row>
    <row r="6767" spans="12:19" ht="15.75" customHeight="1" x14ac:dyDescent="0.35">
      <c r="L6767" s="2"/>
      <c r="M6767" s="2"/>
      <c r="N6767" s="650"/>
      <c r="O6767" s="650"/>
      <c r="P6767" s="651"/>
      <c r="Q6767" s="651"/>
      <c r="R6767" s="651"/>
      <c r="S6767" s="651"/>
    </row>
    <row r="6768" spans="12:19" ht="15.75" customHeight="1" x14ac:dyDescent="0.35">
      <c r="L6768" s="2"/>
      <c r="M6768" s="2"/>
      <c r="N6768" s="650"/>
      <c r="O6768" s="650"/>
      <c r="P6768" s="651"/>
      <c r="Q6768" s="651"/>
      <c r="R6768" s="651"/>
      <c r="S6768" s="651"/>
    </row>
    <row r="6769" spans="12:19" ht="15.75" customHeight="1" x14ac:dyDescent="0.35">
      <c r="L6769" s="2"/>
      <c r="M6769" s="2"/>
      <c r="N6769" s="650"/>
      <c r="O6769" s="650"/>
      <c r="P6769" s="651"/>
      <c r="Q6769" s="651"/>
      <c r="R6769" s="651"/>
      <c r="S6769" s="651"/>
    </row>
    <row r="6770" spans="12:19" ht="15.75" customHeight="1" x14ac:dyDescent="0.35">
      <c r="L6770" s="2"/>
      <c r="M6770" s="2"/>
      <c r="N6770" s="650"/>
      <c r="O6770" s="650"/>
      <c r="P6770" s="651"/>
      <c r="Q6770" s="651"/>
      <c r="R6770" s="651"/>
      <c r="S6770" s="651"/>
    </row>
    <row r="6771" spans="12:19" ht="15.75" customHeight="1" x14ac:dyDescent="0.35">
      <c r="L6771" s="2"/>
      <c r="M6771" s="2"/>
      <c r="N6771" s="650"/>
      <c r="O6771" s="650"/>
      <c r="P6771" s="651"/>
      <c r="Q6771" s="651"/>
      <c r="R6771" s="651"/>
      <c r="S6771" s="651"/>
    </row>
    <row r="6772" spans="12:19" ht="15.75" customHeight="1" x14ac:dyDescent="0.35">
      <c r="L6772" s="2"/>
      <c r="M6772" s="2"/>
      <c r="N6772" s="650"/>
      <c r="O6772" s="650"/>
      <c r="P6772" s="651"/>
      <c r="Q6772" s="651"/>
      <c r="R6772" s="651"/>
      <c r="S6772" s="651"/>
    </row>
    <row r="6773" spans="12:19" ht="15.75" customHeight="1" x14ac:dyDescent="0.35">
      <c r="L6773" s="2"/>
      <c r="M6773" s="2"/>
      <c r="N6773" s="650"/>
      <c r="O6773" s="650"/>
      <c r="P6773" s="651"/>
      <c r="Q6773" s="651"/>
      <c r="R6773" s="651"/>
      <c r="S6773" s="651"/>
    </row>
    <row r="6774" spans="12:19" ht="15.75" customHeight="1" x14ac:dyDescent="0.35">
      <c r="L6774" s="2"/>
      <c r="M6774" s="2"/>
      <c r="N6774" s="650"/>
      <c r="O6774" s="650"/>
      <c r="P6774" s="651"/>
      <c r="Q6774" s="651"/>
      <c r="R6774" s="651"/>
      <c r="S6774" s="651"/>
    </row>
    <row r="6775" spans="12:19" ht="15.75" customHeight="1" x14ac:dyDescent="0.35">
      <c r="L6775" s="2"/>
      <c r="M6775" s="2"/>
      <c r="N6775" s="650"/>
      <c r="O6775" s="650"/>
      <c r="P6775" s="651"/>
      <c r="Q6775" s="651"/>
      <c r="R6775" s="651"/>
      <c r="S6775" s="651"/>
    </row>
    <row r="6776" spans="12:19" ht="15.75" customHeight="1" x14ac:dyDescent="0.35">
      <c r="L6776" s="2"/>
      <c r="M6776" s="2"/>
      <c r="N6776" s="650"/>
      <c r="O6776" s="650"/>
      <c r="P6776" s="651"/>
      <c r="Q6776" s="651"/>
      <c r="R6776" s="651"/>
      <c r="S6776" s="651"/>
    </row>
    <row r="6777" spans="12:19" ht="15.75" customHeight="1" x14ac:dyDescent="0.35">
      <c r="L6777" s="2"/>
      <c r="M6777" s="2"/>
      <c r="N6777" s="650"/>
      <c r="O6777" s="650"/>
      <c r="P6777" s="651"/>
      <c r="Q6777" s="651"/>
      <c r="R6777" s="651"/>
      <c r="S6777" s="651"/>
    </row>
    <row r="6778" spans="12:19" ht="15.75" customHeight="1" x14ac:dyDescent="0.35">
      <c r="L6778" s="2"/>
      <c r="M6778" s="2"/>
      <c r="N6778" s="650"/>
      <c r="O6778" s="650"/>
      <c r="P6778" s="651"/>
      <c r="Q6778" s="651"/>
      <c r="R6778" s="651"/>
      <c r="S6778" s="651"/>
    </row>
    <row r="6779" spans="12:19" ht="15.75" customHeight="1" x14ac:dyDescent="0.35">
      <c r="L6779" s="2"/>
      <c r="M6779" s="2"/>
      <c r="N6779" s="650"/>
      <c r="O6779" s="650"/>
      <c r="P6779" s="651"/>
      <c r="Q6779" s="651"/>
      <c r="R6779" s="651"/>
      <c r="S6779" s="651"/>
    </row>
    <row r="6780" spans="12:19" ht="15.75" customHeight="1" x14ac:dyDescent="0.35">
      <c r="L6780" s="2"/>
      <c r="M6780" s="2"/>
      <c r="N6780" s="650"/>
      <c r="O6780" s="650"/>
      <c r="P6780" s="651"/>
      <c r="Q6780" s="651"/>
      <c r="R6780" s="651"/>
      <c r="S6780" s="651"/>
    </row>
    <row r="6781" spans="12:19" ht="15.75" customHeight="1" x14ac:dyDescent="0.35">
      <c r="L6781" s="2"/>
      <c r="M6781" s="2"/>
      <c r="N6781" s="650"/>
      <c r="O6781" s="650"/>
      <c r="P6781" s="651"/>
      <c r="Q6781" s="651"/>
      <c r="R6781" s="651"/>
      <c r="S6781" s="651"/>
    </row>
    <row r="6782" spans="12:19" ht="15.75" customHeight="1" x14ac:dyDescent="0.35">
      <c r="L6782" s="2"/>
      <c r="M6782" s="2"/>
      <c r="N6782" s="650"/>
      <c r="O6782" s="650"/>
      <c r="P6782" s="651"/>
      <c r="Q6782" s="651"/>
      <c r="R6782" s="651"/>
      <c r="S6782" s="651"/>
    </row>
    <row r="6783" spans="12:19" ht="15.75" customHeight="1" x14ac:dyDescent="0.35">
      <c r="L6783" s="2"/>
      <c r="M6783" s="2"/>
      <c r="N6783" s="650"/>
      <c r="O6783" s="650"/>
      <c r="P6783" s="651"/>
      <c r="Q6783" s="651"/>
      <c r="R6783" s="651"/>
      <c r="S6783" s="651"/>
    </row>
    <row r="6784" spans="12:19" ht="15.75" customHeight="1" x14ac:dyDescent="0.35">
      <c r="L6784" s="2"/>
      <c r="M6784" s="2"/>
      <c r="N6784" s="650"/>
      <c r="O6784" s="650"/>
      <c r="P6784" s="651"/>
      <c r="Q6784" s="651"/>
      <c r="R6784" s="651"/>
      <c r="S6784" s="651"/>
    </row>
    <row r="6785" spans="12:19" ht="15.75" customHeight="1" x14ac:dyDescent="0.35">
      <c r="L6785" s="2"/>
      <c r="M6785" s="2"/>
      <c r="N6785" s="650"/>
      <c r="O6785" s="650"/>
      <c r="P6785" s="651"/>
      <c r="Q6785" s="651"/>
      <c r="R6785" s="651"/>
      <c r="S6785" s="651"/>
    </row>
    <row r="6786" spans="12:19" ht="15.75" customHeight="1" x14ac:dyDescent="0.35">
      <c r="L6786" s="2"/>
      <c r="M6786" s="2"/>
      <c r="N6786" s="650"/>
      <c r="O6786" s="650"/>
      <c r="P6786" s="651"/>
      <c r="Q6786" s="651"/>
      <c r="R6786" s="651"/>
      <c r="S6786" s="651"/>
    </row>
    <row r="6787" spans="12:19" ht="15.75" customHeight="1" x14ac:dyDescent="0.35">
      <c r="L6787" s="2"/>
      <c r="M6787" s="2"/>
      <c r="N6787" s="650"/>
      <c r="O6787" s="650"/>
      <c r="P6787" s="651"/>
      <c r="Q6787" s="651"/>
      <c r="R6787" s="651"/>
      <c r="S6787" s="651"/>
    </row>
    <row r="6788" spans="12:19" ht="15.75" customHeight="1" x14ac:dyDescent="0.35">
      <c r="L6788" s="2"/>
      <c r="M6788" s="2"/>
      <c r="N6788" s="650"/>
      <c r="O6788" s="650"/>
      <c r="P6788" s="651"/>
      <c r="Q6788" s="651"/>
      <c r="R6788" s="651"/>
      <c r="S6788" s="651"/>
    </row>
    <row r="6789" spans="12:19" ht="15.75" customHeight="1" x14ac:dyDescent="0.35">
      <c r="L6789" s="2"/>
      <c r="M6789" s="2"/>
      <c r="N6789" s="650"/>
      <c r="O6789" s="650"/>
      <c r="P6789" s="651"/>
      <c r="Q6789" s="651"/>
      <c r="R6789" s="651"/>
      <c r="S6789" s="651"/>
    </row>
    <row r="6790" spans="12:19" ht="15.75" customHeight="1" x14ac:dyDescent="0.35">
      <c r="L6790" s="2"/>
      <c r="M6790" s="2"/>
      <c r="N6790" s="650"/>
      <c r="O6790" s="650"/>
      <c r="P6790" s="651"/>
      <c r="Q6790" s="651"/>
      <c r="R6790" s="651"/>
      <c r="S6790" s="651"/>
    </row>
    <row r="6791" spans="12:19" ht="15.75" customHeight="1" x14ac:dyDescent="0.35">
      <c r="L6791" s="2"/>
      <c r="M6791" s="2"/>
      <c r="N6791" s="650"/>
      <c r="O6791" s="650"/>
      <c r="P6791" s="651"/>
      <c r="Q6791" s="651"/>
      <c r="R6791" s="651"/>
      <c r="S6791" s="651"/>
    </row>
    <row r="6792" spans="12:19" ht="15.75" customHeight="1" x14ac:dyDescent="0.35">
      <c r="L6792" s="2"/>
      <c r="M6792" s="2"/>
      <c r="N6792" s="650"/>
      <c r="O6792" s="650"/>
      <c r="P6792" s="651"/>
      <c r="Q6792" s="651"/>
      <c r="R6792" s="651"/>
      <c r="S6792" s="651"/>
    </row>
    <row r="6793" spans="12:19" ht="15.75" customHeight="1" x14ac:dyDescent="0.35">
      <c r="L6793" s="2"/>
      <c r="M6793" s="2"/>
      <c r="N6793" s="650"/>
      <c r="O6793" s="650"/>
      <c r="P6793" s="651"/>
      <c r="Q6793" s="651"/>
      <c r="R6793" s="651"/>
      <c r="S6793" s="651"/>
    </row>
    <row r="6794" spans="12:19" ht="15.75" customHeight="1" x14ac:dyDescent="0.35">
      <c r="L6794" s="2"/>
      <c r="M6794" s="2"/>
      <c r="N6794" s="650"/>
      <c r="O6794" s="650"/>
      <c r="P6794" s="651"/>
      <c r="Q6794" s="651"/>
      <c r="R6794" s="651"/>
      <c r="S6794" s="651"/>
    </row>
    <row r="6795" spans="12:19" ht="15.75" customHeight="1" x14ac:dyDescent="0.35">
      <c r="L6795" s="2"/>
      <c r="M6795" s="2"/>
      <c r="N6795" s="650"/>
      <c r="O6795" s="650"/>
      <c r="P6795" s="651"/>
      <c r="Q6795" s="651"/>
      <c r="R6795" s="651"/>
      <c r="S6795" s="651"/>
    </row>
    <row r="6796" spans="12:19" ht="15.75" customHeight="1" x14ac:dyDescent="0.35">
      <c r="L6796" s="2"/>
      <c r="M6796" s="2"/>
      <c r="N6796" s="650"/>
      <c r="O6796" s="650"/>
      <c r="P6796" s="651"/>
      <c r="Q6796" s="651"/>
      <c r="R6796" s="651"/>
      <c r="S6796" s="651"/>
    </row>
    <row r="6797" spans="12:19" ht="15.75" customHeight="1" x14ac:dyDescent="0.35">
      <c r="L6797" s="2"/>
      <c r="M6797" s="2"/>
      <c r="N6797" s="650"/>
      <c r="O6797" s="650"/>
      <c r="P6797" s="651"/>
      <c r="Q6797" s="651"/>
      <c r="R6797" s="651"/>
      <c r="S6797" s="651"/>
    </row>
    <row r="6798" spans="12:19" ht="15.75" customHeight="1" x14ac:dyDescent="0.35">
      <c r="L6798" s="2"/>
      <c r="M6798" s="2"/>
      <c r="N6798" s="650"/>
      <c r="O6798" s="650"/>
      <c r="P6798" s="651"/>
      <c r="Q6798" s="651"/>
      <c r="R6798" s="651"/>
      <c r="S6798" s="651"/>
    </row>
    <row r="6799" spans="12:19" ht="15.75" customHeight="1" x14ac:dyDescent="0.35">
      <c r="L6799" s="2"/>
      <c r="M6799" s="2"/>
      <c r="N6799" s="650"/>
      <c r="O6799" s="650"/>
      <c r="P6799" s="651"/>
      <c r="Q6799" s="651"/>
      <c r="R6799" s="651"/>
      <c r="S6799" s="651"/>
    </row>
    <row r="6800" spans="12:19" ht="15.75" customHeight="1" x14ac:dyDescent="0.35">
      <c r="L6800" s="2"/>
      <c r="M6800" s="2"/>
      <c r="N6800" s="650"/>
      <c r="O6800" s="650"/>
      <c r="P6800" s="651"/>
      <c r="Q6800" s="651"/>
      <c r="R6800" s="651"/>
      <c r="S6800" s="651"/>
    </row>
    <row r="6801" spans="12:19" ht="15.75" customHeight="1" x14ac:dyDescent="0.35">
      <c r="L6801" s="2"/>
      <c r="M6801" s="2"/>
      <c r="N6801" s="650"/>
      <c r="O6801" s="650"/>
      <c r="P6801" s="651"/>
      <c r="Q6801" s="651"/>
      <c r="R6801" s="651"/>
      <c r="S6801" s="651"/>
    </row>
    <row r="6802" spans="12:19" ht="15.75" customHeight="1" x14ac:dyDescent="0.35">
      <c r="L6802" s="2"/>
      <c r="M6802" s="2"/>
      <c r="N6802" s="650"/>
      <c r="O6802" s="650"/>
      <c r="P6802" s="651"/>
      <c r="Q6802" s="651"/>
      <c r="R6802" s="651"/>
      <c r="S6802" s="651"/>
    </row>
    <row r="6803" spans="12:19" ht="15.75" customHeight="1" x14ac:dyDescent="0.35">
      <c r="L6803" s="2"/>
      <c r="M6803" s="2"/>
      <c r="N6803" s="650"/>
      <c r="O6803" s="650"/>
      <c r="P6803" s="651"/>
      <c r="Q6803" s="651"/>
      <c r="R6803" s="651"/>
      <c r="S6803" s="651"/>
    </row>
    <row r="6804" spans="12:19" ht="15.75" customHeight="1" x14ac:dyDescent="0.35">
      <c r="L6804" s="2"/>
      <c r="M6804" s="2"/>
      <c r="N6804" s="650"/>
      <c r="O6804" s="650"/>
      <c r="P6804" s="651"/>
      <c r="Q6804" s="651"/>
      <c r="R6804" s="651"/>
      <c r="S6804" s="651"/>
    </row>
    <row r="6805" spans="12:19" ht="15.75" customHeight="1" x14ac:dyDescent="0.35">
      <c r="L6805" s="2"/>
      <c r="M6805" s="2"/>
      <c r="N6805" s="650"/>
      <c r="O6805" s="650"/>
      <c r="P6805" s="651"/>
      <c r="Q6805" s="651"/>
      <c r="R6805" s="651"/>
      <c r="S6805" s="651"/>
    </row>
    <row r="6806" spans="12:19" ht="15.75" customHeight="1" x14ac:dyDescent="0.35">
      <c r="L6806" s="2"/>
      <c r="M6806" s="2"/>
      <c r="N6806" s="650"/>
      <c r="O6806" s="650"/>
      <c r="P6806" s="651"/>
      <c r="Q6806" s="651"/>
      <c r="R6806" s="651"/>
      <c r="S6806" s="651"/>
    </row>
    <row r="6807" spans="12:19" ht="15.75" customHeight="1" x14ac:dyDescent="0.35">
      <c r="L6807" s="2"/>
      <c r="M6807" s="2"/>
      <c r="N6807" s="650"/>
      <c r="O6807" s="650"/>
      <c r="P6807" s="651"/>
      <c r="Q6807" s="651"/>
      <c r="R6807" s="651"/>
      <c r="S6807" s="651"/>
    </row>
    <row r="6808" spans="12:19" ht="15.75" customHeight="1" x14ac:dyDescent="0.35">
      <c r="L6808" s="2"/>
      <c r="M6808" s="2"/>
      <c r="N6808" s="650"/>
      <c r="O6808" s="650"/>
      <c r="P6808" s="651"/>
      <c r="Q6808" s="651"/>
      <c r="R6808" s="651"/>
      <c r="S6808" s="651"/>
    </row>
    <row r="6809" spans="12:19" ht="15.75" customHeight="1" x14ac:dyDescent="0.35">
      <c r="L6809" s="2"/>
      <c r="M6809" s="2"/>
      <c r="N6809" s="650"/>
      <c r="O6809" s="650"/>
      <c r="P6809" s="651"/>
      <c r="Q6809" s="651"/>
      <c r="R6809" s="651"/>
      <c r="S6809" s="651"/>
    </row>
    <row r="6810" spans="12:19" ht="15.75" customHeight="1" x14ac:dyDescent="0.35">
      <c r="L6810" s="2"/>
      <c r="M6810" s="2"/>
      <c r="N6810" s="650"/>
      <c r="O6810" s="650"/>
      <c r="P6810" s="651"/>
      <c r="Q6810" s="651"/>
      <c r="R6810" s="651"/>
      <c r="S6810" s="651"/>
    </row>
    <row r="6811" spans="12:19" ht="15.75" customHeight="1" x14ac:dyDescent="0.35">
      <c r="L6811" s="2"/>
      <c r="M6811" s="2"/>
      <c r="N6811" s="650"/>
      <c r="O6811" s="650"/>
      <c r="P6811" s="651"/>
      <c r="Q6811" s="651"/>
      <c r="R6811" s="651"/>
      <c r="S6811" s="651"/>
    </row>
    <row r="6812" spans="12:19" ht="15.75" customHeight="1" x14ac:dyDescent="0.35">
      <c r="L6812" s="2"/>
      <c r="M6812" s="2"/>
      <c r="N6812" s="650"/>
      <c r="O6812" s="650"/>
      <c r="P6812" s="651"/>
      <c r="Q6812" s="651"/>
      <c r="R6812" s="651"/>
      <c r="S6812" s="651"/>
    </row>
    <row r="6813" spans="12:19" ht="15.75" customHeight="1" x14ac:dyDescent="0.35">
      <c r="L6813" s="2"/>
      <c r="M6813" s="2"/>
      <c r="N6813" s="650"/>
      <c r="O6813" s="650"/>
      <c r="P6813" s="651"/>
      <c r="Q6813" s="651"/>
      <c r="R6813" s="651"/>
      <c r="S6813" s="651"/>
    </row>
    <row r="6814" spans="12:19" ht="15.75" customHeight="1" x14ac:dyDescent="0.35">
      <c r="L6814" s="2"/>
      <c r="M6814" s="2"/>
      <c r="N6814" s="650"/>
      <c r="O6814" s="650"/>
      <c r="P6814" s="651"/>
      <c r="Q6814" s="651"/>
      <c r="R6814" s="651"/>
      <c r="S6814" s="651"/>
    </row>
    <row r="6815" spans="12:19" ht="15.75" customHeight="1" x14ac:dyDescent="0.35">
      <c r="L6815" s="2"/>
      <c r="M6815" s="2"/>
      <c r="N6815" s="650"/>
      <c r="O6815" s="650"/>
      <c r="P6815" s="651"/>
      <c r="Q6815" s="651"/>
      <c r="R6815" s="651"/>
      <c r="S6815" s="651"/>
    </row>
    <row r="6816" spans="12:19" ht="15.75" customHeight="1" x14ac:dyDescent="0.35">
      <c r="L6816" s="2"/>
      <c r="M6816" s="2"/>
      <c r="N6816" s="650"/>
      <c r="O6816" s="650"/>
      <c r="P6816" s="651"/>
      <c r="Q6816" s="651"/>
      <c r="R6816" s="651"/>
      <c r="S6816" s="651"/>
    </row>
    <row r="6817" spans="12:19" ht="15.75" customHeight="1" x14ac:dyDescent="0.35">
      <c r="L6817" s="2"/>
      <c r="M6817" s="2"/>
      <c r="N6817" s="650"/>
      <c r="O6817" s="650"/>
      <c r="P6817" s="651"/>
      <c r="Q6817" s="651"/>
      <c r="R6817" s="651"/>
      <c r="S6817" s="651"/>
    </row>
    <row r="6818" spans="12:19" ht="15.75" customHeight="1" x14ac:dyDescent="0.35">
      <c r="L6818" s="2"/>
      <c r="M6818" s="2"/>
      <c r="N6818" s="650"/>
      <c r="O6818" s="650"/>
      <c r="P6818" s="651"/>
      <c r="Q6818" s="651"/>
      <c r="R6818" s="651"/>
      <c r="S6818" s="651"/>
    </row>
    <row r="6819" spans="12:19" ht="15.75" customHeight="1" x14ac:dyDescent="0.35">
      <c r="L6819" s="2"/>
      <c r="M6819" s="2"/>
      <c r="N6819" s="650"/>
      <c r="O6819" s="650"/>
      <c r="P6819" s="651"/>
      <c r="Q6819" s="651"/>
      <c r="R6819" s="651"/>
      <c r="S6819" s="651"/>
    </row>
    <row r="6820" spans="12:19" ht="15.75" customHeight="1" x14ac:dyDescent="0.35">
      <c r="L6820" s="2"/>
      <c r="M6820" s="2"/>
      <c r="N6820" s="650"/>
      <c r="O6820" s="650"/>
      <c r="P6820" s="651"/>
      <c r="Q6820" s="651"/>
      <c r="R6820" s="651"/>
      <c r="S6820" s="651"/>
    </row>
    <row r="6821" spans="12:19" ht="15.75" customHeight="1" x14ac:dyDescent="0.35">
      <c r="L6821" s="2"/>
      <c r="M6821" s="2"/>
      <c r="N6821" s="650"/>
      <c r="O6821" s="650"/>
      <c r="P6821" s="651"/>
      <c r="Q6821" s="651"/>
      <c r="R6821" s="651"/>
      <c r="S6821" s="651"/>
    </row>
    <row r="6822" spans="12:19" ht="15.75" customHeight="1" x14ac:dyDescent="0.35">
      <c r="L6822" s="2"/>
      <c r="M6822" s="2"/>
      <c r="N6822" s="650"/>
      <c r="O6822" s="650"/>
      <c r="P6822" s="651"/>
      <c r="Q6822" s="651"/>
      <c r="R6822" s="651"/>
      <c r="S6822" s="651"/>
    </row>
    <row r="6823" spans="12:19" ht="15.75" customHeight="1" x14ac:dyDescent="0.35">
      <c r="L6823" s="2"/>
      <c r="M6823" s="2"/>
      <c r="N6823" s="650"/>
      <c r="O6823" s="650"/>
      <c r="P6823" s="651"/>
      <c r="Q6823" s="651"/>
      <c r="R6823" s="651"/>
      <c r="S6823" s="651"/>
    </row>
    <row r="6824" spans="12:19" ht="15.75" customHeight="1" x14ac:dyDescent="0.35">
      <c r="L6824" s="2"/>
      <c r="M6824" s="2"/>
      <c r="N6824" s="650"/>
      <c r="O6824" s="650"/>
      <c r="P6824" s="651"/>
      <c r="Q6824" s="651"/>
      <c r="R6824" s="651"/>
      <c r="S6824" s="651"/>
    </row>
    <row r="6825" spans="12:19" ht="15.75" customHeight="1" x14ac:dyDescent="0.35">
      <c r="L6825" s="2"/>
      <c r="M6825" s="2"/>
      <c r="N6825" s="650"/>
      <c r="O6825" s="650"/>
      <c r="P6825" s="651"/>
      <c r="Q6825" s="651"/>
      <c r="R6825" s="651"/>
      <c r="S6825" s="651"/>
    </row>
    <row r="6826" spans="12:19" ht="15.75" customHeight="1" x14ac:dyDescent="0.35">
      <c r="L6826" s="2"/>
      <c r="M6826" s="2"/>
      <c r="N6826" s="650"/>
      <c r="O6826" s="650"/>
      <c r="P6826" s="651"/>
      <c r="Q6826" s="651"/>
      <c r="R6826" s="651"/>
      <c r="S6826" s="651"/>
    </row>
    <row r="6827" spans="12:19" ht="15.75" customHeight="1" x14ac:dyDescent="0.35">
      <c r="L6827" s="2"/>
      <c r="M6827" s="2"/>
      <c r="N6827" s="650"/>
      <c r="O6827" s="650"/>
      <c r="P6827" s="651"/>
      <c r="Q6827" s="651"/>
      <c r="R6827" s="651"/>
      <c r="S6827" s="651"/>
    </row>
    <row r="6828" spans="12:19" ht="15.75" customHeight="1" x14ac:dyDescent="0.35">
      <c r="L6828" s="2"/>
      <c r="M6828" s="2"/>
      <c r="N6828" s="650"/>
      <c r="O6828" s="650"/>
      <c r="P6828" s="651"/>
      <c r="Q6828" s="651"/>
      <c r="R6828" s="651"/>
      <c r="S6828" s="651"/>
    </row>
    <row r="6829" spans="12:19" ht="15.75" customHeight="1" x14ac:dyDescent="0.35">
      <c r="L6829" s="2"/>
      <c r="M6829" s="2"/>
      <c r="N6829" s="650"/>
      <c r="O6829" s="650"/>
      <c r="P6829" s="651"/>
      <c r="Q6829" s="651"/>
      <c r="R6829" s="651"/>
      <c r="S6829" s="651"/>
    </row>
    <row r="6830" spans="12:19" ht="15.75" customHeight="1" x14ac:dyDescent="0.35">
      <c r="L6830" s="2"/>
      <c r="M6830" s="2"/>
      <c r="N6830" s="650"/>
      <c r="O6830" s="650"/>
      <c r="P6830" s="651"/>
      <c r="Q6830" s="651"/>
      <c r="R6830" s="651"/>
      <c r="S6830" s="651"/>
    </row>
    <row r="6831" spans="12:19" ht="15.75" customHeight="1" x14ac:dyDescent="0.35">
      <c r="L6831" s="2"/>
      <c r="M6831" s="2"/>
      <c r="N6831" s="650"/>
      <c r="O6831" s="650"/>
      <c r="P6831" s="651"/>
      <c r="Q6831" s="651"/>
      <c r="R6831" s="651"/>
      <c r="S6831" s="651"/>
    </row>
    <row r="6832" spans="12:19" ht="15.75" customHeight="1" x14ac:dyDescent="0.35">
      <c r="L6832" s="2"/>
      <c r="M6832" s="2"/>
      <c r="N6832" s="650"/>
      <c r="O6832" s="650"/>
      <c r="P6832" s="651"/>
      <c r="Q6832" s="651"/>
      <c r="R6832" s="651"/>
      <c r="S6832" s="651"/>
    </row>
    <row r="6833" spans="12:19" ht="15.75" customHeight="1" x14ac:dyDescent="0.35">
      <c r="L6833" s="2"/>
      <c r="M6833" s="2"/>
      <c r="N6833" s="650"/>
      <c r="O6833" s="650"/>
      <c r="P6833" s="651"/>
      <c r="Q6833" s="651"/>
      <c r="R6833" s="651"/>
      <c r="S6833" s="651"/>
    </row>
    <row r="6834" spans="12:19" ht="15.75" customHeight="1" x14ac:dyDescent="0.35">
      <c r="L6834" s="2"/>
      <c r="M6834" s="2"/>
      <c r="N6834" s="650"/>
      <c r="O6834" s="650"/>
      <c r="P6834" s="651"/>
      <c r="Q6834" s="651"/>
      <c r="R6834" s="651"/>
      <c r="S6834" s="651"/>
    </row>
    <row r="6835" spans="12:19" ht="15.75" customHeight="1" x14ac:dyDescent="0.35">
      <c r="L6835" s="2"/>
      <c r="M6835" s="2"/>
      <c r="N6835" s="650"/>
      <c r="O6835" s="650"/>
      <c r="P6835" s="651"/>
      <c r="Q6835" s="651"/>
      <c r="R6835" s="651"/>
      <c r="S6835" s="651"/>
    </row>
    <row r="6836" spans="12:19" ht="15.75" customHeight="1" x14ac:dyDescent="0.35">
      <c r="L6836" s="2"/>
      <c r="M6836" s="2"/>
      <c r="N6836" s="650"/>
      <c r="O6836" s="650"/>
      <c r="P6836" s="651"/>
      <c r="Q6836" s="651"/>
      <c r="R6836" s="651"/>
      <c r="S6836" s="651"/>
    </row>
    <row r="6837" spans="12:19" ht="15.75" customHeight="1" x14ac:dyDescent="0.35">
      <c r="L6837" s="2"/>
      <c r="M6837" s="2"/>
      <c r="N6837" s="650"/>
      <c r="O6837" s="650"/>
      <c r="P6837" s="651"/>
      <c r="Q6837" s="651"/>
      <c r="R6837" s="651"/>
      <c r="S6837" s="651"/>
    </row>
    <row r="6838" spans="12:19" ht="15.75" customHeight="1" x14ac:dyDescent="0.35">
      <c r="L6838" s="2"/>
      <c r="M6838" s="2"/>
      <c r="N6838" s="650"/>
      <c r="O6838" s="650"/>
      <c r="P6838" s="651"/>
      <c r="Q6838" s="651"/>
      <c r="R6838" s="651"/>
      <c r="S6838" s="651"/>
    </row>
    <row r="6839" spans="12:19" ht="15.75" customHeight="1" x14ac:dyDescent="0.35">
      <c r="L6839" s="2"/>
      <c r="M6839" s="2"/>
      <c r="N6839" s="650"/>
      <c r="O6839" s="650"/>
      <c r="P6839" s="651"/>
      <c r="Q6839" s="651"/>
      <c r="R6839" s="651"/>
      <c r="S6839" s="651"/>
    </row>
    <row r="6840" spans="12:19" ht="15.75" customHeight="1" x14ac:dyDescent="0.35">
      <c r="L6840" s="2"/>
      <c r="M6840" s="2"/>
      <c r="N6840" s="650"/>
      <c r="O6840" s="650"/>
      <c r="P6840" s="651"/>
      <c r="Q6840" s="651"/>
      <c r="R6840" s="651"/>
      <c r="S6840" s="651"/>
    </row>
    <row r="6841" spans="12:19" ht="15.75" customHeight="1" x14ac:dyDescent="0.35">
      <c r="L6841" s="2"/>
      <c r="M6841" s="2"/>
      <c r="N6841" s="650"/>
      <c r="O6841" s="650"/>
      <c r="P6841" s="651"/>
      <c r="Q6841" s="651"/>
      <c r="R6841" s="651"/>
      <c r="S6841" s="651"/>
    </row>
    <row r="6842" spans="12:19" ht="15.75" customHeight="1" x14ac:dyDescent="0.35">
      <c r="L6842" s="2"/>
      <c r="M6842" s="2"/>
      <c r="N6842" s="650"/>
      <c r="O6842" s="650"/>
      <c r="P6842" s="651"/>
      <c r="Q6842" s="651"/>
      <c r="R6842" s="651"/>
      <c r="S6842" s="651"/>
    </row>
    <row r="6843" spans="12:19" ht="15.75" customHeight="1" x14ac:dyDescent="0.35">
      <c r="L6843" s="2"/>
      <c r="M6843" s="2"/>
      <c r="N6843" s="650"/>
      <c r="O6843" s="650"/>
      <c r="P6843" s="651"/>
      <c r="Q6843" s="651"/>
      <c r="R6843" s="651"/>
      <c r="S6843" s="651"/>
    </row>
    <row r="6844" spans="12:19" ht="15.75" customHeight="1" x14ac:dyDescent="0.35">
      <c r="L6844" s="2"/>
      <c r="M6844" s="2"/>
      <c r="N6844" s="650"/>
      <c r="O6844" s="650"/>
      <c r="P6844" s="651"/>
      <c r="Q6844" s="651"/>
      <c r="R6844" s="651"/>
      <c r="S6844" s="651"/>
    </row>
    <row r="6845" spans="12:19" ht="15.75" customHeight="1" x14ac:dyDescent="0.35">
      <c r="L6845" s="2"/>
      <c r="M6845" s="2"/>
      <c r="N6845" s="650"/>
      <c r="O6845" s="650"/>
      <c r="P6845" s="651"/>
      <c r="Q6845" s="651"/>
      <c r="R6845" s="651"/>
      <c r="S6845" s="651"/>
    </row>
    <row r="6846" spans="12:19" ht="15.75" customHeight="1" x14ac:dyDescent="0.35">
      <c r="L6846" s="2"/>
      <c r="M6846" s="2"/>
      <c r="N6846" s="650"/>
      <c r="O6846" s="650"/>
      <c r="P6846" s="651"/>
      <c r="Q6846" s="651"/>
      <c r="R6846" s="651"/>
      <c r="S6846" s="651"/>
    </row>
    <row r="6847" spans="12:19" ht="15.75" customHeight="1" x14ac:dyDescent="0.35">
      <c r="L6847" s="2"/>
      <c r="M6847" s="2"/>
      <c r="N6847" s="650"/>
      <c r="O6847" s="650"/>
      <c r="P6847" s="651"/>
      <c r="Q6847" s="651"/>
      <c r="R6847" s="651"/>
      <c r="S6847" s="651"/>
    </row>
    <row r="6848" spans="12:19" ht="15.75" customHeight="1" x14ac:dyDescent="0.35">
      <c r="L6848" s="2"/>
      <c r="M6848" s="2"/>
      <c r="N6848" s="650"/>
      <c r="O6848" s="650"/>
      <c r="P6848" s="651"/>
      <c r="Q6848" s="651"/>
      <c r="R6848" s="651"/>
      <c r="S6848" s="651"/>
    </row>
    <row r="6849" spans="12:19" ht="15.75" customHeight="1" x14ac:dyDescent="0.35">
      <c r="L6849" s="2"/>
      <c r="M6849" s="2"/>
      <c r="N6849" s="650"/>
      <c r="O6849" s="650"/>
      <c r="P6849" s="651"/>
      <c r="Q6849" s="651"/>
      <c r="R6849" s="651"/>
      <c r="S6849" s="651"/>
    </row>
    <row r="6850" spans="12:19" ht="15.75" customHeight="1" x14ac:dyDescent="0.35">
      <c r="L6850" s="2"/>
      <c r="M6850" s="2"/>
      <c r="N6850" s="650"/>
      <c r="O6850" s="650"/>
      <c r="P6850" s="651"/>
      <c r="Q6850" s="651"/>
      <c r="R6850" s="651"/>
      <c r="S6850" s="651"/>
    </row>
    <row r="6851" spans="12:19" ht="15.75" customHeight="1" x14ac:dyDescent="0.35">
      <c r="L6851" s="2"/>
      <c r="M6851" s="2"/>
      <c r="N6851" s="650"/>
      <c r="O6851" s="650"/>
      <c r="P6851" s="651"/>
      <c r="Q6851" s="651"/>
      <c r="R6851" s="651"/>
      <c r="S6851" s="651"/>
    </row>
    <row r="6852" spans="12:19" ht="15.75" customHeight="1" x14ac:dyDescent="0.35">
      <c r="L6852" s="2"/>
      <c r="M6852" s="2"/>
      <c r="N6852" s="650"/>
      <c r="O6852" s="650"/>
      <c r="P6852" s="651"/>
      <c r="Q6852" s="651"/>
      <c r="R6852" s="651"/>
      <c r="S6852" s="651"/>
    </row>
    <row r="6853" spans="12:19" ht="15.75" customHeight="1" x14ac:dyDescent="0.35">
      <c r="L6853" s="2"/>
      <c r="M6853" s="2"/>
      <c r="N6853" s="650"/>
      <c r="O6853" s="650"/>
      <c r="P6853" s="651"/>
      <c r="Q6853" s="651"/>
      <c r="R6853" s="651"/>
      <c r="S6853" s="651"/>
    </row>
    <row r="6854" spans="12:19" ht="15.75" customHeight="1" x14ac:dyDescent="0.35">
      <c r="L6854" s="2"/>
      <c r="M6854" s="2"/>
      <c r="N6854" s="650"/>
      <c r="O6854" s="650"/>
      <c r="P6854" s="651"/>
      <c r="Q6854" s="651"/>
      <c r="R6854" s="651"/>
      <c r="S6854" s="651"/>
    </row>
    <row r="6855" spans="12:19" ht="15.75" customHeight="1" x14ac:dyDescent="0.35">
      <c r="L6855" s="2"/>
      <c r="M6855" s="2"/>
      <c r="N6855" s="650"/>
      <c r="O6855" s="650"/>
      <c r="P6855" s="651"/>
      <c r="Q6855" s="651"/>
      <c r="R6855" s="651"/>
      <c r="S6855" s="651"/>
    </row>
    <row r="6856" spans="12:19" ht="15.75" customHeight="1" x14ac:dyDescent="0.35">
      <c r="L6856" s="2"/>
      <c r="M6856" s="2"/>
      <c r="N6856" s="650"/>
      <c r="O6856" s="650"/>
      <c r="P6856" s="651"/>
      <c r="Q6856" s="651"/>
      <c r="R6856" s="651"/>
      <c r="S6856" s="651"/>
    </row>
    <row r="6857" spans="12:19" ht="15.75" customHeight="1" x14ac:dyDescent="0.35">
      <c r="L6857" s="2"/>
      <c r="M6857" s="2"/>
      <c r="N6857" s="650"/>
      <c r="O6857" s="650"/>
      <c r="P6857" s="651"/>
      <c r="Q6857" s="651"/>
      <c r="R6857" s="651"/>
      <c r="S6857" s="651"/>
    </row>
    <row r="6858" spans="12:19" ht="15.75" customHeight="1" x14ac:dyDescent="0.35">
      <c r="L6858" s="2"/>
      <c r="M6858" s="2"/>
      <c r="N6858" s="650"/>
      <c r="O6858" s="650"/>
      <c r="P6858" s="651"/>
      <c r="Q6858" s="651"/>
      <c r="R6858" s="651"/>
      <c r="S6858" s="651"/>
    </row>
    <row r="6859" spans="12:19" ht="15.75" customHeight="1" x14ac:dyDescent="0.35">
      <c r="L6859" s="2"/>
      <c r="M6859" s="2"/>
      <c r="N6859" s="650"/>
      <c r="O6859" s="650"/>
      <c r="P6859" s="651"/>
      <c r="Q6859" s="651"/>
      <c r="R6859" s="651"/>
      <c r="S6859" s="651"/>
    </row>
    <row r="6860" spans="12:19" ht="15.75" customHeight="1" x14ac:dyDescent="0.35">
      <c r="L6860" s="2"/>
      <c r="M6860" s="2"/>
      <c r="N6860" s="650"/>
      <c r="O6860" s="650"/>
      <c r="P6860" s="651"/>
      <c r="Q6860" s="651"/>
      <c r="R6860" s="651"/>
      <c r="S6860" s="651"/>
    </row>
    <row r="6861" spans="12:19" ht="15.75" customHeight="1" x14ac:dyDescent="0.35">
      <c r="L6861" s="2"/>
      <c r="M6861" s="2"/>
      <c r="N6861" s="650"/>
      <c r="O6861" s="650"/>
      <c r="P6861" s="651"/>
      <c r="Q6861" s="651"/>
      <c r="R6861" s="651"/>
      <c r="S6861" s="651"/>
    </row>
    <row r="6862" spans="12:19" ht="15.75" customHeight="1" x14ac:dyDescent="0.35">
      <c r="L6862" s="2"/>
      <c r="M6862" s="2"/>
      <c r="N6862" s="650"/>
      <c r="O6862" s="650"/>
      <c r="P6862" s="651"/>
      <c r="Q6862" s="651"/>
      <c r="R6862" s="651"/>
      <c r="S6862" s="651"/>
    </row>
    <row r="6863" spans="12:19" ht="15.75" customHeight="1" x14ac:dyDescent="0.35">
      <c r="L6863" s="2"/>
      <c r="M6863" s="2"/>
      <c r="N6863" s="650"/>
      <c r="O6863" s="650"/>
      <c r="P6863" s="651"/>
      <c r="Q6863" s="651"/>
      <c r="R6863" s="651"/>
      <c r="S6863" s="651"/>
    </row>
    <row r="6864" spans="12:19" ht="15.75" customHeight="1" x14ac:dyDescent="0.35">
      <c r="L6864" s="2"/>
      <c r="M6864" s="2"/>
      <c r="N6864" s="650"/>
      <c r="O6864" s="650"/>
      <c r="P6864" s="651"/>
      <c r="Q6864" s="651"/>
      <c r="R6864" s="651"/>
      <c r="S6864" s="651"/>
    </row>
    <row r="6865" spans="12:19" ht="15.75" customHeight="1" x14ac:dyDescent="0.35">
      <c r="L6865" s="2"/>
      <c r="M6865" s="2"/>
      <c r="N6865" s="650"/>
      <c r="O6865" s="650"/>
      <c r="P6865" s="651"/>
      <c r="Q6865" s="651"/>
      <c r="R6865" s="651"/>
      <c r="S6865" s="651"/>
    </row>
    <row r="6866" spans="12:19" ht="15.75" customHeight="1" x14ac:dyDescent="0.35">
      <c r="L6866" s="2"/>
      <c r="M6866" s="2"/>
      <c r="N6866" s="650"/>
      <c r="O6866" s="650"/>
      <c r="P6866" s="651"/>
      <c r="Q6866" s="651"/>
      <c r="R6866" s="651"/>
      <c r="S6866" s="651"/>
    </row>
    <row r="6867" spans="12:19" ht="15.75" customHeight="1" x14ac:dyDescent="0.35">
      <c r="L6867" s="2"/>
      <c r="M6867" s="2"/>
      <c r="N6867" s="650"/>
      <c r="O6867" s="650"/>
      <c r="P6867" s="651"/>
      <c r="Q6867" s="651"/>
      <c r="R6867" s="651"/>
      <c r="S6867" s="651"/>
    </row>
    <row r="6868" spans="12:19" ht="15.75" customHeight="1" x14ac:dyDescent="0.35">
      <c r="L6868" s="2"/>
      <c r="M6868" s="2"/>
      <c r="N6868" s="650"/>
      <c r="O6868" s="650"/>
      <c r="P6868" s="651"/>
      <c r="Q6868" s="651"/>
      <c r="R6868" s="651"/>
      <c r="S6868" s="651"/>
    </row>
    <row r="6869" spans="12:19" ht="15.75" customHeight="1" x14ac:dyDescent="0.35">
      <c r="L6869" s="2"/>
      <c r="M6869" s="2"/>
      <c r="N6869" s="650"/>
      <c r="O6869" s="650"/>
      <c r="P6869" s="651"/>
      <c r="Q6869" s="651"/>
      <c r="R6869" s="651"/>
      <c r="S6869" s="651"/>
    </row>
    <row r="6870" spans="12:19" ht="15.75" customHeight="1" x14ac:dyDescent="0.35">
      <c r="L6870" s="2"/>
      <c r="M6870" s="2"/>
      <c r="N6870" s="650"/>
      <c r="O6870" s="650"/>
      <c r="P6870" s="651"/>
      <c r="Q6870" s="651"/>
      <c r="R6870" s="651"/>
      <c r="S6870" s="651"/>
    </row>
    <row r="6871" spans="12:19" ht="15.75" customHeight="1" x14ac:dyDescent="0.35">
      <c r="L6871" s="2"/>
      <c r="M6871" s="2"/>
      <c r="N6871" s="650"/>
      <c r="O6871" s="650"/>
      <c r="P6871" s="651"/>
      <c r="Q6871" s="651"/>
      <c r="R6871" s="651"/>
      <c r="S6871" s="651"/>
    </row>
    <row r="6872" spans="12:19" ht="15.75" customHeight="1" x14ac:dyDescent="0.35">
      <c r="L6872" s="2"/>
      <c r="M6872" s="2"/>
      <c r="N6872" s="650"/>
      <c r="O6872" s="650"/>
      <c r="P6872" s="651"/>
      <c r="Q6872" s="651"/>
      <c r="R6872" s="651"/>
      <c r="S6872" s="651"/>
    </row>
    <row r="6873" spans="12:19" ht="15.75" customHeight="1" x14ac:dyDescent="0.35">
      <c r="L6873" s="2"/>
      <c r="M6873" s="2"/>
      <c r="N6873" s="650"/>
      <c r="O6873" s="650"/>
      <c r="P6873" s="651"/>
      <c r="Q6873" s="651"/>
      <c r="R6873" s="651"/>
      <c r="S6873" s="651"/>
    </row>
    <row r="6874" spans="12:19" ht="15.75" customHeight="1" x14ac:dyDescent="0.35">
      <c r="L6874" s="2"/>
      <c r="M6874" s="2"/>
      <c r="N6874" s="650"/>
      <c r="O6874" s="650"/>
      <c r="P6874" s="651"/>
      <c r="Q6874" s="651"/>
      <c r="R6874" s="651"/>
      <c r="S6874" s="651"/>
    </row>
    <row r="6875" spans="12:19" ht="15.75" customHeight="1" x14ac:dyDescent="0.35">
      <c r="L6875" s="2"/>
      <c r="M6875" s="2"/>
      <c r="N6875" s="650"/>
      <c r="O6875" s="650"/>
      <c r="P6875" s="651"/>
      <c r="Q6875" s="651"/>
      <c r="R6875" s="651"/>
      <c r="S6875" s="651"/>
    </row>
    <row r="6876" spans="12:19" ht="15.75" customHeight="1" x14ac:dyDescent="0.35">
      <c r="L6876" s="2"/>
      <c r="M6876" s="2"/>
      <c r="N6876" s="650"/>
      <c r="O6876" s="650"/>
      <c r="P6876" s="651"/>
      <c r="Q6876" s="651"/>
      <c r="R6876" s="651"/>
      <c r="S6876" s="651"/>
    </row>
    <row r="6877" spans="12:19" ht="15.75" customHeight="1" x14ac:dyDescent="0.35">
      <c r="L6877" s="2"/>
      <c r="M6877" s="2"/>
      <c r="N6877" s="650"/>
      <c r="O6877" s="650"/>
      <c r="P6877" s="651"/>
      <c r="Q6877" s="651"/>
      <c r="R6877" s="651"/>
      <c r="S6877" s="651"/>
    </row>
    <row r="6878" spans="12:19" ht="15.75" customHeight="1" x14ac:dyDescent="0.35">
      <c r="L6878" s="2"/>
      <c r="M6878" s="2"/>
      <c r="N6878" s="650"/>
      <c r="O6878" s="650"/>
      <c r="P6878" s="651"/>
      <c r="Q6878" s="651"/>
      <c r="R6878" s="651"/>
      <c r="S6878" s="651"/>
    </row>
    <row r="6879" spans="12:19" ht="15.75" customHeight="1" x14ac:dyDescent="0.35">
      <c r="L6879" s="2"/>
      <c r="M6879" s="2"/>
      <c r="N6879" s="650"/>
      <c r="O6879" s="650"/>
      <c r="P6879" s="651"/>
      <c r="Q6879" s="651"/>
      <c r="R6879" s="651"/>
      <c r="S6879" s="651"/>
    </row>
    <row r="6880" spans="12:19" ht="15.75" customHeight="1" x14ac:dyDescent="0.35">
      <c r="L6880" s="2"/>
      <c r="M6880" s="2"/>
      <c r="N6880" s="650"/>
      <c r="O6880" s="650"/>
      <c r="P6880" s="651"/>
      <c r="Q6880" s="651"/>
      <c r="R6880" s="651"/>
      <c r="S6880" s="651"/>
    </row>
    <row r="6881" spans="12:19" ht="15.75" customHeight="1" x14ac:dyDescent="0.35">
      <c r="L6881" s="2"/>
      <c r="M6881" s="2"/>
      <c r="N6881" s="650"/>
      <c r="O6881" s="650"/>
      <c r="P6881" s="651"/>
      <c r="Q6881" s="651"/>
      <c r="R6881" s="651"/>
      <c r="S6881" s="651"/>
    </row>
    <row r="6882" spans="12:19" ht="15.75" customHeight="1" x14ac:dyDescent="0.35">
      <c r="L6882" s="2"/>
      <c r="M6882" s="2"/>
      <c r="N6882" s="650"/>
      <c r="O6882" s="650"/>
      <c r="P6882" s="651"/>
      <c r="Q6882" s="651"/>
      <c r="R6882" s="651"/>
      <c r="S6882" s="651"/>
    </row>
    <row r="6883" spans="12:19" ht="15.75" customHeight="1" x14ac:dyDescent="0.35">
      <c r="L6883" s="2"/>
      <c r="M6883" s="2"/>
      <c r="N6883" s="650"/>
      <c r="O6883" s="650"/>
      <c r="P6883" s="651"/>
      <c r="Q6883" s="651"/>
      <c r="R6883" s="651"/>
      <c r="S6883" s="651"/>
    </row>
    <row r="6884" spans="12:19" ht="15.75" customHeight="1" x14ac:dyDescent="0.35">
      <c r="L6884" s="2"/>
      <c r="M6884" s="2"/>
      <c r="N6884" s="650"/>
      <c r="O6884" s="650"/>
      <c r="P6884" s="651"/>
      <c r="Q6884" s="651"/>
      <c r="R6884" s="651"/>
      <c r="S6884" s="651"/>
    </row>
    <row r="6885" spans="12:19" ht="15.75" customHeight="1" x14ac:dyDescent="0.35">
      <c r="L6885" s="2"/>
      <c r="M6885" s="2"/>
      <c r="N6885" s="650"/>
      <c r="O6885" s="650"/>
      <c r="P6885" s="651"/>
      <c r="Q6885" s="651"/>
      <c r="R6885" s="651"/>
      <c r="S6885" s="651"/>
    </row>
    <row r="6886" spans="12:19" ht="15.75" customHeight="1" x14ac:dyDescent="0.35">
      <c r="L6886" s="2"/>
      <c r="M6886" s="2"/>
      <c r="N6886" s="650"/>
      <c r="O6886" s="650"/>
      <c r="P6886" s="651"/>
      <c r="Q6886" s="651"/>
      <c r="R6886" s="651"/>
      <c r="S6886" s="651"/>
    </row>
    <row r="6887" spans="12:19" ht="15.75" customHeight="1" x14ac:dyDescent="0.35">
      <c r="L6887" s="2"/>
      <c r="M6887" s="2"/>
      <c r="N6887" s="650"/>
      <c r="O6887" s="650"/>
      <c r="P6887" s="651"/>
      <c r="Q6887" s="651"/>
      <c r="R6887" s="651"/>
      <c r="S6887" s="651"/>
    </row>
    <row r="6888" spans="12:19" ht="15.75" customHeight="1" x14ac:dyDescent="0.35">
      <c r="L6888" s="2"/>
      <c r="M6888" s="2"/>
      <c r="N6888" s="650"/>
      <c r="O6888" s="650"/>
      <c r="P6888" s="651"/>
      <c r="Q6888" s="651"/>
      <c r="R6888" s="651"/>
      <c r="S6888" s="651"/>
    </row>
    <row r="6889" spans="12:19" ht="15.75" customHeight="1" x14ac:dyDescent="0.35">
      <c r="L6889" s="2"/>
      <c r="M6889" s="2"/>
      <c r="N6889" s="650"/>
      <c r="O6889" s="650"/>
      <c r="P6889" s="651"/>
      <c r="Q6889" s="651"/>
      <c r="R6889" s="651"/>
      <c r="S6889" s="651"/>
    </row>
    <row r="6890" spans="12:19" ht="15.75" customHeight="1" x14ac:dyDescent="0.35">
      <c r="L6890" s="2"/>
      <c r="M6890" s="2"/>
      <c r="N6890" s="650"/>
      <c r="O6890" s="650"/>
      <c r="P6890" s="651"/>
      <c r="Q6890" s="651"/>
      <c r="R6890" s="651"/>
      <c r="S6890" s="651"/>
    </row>
    <row r="6891" spans="12:19" ht="15.75" customHeight="1" x14ac:dyDescent="0.35">
      <c r="L6891" s="2"/>
      <c r="M6891" s="2"/>
      <c r="N6891" s="650"/>
      <c r="O6891" s="650"/>
      <c r="P6891" s="651"/>
      <c r="Q6891" s="651"/>
      <c r="R6891" s="651"/>
      <c r="S6891" s="651"/>
    </row>
    <row r="6892" spans="12:19" ht="15.75" customHeight="1" x14ac:dyDescent="0.35">
      <c r="L6892" s="2"/>
      <c r="M6892" s="2"/>
      <c r="N6892" s="650"/>
      <c r="O6892" s="650"/>
      <c r="P6892" s="651"/>
      <c r="Q6892" s="651"/>
      <c r="R6892" s="651"/>
      <c r="S6892" s="651"/>
    </row>
    <row r="6893" spans="12:19" ht="15.75" customHeight="1" x14ac:dyDescent="0.35">
      <c r="L6893" s="2"/>
      <c r="M6893" s="2"/>
      <c r="N6893" s="650"/>
      <c r="O6893" s="650"/>
      <c r="P6893" s="651"/>
      <c r="Q6893" s="651"/>
      <c r="R6893" s="651"/>
      <c r="S6893" s="651"/>
    </row>
    <row r="6894" spans="12:19" ht="15.75" customHeight="1" x14ac:dyDescent="0.35">
      <c r="L6894" s="2"/>
      <c r="M6894" s="2"/>
      <c r="N6894" s="650"/>
      <c r="O6894" s="650"/>
      <c r="P6894" s="651"/>
      <c r="Q6894" s="651"/>
      <c r="R6894" s="651"/>
      <c r="S6894" s="651"/>
    </row>
    <row r="6895" spans="12:19" ht="15.75" customHeight="1" x14ac:dyDescent="0.35">
      <c r="L6895" s="2"/>
      <c r="M6895" s="2"/>
      <c r="N6895" s="650"/>
      <c r="O6895" s="650"/>
      <c r="P6895" s="651"/>
      <c r="Q6895" s="651"/>
      <c r="R6895" s="651"/>
      <c r="S6895" s="651"/>
    </row>
    <row r="6896" spans="12:19" ht="15.75" customHeight="1" x14ac:dyDescent="0.35">
      <c r="L6896" s="2"/>
      <c r="M6896" s="2"/>
      <c r="N6896" s="650"/>
      <c r="O6896" s="650"/>
      <c r="P6896" s="651"/>
      <c r="Q6896" s="651"/>
      <c r="R6896" s="651"/>
      <c r="S6896" s="651"/>
    </row>
    <row r="6897" spans="12:19" ht="15.75" customHeight="1" x14ac:dyDescent="0.35">
      <c r="L6897" s="2"/>
      <c r="M6897" s="2"/>
      <c r="N6897" s="650"/>
      <c r="O6897" s="650"/>
      <c r="P6897" s="651"/>
      <c r="Q6897" s="651"/>
      <c r="R6897" s="651"/>
      <c r="S6897" s="651"/>
    </row>
    <row r="6898" spans="12:19" ht="15.75" customHeight="1" x14ac:dyDescent="0.35">
      <c r="L6898" s="2"/>
      <c r="M6898" s="2"/>
      <c r="N6898" s="650"/>
      <c r="O6898" s="650"/>
      <c r="P6898" s="651"/>
      <c r="Q6898" s="651"/>
      <c r="R6898" s="651"/>
      <c r="S6898" s="651"/>
    </row>
    <row r="6899" spans="12:19" ht="15.75" customHeight="1" x14ac:dyDescent="0.35">
      <c r="L6899" s="2"/>
      <c r="M6899" s="2"/>
      <c r="N6899" s="650"/>
      <c r="O6899" s="650"/>
      <c r="P6899" s="651"/>
      <c r="Q6899" s="651"/>
      <c r="R6899" s="651"/>
      <c r="S6899" s="651"/>
    </row>
    <row r="6900" spans="12:19" ht="15.75" customHeight="1" x14ac:dyDescent="0.35">
      <c r="L6900" s="2"/>
      <c r="M6900" s="2"/>
      <c r="N6900" s="650"/>
      <c r="O6900" s="650"/>
      <c r="P6900" s="651"/>
      <c r="Q6900" s="651"/>
      <c r="R6900" s="651"/>
      <c r="S6900" s="651"/>
    </row>
    <row r="6901" spans="12:19" ht="15.75" customHeight="1" x14ac:dyDescent="0.35">
      <c r="L6901" s="2"/>
      <c r="M6901" s="2"/>
      <c r="N6901" s="650"/>
      <c r="O6901" s="650"/>
      <c r="P6901" s="651"/>
      <c r="Q6901" s="651"/>
      <c r="R6901" s="651"/>
      <c r="S6901" s="651"/>
    </row>
    <row r="6902" spans="12:19" ht="15.75" customHeight="1" x14ac:dyDescent="0.35">
      <c r="L6902" s="2"/>
      <c r="M6902" s="2"/>
      <c r="N6902" s="650"/>
      <c r="O6902" s="650"/>
      <c r="P6902" s="651"/>
      <c r="Q6902" s="651"/>
      <c r="R6902" s="651"/>
      <c r="S6902" s="651"/>
    </row>
    <row r="6903" spans="12:19" ht="15.75" customHeight="1" x14ac:dyDescent="0.35">
      <c r="L6903" s="2"/>
      <c r="M6903" s="2"/>
      <c r="N6903" s="650"/>
      <c r="O6903" s="650"/>
      <c r="P6903" s="651"/>
      <c r="Q6903" s="651"/>
      <c r="R6903" s="651"/>
      <c r="S6903" s="651"/>
    </row>
    <row r="6904" spans="12:19" ht="15.75" customHeight="1" x14ac:dyDescent="0.35">
      <c r="L6904" s="2"/>
      <c r="M6904" s="2"/>
      <c r="N6904" s="650"/>
      <c r="O6904" s="650"/>
      <c r="P6904" s="651"/>
      <c r="Q6904" s="651"/>
      <c r="R6904" s="651"/>
      <c r="S6904" s="651"/>
    </row>
    <row r="6905" spans="12:19" ht="15.75" customHeight="1" x14ac:dyDescent="0.35">
      <c r="L6905" s="2"/>
      <c r="M6905" s="2"/>
      <c r="N6905" s="650"/>
      <c r="O6905" s="650"/>
      <c r="P6905" s="651"/>
      <c r="Q6905" s="651"/>
      <c r="R6905" s="651"/>
      <c r="S6905" s="651"/>
    </row>
    <row r="6906" spans="12:19" ht="15.75" customHeight="1" x14ac:dyDescent="0.35">
      <c r="L6906" s="2"/>
      <c r="M6906" s="2"/>
      <c r="N6906" s="650"/>
      <c r="O6906" s="650"/>
      <c r="P6906" s="651"/>
      <c r="Q6906" s="651"/>
      <c r="R6906" s="651"/>
      <c r="S6906" s="651"/>
    </row>
    <row r="6907" spans="12:19" ht="15.75" customHeight="1" x14ac:dyDescent="0.35">
      <c r="L6907" s="2"/>
      <c r="M6907" s="2"/>
      <c r="N6907" s="650"/>
      <c r="O6907" s="650"/>
      <c r="P6907" s="651"/>
      <c r="Q6907" s="651"/>
      <c r="R6907" s="651"/>
      <c r="S6907" s="651"/>
    </row>
    <row r="6908" spans="12:19" ht="15.75" customHeight="1" x14ac:dyDescent="0.35">
      <c r="L6908" s="2"/>
      <c r="M6908" s="2"/>
      <c r="N6908" s="650"/>
      <c r="O6908" s="650"/>
      <c r="P6908" s="651"/>
      <c r="Q6908" s="651"/>
      <c r="R6908" s="651"/>
      <c r="S6908" s="651"/>
    </row>
    <row r="6909" spans="12:19" ht="15.75" customHeight="1" x14ac:dyDescent="0.35">
      <c r="L6909" s="2"/>
      <c r="M6909" s="2"/>
      <c r="N6909" s="650"/>
      <c r="O6909" s="650"/>
      <c r="P6909" s="651"/>
      <c r="Q6909" s="651"/>
      <c r="R6909" s="651"/>
      <c r="S6909" s="651"/>
    </row>
    <row r="6910" spans="12:19" ht="15.75" customHeight="1" x14ac:dyDescent="0.35">
      <c r="L6910" s="2"/>
      <c r="M6910" s="2"/>
      <c r="N6910" s="650"/>
      <c r="O6910" s="650"/>
      <c r="P6910" s="651"/>
      <c r="Q6910" s="651"/>
      <c r="R6910" s="651"/>
      <c r="S6910" s="651"/>
    </row>
    <row r="6911" spans="12:19" ht="15.75" customHeight="1" x14ac:dyDescent="0.35">
      <c r="L6911" s="2"/>
      <c r="M6911" s="2"/>
      <c r="N6911" s="650"/>
      <c r="O6911" s="650"/>
      <c r="P6911" s="651"/>
      <c r="Q6911" s="651"/>
      <c r="R6911" s="651"/>
      <c r="S6911" s="651"/>
    </row>
    <row r="6912" spans="12:19" ht="15.75" customHeight="1" x14ac:dyDescent="0.35">
      <c r="L6912" s="2"/>
      <c r="M6912" s="2"/>
      <c r="N6912" s="650"/>
      <c r="O6912" s="650"/>
      <c r="P6912" s="651"/>
      <c r="Q6912" s="651"/>
      <c r="R6912" s="651"/>
      <c r="S6912" s="651"/>
    </row>
    <row r="6913" spans="12:19" ht="15.75" customHeight="1" x14ac:dyDescent="0.35">
      <c r="L6913" s="2"/>
      <c r="M6913" s="2"/>
      <c r="N6913" s="650"/>
      <c r="O6913" s="650"/>
      <c r="P6913" s="651"/>
      <c r="Q6913" s="651"/>
      <c r="R6913" s="651"/>
      <c r="S6913" s="651"/>
    </row>
    <row r="6914" spans="12:19" ht="15.75" customHeight="1" x14ac:dyDescent="0.35">
      <c r="L6914" s="2"/>
      <c r="M6914" s="2"/>
      <c r="N6914" s="650"/>
      <c r="O6914" s="650"/>
      <c r="P6914" s="651"/>
      <c r="Q6914" s="651"/>
      <c r="R6914" s="651"/>
      <c r="S6914" s="651"/>
    </row>
    <row r="6915" spans="12:19" ht="15.75" customHeight="1" x14ac:dyDescent="0.35">
      <c r="L6915" s="2"/>
      <c r="M6915" s="2"/>
      <c r="N6915" s="650"/>
      <c r="O6915" s="650"/>
      <c r="P6915" s="651"/>
      <c r="Q6915" s="651"/>
      <c r="R6915" s="651"/>
      <c r="S6915" s="651"/>
    </row>
    <row r="6916" spans="12:19" ht="15.75" customHeight="1" x14ac:dyDescent="0.35">
      <c r="L6916" s="2"/>
      <c r="M6916" s="2"/>
      <c r="N6916" s="650"/>
      <c r="O6916" s="650"/>
      <c r="P6916" s="651"/>
      <c r="Q6916" s="651"/>
      <c r="R6916" s="651"/>
      <c r="S6916" s="651"/>
    </row>
    <row r="6917" spans="12:19" ht="15.75" customHeight="1" x14ac:dyDescent="0.35">
      <c r="L6917" s="2"/>
      <c r="M6917" s="2"/>
      <c r="N6917" s="650"/>
      <c r="O6917" s="650"/>
      <c r="P6917" s="651"/>
      <c r="Q6917" s="651"/>
      <c r="R6917" s="651"/>
      <c r="S6917" s="651"/>
    </row>
    <row r="6918" spans="12:19" ht="15.75" customHeight="1" x14ac:dyDescent="0.35">
      <c r="L6918" s="2"/>
      <c r="M6918" s="2"/>
      <c r="N6918" s="650"/>
      <c r="O6918" s="650"/>
      <c r="P6918" s="651"/>
      <c r="Q6918" s="651"/>
      <c r="R6918" s="651"/>
      <c r="S6918" s="651"/>
    </row>
    <row r="6919" spans="12:19" ht="15.75" customHeight="1" x14ac:dyDescent="0.35">
      <c r="L6919" s="2"/>
      <c r="M6919" s="2"/>
      <c r="N6919" s="650"/>
      <c r="O6919" s="650"/>
      <c r="P6919" s="651"/>
      <c r="Q6919" s="651"/>
      <c r="R6919" s="651"/>
      <c r="S6919" s="651"/>
    </row>
    <row r="6920" spans="12:19" ht="15.75" customHeight="1" x14ac:dyDescent="0.35">
      <c r="L6920" s="2"/>
      <c r="M6920" s="2"/>
      <c r="N6920" s="650"/>
      <c r="O6920" s="650"/>
      <c r="P6920" s="651"/>
      <c r="Q6920" s="651"/>
      <c r="R6920" s="651"/>
      <c r="S6920" s="651"/>
    </row>
    <row r="6921" spans="12:19" ht="15.75" customHeight="1" x14ac:dyDescent="0.35">
      <c r="L6921" s="2"/>
      <c r="M6921" s="2"/>
      <c r="N6921" s="650"/>
      <c r="O6921" s="650"/>
      <c r="P6921" s="651"/>
      <c r="Q6921" s="651"/>
      <c r="R6921" s="651"/>
      <c r="S6921" s="651"/>
    </row>
    <row r="6922" spans="12:19" ht="15.75" customHeight="1" x14ac:dyDescent="0.35">
      <c r="L6922" s="2"/>
      <c r="M6922" s="2"/>
      <c r="N6922" s="650"/>
      <c r="O6922" s="650"/>
      <c r="P6922" s="651"/>
      <c r="Q6922" s="651"/>
      <c r="R6922" s="651"/>
      <c r="S6922" s="651"/>
    </row>
    <row r="6923" spans="12:19" ht="15.75" customHeight="1" x14ac:dyDescent="0.35">
      <c r="L6923" s="2"/>
      <c r="M6923" s="2"/>
      <c r="N6923" s="650"/>
      <c r="O6923" s="650"/>
      <c r="P6923" s="651"/>
      <c r="Q6923" s="651"/>
      <c r="R6923" s="651"/>
      <c r="S6923" s="651"/>
    </row>
    <row r="6924" spans="12:19" ht="15.75" customHeight="1" x14ac:dyDescent="0.35">
      <c r="L6924" s="2"/>
      <c r="M6924" s="2"/>
      <c r="N6924" s="650"/>
      <c r="O6924" s="650"/>
      <c r="P6924" s="651"/>
      <c r="Q6924" s="651"/>
      <c r="R6924" s="651"/>
      <c r="S6924" s="651"/>
    </row>
    <row r="6925" spans="12:19" ht="15.75" customHeight="1" x14ac:dyDescent="0.35">
      <c r="L6925" s="2"/>
      <c r="M6925" s="2"/>
      <c r="N6925" s="650"/>
      <c r="O6925" s="650"/>
      <c r="P6925" s="651"/>
      <c r="Q6925" s="651"/>
      <c r="R6925" s="651"/>
      <c r="S6925" s="651"/>
    </row>
    <row r="6926" spans="12:19" ht="15.75" customHeight="1" x14ac:dyDescent="0.35">
      <c r="L6926" s="2"/>
      <c r="M6926" s="2"/>
      <c r="N6926" s="650"/>
      <c r="O6926" s="650"/>
      <c r="P6926" s="651"/>
      <c r="Q6926" s="651"/>
      <c r="R6926" s="651"/>
      <c r="S6926" s="651"/>
    </row>
    <row r="6927" spans="12:19" ht="15.75" customHeight="1" x14ac:dyDescent="0.35">
      <c r="L6927" s="2"/>
      <c r="M6927" s="2"/>
      <c r="N6927" s="650"/>
      <c r="O6927" s="650"/>
      <c r="P6927" s="651"/>
      <c r="Q6927" s="651"/>
      <c r="R6927" s="651"/>
      <c r="S6927" s="651"/>
    </row>
    <row r="6928" spans="12:19" ht="15.75" customHeight="1" x14ac:dyDescent="0.35">
      <c r="L6928" s="2"/>
      <c r="M6928" s="2"/>
      <c r="N6928" s="650"/>
      <c r="O6928" s="650"/>
      <c r="P6928" s="651"/>
      <c r="Q6928" s="651"/>
      <c r="R6928" s="651"/>
      <c r="S6928" s="651"/>
    </row>
    <row r="6929" spans="12:19" ht="15.75" customHeight="1" x14ac:dyDescent="0.35">
      <c r="L6929" s="2"/>
      <c r="M6929" s="2"/>
      <c r="N6929" s="650"/>
      <c r="O6929" s="650"/>
      <c r="P6929" s="651"/>
      <c r="Q6929" s="651"/>
      <c r="R6929" s="651"/>
      <c r="S6929" s="651"/>
    </row>
    <row r="6930" spans="12:19" ht="15.75" customHeight="1" x14ac:dyDescent="0.35">
      <c r="L6930" s="2"/>
      <c r="M6930" s="2"/>
      <c r="N6930" s="650"/>
      <c r="O6930" s="650"/>
      <c r="P6930" s="651"/>
      <c r="Q6930" s="651"/>
      <c r="R6930" s="651"/>
      <c r="S6930" s="651"/>
    </row>
    <row r="6931" spans="12:19" ht="15.75" customHeight="1" x14ac:dyDescent="0.35">
      <c r="L6931" s="2"/>
      <c r="M6931" s="2"/>
      <c r="N6931" s="650"/>
      <c r="O6931" s="650"/>
      <c r="P6931" s="651"/>
      <c r="Q6931" s="651"/>
      <c r="R6931" s="651"/>
      <c r="S6931" s="651"/>
    </row>
    <row r="6932" spans="12:19" ht="15.75" customHeight="1" x14ac:dyDescent="0.35">
      <c r="L6932" s="2"/>
      <c r="M6932" s="2"/>
      <c r="N6932" s="650"/>
      <c r="O6932" s="650"/>
      <c r="P6932" s="651"/>
      <c r="Q6932" s="651"/>
      <c r="R6932" s="651"/>
      <c r="S6932" s="651"/>
    </row>
    <row r="6933" spans="12:19" ht="15.75" customHeight="1" x14ac:dyDescent="0.35">
      <c r="L6933" s="2"/>
      <c r="M6933" s="2"/>
      <c r="N6933" s="650"/>
      <c r="O6933" s="650"/>
      <c r="P6933" s="651"/>
      <c r="Q6933" s="651"/>
      <c r="R6933" s="651"/>
      <c r="S6933" s="651"/>
    </row>
    <row r="6934" spans="12:19" ht="15.75" customHeight="1" x14ac:dyDescent="0.35">
      <c r="L6934" s="2"/>
      <c r="M6934" s="2"/>
      <c r="N6934" s="650"/>
      <c r="O6934" s="650"/>
      <c r="P6934" s="651"/>
      <c r="Q6934" s="651"/>
      <c r="R6934" s="651"/>
      <c r="S6934" s="651"/>
    </row>
    <row r="6935" spans="12:19" ht="15.75" customHeight="1" x14ac:dyDescent="0.35">
      <c r="L6935" s="2"/>
      <c r="M6935" s="2"/>
      <c r="N6935" s="650"/>
      <c r="O6935" s="650"/>
      <c r="P6935" s="651"/>
      <c r="Q6935" s="651"/>
      <c r="R6935" s="651"/>
      <c r="S6935" s="651"/>
    </row>
    <row r="6936" spans="12:19" ht="15.75" customHeight="1" x14ac:dyDescent="0.35">
      <c r="L6936" s="2"/>
      <c r="M6936" s="2"/>
      <c r="N6936" s="650"/>
      <c r="O6936" s="650"/>
      <c r="P6936" s="651"/>
      <c r="Q6936" s="651"/>
      <c r="R6936" s="651"/>
      <c r="S6936" s="651"/>
    </row>
    <row r="6937" spans="12:19" ht="15.75" customHeight="1" x14ac:dyDescent="0.35">
      <c r="L6937" s="2"/>
      <c r="M6937" s="2"/>
      <c r="N6937" s="650"/>
      <c r="O6937" s="650"/>
      <c r="P6937" s="651"/>
      <c r="Q6937" s="651"/>
      <c r="R6937" s="651"/>
      <c r="S6937" s="651"/>
    </row>
    <row r="6938" spans="12:19" ht="15.75" customHeight="1" x14ac:dyDescent="0.35">
      <c r="L6938" s="2"/>
      <c r="M6938" s="2"/>
      <c r="N6938" s="650"/>
      <c r="O6938" s="650"/>
      <c r="P6938" s="651"/>
      <c r="Q6938" s="651"/>
      <c r="R6938" s="651"/>
      <c r="S6938" s="651"/>
    </row>
    <row r="6939" spans="12:19" ht="15.75" customHeight="1" x14ac:dyDescent="0.35">
      <c r="L6939" s="2"/>
      <c r="M6939" s="2"/>
      <c r="N6939" s="650"/>
      <c r="O6939" s="650"/>
      <c r="P6939" s="651"/>
      <c r="Q6939" s="651"/>
      <c r="R6939" s="651"/>
      <c r="S6939" s="651"/>
    </row>
    <row r="6940" spans="12:19" ht="15.75" customHeight="1" x14ac:dyDescent="0.35">
      <c r="L6940" s="2"/>
      <c r="M6940" s="2"/>
      <c r="N6940" s="650"/>
      <c r="O6940" s="650"/>
      <c r="P6940" s="651"/>
      <c r="Q6940" s="651"/>
      <c r="R6940" s="651"/>
      <c r="S6940" s="651"/>
    </row>
    <row r="6941" spans="12:19" ht="15.75" customHeight="1" x14ac:dyDescent="0.35">
      <c r="L6941" s="2"/>
      <c r="M6941" s="2"/>
      <c r="N6941" s="650"/>
      <c r="O6941" s="650"/>
      <c r="P6941" s="651"/>
      <c r="Q6941" s="651"/>
      <c r="R6941" s="651"/>
      <c r="S6941" s="651"/>
    </row>
    <row r="6942" spans="12:19" ht="15.75" customHeight="1" x14ac:dyDescent="0.35">
      <c r="L6942" s="2"/>
      <c r="M6942" s="2"/>
      <c r="N6942" s="650"/>
      <c r="O6942" s="650"/>
      <c r="P6942" s="651"/>
      <c r="Q6942" s="651"/>
      <c r="R6942" s="651"/>
      <c r="S6942" s="651"/>
    </row>
    <row r="6943" spans="12:19" ht="15.75" customHeight="1" x14ac:dyDescent="0.35">
      <c r="L6943" s="2"/>
      <c r="M6943" s="2"/>
      <c r="N6943" s="650"/>
      <c r="O6943" s="650"/>
      <c r="P6943" s="651"/>
      <c r="Q6943" s="651"/>
      <c r="R6943" s="651"/>
      <c r="S6943" s="651"/>
    </row>
    <row r="6944" spans="12:19" ht="15.75" customHeight="1" x14ac:dyDescent="0.35">
      <c r="L6944" s="2"/>
      <c r="M6944" s="2"/>
      <c r="N6944" s="650"/>
      <c r="O6944" s="650"/>
      <c r="P6944" s="651"/>
      <c r="Q6944" s="651"/>
      <c r="R6944" s="651"/>
      <c r="S6944" s="651"/>
    </row>
    <row r="6945" spans="12:19" ht="15.75" customHeight="1" x14ac:dyDescent="0.35">
      <c r="L6945" s="2"/>
      <c r="M6945" s="2"/>
      <c r="N6945" s="650"/>
      <c r="O6945" s="650"/>
      <c r="P6945" s="651"/>
      <c r="Q6945" s="651"/>
      <c r="R6945" s="651"/>
      <c r="S6945" s="651"/>
    </row>
    <row r="6946" spans="12:19" ht="15.75" customHeight="1" x14ac:dyDescent="0.35">
      <c r="L6946" s="2"/>
      <c r="M6946" s="2"/>
      <c r="N6946" s="650"/>
      <c r="O6946" s="650"/>
      <c r="P6946" s="651"/>
      <c r="Q6946" s="651"/>
      <c r="R6946" s="651"/>
      <c r="S6946" s="651"/>
    </row>
    <row r="6947" spans="12:19" ht="15.75" customHeight="1" x14ac:dyDescent="0.35">
      <c r="L6947" s="2"/>
      <c r="M6947" s="2"/>
      <c r="N6947" s="650"/>
      <c r="O6947" s="650"/>
      <c r="P6947" s="651"/>
      <c r="Q6947" s="651"/>
      <c r="R6947" s="651"/>
      <c r="S6947" s="651"/>
    </row>
    <row r="6948" spans="12:19" ht="15.75" customHeight="1" x14ac:dyDescent="0.35">
      <c r="L6948" s="2"/>
      <c r="M6948" s="2"/>
      <c r="N6948" s="650"/>
      <c r="O6948" s="650"/>
      <c r="P6948" s="651"/>
      <c r="Q6948" s="651"/>
      <c r="R6948" s="651"/>
      <c r="S6948" s="651"/>
    </row>
    <row r="6949" spans="12:19" ht="15.75" customHeight="1" x14ac:dyDescent="0.35">
      <c r="L6949" s="2"/>
      <c r="M6949" s="2"/>
      <c r="N6949" s="650"/>
      <c r="O6949" s="650"/>
      <c r="P6949" s="651"/>
      <c r="Q6949" s="651"/>
      <c r="R6949" s="651"/>
      <c r="S6949" s="651"/>
    </row>
    <row r="6950" spans="12:19" ht="15.75" customHeight="1" x14ac:dyDescent="0.35">
      <c r="L6950" s="2"/>
      <c r="M6950" s="2"/>
      <c r="N6950" s="650"/>
      <c r="O6950" s="650"/>
      <c r="P6950" s="651"/>
      <c r="Q6950" s="651"/>
      <c r="R6950" s="651"/>
      <c r="S6950" s="651"/>
    </row>
    <row r="6951" spans="12:19" ht="15.75" customHeight="1" x14ac:dyDescent="0.35">
      <c r="L6951" s="2"/>
      <c r="M6951" s="2"/>
      <c r="N6951" s="650"/>
      <c r="O6951" s="650"/>
      <c r="P6951" s="651"/>
      <c r="Q6951" s="651"/>
      <c r="R6951" s="651"/>
      <c r="S6951" s="651"/>
    </row>
    <row r="6952" spans="12:19" ht="15.75" customHeight="1" x14ac:dyDescent="0.35">
      <c r="L6952" s="2"/>
      <c r="M6952" s="2"/>
      <c r="N6952" s="650"/>
      <c r="O6952" s="650"/>
      <c r="P6952" s="651"/>
      <c r="Q6952" s="651"/>
      <c r="R6952" s="651"/>
      <c r="S6952" s="651"/>
    </row>
    <row r="6953" spans="12:19" ht="15.75" customHeight="1" x14ac:dyDescent="0.35">
      <c r="L6953" s="2"/>
      <c r="M6953" s="2"/>
      <c r="N6953" s="650"/>
      <c r="O6953" s="650"/>
      <c r="P6953" s="651"/>
      <c r="Q6953" s="651"/>
      <c r="R6953" s="651"/>
      <c r="S6953" s="651"/>
    </row>
    <row r="6954" spans="12:19" ht="15.75" customHeight="1" x14ac:dyDescent="0.35">
      <c r="L6954" s="2"/>
      <c r="M6954" s="2"/>
      <c r="N6954" s="650"/>
      <c r="O6954" s="650"/>
      <c r="P6954" s="651"/>
      <c r="Q6954" s="651"/>
      <c r="R6954" s="651"/>
      <c r="S6954" s="651"/>
    </row>
    <row r="6955" spans="12:19" ht="15.75" customHeight="1" x14ac:dyDescent="0.35">
      <c r="L6955" s="2"/>
      <c r="M6955" s="2"/>
      <c r="N6955" s="650"/>
      <c r="O6955" s="650"/>
      <c r="P6955" s="651"/>
      <c r="Q6955" s="651"/>
      <c r="R6955" s="651"/>
      <c r="S6955" s="651"/>
    </row>
    <row r="6956" spans="12:19" ht="15.75" customHeight="1" x14ac:dyDescent="0.35">
      <c r="L6956" s="2"/>
      <c r="M6956" s="2"/>
      <c r="N6956" s="650"/>
      <c r="O6956" s="650"/>
      <c r="P6956" s="651"/>
      <c r="Q6956" s="651"/>
      <c r="R6956" s="651"/>
      <c r="S6956" s="651"/>
    </row>
    <row r="6957" spans="12:19" ht="15.75" customHeight="1" x14ac:dyDescent="0.35">
      <c r="L6957" s="2"/>
      <c r="M6957" s="2"/>
      <c r="N6957" s="650"/>
      <c r="O6957" s="650"/>
      <c r="P6957" s="651"/>
      <c r="Q6957" s="651"/>
      <c r="R6957" s="651"/>
      <c r="S6957" s="651"/>
    </row>
    <row r="6958" spans="12:19" ht="15.75" customHeight="1" x14ac:dyDescent="0.35">
      <c r="L6958" s="2"/>
      <c r="M6958" s="2"/>
      <c r="N6958" s="650"/>
      <c r="O6958" s="650"/>
      <c r="P6958" s="651"/>
      <c r="Q6958" s="651"/>
      <c r="R6958" s="651"/>
      <c r="S6958" s="651"/>
    </row>
    <row r="6959" spans="12:19" ht="15.75" customHeight="1" x14ac:dyDescent="0.35">
      <c r="L6959" s="2"/>
      <c r="M6959" s="2"/>
      <c r="N6959" s="650"/>
      <c r="O6959" s="650"/>
      <c r="P6959" s="651"/>
      <c r="Q6959" s="651"/>
      <c r="R6959" s="651"/>
      <c r="S6959" s="651"/>
    </row>
    <row r="6960" spans="12:19" ht="15.75" customHeight="1" x14ac:dyDescent="0.35">
      <c r="L6960" s="2"/>
      <c r="M6960" s="2"/>
      <c r="N6960" s="650"/>
      <c r="O6960" s="650"/>
      <c r="P6960" s="651"/>
      <c r="Q6960" s="651"/>
      <c r="R6960" s="651"/>
      <c r="S6960" s="651"/>
    </row>
    <row r="6961" spans="12:19" ht="15.75" customHeight="1" x14ac:dyDescent="0.35">
      <c r="L6961" s="2"/>
      <c r="M6961" s="2"/>
      <c r="N6961" s="650"/>
      <c r="O6961" s="650"/>
      <c r="P6961" s="651"/>
      <c r="Q6961" s="651"/>
      <c r="R6961" s="651"/>
      <c r="S6961" s="651"/>
    </row>
    <row r="6962" spans="12:19" ht="15.75" customHeight="1" x14ac:dyDescent="0.35">
      <c r="L6962" s="2"/>
      <c r="M6962" s="2"/>
      <c r="N6962" s="650"/>
      <c r="O6962" s="650"/>
      <c r="P6962" s="651"/>
      <c r="Q6962" s="651"/>
      <c r="R6962" s="651"/>
      <c r="S6962" s="651"/>
    </row>
    <row r="6963" spans="12:19" ht="15.75" customHeight="1" x14ac:dyDescent="0.35">
      <c r="L6963" s="2"/>
      <c r="M6963" s="2"/>
      <c r="N6963" s="650"/>
      <c r="O6963" s="650"/>
      <c r="P6963" s="651"/>
      <c r="Q6963" s="651"/>
      <c r="R6963" s="651"/>
      <c r="S6963" s="651"/>
    </row>
    <row r="6964" spans="12:19" ht="15.75" customHeight="1" x14ac:dyDescent="0.35">
      <c r="L6964" s="2"/>
      <c r="M6964" s="2"/>
      <c r="N6964" s="650"/>
      <c r="O6964" s="650"/>
      <c r="P6964" s="651"/>
      <c r="Q6964" s="651"/>
      <c r="R6964" s="651"/>
      <c r="S6964" s="651"/>
    </row>
    <row r="6965" spans="12:19" ht="15.75" customHeight="1" x14ac:dyDescent="0.35">
      <c r="L6965" s="2"/>
      <c r="M6965" s="2"/>
      <c r="N6965" s="650"/>
      <c r="O6965" s="650"/>
      <c r="P6965" s="651"/>
      <c r="Q6965" s="651"/>
      <c r="R6965" s="651"/>
      <c r="S6965" s="651"/>
    </row>
    <row r="6966" spans="12:19" ht="15.75" customHeight="1" x14ac:dyDescent="0.35">
      <c r="L6966" s="2"/>
      <c r="M6966" s="2"/>
      <c r="N6966" s="650"/>
      <c r="O6966" s="650"/>
      <c r="P6966" s="651"/>
      <c r="Q6966" s="651"/>
      <c r="R6966" s="651"/>
      <c r="S6966" s="651"/>
    </row>
    <row r="6967" spans="12:19" ht="15.75" customHeight="1" x14ac:dyDescent="0.35">
      <c r="L6967" s="2"/>
      <c r="M6967" s="2"/>
      <c r="N6967" s="650"/>
      <c r="O6967" s="650"/>
      <c r="P6967" s="651"/>
      <c r="Q6967" s="651"/>
      <c r="R6967" s="651"/>
      <c r="S6967" s="651"/>
    </row>
    <row r="6968" spans="12:19" ht="15.75" customHeight="1" x14ac:dyDescent="0.35">
      <c r="L6968" s="2"/>
      <c r="M6968" s="2"/>
      <c r="N6968" s="650"/>
      <c r="O6968" s="650"/>
      <c r="P6968" s="651"/>
      <c r="Q6968" s="651"/>
      <c r="R6968" s="651"/>
      <c r="S6968" s="651"/>
    </row>
    <row r="6969" spans="12:19" ht="15.75" customHeight="1" x14ac:dyDescent="0.35">
      <c r="L6969" s="2"/>
      <c r="M6969" s="2"/>
      <c r="N6969" s="650"/>
      <c r="O6969" s="650"/>
      <c r="P6969" s="651"/>
      <c r="Q6969" s="651"/>
      <c r="R6969" s="651"/>
      <c r="S6969" s="651"/>
    </row>
    <row r="6970" spans="12:19" ht="15.75" customHeight="1" x14ac:dyDescent="0.35">
      <c r="L6970" s="2"/>
      <c r="M6970" s="2"/>
      <c r="N6970" s="650"/>
      <c r="O6970" s="650"/>
      <c r="P6970" s="651"/>
      <c r="Q6970" s="651"/>
      <c r="R6970" s="651"/>
      <c r="S6970" s="651"/>
    </row>
    <row r="6971" spans="12:19" ht="15.75" customHeight="1" x14ac:dyDescent="0.35">
      <c r="L6971" s="2"/>
      <c r="M6971" s="2"/>
      <c r="N6971" s="650"/>
      <c r="O6971" s="650"/>
      <c r="P6971" s="651"/>
      <c r="Q6971" s="651"/>
      <c r="R6971" s="651"/>
      <c r="S6971" s="651"/>
    </row>
    <row r="6972" spans="12:19" ht="15.75" customHeight="1" x14ac:dyDescent="0.35">
      <c r="L6972" s="2"/>
      <c r="M6972" s="2"/>
      <c r="N6972" s="650"/>
      <c r="O6972" s="650"/>
      <c r="P6972" s="651"/>
      <c r="Q6972" s="651"/>
      <c r="R6972" s="651"/>
      <c r="S6972" s="651"/>
    </row>
    <row r="6973" spans="12:19" ht="15.75" customHeight="1" x14ac:dyDescent="0.35">
      <c r="L6973" s="2"/>
      <c r="M6973" s="2"/>
      <c r="N6973" s="650"/>
      <c r="O6973" s="650"/>
      <c r="P6973" s="651"/>
      <c r="Q6973" s="651"/>
      <c r="R6973" s="651"/>
      <c r="S6973" s="651"/>
    </row>
    <row r="6974" spans="12:19" ht="15.75" customHeight="1" x14ac:dyDescent="0.35">
      <c r="L6974" s="2"/>
      <c r="M6974" s="2"/>
      <c r="N6974" s="650"/>
      <c r="O6974" s="650"/>
      <c r="P6974" s="651"/>
      <c r="Q6974" s="651"/>
      <c r="R6974" s="651"/>
      <c r="S6974" s="651"/>
    </row>
    <row r="6975" spans="12:19" ht="15.75" customHeight="1" x14ac:dyDescent="0.35">
      <c r="L6975" s="2"/>
      <c r="M6975" s="2"/>
      <c r="N6975" s="650"/>
      <c r="O6975" s="650"/>
      <c r="P6975" s="651"/>
      <c r="Q6975" s="651"/>
      <c r="R6975" s="651"/>
      <c r="S6975" s="651"/>
    </row>
    <row r="6976" spans="12:19" ht="15.75" customHeight="1" x14ac:dyDescent="0.35">
      <c r="L6976" s="2"/>
      <c r="M6976" s="2"/>
      <c r="N6976" s="650"/>
      <c r="O6976" s="650"/>
      <c r="P6976" s="651"/>
      <c r="Q6976" s="651"/>
      <c r="R6976" s="651"/>
      <c r="S6976" s="651"/>
    </row>
    <row r="6977" spans="12:19" ht="15.75" customHeight="1" x14ac:dyDescent="0.35">
      <c r="L6977" s="2"/>
      <c r="M6977" s="2"/>
      <c r="N6977" s="650"/>
      <c r="O6977" s="650"/>
      <c r="P6977" s="651"/>
      <c r="Q6977" s="651"/>
      <c r="R6977" s="651"/>
      <c r="S6977" s="651"/>
    </row>
    <row r="6978" spans="12:19" ht="15.75" customHeight="1" x14ac:dyDescent="0.35">
      <c r="L6978" s="2"/>
      <c r="M6978" s="2"/>
      <c r="N6978" s="650"/>
      <c r="O6978" s="650"/>
      <c r="P6978" s="651"/>
      <c r="Q6978" s="651"/>
      <c r="R6978" s="651"/>
      <c r="S6978" s="651"/>
    </row>
    <row r="6979" spans="12:19" ht="15.75" customHeight="1" x14ac:dyDescent="0.35">
      <c r="L6979" s="2"/>
      <c r="M6979" s="2"/>
      <c r="N6979" s="650"/>
      <c r="O6979" s="650"/>
      <c r="P6979" s="651"/>
      <c r="Q6979" s="651"/>
      <c r="R6979" s="651"/>
      <c r="S6979" s="651"/>
    </row>
    <row r="6980" spans="12:19" ht="15.75" customHeight="1" x14ac:dyDescent="0.35">
      <c r="L6980" s="2"/>
      <c r="M6980" s="2"/>
      <c r="N6980" s="650"/>
      <c r="O6980" s="650"/>
      <c r="P6980" s="651"/>
      <c r="Q6980" s="651"/>
      <c r="R6980" s="651"/>
      <c r="S6980" s="651"/>
    </row>
    <row r="6981" spans="12:19" ht="15.75" customHeight="1" x14ac:dyDescent="0.35">
      <c r="L6981" s="2"/>
      <c r="M6981" s="2"/>
      <c r="N6981" s="650"/>
      <c r="O6981" s="650"/>
      <c r="P6981" s="651"/>
      <c r="Q6981" s="651"/>
      <c r="R6981" s="651"/>
      <c r="S6981" s="651"/>
    </row>
    <row r="6982" spans="12:19" ht="15.75" customHeight="1" x14ac:dyDescent="0.35">
      <c r="L6982" s="2"/>
      <c r="M6982" s="2"/>
      <c r="N6982" s="650"/>
      <c r="O6982" s="650"/>
      <c r="P6982" s="651"/>
      <c r="Q6982" s="651"/>
      <c r="R6982" s="651"/>
      <c r="S6982" s="651"/>
    </row>
    <row r="6983" spans="12:19" ht="15.75" customHeight="1" x14ac:dyDescent="0.35">
      <c r="L6983" s="2"/>
      <c r="M6983" s="2"/>
      <c r="N6983" s="650"/>
      <c r="O6983" s="650"/>
      <c r="P6983" s="651"/>
      <c r="Q6983" s="651"/>
      <c r="R6983" s="651"/>
      <c r="S6983" s="651"/>
    </row>
    <row r="6984" spans="12:19" ht="15.75" customHeight="1" x14ac:dyDescent="0.35">
      <c r="L6984" s="2"/>
      <c r="M6984" s="2"/>
      <c r="N6984" s="650"/>
      <c r="O6984" s="650"/>
      <c r="P6984" s="651"/>
      <c r="Q6984" s="651"/>
      <c r="R6984" s="651"/>
      <c r="S6984" s="651"/>
    </row>
    <row r="6985" spans="12:19" ht="15.75" customHeight="1" x14ac:dyDescent="0.35">
      <c r="L6985" s="2"/>
      <c r="M6985" s="2"/>
      <c r="N6985" s="650"/>
      <c r="O6985" s="650"/>
      <c r="P6985" s="651"/>
      <c r="Q6985" s="651"/>
      <c r="R6985" s="651"/>
      <c r="S6985" s="651"/>
    </row>
    <row r="6986" spans="12:19" ht="15.75" customHeight="1" x14ac:dyDescent="0.35">
      <c r="L6986" s="2"/>
      <c r="M6986" s="2"/>
      <c r="N6986" s="650"/>
      <c r="O6986" s="650"/>
      <c r="P6986" s="651"/>
      <c r="Q6986" s="651"/>
      <c r="R6986" s="651"/>
      <c r="S6986" s="651"/>
    </row>
    <row r="6987" spans="12:19" ht="15.75" customHeight="1" x14ac:dyDescent="0.35">
      <c r="L6987" s="2"/>
      <c r="M6987" s="2"/>
      <c r="N6987" s="650"/>
      <c r="O6987" s="650"/>
      <c r="P6987" s="651"/>
      <c r="Q6987" s="651"/>
      <c r="R6987" s="651"/>
      <c r="S6987" s="651"/>
    </row>
    <row r="6988" spans="12:19" ht="15.75" customHeight="1" x14ac:dyDescent="0.35">
      <c r="L6988" s="2"/>
      <c r="M6988" s="2"/>
      <c r="N6988" s="650"/>
      <c r="O6988" s="650"/>
      <c r="P6988" s="651"/>
      <c r="Q6988" s="651"/>
      <c r="R6988" s="651"/>
      <c r="S6988" s="651"/>
    </row>
    <row r="6989" spans="12:19" ht="15.75" customHeight="1" x14ac:dyDescent="0.35">
      <c r="L6989" s="2"/>
      <c r="M6989" s="2"/>
      <c r="N6989" s="650"/>
      <c r="O6989" s="650"/>
      <c r="P6989" s="651"/>
      <c r="Q6989" s="651"/>
      <c r="R6989" s="651"/>
      <c r="S6989" s="651"/>
    </row>
    <row r="6990" spans="12:19" ht="15.75" customHeight="1" x14ac:dyDescent="0.35">
      <c r="L6990" s="2"/>
      <c r="M6990" s="2"/>
      <c r="N6990" s="650"/>
      <c r="O6990" s="650"/>
      <c r="P6990" s="651"/>
      <c r="Q6990" s="651"/>
      <c r="R6990" s="651"/>
      <c r="S6990" s="651"/>
    </row>
    <row r="6991" spans="12:19" ht="15.75" customHeight="1" x14ac:dyDescent="0.35">
      <c r="L6991" s="2"/>
      <c r="M6991" s="2"/>
      <c r="N6991" s="650"/>
      <c r="O6991" s="650"/>
      <c r="P6991" s="651"/>
      <c r="Q6991" s="651"/>
      <c r="R6991" s="651"/>
      <c r="S6991" s="651"/>
    </row>
    <row r="6992" spans="12:19" ht="15.75" customHeight="1" x14ac:dyDescent="0.35">
      <c r="L6992" s="2"/>
      <c r="M6992" s="2"/>
      <c r="N6992" s="650"/>
      <c r="O6992" s="650"/>
      <c r="P6992" s="651"/>
      <c r="Q6992" s="651"/>
      <c r="R6992" s="651"/>
      <c r="S6992" s="651"/>
    </row>
    <row r="6993" spans="12:19" ht="15.75" customHeight="1" x14ac:dyDescent="0.35">
      <c r="L6993" s="2"/>
      <c r="M6993" s="2"/>
      <c r="N6993" s="650"/>
      <c r="O6993" s="650"/>
      <c r="P6993" s="651"/>
      <c r="Q6993" s="651"/>
      <c r="R6993" s="651"/>
      <c r="S6993" s="651"/>
    </row>
    <row r="6994" spans="12:19" ht="15.75" customHeight="1" x14ac:dyDescent="0.35">
      <c r="L6994" s="2"/>
      <c r="M6994" s="2"/>
      <c r="N6994" s="650"/>
      <c r="O6994" s="650"/>
      <c r="P6994" s="651"/>
      <c r="Q6994" s="651"/>
      <c r="R6994" s="651"/>
      <c r="S6994" s="651"/>
    </row>
    <row r="6995" spans="12:19" ht="15.75" customHeight="1" x14ac:dyDescent="0.35">
      <c r="L6995" s="2"/>
      <c r="M6995" s="2"/>
      <c r="N6995" s="650"/>
      <c r="O6995" s="650"/>
      <c r="P6995" s="651"/>
      <c r="Q6995" s="651"/>
      <c r="R6995" s="651"/>
      <c r="S6995" s="651"/>
    </row>
    <row r="6996" spans="12:19" ht="15.75" customHeight="1" x14ac:dyDescent="0.35">
      <c r="L6996" s="2"/>
      <c r="M6996" s="2"/>
      <c r="N6996" s="650"/>
      <c r="O6996" s="650"/>
      <c r="P6996" s="651"/>
      <c r="Q6996" s="651"/>
      <c r="R6996" s="651"/>
      <c r="S6996" s="651"/>
    </row>
    <row r="6997" spans="12:19" ht="15.75" customHeight="1" x14ac:dyDescent="0.35">
      <c r="L6997" s="2"/>
      <c r="M6997" s="2"/>
      <c r="N6997" s="650"/>
      <c r="O6997" s="650"/>
      <c r="P6997" s="651"/>
      <c r="Q6997" s="651"/>
      <c r="R6997" s="651"/>
      <c r="S6997" s="651"/>
    </row>
    <row r="6998" spans="12:19" ht="15.75" customHeight="1" x14ac:dyDescent="0.35">
      <c r="L6998" s="2"/>
      <c r="M6998" s="2"/>
      <c r="N6998" s="650"/>
      <c r="O6998" s="650"/>
      <c r="P6998" s="651"/>
      <c r="Q6998" s="651"/>
      <c r="R6998" s="651"/>
      <c r="S6998" s="651"/>
    </row>
    <row r="6999" spans="12:19" ht="15.75" customHeight="1" x14ac:dyDescent="0.35">
      <c r="L6999" s="2"/>
      <c r="M6999" s="2"/>
      <c r="N6999" s="650"/>
      <c r="O6999" s="650"/>
      <c r="P6999" s="651"/>
      <c r="Q6999" s="651"/>
      <c r="R6999" s="651"/>
      <c r="S6999" s="651"/>
    </row>
    <row r="7000" spans="12:19" ht="15.75" customHeight="1" x14ac:dyDescent="0.35">
      <c r="L7000" s="2"/>
      <c r="M7000" s="2"/>
      <c r="N7000" s="650"/>
      <c r="O7000" s="650"/>
      <c r="P7000" s="651"/>
      <c r="Q7000" s="651"/>
      <c r="R7000" s="651"/>
      <c r="S7000" s="651"/>
    </row>
    <row r="7001" spans="12:19" ht="15.75" customHeight="1" x14ac:dyDescent="0.35">
      <c r="L7001" s="2"/>
      <c r="M7001" s="2"/>
      <c r="N7001" s="650"/>
      <c r="O7001" s="650"/>
      <c r="P7001" s="651"/>
      <c r="Q7001" s="651"/>
      <c r="R7001" s="651"/>
      <c r="S7001" s="651"/>
    </row>
    <row r="7002" spans="12:19" ht="15.75" customHeight="1" x14ac:dyDescent="0.35">
      <c r="L7002" s="2"/>
      <c r="M7002" s="2"/>
      <c r="N7002" s="650"/>
      <c r="O7002" s="650"/>
      <c r="P7002" s="651"/>
      <c r="Q7002" s="651"/>
      <c r="R7002" s="651"/>
      <c r="S7002" s="651"/>
    </row>
    <row r="7003" spans="12:19" ht="15.75" customHeight="1" x14ac:dyDescent="0.35">
      <c r="L7003" s="2"/>
      <c r="M7003" s="2"/>
      <c r="N7003" s="650"/>
      <c r="O7003" s="650"/>
      <c r="P7003" s="651"/>
      <c r="Q7003" s="651"/>
      <c r="R7003" s="651"/>
      <c r="S7003" s="651"/>
    </row>
    <row r="7004" spans="12:19" ht="15.75" customHeight="1" x14ac:dyDescent="0.35">
      <c r="L7004" s="2"/>
      <c r="M7004" s="2"/>
      <c r="N7004" s="650"/>
      <c r="O7004" s="650"/>
      <c r="P7004" s="651"/>
      <c r="Q7004" s="651"/>
      <c r="R7004" s="651"/>
      <c r="S7004" s="651"/>
    </row>
    <row r="7005" spans="12:19" ht="15.75" customHeight="1" x14ac:dyDescent="0.35">
      <c r="L7005" s="2"/>
      <c r="M7005" s="2"/>
      <c r="N7005" s="650"/>
      <c r="O7005" s="650"/>
      <c r="P7005" s="651"/>
      <c r="Q7005" s="651"/>
      <c r="R7005" s="651"/>
      <c r="S7005" s="651"/>
    </row>
    <row r="7006" spans="12:19" ht="15.75" customHeight="1" x14ac:dyDescent="0.35">
      <c r="L7006" s="2"/>
      <c r="M7006" s="2"/>
      <c r="N7006" s="650"/>
      <c r="O7006" s="650"/>
      <c r="P7006" s="651"/>
      <c r="Q7006" s="651"/>
      <c r="R7006" s="651"/>
      <c r="S7006" s="651"/>
    </row>
    <row r="7007" spans="12:19" ht="15.75" customHeight="1" x14ac:dyDescent="0.35">
      <c r="L7007" s="2"/>
      <c r="M7007" s="2"/>
      <c r="N7007" s="650"/>
      <c r="O7007" s="650"/>
      <c r="P7007" s="651"/>
      <c r="Q7007" s="651"/>
      <c r="R7007" s="651"/>
      <c r="S7007" s="651"/>
    </row>
    <row r="7008" spans="12:19" ht="15.75" customHeight="1" x14ac:dyDescent="0.35">
      <c r="L7008" s="2"/>
      <c r="M7008" s="2"/>
      <c r="N7008" s="650"/>
      <c r="O7008" s="650"/>
      <c r="P7008" s="651"/>
      <c r="Q7008" s="651"/>
      <c r="R7008" s="651"/>
      <c r="S7008" s="651"/>
    </row>
    <row r="7009" spans="12:19" ht="15.75" customHeight="1" x14ac:dyDescent="0.35">
      <c r="L7009" s="2"/>
      <c r="M7009" s="2"/>
      <c r="N7009" s="650"/>
      <c r="O7009" s="650"/>
      <c r="P7009" s="651"/>
      <c r="Q7009" s="651"/>
      <c r="R7009" s="651"/>
      <c r="S7009" s="651"/>
    </row>
    <row r="7010" spans="12:19" ht="15.75" customHeight="1" x14ac:dyDescent="0.35">
      <c r="L7010" s="2"/>
      <c r="M7010" s="2"/>
      <c r="N7010" s="650"/>
      <c r="O7010" s="650"/>
      <c r="P7010" s="651"/>
      <c r="Q7010" s="651"/>
      <c r="R7010" s="651"/>
      <c r="S7010" s="651"/>
    </row>
    <row r="7011" spans="12:19" ht="15.75" customHeight="1" x14ac:dyDescent="0.35">
      <c r="L7011" s="2"/>
      <c r="M7011" s="2"/>
      <c r="N7011" s="650"/>
      <c r="O7011" s="650"/>
      <c r="P7011" s="651"/>
      <c r="Q7011" s="651"/>
      <c r="R7011" s="651"/>
      <c r="S7011" s="651"/>
    </row>
    <row r="7012" spans="12:19" ht="15.75" customHeight="1" x14ac:dyDescent="0.35">
      <c r="L7012" s="2"/>
      <c r="M7012" s="2"/>
      <c r="N7012" s="650"/>
      <c r="O7012" s="650"/>
      <c r="P7012" s="651"/>
      <c r="Q7012" s="651"/>
      <c r="R7012" s="651"/>
      <c r="S7012" s="651"/>
    </row>
    <row r="7013" spans="12:19" ht="15.75" customHeight="1" x14ac:dyDescent="0.35">
      <c r="L7013" s="2"/>
      <c r="M7013" s="2"/>
      <c r="N7013" s="650"/>
      <c r="O7013" s="650"/>
      <c r="P7013" s="651"/>
      <c r="Q7013" s="651"/>
      <c r="R7013" s="651"/>
      <c r="S7013" s="651"/>
    </row>
    <row r="7014" spans="12:19" ht="15.75" customHeight="1" x14ac:dyDescent="0.35">
      <c r="L7014" s="2"/>
      <c r="M7014" s="2"/>
      <c r="N7014" s="650"/>
      <c r="O7014" s="650"/>
      <c r="P7014" s="651"/>
      <c r="Q7014" s="651"/>
      <c r="R7014" s="651"/>
      <c r="S7014" s="651"/>
    </row>
    <row r="7015" spans="12:19" ht="15.75" customHeight="1" x14ac:dyDescent="0.35">
      <c r="L7015" s="2"/>
      <c r="M7015" s="2"/>
      <c r="N7015" s="650"/>
      <c r="O7015" s="650"/>
      <c r="P7015" s="651"/>
      <c r="Q7015" s="651"/>
      <c r="R7015" s="651"/>
      <c r="S7015" s="651"/>
    </row>
    <row r="7016" spans="12:19" ht="15.75" customHeight="1" x14ac:dyDescent="0.35">
      <c r="L7016" s="2"/>
      <c r="M7016" s="2"/>
      <c r="N7016" s="650"/>
      <c r="O7016" s="650"/>
      <c r="P7016" s="651"/>
      <c r="Q7016" s="651"/>
      <c r="R7016" s="651"/>
      <c r="S7016" s="651"/>
    </row>
    <row r="7017" spans="12:19" ht="15.75" customHeight="1" x14ac:dyDescent="0.35">
      <c r="L7017" s="2"/>
      <c r="M7017" s="2"/>
      <c r="N7017" s="650"/>
      <c r="O7017" s="650"/>
      <c r="P7017" s="651"/>
      <c r="Q7017" s="651"/>
      <c r="R7017" s="651"/>
      <c r="S7017" s="651"/>
    </row>
    <row r="7018" spans="12:19" ht="15.75" customHeight="1" x14ac:dyDescent="0.35">
      <c r="L7018" s="2"/>
      <c r="M7018" s="2"/>
      <c r="N7018" s="650"/>
      <c r="O7018" s="650"/>
      <c r="P7018" s="651"/>
      <c r="Q7018" s="651"/>
      <c r="R7018" s="651"/>
      <c r="S7018" s="651"/>
    </row>
    <row r="7019" spans="12:19" ht="15.75" customHeight="1" x14ac:dyDescent="0.35">
      <c r="L7019" s="2"/>
      <c r="M7019" s="2"/>
      <c r="N7019" s="650"/>
      <c r="O7019" s="650"/>
      <c r="P7019" s="651"/>
      <c r="Q7019" s="651"/>
      <c r="R7019" s="651"/>
      <c r="S7019" s="651"/>
    </row>
    <row r="7020" spans="12:19" ht="15.75" customHeight="1" x14ac:dyDescent="0.35">
      <c r="L7020" s="2"/>
      <c r="M7020" s="2"/>
      <c r="N7020" s="650"/>
      <c r="O7020" s="650"/>
      <c r="P7020" s="651"/>
      <c r="Q7020" s="651"/>
      <c r="R7020" s="651"/>
      <c r="S7020" s="651"/>
    </row>
    <row r="7021" spans="12:19" ht="15.75" customHeight="1" x14ac:dyDescent="0.35">
      <c r="L7021" s="2"/>
      <c r="M7021" s="2"/>
      <c r="N7021" s="650"/>
      <c r="O7021" s="650"/>
      <c r="P7021" s="651"/>
      <c r="Q7021" s="651"/>
      <c r="R7021" s="651"/>
      <c r="S7021" s="651"/>
    </row>
    <row r="7022" spans="12:19" ht="15.75" customHeight="1" x14ac:dyDescent="0.35">
      <c r="L7022" s="2"/>
      <c r="M7022" s="2"/>
      <c r="N7022" s="650"/>
      <c r="O7022" s="650"/>
      <c r="P7022" s="651"/>
      <c r="Q7022" s="651"/>
      <c r="R7022" s="651"/>
      <c r="S7022" s="651"/>
    </row>
    <row r="7023" spans="12:19" ht="15.75" customHeight="1" x14ac:dyDescent="0.35">
      <c r="L7023" s="2"/>
      <c r="M7023" s="2"/>
      <c r="N7023" s="650"/>
      <c r="O7023" s="650"/>
      <c r="P7023" s="651"/>
      <c r="Q7023" s="651"/>
      <c r="R7023" s="651"/>
      <c r="S7023" s="651"/>
    </row>
    <row r="7024" spans="12:19" ht="15.75" customHeight="1" x14ac:dyDescent="0.35">
      <c r="L7024" s="2"/>
      <c r="M7024" s="2"/>
      <c r="N7024" s="650"/>
      <c r="O7024" s="650"/>
      <c r="P7024" s="651"/>
      <c r="Q7024" s="651"/>
      <c r="R7024" s="651"/>
      <c r="S7024" s="651"/>
    </row>
    <row r="7025" spans="12:19" ht="15.75" customHeight="1" x14ac:dyDescent="0.35">
      <c r="L7025" s="2"/>
      <c r="M7025" s="2"/>
      <c r="N7025" s="650"/>
      <c r="O7025" s="650"/>
      <c r="P7025" s="651"/>
      <c r="Q7025" s="651"/>
      <c r="R7025" s="651"/>
      <c r="S7025" s="651"/>
    </row>
    <row r="7026" spans="12:19" ht="15.75" customHeight="1" x14ac:dyDescent="0.35">
      <c r="L7026" s="2"/>
      <c r="M7026" s="2"/>
      <c r="N7026" s="650"/>
      <c r="O7026" s="650"/>
      <c r="P7026" s="651"/>
      <c r="Q7026" s="651"/>
      <c r="R7026" s="651"/>
      <c r="S7026" s="651"/>
    </row>
    <row r="7027" spans="12:19" ht="15.75" customHeight="1" x14ac:dyDescent="0.35">
      <c r="L7027" s="2"/>
      <c r="M7027" s="2"/>
      <c r="N7027" s="650"/>
      <c r="O7027" s="650"/>
      <c r="P7027" s="651"/>
      <c r="Q7027" s="651"/>
      <c r="R7027" s="651"/>
      <c r="S7027" s="651"/>
    </row>
    <row r="7028" spans="12:19" ht="15.75" customHeight="1" x14ac:dyDescent="0.35">
      <c r="L7028" s="2"/>
      <c r="M7028" s="2"/>
      <c r="N7028" s="650"/>
      <c r="O7028" s="650"/>
      <c r="P7028" s="651"/>
      <c r="Q7028" s="651"/>
      <c r="R7028" s="651"/>
      <c r="S7028" s="651"/>
    </row>
    <row r="7029" spans="12:19" ht="15.75" customHeight="1" x14ac:dyDescent="0.35">
      <c r="L7029" s="2"/>
      <c r="M7029" s="2"/>
      <c r="N7029" s="650"/>
      <c r="O7029" s="650"/>
      <c r="P7029" s="651"/>
      <c r="Q7029" s="651"/>
      <c r="R7029" s="651"/>
      <c r="S7029" s="651"/>
    </row>
    <row r="7030" spans="12:19" ht="15.75" customHeight="1" x14ac:dyDescent="0.35">
      <c r="L7030" s="2"/>
      <c r="M7030" s="2"/>
      <c r="N7030" s="650"/>
      <c r="O7030" s="650"/>
      <c r="P7030" s="651"/>
      <c r="Q7030" s="651"/>
      <c r="R7030" s="651"/>
      <c r="S7030" s="651"/>
    </row>
    <row r="7031" spans="12:19" ht="15.75" customHeight="1" x14ac:dyDescent="0.35">
      <c r="L7031" s="2"/>
      <c r="M7031" s="2"/>
      <c r="N7031" s="650"/>
      <c r="O7031" s="650"/>
      <c r="P7031" s="651"/>
      <c r="Q7031" s="651"/>
      <c r="R7031" s="651"/>
      <c r="S7031" s="651"/>
    </row>
    <row r="7032" spans="12:19" ht="15.75" customHeight="1" x14ac:dyDescent="0.35">
      <c r="L7032" s="2"/>
      <c r="M7032" s="2"/>
      <c r="N7032" s="650"/>
      <c r="O7032" s="650"/>
      <c r="P7032" s="651"/>
      <c r="Q7032" s="651"/>
      <c r="R7032" s="651"/>
      <c r="S7032" s="651"/>
    </row>
    <row r="7033" spans="12:19" ht="15.75" customHeight="1" x14ac:dyDescent="0.35">
      <c r="L7033" s="2"/>
      <c r="M7033" s="2"/>
      <c r="N7033" s="650"/>
      <c r="O7033" s="650"/>
      <c r="P7033" s="651"/>
      <c r="Q7033" s="651"/>
      <c r="R7033" s="651"/>
      <c r="S7033" s="651"/>
    </row>
    <row r="7034" spans="12:19" ht="15.75" customHeight="1" x14ac:dyDescent="0.35">
      <c r="L7034" s="2"/>
      <c r="M7034" s="2"/>
      <c r="N7034" s="650"/>
      <c r="O7034" s="650"/>
      <c r="P7034" s="651"/>
      <c r="Q7034" s="651"/>
      <c r="R7034" s="651"/>
      <c r="S7034" s="651"/>
    </row>
    <row r="7035" spans="12:19" ht="15.75" customHeight="1" x14ac:dyDescent="0.35">
      <c r="L7035" s="2"/>
      <c r="M7035" s="2"/>
      <c r="N7035" s="650"/>
      <c r="O7035" s="650"/>
      <c r="P7035" s="651"/>
      <c r="Q7035" s="651"/>
      <c r="R7035" s="651"/>
      <c r="S7035" s="651"/>
    </row>
    <row r="7036" spans="12:19" ht="15.75" customHeight="1" x14ac:dyDescent="0.35">
      <c r="L7036" s="2"/>
      <c r="M7036" s="2"/>
      <c r="N7036" s="650"/>
      <c r="O7036" s="650"/>
      <c r="P7036" s="651"/>
      <c r="Q7036" s="651"/>
      <c r="R7036" s="651"/>
      <c r="S7036" s="651"/>
    </row>
    <row r="7037" spans="12:19" ht="15.75" customHeight="1" x14ac:dyDescent="0.35">
      <c r="L7037" s="2"/>
      <c r="M7037" s="2"/>
      <c r="N7037" s="650"/>
      <c r="O7037" s="650"/>
      <c r="P7037" s="651"/>
      <c r="Q7037" s="651"/>
      <c r="R7037" s="651"/>
      <c r="S7037" s="651"/>
    </row>
    <row r="7038" spans="12:19" ht="15.75" customHeight="1" x14ac:dyDescent="0.35">
      <c r="L7038" s="2"/>
      <c r="M7038" s="2"/>
      <c r="N7038" s="650"/>
      <c r="O7038" s="650"/>
      <c r="P7038" s="651"/>
      <c r="Q7038" s="651"/>
      <c r="R7038" s="651"/>
      <c r="S7038" s="651"/>
    </row>
    <row r="7039" spans="12:19" ht="15.75" customHeight="1" x14ac:dyDescent="0.35">
      <c r="L7039" s="2"/>
      <c r="M7039" s="2"/>
      <c r="N7039" s="650"/>
      <c r="O7039" s="650"/>
      <c r="P7039" s="651"/>
      <c r="Q7039" s="651"/>
      <c r="R7039" s="651"/>
      <c r="S7039" s="651"/>
    </row>
    <row r="7040" spans="12:19" ht="15.75" customHeight="1" x14ac:dyDescent="0.35">
      <c r="L7040" s="2"/>
      <c r="M7040" s="2"/>
      <c r="N7040" s="650"/>
      <c r="O7040" s="650"/>
      <c r="P7040" s="651"/>
      <c r="Q7040" s="651"/>
      <c r="R7040" s="651"/>
      <c r="S7040" s="651"/>
    </row>
    <row r="7041" spans="12:19" ht="15.75" customHeight="1" x14ac:dyDescent="0.35">
      <c r="L7041" s="2"/>
      <c r="M7041" s="2"/>
      <c r="N7041" s="650"/>
      <c r="O7041" s="650"/>
      <c r="P7041" s="651"/>
      <c r="Q7041" s="651"/>
      <c r="R7041" s="651"/>
      <c r="S7041" s="651"/>
    </row>
    <row r="7042" spans="12:19" ht="15.75" customHeight="1" x14ac:dyDescent="0.35">
      <c r="L7042" s="2"/>
      <c r="M7042" s="2"/>
      <c r="N7042" s="650"/>
      <c r="O7042" s="650"/>
      <c r="P7042" s="651"/>
      <c r="Q7042" s="651"/>
      <c r="R7042" s="651"/>
      <c r="S7042" s="651"/>
    </row>
    <row r="7043" spans="12:19" ht="15.75" customHeight="1" x14ac:dyDescent="0.35">
      <c r="L7043" s="2"/>
      <c r="M7043" s="2"/>
      <c r="N7043" s="650"/>
      <c r="O7043" s="650"/>
      <c r="P7043" s="651"/>
      <c r="Q7043" s="651"/>
      <c r="R7043" s="651"/>
      <c r="S7043" s="651"/>
    </row>
    <row r="7044" spans="12:19" ht="15.75" customHeight="1" x14ac:dyDescent="0.35">
      <c r="L7044" s="2"/>
      <c r="M7044" s="2"/>
      <c r="N7044" s="650"/>
      <c r="O7044" s="650"/>
      <c r="P7044" s="651"/>
      <c r="Q7044" s="651"/>
      <c r="R7044" s="651"/>
      <c r="S7044" s="651"/>
    </row>
    <row r="7045" spans="12:19" ht="15.75" customHeight="1" x14ac:dyDescent="0.35">
      <c r="L7045" s="2"/>
      <c r="M7045" s="2"/>
      <c r="N7045" s="650"/>
      <c r="O7045" s="650"/>
      <c r="P7045" s="651"/>
      <c r="Q7045" s="651"/>
      <c r="R7045" s="651"/>
      <c r="S7045" s="651"/>
    </row>
    <row r="7046" spans="12:19" ht="15.75" customHeight="1" x14ac:dyDescent="0.35">
      <c r="L7046" s="2"/>
      <c r="M7046" s="2"/>
      <c r="N7046" s="650"/>
      <c r="O7046" s="650"/>
      <c r="P7046" s="651"/>
      <c r="Q7046" s="651"/>
      <c r="R7046" s="651"/>
      <c r="S7046" s="651"/>
    </row>
    <row r="7047" spans="12:19" ht="15.75" customHeight="1" x14ac:dyDescent="0.35">
      <c r="L7047" s="2"/>
      <c r="M7047" s="2"/>
      <c r="N7047" s="650"/>
      <c r="O7047" s="650"/>
      <c r="P7047" s="651"/>
      <c r="Q7047" s="651"/>
      <c r="R7047" s="651"/>
      <c r="S7047" s="651"/>
    </row>
    <row r="7048" spans="12:19" ht="15.75" customHeight="1" x14ac:dyDescent="0.35">
      <c r="L7048" s="2"/>
      <c r="M7048" s="2"/>
      <c r="N7048" s="650"/>
      <c r="O7048" s="650"/>
      <c r="P7048" s="651"/>
      <c r="Q7048" s="651"/>
      <c r="R7048" s="651"/>
      <c r="S7048" s="651"/>
    </row>
    <row r="7049" spans="12:19" ht="15.75" customHeight="1" x14ac:dyDescent="0.35">
      <c r="L7049" s="2"/>
      <c r="M7049" s="2"/>
      <c r="N7049" s="650"/>
      <c r="O7049" s="650"/>
      <c r="P7049" s="651"/>
      <c r="Q7049" s="651"/>
      <c r="R7049" s="651"/>
      <c r="S7049" s="651"/>
    </row>
    <row r="7050" spans="12:19" ht="15.75" customHeight="1" x14ac:dyDescent="0.35">
      <c r="L7050" s="2"/>
      <c r="M7050" s="2"/>
      <c r="N7050" s="650"/>
      <c r="O7050" s="650"/>
      <c r="P7050" s="651"/>
      <c r="Q7050" s="651"/>
      <c r="R7050" s="651"/>
      <c r="S7050" s="651"/>
    </row>
    <row r="7051" spans="12:19" ht="15.75" customHeight="1" x14ac:dyDescent="0.35">
      <c r="L7051" s="2"/>
      <c r="M7051" s="2"/>
      <c r="N7051" s="650"/>
      <c r="O7051" s="650"/>
      <c r="P7051" s="651"/>
      <c r="Q7051" s="651"/>
      <c r="R7051" s="651"/>
      <c r="S7051" s="651"/>
    </row>
    <row r="7052" spans="12:19" ht="15.75" customHeight="1" x14ac:dyDescent="0.35">
      <c r="L7052" s="2"/>
      <c r="M7052" s="2"/>
      <c r="N7052" s="650"/>
      <c r="O7052" s="650"/>
      <c r="P7052" s="651"/>
      <c r="Q7052" s="651"/>
      <c r="R7052" s="651"/>
      <c r="S7052" s="651"/>
    </row>
    <row r="7053" spans="12:19" ht="15.75" customHeight="1" x14ac:dyDescent="0.35">
      <c r="L7053" s="2"/>
      <c r="M7053" s="2"/>
      <c r="N7053" s="650"/>
      <c r="O7053" s="650"/>
      <c r="P7053" s="651"/>
      <c r="Q7053" s="651"/>
      <c r="R7053" s="651"/>
      <c r="S7053" s="651"/>
    </row>
    <row r="7054" spans="12:19" ht="15.75" customHeight="1" x14ac:dyDescent="0.35">
      <c r="L7054" s="2"/>
      <c r="M7054" s="2"/>
      <c r="N7054" s="650"/>
      <c r="O7054" s="650"/>
      <c r="P7054" s="651"/>
      <c r="Q7054" s="651"/>
      <c r="R7054" s="651"/>
      <c r="S7054" s="651"/>
    </row>
    <row r="7055" spans="12:19" ht="15.75" customHeight="1" x14ac:dyDescent="0.35">
      <c r="L7055" s="2"/>
      <c r="M7055" s="2"/>
      <c r="N7055" s="650"/>
      <c r="O7055" s="650"/>
      <c r="P7055" s="651"/>
      <c r="Q7055" s="651"/>
      <c r="R7055" s="651"/>
      <c r="S7055" s="651"/>
    </row>
    <row r="7056" spans="12:19" ht="15.75" customHeight="1" x14ac:dyDescent="0.35">
      <c r="L7056" s="2"/>
      <c r="M7056" s="2"/>
      <c r="N7056" s="650"/>
      <c r="O7056" s="650"/>
      <c r="P7056" s="651"/>
      <c r="Q7056" s="651"/>
      <c r="R7056" s="651"/>
      <c r="S7056" s="651"/>
    </row>
    <row r="7057" spans="12:19" ht="15.75" customHeight="1" x14ac:dyDescent="0.35">
      <c r="L7057" s="2"/>
      <c r="M7057" s="2"/>
      <c r="N7057" s="650"/>
      <c r="O7057" s="650"/>
      <c r="P7057" s="651"/>
      <c r="Q7057" s="651"/>
      <c r="R7057" s="651"/>
      <c r="S7057" s="651"/>
    </row>
    <row r="7058" spans="12:19" ht="15.75" customHeight="1" x14ac:dyDescent="0.35">
      <c r="L7058" s="2"/>
      <c r="M7058" s="2"/>
      <c r="N7058" s="650"/>
      <c r="O7058" s="650"/>
      <c r="P7058" s="651"/>
      <c r="Q7058" s="651"/>
      <c r="R7058" s="651"/>
      <c r="S7058" s="651"/>
    </row>
    <row r="7059" spans="12:19" ht="15.75" customHeight="1" x14ac:dyDescent="0.35">
      <c r="L7059" s="2"/>
      <c r="M7059" s="2"/>
      <c r="N7059" s="650"/>
      <c r="O7059" s="650"/>
      <c r="P7059" s="651"/>
      <c r="Q7059" s="651"/>
      <c r="R7059" s="651"/>
      <c r="S7059" s="651"/>
    </row>
    <row r="7060" spans="12:19" ht="15.75" customHeight="1" x14ac:dyDescent="0.35">
      <c r="L7060" s="2"/>
      <c r="M7060" s="2"/>
      <c r="N7060" s="650"/>
      <c r="O7060" s="650"/>
      <c r="P7060" s="651"/>
      <c r="Q7060" s="651"/>
      <c r="R7060" s="651"/>
      <c r="S7060" s="651"/>
    </row>
    <row r="7061" spans="12:19" ht="15.75" customHeight="1" x14ac:dyDescent="0.35">
      <c r="L7061" s="2"/>
      <c r="M7061" s="2"/>
      <c r="N7061" s="650"/>
      <c r="O7061" s="650"/>
      <c r="P7061" s="651"/>
      <c r="Q7061" s="651"/>
      <c r="R7061" s="651"/>
      <c r="S7061" s="651"/>
    </row>
    <row r="7062" spans="12:19" ht="15.75" customHeight="1" x14ac:dyDescent="0.35">
      <c r="L7062" s="2"/>
      <c r="M7062" s="2"/>
      <c r="N7062" s="650"/>
      <c r="O7062" s="650"/>
      <c r="P7062" s="651"/>
      <c r="Q7062" s="651"/>
      <c r="R7062" s="651"/>
      <c r="S7062" s="651"/>
    </row>
    <row r="7063" spans="12:19" ht="15.75" customHeight="1" x14ac:dyDescent="0.35">
      <c r="L7063" s="2"/>
      <c r="M7063" s="2"/>
      <c r="N7063" s="650"/>
      <c r="O7063" s="650"/>
      <c r="P7063" s="651"/>
      <c r="Q7063" s="651"/>
      <c r="R7063" s="651"/>
      <c r="S7063" s="651"/>
    </row>
    <row r="7064" spans="12:19" ht="15.75" customHeight="1" x14ac:dyDescent="0.35">
      <c r="L7064" s="2"/>
      <c r="M7064" s="2"/>
      <c r="N7064" s="650"/>
      <c r="O7064" s="650"/>
      <c r="P7064" s="651"/>
      <c r="Q7064" s="651"/>
      <c r="R7064" s="651"/>
      <c r="S7064" s="651"/>
    </row>
    <row r="7065" spans="12:19" ht="15.75" customHeight="1" x14ac:dyDescent="0.35">
      <c r="L7065" s="2"/>
      <c r="M7065" s="2"/>
      <c r="N7065" s="650"/>
      <c r="O7065" s="650"/>
      <c r="P7065" s="651"/>
      <c r="Q7065" s="651"/>
      <c r="R7065" s="651"/>
      <c r="S7065" s="651"/>
    </row>
    <row r="7066" spans="12:19" ht="15.75" customHeight="1" x14ac:dyDescent="0.35">
      <c r="L7066" s="2"/>
      <c r="M7066" s="2"/>
      <c r="N7066" s="650"/>
      <c r="O7066" s="650"/>
      <c r="P7066" s="651"/>
      <c r="Q7066" s="651"/>
      <c r="R7066" s="651"/>
      <c r="S7066" s="651"/>
    </row>
    <row r="7067" spans="12:19" ht="15.75" customHeight="1" x14ac:dyDescent="0.35">
      <c r="L7067" s="2"/>
      <c r="M7067" s="2"/>
      <c r="N7067" s="650"/>
      <c r="O7067" s="650"/>
      <c r="P7067" s="651"/>
      <c r="Q7067" s="651"/>
      <c r="R7067" s="651"/>
      <c r="S7067" s="651"/>
    </row>
    <row r="7068" spans="12:19" ht="15.75" customHeight="1" x14ac:dyDescent="0.35">
      <c r="L7068" s="2"/>
      <c r="M7068" s="2"/>
      <c r="N7068" s="650"/>
      <c r="O7068" s="650"/>
      <c r="P7068" s="651"/>
      <c r="Q7068" s="651"/>
      <c r="R7068" s="651"/>
      <c r="S7068" s="651"/>
    </row>
    <row r="7069" spans="12:19" ht="15.75" customHeight="1" x14ac:dyDescent="0.35">
      <c r="L7069" s="2"/>
      <c r="M7069" s="2"/>
      <c r="N7069" s="650"/>
      <c r="O7069" s="650"/>
      <c r="P7069" s="651"/>
      <c r="Q7069" s="651"/>
      <c r="R7069" s="651"/>
      <c r="S7069" s="651"/>
    </row>
    <row r="7070" spans="12:19" ht="15.75" customHeight="1" x14ac:dyDescent="0.35">
      <c r="L7070" s="2"/>
      <c r="M7070" s="2"/>
      <c r="N7070" s="650"/>
      <c r="O7070" s="650"/>
      <c r="P7070" s="651"/>
      <c r="Q7070" s="651"/>
      <c r="R7070" s="651"/>
      <c r="S7070" s="651"/>
    </row>
    <row r="7071" spans="12:19" ht="15.75" customHeight="1" x14ac:dyDescent="0.35">
      <c r="L7071" s="2"/>
      <c r="M7071" s="2"/>
      <c r="N7071" s="650"/>
      <c r="O7071" s="650"/>
      <c r="P7071" s="651"/>
      <c r="Q7071" s="651"/>
      <c r="R7071" s="651"/>
      <c r="S7071" s="651"/>
    </row>
    <row r="7072" spans="12:19" ht="15.75" customHeight="1" x14ac:dyDescent="0.35">
      <c r="L7072" s="2"/>
      <c r="M7072" s="2"/>
      <c r="N7072" s="650"/>
      <c r="O7072" s="650"/>
      <c r="P7072" s="651"/>
      <c r="Q7072" s="651"/>
      <c r="R7072" s="651"/>
      <c r="S7072" s="651"/>
    </row>
    <row r="7073" spans="12:19" ht="15.75" customHeight="1" x14ac:dyDescent="0.35">
      <c r="L7073" s="2"/>
      <c r="M7073" s="2"/>
      <c r="N7073" s="650"/>
      <c r="O7073" s="650"/>
      <c r="P7073" s="651"/>
      <c r="Q7073" s="651"/>
      <c r="R7073" s="651"/>
      <c r="S7073" s="651"/>
    </row>
    <row r="7074" spans="12:19" ht="15.75" customHeight="1" x14ac:dyDescent="0.35">
      <c r="L7074" s="2"/>
      <c r="M7074" s="2"/>
      <c r="N7074" s="650"/>
      <c r="O7074" s="650"/>
      <c r="P7074" s="651"/>
      <c r="Q7074" s="651"/>
      <c r="R7074" s="651"/>
      <c r="S7074" s="651"/>
    </row>
    <row r="7075" spans="12:19" ht="15.75" customHeight="1" x14ac:dyDescent="0.35">
      <c r="L7075" s="2"/>
      <c r="M7075" s="2"/>
      <c r="N7075" s="650"/>
      <c r="O7075" s="650"/>
      <c r="P7075" s="651"/>
      <c r="Q7075" s="651"/>
      <c r="R7075" s="651"/>
      <c r="S7075" s="651"/>
    </row>
    <row r="7076" spans="12:19" ht="15.75" customHeight="1" x14ac:dyDescent="0.35">
      <c r="L7076" s="2"/>
      <c r="M7076" s="2"/>
      <c r="N7076" s="650"/>
      <c r="O7076" s="650"/>
      <c r="P7076" s="651"/>
      <c r="Q7076" s="651"/>
      <c r="R7076" s="651"/>
      <c r="S7076" s="651"/>
    </row>
    <row r="7077" spans="12:19" ht="15.75" customHeight="1" x14ac:dyDescent="0.35">
      <c r="L7077" s="2"/>
      <c r="M7077" s="2"/>
      <c r="N7077" s="650"/>
      <c r="O7077" s="650"/>
      <c r="P7077" s="651"/>
      <c r="Q7077" s="651"/>
      <c r="R7077" s="651"/>
      <c r="S7077" s="651"/>
    </row>
    <row r="7078" spans="12:19" ht="15.75" customHeight="1" x14ac:dyDescent="0.35">
      <c r="L7078" s="2"/>
      <c r="M7078" s="2"/>
      <c r="N7078" s="650"/>
      <c r="O7078" s="650"/>
      <c r="P7078" s="651"/>
      <c r="Q7078" s="651"/>
      <c r="R7078" s="651"/>
      <c r="S7078" s="651"/>
    </row>
    <row r="7079" spans="12:19" ht="15.75" customHeight="1" x14ac:dyDescent="0.35">
      <c r="L7079" s="2"/>
      <c r="M7079" s="2"/>
      <c r="N7079" s="650"/>
      <c r="O7079" s="650"/>
      <c r="P7079" s="651"/>
      <c r="Q7079" s="651"/>
      <c r="R7079" s="651"/>
      <c r="S7079" s="651"/>
    </row>
    <row r="7080" spans="12:19" ht="15.75" customHeight="1" x14ac:dyDescent="0.35">
      <c r="L7080" s="2"/>
      <c r="M7080" s="2"/>
      <c r="N7080" s="650"/>
      <c r="O7080" s="650"/>
      <c r="P7080" s="651"/>
      <c r="Q7080" s="651"/>
      <c r="R7080" s="651"/>
      <c r="S7080" s="651"/>
    </row>
    <row r="7081" spans="12:19" ht="15.75" customHeight="1" x14ac:dyDescent="0.35">
      <c r="L7081" s="2"/>
      <c r="M7081" s="2"/>
      <c r="N7081" s="650"/>
      <c r="O7081" s="650"/>
      <c r="P7081" s="651"/>
      <c r="Q7081" s="651"/>
      <c r="R7081" s="651"/>
      <c r="S7081" s="651"/>
    </row>
    <row r="7082" spans="12:19" ht="15.75" customHeight="1" x14ac:dyDescent="0.35">
      <c r="L7082" s="2"/>
      <c r="M7082" s="2"/>
      <c r="N7082" s="650"/>
      <c r="O7082" s="650"/>
      <c r="P7082" s="651"/>
      <c r="Q7082" s="651"/>
      <c r="R7082" s="651"/>
      <c r="S7082" s="651"/>
    </row>
    <row r="7083" spans="12:19" ht="15.75" customHeight="1" x14ac:dyDescent="0.35">
      <c r="L7083" s="2"/>
      <c r="M7083" s="2"/>
      <c r="N7083" s="650"/>
      <c r="O7083" s="650"/>
      <c r="P7083" s="651"/>
      <c r="Q7083" s="651"/>
      <c r="R7083" s="651"/>
      <c r="S7083" s="651"/>
    </row>
    <row r="7084" spans="12:19" ht="15.75" customHeight="1" x14ac:dyDescent="0.35">
      <c r="L7084" s="2"/>
      <c r="M7084" s="2"/>
      <c r="N7084" s="650"/>
      <c r="O7084" s="650"/>
      <c r="P7084" s="651"/>
      <c r="Q7084" s="651"/>
      <c r="R7084" s="651"/>
      <c r="S7084" s="651"/>
    </row>
    <row r="7085" spans="12:19" ht="15.75" customHeight="1" x14ac:dyDescent="0.35">
      <c r="L7085" s="2"/>
      <c r="M7085" s="2"/>
      <c r="N7085" s="650"/>
      <c r="O7085" s="650"/>
      <c r="P7085" s="651"/>
      <c r="Q7085" s="651"/>
      <c r="R7085" s="651"/>
      <c r="S7085" s="651"/>
    </row>
    <row r="7086" spans="12:19" ht="15.75" customHeight="1" x14ac:dyDescent="0.35">
      <c r="L7086" s="2"/>
      <c r="M7086" s="2"/>
      <c r="N7086" s="650"/>
      <c r="O7086" s="650"/>
      <c r="P7086" s="651"/>
      <c r="Q7086" s="651"/>
      <c r="R7086" s="651"/>
      <c r="S7086" s="651"/>
    </row>
    <row r="7087" spans="12:19" ht="15.75" customHeight="1" x14ac:dyDescent="0.35">
      <c r="L7087" s="2"/>
      <c r="M7087" s="2"/>
      <c r="N7087" s="650"/>
      <c r="O7087" s="650"/>
      <c r="P7087" s="651"/>
      <c r="Q7087" s="651"/>
      <c r="R7087" s="651"/>
      <c r="S7087" s="651"/>
    </row>
    <row r="7088" spans="12:19" ht="15.75" customHeight="1" x14ac:dyDescent="0.35">
      <c r="L7088" s="2"/>
      <c r="M7088" s="2"/>
      <c r="N7088" s="650"/>
      <c r="O7088" s="650"/>
      <c r="P7088" s="651"/>
      <c r="Q7088" s="651"/>
      <c r="R7088" s="651"/>
      <c r="S7088" s="651"/>
    </row>
    <row r="7089" spans="12:19" ht="15.75" customHeight="1" x14ac:dyDescent="0.35">
      <c r="L7089" s="2"/>
      <c r="M7089" s="2"/>
      <c r="N7089" s="650"/>
      <c r="O7089" s="650"/>
      <c r="P7089" s="651"/>
      <c r="Q7089" s="651"/>
      <c r="R7089" s="651"/>
      <c r="S7089" s="651"/>
    </row>
    <row r="7090" spans="12:19" ht="15.75" customHeight="1" x14ac:dyDescent="0.35">
      <c r="L7090" s="2"/>
      <c r="M7090" s="2"/>
      <c r="N7090" s="650"/>
      <c r="O7090" s="650"/>
      <c r="P7090" s="651"/>
      <c r="Q7090" s="651"/>
      <c r="R7090" s="651"/>
      <c r="S7090" s="651"/>
    </row>
    <row r="7091" spans="12:19" ht="15.75" customHeight="1" x14ac:dyDescent="0.35">
      <c r="L7091" s="2"/>
      <c r="M7091" s="2"/>
      <c r="N7091" s="650"/>
      <c r="O7091" s="650"/>
      <c r="P7091" s="651"/>
      <c r="Q7091" s="651"/>
      <c r="R7091" s="651"/>
      <c r="S7091" s="651"/>
    </row>
    <row r="7092" spans="12:19" ht="15.75" customHeight="1" x14ac:dyDescent="0.35">
      <c r="L7092" s="2"/>
      <c r="M7092" s="2"/>
      <c r="N7092" s="650"/>
      <c r="O7092" s="650"/>
      <c r="P7092" s="651"/>
      <c r="Q7092" s="651"/>
      <c r="R7092" s="651"/>
      <c r="S7092" s="651"/>
    </row>
    <row r="7093" spans="12:19" ht="15.75" customHeight="1" x14ac:dyDescent="0.35">
      <c r="L7093" s="2"/>
      <c r="M7093" s="2"/>
      <c r="N7093" s="650"/>
      <c r="O7093" s="650"/>
      <c r="P7093" s="651"/>
      <c r="Q7093" s="651"/>
      <c r="R7093" s="651"/>
      <c r="S7093" s="651"/>
    </row>
    <row r="7094" spans="12:19" ht="15.75" customHeight="1" x14ac:dyDescent="0.35">
      <c r="L7094" s="2"/>
      <c r="M7094" s="2"/>
      <c r="N7094" s="650"/>
      <c r="O7094" s="650"/>
      <c r="P7094" s="651"/>
      <c r="Q7094" s="651"/>
      <c r="R7094" s="651"/>
      <c r="S7094" s="651"/>
    </row>
    <row r="7095" spans="12:19" ht="15.75" customHeight="1" x14ac:dyDescent="0.35">
      <c r="L7095" s="2"/>
      <c r="M7095" s="2"/>
      <c r="N7095" s="650"/>
      <c r="O7095" s="650"/>
      <c r="P7095" s="651"/>
      <c r="Q7095" s="651"/>
      <c r="R7095" s="651"/>
      <c r="S7095" s="651"/>
    </row>
    <row r="7096" spans="12:19" ht="15.75" customHeight="1" x14ac:dyDescent="0.35">
      <c r="L7096" s="2"/>
      <c r="M7096" s="2"/>
      <c r="N7096" s="650"/>
      <c r="O7096" s="650"/>
      <c r="P7096" s="651"/>
      <c r="Q7096" s="651"/>
      <c r="R7096" s="651"/>
      <c r="S7096" s="651"/>
    </row>
    <row r="7097" spans="12:19" ht="15.75" customHeight="1" x14ac:dyDescent="0.35">
      <c r="L7097" s="2"/>
      <c r="M7097" s="2"/>
      <c r="N7097" s="650"/>
      <c r="O7097" s="650"/>
      <c r="P7097" s="651"/>
      <c r="Q7097" s="651"/>
      <c r="R7097" s="651"/>
      <c r="S7097" s="651"/>
    </row>
    <row r="7098" spans="12:19" ht="15.75" customHeight="1" x14ac:dyDescent="0.35">
      <c r="L7098" s="2"/>
      <c r="M7098" s="2"/>
      <c r="N7098" s="650"/>
      <c r="O7098" s="650"/>
      <c r="P7098" s="651"/>
      <c r="Q7098" s="651"/>
      <c r="R7098" s="651"/>
      <c r="S7098" s="651"/>
    </row>
    <row r="7099" spans="12:19" ht="15.75" customHeight="1" x14ac:dyDescent="0.35">
      <c r="L7099" s="2"/>
      <c r="M7099" s="2"/>
      <c r="N7099" s="650"/>
      <c r="O7099" s="650"/>
      <c r="P7099" s="651"/>
      <c r="Q7099" s="651"/>
      <c r="R7099" s="651"/>
      <c r="S7099" s="651"/>
    </row>
    <row r="7100" spans="12:19" ht="15.75" customHeight="1" x14ac:dyDescent="0.35">
      <c r="L7100" s="2"/>
      <c r="M7100" s="2"/>
      <c r="N7100" s="650"/>
      <c r="O7100" s="650"/>
      <c r="P7100" s="651"/>
      <c r="Q7100" s="651"/>
      <c r="R7100" s="651"/>
      <c r="S7100" s="651"/>
    </row>
    <row r="7101" spans="12:19" ht="15.75" customHeight="1" x14ac:dyDescent="0.35">
      <c r="L7101" s="2"/>
      <c r="M7101" s="2"/>
      <c r="N7101" s="650"/>
      <c r="O7101" s="650"/>
      <c r="P7101" s="651"/>
      <c r="Q7101" s="651"/>
      <c r="R7101" s="651"/>
      <c r="S7101" s="651"/>
    </row>
    <row r="7102" spans="12:19" ht="15.75" customHeight="1" x14ac:dyDescent="0.35">
      <c r="L7102" s="2"/>
      <c r="M7102" s="2"/>
      <c r="N7102" s="650"/>
      <c r="O7102" s="650"/>
      <c r="P7102" s="651"/>
      <c r="Q7102" s="651"/>
      <c r="R7102" s="651"/>
      <c r="S7102" s="651"/>
    </row>
    <row r="7103" spans="12:19" ht="15.75" customHeight="1" x14ac:dyDescent="0.35">
      <c r="L7103" s="2"/>
      <c r="M7103" s="2"/>
      <c r="N7103" s="650"/>
      <c r="O7103" s="650"/>
      <c r="P7103" s="651"/>
      <c r="Q7103" s="651"/>
      <c r="R7103" s="651"/>
      <c r="S7103" s="651"/>
    </row>
    <row r="7104" spans="12:19" ht="15.75" customHeight="1" x14ac:dyDescent="0.35">
      <c r="L7104" s="2"/>
      <c r="M7104" s="2"/>
      <c r="N7104" s="650"/>
      <c r="O7104" s="650"/>
      <c r="P7104" s="651"/>
      <c r="Q7104" s="651"/>
      <c r="R7104" s="651"/>
      <c r="S7104" s="651"/>
    </row>
    <row r="7105" spans="12:19" ht="15.75" customHeight="1" x14ac:dyDescent="0.35">
      <c r="L7105" s="2"/>
      <c r="M7105" s="2"/>
      <c r="N7105" s="650"/>
      <c r="O7105" s="650"/>
      <c r="P7105" s="651"/>
      <c r="Q7105" s="651"/>
      <c r="R7105" s="651"/>
      <c r="S7105" s="651"/>
    </row>
    <row r="7106" spans="12:19" ht="15.75" customHeight="1" x14ac:dyDescent="0.35">
      <c r="L7106" s="2"/>
      <c r="M7106" s="2"/>
      <c r="N7106" s="650"/>
      <c r="O7106" s="650"/>
      <c r="P7106" s="651"/>
      <c r="Q7106" s="651"/>
      <c r="R7106" s="651"/>
      <c r="S7106" s="651"/>
    </row>
    <row r="7107" spans="12:19" ht="15.75" customHeight="1" x14ac:dyDescent="0.35">
      <c r="L7107" s="2"/>
      <c r="M7107" s="2"/>
      <c r="N7107" s="650"/>
      <c r="O7107" s="650"/>
      <c r="P7107" s="651"/>
      <c r="Q7107" s="651"/>
      <c r="R7107" s="651"/>
      <c r="S7107" s="651"/>
    </row>
    <row r="7108" spans="12:19" ht="15.75" customHeight="1" x14ac:dyDescent="0.35">
      <c r="L7108" s="2"/>
      <c r="M7108" s="2"/>
      <c r="N7108" s="650"/>
      <c r="O7108" s="650"/>
      <c r="P7108" s="651"/>
      <c r="Q7108" s="651"/>
      <c r="R7108" s="651"/>
      <c r="S7108" s="651"/>
    </row>
    <row r="7109" spans="12:19" ht="15.75" customHeight="1" x14ac:dyDescent="0.35">
      <c r="L7109" s="2"/>
      <c r="M7109" s="2"/>
      <c r="N7109" s="650"/>
      <c r="O7109" s="650"/>
      <c r="P7109" s="651"/>
      <c r="Q7109" s="651"/>
      <c r="R7109" s="651"/>
      <c r="S7109" s="651"/>
    </row>
    <row r="7110" spans="12:19" ht="15.75" customHeight="1" x14ac:dyDescent="0.35">
      <c r="L7110" s="2"/>
      <c r="M7110" s="2"/>
      <c r="N7110" s="650"/>
      <c r="O7110" s="650"/>
      <c r="P7110" s="651"/>
      <c r="Q7110" s="651"/>
      <c r="R7110" s="651"/>
      <c r="S7110" s="651"/>
    </row>
    <row r="7111" spans="12:19" ht="15.75" customHeight="1" x14ac:dyDescent="0.35">
      <c r="L7111" s="2"/>
      <c r="M7111" s="2"/>
      <c r="N7111" s="650"/>
      <c r="O7111" s="650"/>
      <c r="P7111" s="651"/>
      <c r="Q7111" s="651"/>
      <c r="R7111" s="651"/>
      <c r="S7111" s="651"/>
    </row>
    <row r="7112" spans="12:19" ht="15.75" customHeight="1" x14ac:dyDescent="0.35">
      <c r="L7112" s="2"/>
      <c r="M7112" s="2"/>
      <c r="N7112" s="650"/>
      <c r="O7112" s="650"/>
      <c r="P7112" s="651"/>
      <c r="Q7112" s="651"/>
      <c r="R7112" s="651"/>
      <c r="S7112" s="651"/>
    </row>
    <row r="7113" spans="12:19" ht="15.75" customHeight="1" x14ac:dyDescent="0.35">
      <c r="L7113" s="2"/>
      <c r="M7113" s="2"/>
      <c r="N7113" s="650"/>
      <c r="O7113" s="650"/>
      <c r="P7113" s="651"/>
      <c r="Q7113" s="651"/>
      <c r="R7113" s="651"/>
      <c r="S7113" s="651"/>
    </row>
    <row r="7114" spans="12:19" ht="15.75" customHeight="1" x14ac:dyDescent="0.35">
      <c r="L7114" s="2"/>
      <c r="M7114" s="2"/>
      <c r="N7114" s="650"/>
      <c r="O7114" s="650"/>
      <c r="P7114" s="651"/>
      <c r="Q7114" s="651"/>
      <c r="R7114" s="651"/>
      <c r="S7114" s="651"/>
    </row>
    <row r="7115" spans="12:19" ht="15.75" customHeight="1" x14ac:dyDescent="0.35">
      <c r="L7115" s="2"/>
      <c r="M7115" s="2"/>
      <c r="N7115" s="650"/>
      <c r="O7115" s="650"/>
      <c r="P7115" s="651"/>
      <c r="Q7115" s="651"/>
      <c r="R7115" s="651"/>
      <c r="S7115" s="651"/>
    </row>
    <row r="7116" spans="12:19" ht="15.75" customHeight="1" x14ac:dyDescent="0.35">
      <c r="L7116" s="2"/>
      <c r="M7116" s="2"/>
      <c r="N7116" s="650"/>
      <c r="O7116" s="650"/>
      <c r="P7116" s="651"/>
      <c r="Q7116" s="651"/>
      <c r="R7116" s="651"/>
      <c r="S7116" s="651"/>
    </row>
    <row r="7117" spans="12:19" ht="15.75" customHeight="1" x14ac:dyDescent="0.35">
      <c r="L7117" s="2"/>
      <c r="M7117" s="2"/>
      <c r="N7117" s="650"/>
      <c r="O7117" s="650"/>
      <c r="P7117" s="651"/>
      <c r="Q7117" s="651"/>
      <c r="R7117" s="651"/>
      <c r="S7117" s="651"/>
    </row>
    <row r="7118" spans="12:19" ht="15.75" customHeight="1" x14ac:dyDescent="0.35">
      <c r="L7118" s="2"/>
      <c r="M7118" s="2"/>
      <c r="N7118" s="650"/>
      <c r="O7118" s="650"/>
      <c r="P7118" s="651"/>
      <c r="Q7118" s="651"/>
      <c r="R7118" s="651"/>
      <c r="S7118" s="651"/>
    </row>
    <row r="7119" spans="12:19" ht="15.75" customHeight="1" x14ac:dyDescent="0.35">
      <c r="L7119" s="2"/>
      <c r="M7119" s="2"/>
      <c r="N7119" s="650"/>
      <c r="O7119" s="650"/>
      <c r="P7119" s="651"/>
      <c r="Q7119" s="651"/>
      <c r="R7119" s="651"/>
      <c r="S7119" s="651"/>
    </row>
    <row r="7120" spans="12:19" ht="15.75" customHeight="1" x14ac:dyDescent="0.35">
      <c r="L7120" s="2"/>
      <c r="M7120" s="2"/>
      <c r="N7120" s="650"/>
      <c r="O7120" s="650"/>
      <c r="P7120" s="651"/>
      <c r="Q7120" s="651"/>
      <c r="R7120" s="651"/>
      <c r="S7120" s="651"/>
    </row>
    <row r="7121" spans="12:19" ht="15.75" customHeight="1" x14ac:dyDescent="0.35">
      <c r="L7121" s="2"/>
      <c r="M7121" s="2"/>
      <c r="N7121" s="650"/>
      <c r="O7121" s="650"/>
      <c r="P7121" s="651"/>
      <c r="Q7121" s="651"/>
      <c r="R7121" s="651"/>
      <c r="S7121" s="651"/>
    </row>
    <row r="7122" spans="12:19" ht="15.75" customHeight="1" x14ac:dyDescent="0.35">
      <c r="L7122" s="2"/>
      <c r="M7122" s="2"/>
      <c r="N7122" s="650"/>
      <c r="O7122" s="650"/>
      <c r="P7122" s="651"/>
      <c r="Q7122" s="651"/>
      <c r="R7122" s="651"/>
      <c r="S7122" s="651"/>
    </row>
    <row r="7123" spans="12:19" ht="15.75" customHeight="1" x14ac:dyDescent="0.35">
      <c r="L7123" s="2"/>
      <c r="M7123" s="2"/>
      <c r="N7123" s="650"/>
      <c r="O7123" s="650"/>
      <c r="P7123" s="651"/>
      <c r="Q7123" s="651"/>
      <c r="R7123" s="651"/>
      <c r="S7123" s="651"/>
    </row>
    <row r="7124" spans="12:19" ht="15.75" customHeight="1" x14ac:dyDescent="0.35">
      <c r="L7124" s="2"/>
      <c r="M7124" s="2"/>
      <c r="N7124" s="650"/>
      <c r="O7124" s="650"/>
      <c r="P7124" s="651"/>
      <c r="Q7124" s="651"/>
      <c r="R7124" s="651"/>
      <c r="S7124" s="651"/>
    </row>
    <row r="7125" spans="12:19" ht="15.75" customHeight="1" x14ac:dyDescent="0.35">
      <c r="L7125" s="2"/>
      <c r="M7125" s="2"/>
      <c r="N7125" s="650"/>
      <c r="O7125" s="650"/>
      <c r="P7125" s="651"/>
      <c r="Q7125" s="651"/>
      <c r="R7125" s="651"/>
      <c r="S7125" s="651"/>
    </row>
    <row r="7126" spans="12:19" ht="15.75" customHeight="1" x14ac:dyDescent="0.35">
      <c r="L7126" s="2"/>
      <c r="M7126" s="2"/>
      <c r="N7126" s="650"/>
      <c r="O7126" s="650"/>
      <c r="P7126" s="651"/>
      <c r="Q7126" s="651"/>
      <c r="R7126" s="651"/>
      <c r="S7126" s="651"/>
    </row>
    <row r="7127" spans="12:19" ht="15.75" customHeight="1" x14ac:dyDescent="0.35">
      <c r="L7127" s="2"/>
      <c r="M7127" s="2"/>
      <c r="N7127" s="650"/>
      <c r="O7127" s="650"/>
      <c r="P7127" s="651"/>
      <c r="Q7127" s="651"/>
      <c r="R7127" s="651"/>
      <c r="S7127" s="651"/>
    </row>
    <row r="7128" spans="12:19" ht="15.75" customHeight="1" x14ac:dyDescent="0.35">
      <c r="L7128" s="2"/>
      <c r="M7128" s="2"/>
      <c r="N7128" s="650"/>
      <c r="O7128" s="650"/>
      <c r="P7128" s="651"/>
      <c r="Q7128" s="651"/>
      <c r="R7128" s="651"/>
      <c r="S7128" s="651"/>
    </row>
    <row r="7129" spans="12:19" ht="15.75" customHeight="1" x14ac:dyDescent="0.35">
      <c r="L7129" s="2"/>
      <c r="M7129" s="2"/>
      <c r="N7129" s="650"/>
      <c r="O7129" s="650"/>
      <c r="P7129" s="651"/>
      <c r="Q7129" s="651"/>
      <c r="R7129" s="651"/>
      <c r="S7129" s="651"/>
    </row>
    <row r="7130" spans="12:19" ht="15.75" customHeight="1" x14ac:dyDescent="0.35">
      <c r="L7130" s="2"/>
      <c r="M7130" s="2"/>
      <c r="N7130" s="650"/>
      <c r="O7130" s="650"/>
      <c r="P7130" s="651"/>
      <c r="Q7130" s="651"/>
      <c r="R7130" s="651"/>
      <c r="S7130" s="651"/>
    </row>
    <row r="7131" spans="12:19" ht="15.75" customHeight="1" x14ac:dyDescent="0.35">
      <c r="L7131" s="2"/>
      <c r="M7131" s="2"/>
      <c r="N7131" s="650"/>
      <c r="O7131" s="650"/>
      <c r="P7131" s="651"/>
      <c r="Q7131" s="651"/>
      <c r="R7131" s="651"/>
      <c r="S7131" s="651"/>
    </row>
    <row r="7132" spans="12:19" ht="15.75" customHeight="1" x14ac:dyDescent="0.35">
      <c r="L7132" s="2"/>
      <c r="M7132" s="2"/>
      <c r="N7132" s="650"/>
      <c r="O7132" s="650"/>
      <c r="P7132" s="651"/>
      <c r="Q7132" s="651"/>
      <c r="R7132" s="651"/>
      <c r="S7132" s="651"/>
    </row>
    <row r="7133" spans="12:19" ht="15.75" customHeight="1" x14ac:dyDescent="0.35">
      <c r="L7133" s="2"/>
      <c r="M7133" s="2"/>
      <c r="N7133" s="650"/>
      <c r="O7133" s="650"/>
      <c r="P7133" s="651"/>
      <c r="Q7133" s="651"/>
      <c r="R7133" s="651"/>
      <c r="S7133" s="651"/>
    </row>
    <row r="7134" spans="12:19" ht="15.75" customHeight="1" x14ac:dyDescent="0.35">
      <c r="L7134" s="2"/>
      <c r="M7134" s="2"/>
      <c r="N7134" s="650"/>
      <c r="O7134" s="650"/>
      <c r="P7134" s="651"/>
      <c r="Q7134" s="651"/>
      <c r="R7134" s="651"/>
      <c r="S7134" s="651"/>
    </row>
    <row r="7135" spans="12:19" ht="15.75" customHeight="1" x14ac:dyDescent="0.35">
      <c r="L7135" s="2"/>
      <c r="M7135" s="2"/>
      <c r="N7135" s="650"/>
      <c r="O7135" s="650"/>
      <c r="P7135" s="651"/>
      <c r="Q7135" s="651"/>
      <c r="R7135" s="651"/>
      <c r="S7135" s="651"/>
    </row>
    <row r="7136" spans="12:19" ht="15.75" customHeight="1" x14ac:dyDescent="0.35">
      <c r="L7136" s="2"/>
      <c r="M7136" s="2"/>
      <c r="N7136" s="650"/>
      <c r="O7136" s="650"/>
      <c r="P7136" s="651"/>
      <c r="Q7136" s="651"/>
      <c r="R7136" s="651"/>
      <c r="S7136" s="651"/>
    </row>
    <row r="7137" spans="12:19" ht="15.75" customHeight="1" x14ac:dyDescent="0.35">
      <c r="L7137" s="2"/>
      <c r="M7137" s="2"/>
      <c r="N7137" s="650"/>
      <c r="O7137" s="650"/>
      <c r="P7137" s="651"/>
      <c r="Q7137" s="651"/>
      <c r="R7137" s="651"/>
      <c r="S7137" s="651"/>
    </row>
    <row r="7138" spans="12:19" ht="15.75" customHeight="1" x14ac:dyDescent="0.35">
      <c r="L7138" s="2"/>
      <c r="M7138" s="2"/>
      <c r="N7138" s="650"/>
      <c r="O7138" s="650"/>
      <c r="P7138" s="651"/>
      <c r="Q7138" s="651"/>
      <c r="R7138" s="651"/>
      <c r="S7138" s="651"/>
    </row>
    <row r="7139" spans="12:19" ht="15.75" customHeight="1" x14ac:dyDescent="0.35">
      <c r="L7139" s="2"/>
      <c r="M7139" s="2"/>
      <c r="N7139" s="650"/>
      <c r="O7139" s="650"/>
      <c r="P7139" s="651"/>
      <c r="Q7139" s="651"/>
      <c r="R7139" s="651"/>
      <c r="S7139" s="651"/>
    </row>
    <row r="7140" spans="12:19" ht="15.75" customHeight="1" x14ac:dyDescent="0.35">
      <c r="L7140" s="2"/>
      <c r="M7140" s="2"/>
      <c r="N7140" s="650"/>
      <c r="O7140" s="650"/>
      <c r="P7140" s="651"/>
      <c r="Q7140" s="651"/>
      <c r="R7140" s="651"/>
      <c r="S7140" s="651"/>
    </row>
    <row r="7141" spans="12:19" ht="15.75" customHeight="1" x14ac:dyDescent="0.35">
      <c r="L7141" s="2"/>
      <c r="M7141" s="2"/>
      <c r="N7141" s="650"/>
      <c r="O7141" s="650"/>
      <c r="P7141" s="651"/>
      <c r="Q7141" s="651"/>
      <c r="R7141" s="651"/>
      <c r="S7141" s="651"/>
    </row>
    <row r="7142" spans="12:19" ht="15.75" customHeight="1" x14ac:dyDescent="0.35">
      <c r="L7142" s="2"/>
      <c r="M7142" s="2"/>
      <c r="N7142" s="650"/>
      <c r="O7142" s="650"/>
      <c r="P7142" s="651"/>
      <c r="Q7142" s="651"/>
      <c r="R7142" s="651"/>
      <c r="S7142" s="651"/>
    </row>
    <row r="7143" spans="12:19" ht="15.75" customHeight="1" x14ac:dyDescent="0.35">
      <c r="L7143" s="2"/>
      <c r="M7143" s="2"/>
      <c r="N7143" s="650"/>
      <c r="O7143" s="650"/>
      <c r="P7143" s="651"/>
      <c r="Q7143" s="651"/>
      <c r="R7143" s="651"/>
      <c r="S7143" s="651"/>
    </row>
    <row r="7144" spans="12:19" ht="15.75" customHeight="1" x14ac:dyDescent="0.35">
      <c r="L7144" s="2"/>
      <c r="M7144" s="2"/>
      <c r="N7144" s="650"/>
      <c r="O7144" s="650"/>
      <c r="P7144" s="651"/>
      <c r="Q7144" s="651"/>
      <c r="R7144" s="651"/>
      <c r="S7144" s="651"/>
    </row>
    <row r="7145" spans="12:19" ht="15.75" customHeight="1" x14ac:dyDescent="0.35">
      <c r="L7145" s="2"/>
      <c r="M7145" s="2"/>
      <c r="N7145" s="650"/>
      <c r="O7145" s="650"/>
      <c r="P7145" s="651"/>
      <c r="Q7145" s="651"/>
      <c r="R7145" s="651"/>
      <c r="S7145" s="651"/>
    </row>
    <row r="7146" spans="12:19" ht="15.75" customHeight="1" x14ac:dyDescent="0.35">
      <c r="L7146" s="2"/>
      <c r="M7146" s="2"/>
      <c r="N7146" s="650"/>
      <c r="O7146" s="650"/>
      <c r="P7146" s="651"/>
      <c r="Q7146" s="651"/>
      <c r="R7146" s="651"/>
      <c r="S7146" s="651"/>
    </row>
    <row r="7147" spans="12:19" ht="15.75" customHeight="1" x14ac:dyDescent="0.35">
      <c r="L7147" s="2"/>
      <c r="M7147" s="2"/>
      <c r="N7147" s="650"/>
      <c r="O7147" s="650"/>
      <c r="P7147" s="651"/>
      <c r="Q7147" s="651"/>
      <c r="R7147" s="651"/>
      <c r="S7147" s="651"/>
    </row>
    <row r="7148" spans="12:19" ht="15.75" customHeight="1" x14ac:dyDescent="0.35">
      <c r="L7148" s="2"/>
      <c r="M7148" s="2"/>
      <c r="N7148" s="650"/>
      <c r="O7148" s="650"/>
      <c r="P7148" s="651"/>
      <c r="Q7148" s="651"/>
      <c r="R7148" s="651"/>
      <c r="S7148" s="651"/>
    </row>
    <row r="7149" spans="12:19" ht="15.75" customHeight="1" x14ac:dyDescent="0.35">
      <c r="L7149" s="2"/>
      <c r="M7149" s="2"/>
      <c r="N7149" s="650"/>
      <c r="O7149" s="650"/>
      <c r="P7149" s="651"/>
      <c r="Q7149" s="651"/>
      <c r="R7149" s="651"/>
      <c r="S7149" s="651"/>
    </row>
    <row r="7150" spans="12:19" ht="15.75" customHeight="1" x14ac:dyDescent="0.35">
      <c r="L7150" s="2"/>
      <c r="M7150" s="2"/>
      <c r="N7150" s="650"/>
      <c r="O7150" s="650"/>
      <c r="P7150" s="651"/>
      <c r="Q7150" s="651"/>
      <c r="R7150" s="651"/>
      <c r="S7150" s="651"/>
    </row>
    <row r="7151" spans="12:19" ht="15.75" customHeight="1" x14ac:dyDescent="0.35">
      <c r="L7151" s="2"/>
      <c r="M7151" s="2"/>
      <c r="N7151" s="650"/>
      <c r="O7151" s="650"/>
      <c r="P7151" s="651"/>
      <c r="Q7151" s="651"/>
      <c r="R7151" s="651"/>
      <c r="S7151" s="651"/>
    </row>
    <row r="7152" spans="12:19" ht="15.75" customHeight="1" x14ac:dyDescent="0.35">
      <c r="L7152" s="2"/>
      <c r="M7152" s="2"/>
      <c r="N7152" s="650"/>
      <c r="O7152" s="650"/>
      <c r="P7152" s="651"/>
      <c r="Q7152" s="651"/>
      <c r="R7152" s="651"/>
      <c r="S7152" s="651"/>
    </row>
    <row r="7153" spans="12:19" ht="15.75" customHeight="1" x14ac:dyDescent="0.35">
      <c r="L7153" s="2"/>
      <c r="M7153" s="2"/>
      <c r="N7153" s="650"/>
      <c r="O7153" s="650"/>
      <c r="P7153" s="651"/>
      <c r="Q7153" s="651"/>
      <c r="R7153" s="651"/>
      <c r="S7153" s="651"/>
    </row>
    <row r="7154" spans="12:19" ht="15.75" customHeight="1" x14ac:dyDescent="0.35">
      <c r="L7154" s="2"/>
      <c r="M7154" s="2"/>
      <c r="N7154" s="650"/>
      <c r="O7154" s="650"/>
      <c r="P7154" s="651"/>
      <c r="Q7154" s="651"/>
      <c r="R7154" s="651"/>
      <c r="S7154" s="651"/>
    </row>
    <row r="7155" spans="12:19" ht="15.75" customHeight="1" x14ac:dyDescent="0.35">
      <c r="L7155" s="2"/>
      <c r="M7155" s="2"/>
      <c r="N7155" s="650"/>
      <c r="O7155" s="650"/>
      <c r="P7155" s="651"/>
      <c r="Q7155" s="651"/>
      <c r="R7155" s="651"/>
      <c r="S7155" s="651"/>
    </row>
    <row r="7156" spans="12:19" ht="15.75" customHeight="1" x14ac:dyDescent="0.35">
      <c r="L7156" s="2"/>
      <c r="M7156" s="2"/>
      <c r="N7156" s="650"/>
      <c r="O7156" s="650"/>
      <c r="P7156" s="651"/>
      <c r="Q7156" s="651"/>
      <c r="R7156" s="651"/>
      <c r="S7156" s="651"/>
    </row>
    <row r="7157" spans="12:19" ht="15.75" customHeight="1" x14ac:dyDescent="0.35">
      <c r="L7157" s="2"/>
      <c r="M7157" s="2"/>
      <c r="N7157" s="650"/>
      <c r="O7157" s="650"/>
      <c r="P7157" s="651"/>
      <c r="Q7157" s="651"/>
      <c r="R7157" s="651"/>
      <c r="S7157" s="651"/>
    </row>
    <row r="7158" spans="12:19" ht="15.75" customHeight="1" x14ac:dyDescent="0.35">
      <c r="L7158" s="2"/>
      <c r="M7158" s="2"/>
      <c r="N7158" s="650"/>
      <c r="O7158" s="650"/>
      <c r="P7158" s="651"/>
      <c r="Q7158" s="651"/>
      <c r="R7158" s="651"/>
      <c r="S7158" s="651"/>
    </row>
    <row r="7159" spans="12:19" ht="15.75" customHeight="1" x14ac:dyDescent="0.35">
      <c r="L7159" s="2"/>
      <c r="M7159" s="2"/>
      <c r="N7159" s="650"/>
      <c r="O7159" s="650"/>
      <c r="P7159" s="651"/>
      <c r="Q7159" s="651"/>
      <c r="R7159" s="651"/>
      <c r="S7159" s="651"/>
    </row>
    <row r="7160" spans="12:19" ht="15.75" customHeight="1" x14ac:dyDescent="0.35">
      <c r="L7160" s="2"/>
      <c r="M7160" s="2"/>
      <c r="N7160" s="650"/>
      <c r="O7160" s="650"/>
      <c r="P7160" s="651"/>
      <c r="Q7160" s="651"/>
      <c r="R7160" s="651"/>
      <c r="S7160" s="651"/>
    </row>
    <row r="7161" spans="12:19" ht="15.75" customHeight="1" x14ac:dyDescent="0.35">
      <c r="L7161" s="2"/>
      <c r="M7161" s="2"/>
      <c r="N7161" s="650"/>
      <c r="O7161" s="650"/>
      <c r="P7161" s="651"/>
      <c r="Q7161" s="651"/>
      <c r="R7161" s="651"/>
      <c r="S7161" s="651"/>
    </row>
    <row r="7162" spans="12:19" ht="15.75" customHeight="1" x14ac:dyDescent="0.35">
      <c r="L7162" s="2"/>
      <c r="M7162" s="2"/>
      <c r="N7162" s="650"/>
      <c r="O7162" s="650"/>
      <c r="P7162" s="651"/>
      <c r="Q7162" s="651"/>
      <c r="R7162" s="651"/>
      <c r="S7162" s="651"/>
    </row>
    <row r="7163" spans="12:19" ht="15.75" customHeight="1" x14ac:dyDescent="0.35">
      <c r="L7163" s="2"/>
      <c r="M7163" s="2"/>
      <c r="N7163" s="650"/>
      <c r="O7163" s="650"/>
      <c r="P7163" s="651"/>
      <c r="Q7163" s="651"/>
      <c r="R7163" s="651"/>
      <c r="S7163" s="651"/>
    </row>
    <row r="7164" spans="12:19" ht="15.75" customHeight="1" x14ac:dyDescent="0.35">
      <c r="L7164" s="2"/>
      <c r="M7164" s="2"/>
      <c r="N7164" s="650"/>
      <c r="O7164" s="650"/>
      <c r="P7164" s="651"/>
      <c r="Q7164" s="651"/>
      <c r="R7164" s="651"/>
      <c r="S7164" s="651"/>
    </row>
    <row r="7165" spans="12:19" ht="15.75" customHeight="1" x14ac:dyDescent="0.35">
      <c r="L7165" s="2"/>
      <c r="M7165" s="2"/>
      <c r="N7165" s="650"/>
      <c r="O7165" s="650"/>
      <c r="P7165" s="651"/>
      <c r="Q7165" s="651"/>
      <c r="R7165" s="651"/>
      <c r="S7165" s="651"/>
    </row>
    <row r="7166" spans="12:19" ht="15.75" customHeight="1" x14ac:dyDescent="0.35">
      <c r="L7166" s="2"/>
      <c r="M7166" s="2"/>
      <c r="N7166" s="650"/>
      <c r="O7166" s="650"/>
      <c r="P7166" s="651"/>
      <c r="Q7166" s="651"/>
      <c r="R7166" s="651"/>
      <c r="S7166" s="651"/>
    </row>
    <row r="7167" spans="12:19" ht="15.75" customHeight="1" x14ac:dyDescent="0.35">
      <c r="L7167" s="2"/>
      <c r="M7167" s="2"/>
      <c r="N7167" s="650"/>
      <c r="O7167" s="650"/>
      <c r="P7167" s="651"/>
      <c r="Q7167" s="651"/>
      <c r="R7167" s="651"/>
      <c r="S7167" s="651"/>
    </row>
    <row r="7168" spans="12:19" ht="15.75" customHeight="1" x14ac:dyDescent="0.35">
      <c r="L7168" s="2"/>
      <c r="M7168" s="2"/>
      <c r="N7168" s="650"/>
      <c r="O7168" s="650"/>
      <c r="P7168" s="651"/>
      <c r="Q7168" s="651"/>
      <c r="R7168" s="651"/>
      <c r="S7168" s="651"/>
    </row>
    <row r="7169" spans="12:19" ht="15.75" customHeight="1" x14ac:dyDescent="0.35">
      <c r="L7169" s="2"/>
      <c r="M7169" s="2"/>
      <c r="N7169" s="650"/>
      <c r="O7169" s="650"/>
      <c r="P7169" s="651"/>
      <c r="Q7169" s="651"/>
      <c r="R7169" s="651"/>
      <c r="S7169" s="651"/>
    </row>
    <row r="7170" spans="12:19" ht="15.75" customHeight="1" x14ac:dyDescent="0.35">
      <c r="L7170" s="2"/>
      <c r="M7170" s="2"/>
      <c r="N7170" s="650"/>
      <c r="O7170" s="650"/>
      <c r="P7170" s="651"/>
      <c r="Q7170" s="651"/>
      <c r="R7170" s="651"/>
      <c r="S7170" s="651"/>
    </row>
    <row r="7171" spans="12:19" ht="15.75" customHeight="1" x14ac:dyDescent="0.35">
      <c r="L7171" s="2"/>
      <c r="M7171" s="2"/>
      <c r="N7171" s="650"/>
      <c r="O7171" s="650"/>
      <c r="P7171" s="651"/>
      <c r="Q7171" s="651"/>
      <c r="R7171" s="651"/>
      <c r="S7171" s="651"/>
    </row>
    <row r="7172" spans="12:19" ht="15.75" customHeight="1" x14ac:dyDescent="0.35">
      <c r="L7172" s="2"/>
      <c r="M7172" s="2"/>
      <c r="N7172" s="650"/>
      <c r="O7172" s="650"/>
      <c r="P7172" s="651"/>
      <c r="Q7172" s="651"/>
      <c r="R7172" s="651"/>
      <c r="S7172" s="651"/>
    </row>
    <row r="7173" spans="12:19" ht="15.75" customHeight="1" x14ac:dyDescent="0.35">
      <c r="L7173" s="2"/>
      <c r="M7173" s="2"/>
      <c r="N7173" s="650"/>
      <c r="O7173" s="650"/>
      <c r="P7173" s="651"/>
      <c r="Q7173" s="651"/>
      <c r="R7173" s="651"/>
      <c r="S7173" s="651"/>
    </row>
    <row r="7174" spans="12:19" ht="15.75" customHeight="1" x14ac:dyDescent="0.35">
      <c r="L7174" s="2"/>
      <c r="M7174" s="2"/>
      <c r="N7174" s="650"/>
      <c r="O7174" s="650"/>
      <c r="P7174" s="651"/>
      <c r="Q7174" s="651"/>
      <c r="R7174" s="651"/>
      <c r="S7174" s="651"/>
    </row>
    <row r="7175" spans="12:19" ht="15.75" customHeight="1" x14ac:dyDescent="0.35">
      <c r="L7175" s="2"/>
      <c r="M7175" s="2"/>
      <c r="N7175" s="650"/>
      <c r="O7175" s="650"/>
      <c r="P7175" s="651"/>
      <c r="Q7175" s="651"/>
      <c r="R7175" s="651"/>
      <c r="S7175" s="651"/>
    </row>
    <row r="7176" spans="12:19" ht="15.75" customHeight="1" x14ac:dyDescent="0.35">
      <c r="L7176" s="2"/>
      <c r="M7176" s="2"/>
      <c r="N7176" s="650"/>
      <c r="O7176" s="650"/>
      <c r="P7176" s="651"/>
      <c r="Q7176" s="651"/>
      <c r="R7176" s="651"/>
      <c r="S7176" s="651"/>
    </row>
    <row r="7177" spans="12:19" ht="15.75" customHeight="1" x14ac:dyDescent="0.35">
      <c r="L7177" s="2"/>
      <c r="M7177" s="2"/>
      <c r="N7177" s="650"/>
      <c r="O7177" s="650"/>
      <c r="P7177" s="651"/>
      <c r="Q7177" s="651"/>
      <c r="R7177" s="651"/>
      <c r="S7177" s="651"/>
    </row>
    <row r="7178" spans="12:19" ht="15.75" customHeight="1" x14ac:dyDescent="0.35">
      <c r="L7178" s="2"/>
      <c r="M7178" s="2"/>
      <c r="N7178" s="650"/>
      <c r="O7178" s="650"/>
      <c r="P7178" s="651"/>
      <c r="Q7178" s="651"/>
      <c r="R7178" s="651"/>
      <c r="S7178" s="651"/>
    </row>
    <row r="7179" spans="12:19" ht="15.75" customHeight="1" x14ac:dyDescent="0.35">
      <c r="L7179" s="2"/>
      <c r="M7179" s="2"/>
      <c r="N7179" s="650"/>
      <c r="O7179" s="650"/>
      <c r="P7179" s="651"/>
      <c r="Q7179" s="651"/>
      <c r="R7179" s="651"/>
      <c r="S7179" s="651"/>
    </row>
    <row r="7180" spans="12:19" ht="15.75" customHeight="1" x14ac:dyDescent="0.35">
      <c r="L7180" s="2"/>
      <c r="M7180" s="2"/>
      <c r="N7180" s="650"/>
      <c r="O7180" s="650"/>
      <c r="P7180" s="651"/>
      <c r="Q7180" s="651"/>
      <c r="R7180" s="651"/>
      <c r="S7180" s="651"/>
    </row>
    <row r="7181" spans="12:19" ht="15.75" customHeight="1" x14ac:dyDescent="0.35">
      <c r="L7181" s="2"/>
      <c r="M7181" s="2"/>
      <c r="N7181" s="650"/>
      <c r="O7181" s="650"/>
      <c r="P7181" s="651"/>
      <c r="Q7181" s="651"/>
      <c r="R7181" s="651"/>
      <c r="S7181" s="651"/>
    </row>
    <row r="7182" spans="12:19" ht="15.75" customHeight="1" x14ac:dyDescent="0.35">
      <c r="L7182" s="2"/>
      <c r="M7182" s="2"/>
      <c r="N7182" s="650"/>
      <c r="O7182" s="650"/>
      <c r="P7182" s="651"/>
      <c r="Q7182" s="651"/>
      <c r="R7182" s="651"/>
      <c r="S7182" s="651"/>
    </row>
    <row r="7183" spans="12:19" ht="15.75" customHeight="1" x14ac:dyDescent="0.35">
      <c r="L7183" s="2"/>
      <c r="M7183" s="2"/>
      <c r="N7183" s="650"/>
      <c r="O7183" s="650"/>
      <c r="P7183" s="651"/>
      <c r="Q7183" s="651"/>
      <c r="R7183" s="651"/>
      <c r="S7183" s="651"/>
    </row>
    <row r="7184" spans="12:19" ht="15.75" customHeight="1" x14ac:dyDescent="0.35">
      <c r="L7184" s="2"/>
      <c r="M7184" s="2"/>
      <c r="N7184" s="650"/>
      <c r="O7184" s="650"/>
      <c r="P7184" s="651"/>
      <c r="Q7184" s="651"/>
      <c r="R7184" s="651"/>
      <c r="S7184" s="651"/>
    </row>
    <row r="7185" spans="12:19" ht="15.75" customHeight="1" x14ac:dyDescent="0.35">
      <c r="L7185" s="2"/>
      <c r="M7185" s="2"/>
      <c r="N7185" s="650"/>
      <c r="O7185" s="650"/>
      <c r="P7185" s="651"/>
      <c r="Q7185" s="651"/>
      <c r="R7185" s="651"/>
      <c r="S7185" s="651"/>
    </row>
    <row r="7186" spans="12:19" ht="15.75" customHeight="1" x14ac:dyDescent="0.35">
      <c r="L7186" s="2"/>
      <c r="M7186" s="2"/>
      <c r="N7186" s="650"/>
      <c r="O7186" s="650"/>
      <c r="P7186" s="651"/>
      <c r="Q7186" s="651"/>
      <c r="R7186" s="651"/>
      <c r="S7186" s="651"/>
    </row>
    <row r="7187" spans="12:19" ht="15.75" customHeight="1" x14ac:dyDescent="0.35">
      <c r="L7187" s="2"/>
      <c r="M7187" s="2"/>
      <c r="N7187" s="650"/>
      <c r="O7187" s="650"/>
      <c r="P7187" s="651"/>
      <c r="Q7187" s="651"/>
      <c r="R7187" s="651"/>
      <c r="S7187" s="651"/>
    </row>
    <row r="7188" spans="12:19" ht="15.75" customHeight="1" x14ac:dyDescent="0.35">
      <c r="L7188" s="2"/>
      <c r="M7188" s="2"/>
      <c r="N7188" s="650"/>
      <c r="O7188" s="650"/>
      <c r="P7188" s="651"/>
      <c r="Q7188" s="651"/>
      <c r="R7188" s="651"/>
      <c r="S7188" s="651"/>
    </row>
    <row r="7189" spans="12:19" ht="15.75" customHeight="1" x14ac:dyDescent="0.35">
      <c r="L7189" s="2"/>
      <c r="M7189" s="2"/>
      <c r="N7189" s="650"/>
      <c r="O7189" s="650"/>
      <c r="P7189" s="651"/>
      <c r="Q7189" s="651"/>
      <c r="R7189" s="651"/>
      <c r="S7189" s="651"/>
    </row>
    <row r="7190" spans="12:19" ht="15.75" customHeight="1" x14ac:dyDescent="0.35">
      <c r="L7190" s="2"/>
      <c r="M7190" s="2"/>
      <c r="N7190" s="650"/>
      <c r="O7190" s="650"/>
      <c r="P7190" s="651"/>
      <c r="Q7190" s="651"/>
      <c r="R7190" s="651"/>
      <c r="S7190" s="651"/>
    </row>
    <row r="7191" spans="12:19" ht="15.75" customHeight="1" x14ac:dyDescent="0.35">
      <c r="L7191" s="2"/>
      <c r="M7191" s="2"/>
      <c r="N7191" s="650"/>
      <c r="O7191" s="650"/>
      <c r="P7191" s="651"/>
      <c r="Q7191" s="651"/>
      <c r="R7191" s="651"/>
      <c r="S7191" s="651"/>
    </row>
    <row r="7192" spans="12:19" ht="15.75" customHeight="1" x14ac:dyDescent="0.35">
      <c r="L7192" s="2"/>
      <c r="M7192" s="2"/>
      <c r="N7192" s="650"/>
      <c r="O7192" s="650"/>
      <c r="P7192" s="651"/>
      <c r="Q7192" s="651"/>
      <c r="R7192" s="651"/>
      <c r="S7192" s="651"/>
    </row>
    <row r="7193" spans="12:19" ht="15.75" customHeight="1" x14ac:dyDescent="0.35">
      <c r="L7193" s="2"/>
      <c r="M7193" s="2"/>
      <c r="N7193" s="650"/>
      <c r="O7193" s="650"/>
      <c r="P7193" s="651"/>
      <c r="Q7193" s="651"/>
      <c r="R7193" s="651"/>
      <c r="S7193" s="651"/>
    </row>
    <row r="7194" spans="12:19" ht="15.75" customHeight="1" x14ac:dyDescent="0.35">
      <c r="L7194" s="2"/>
      <c r="M7194" s="2"/>
      <c r="N7194" s="650"/>
      <c r="O7194" s="650"/>
      <c r="P7194" s="651"/>
      <c r="Q7194" s="651"/>
      <c r="R7194" s="651"/>
      <c r="S7194" s="651"/>
    </row>
    <row r="7195" spans="12:19" ht="15.75" customHeight="1" x14ac:dyDescent="0.35">
      <c r="L7195" s="2"/>
      <c r="M7195" s="2"/>
      <c r="N7195" s="650"/>
      <c r="O7195" s="650"/>
      <c r="P7195" s="651"/>
      <c r="Q7195" s="651"/>
      <c r="R7195" s="651"/>
      <c r="S7195" s="651"/>
    </row>
    <row r="7196" spans="12:19" ht="15.75" customHeight="1" x14ac:dyDescent="0.35">
      <c r="L7196" s="2"/>
      <c r="M7196" s="2"/>
      <c r="N7196" s="650"/>
      <c r="O7196" s="650"/>
      <c r="P7196" s="651"/>
      <c r="Q7196" s="651"/>
      <c r="R7196" s="651"/>
      <c r="S7196" s="651"/>
    </row>
    <row r="7197" spans="12:19" ht="15.75" customHeight="1" x14ac:dyDescent="0.35">
      <c r="L7197" s="2"/>
      <c r="M7197" s="2"/>
      <c r="N7197" s="650"/>
      <c r="O7197" s="650"/>
      <c r="P7197" s="651"/>
      <c r="Q7197" s="651"/>
      <c r="R7197" s="651"/>
      <c r="S7197" s="651"/>
    </row>
    <row r="7198" spans="12:19" ht="15.75" customHeight="1" x14ac:dyDescent="0.35">
      <c r="L7198" s="2"/>
      <c r="M7198" s="2"/>
      <c r="N7198" s="650"/>
      <c r="O7198" s="650"/>
      <c r="P7198" s="651"/>
      <c r="Q7198" s="651"/>
      <c r="R7198" s="651"/>
      <c r="S7198" s="651"/>
    </row>
    <row r="7199" spans="12:19" ht="15.75" customHeight="1" x14ac:dyDescent="0.35">
      <c r="L7199" s="2"/>
      <c r="M7199" s="2"/>
      <c r="N7199" s="650"/>
      <c r="O7199" s="650"/>
      <c r="P7199" s="651"/>
      <c r="Q7199" s="651"/>
      <c r="R7199" s="651"/>
      <c r="S7199" s="651"/>
    </row>
    <row r="7200" spans="12:19" ht="15.75" customHeight="1" x14ac:dyDescent="0.35">
      <c r="L7200" s="2"/>
      <c r="M7200" s="2"/>
      <c r="N7200" s="650"/>
      <c r="O7200" s="650"/>
      <c r="P7200" s="651"/>
      <c r="Q7200" s="651"/>
      <c r="R7200" s="651"/>
      <c r="S7200" s="651"/>
    </row>
    <row r="7201" spans="12:19" ht="15.75" customHeight="1" x14ac:dyDescent="0.35">
      <c r="L7201" s="2"/>
      <c r="M7201" s="2"/>
      <c r="N7201" s="650"/>
      <c r="O7201" s="650"/>
      <c r="P7201" s="651"/>
      <c r="Q7201" s="651"/>
      <c r="R7201" s="651"/>
      <c r="S7201" s="651"/>
    </row>
    <row r="7202" spans="12:19" ht="15.75" customHeight="1" x14ac:dyDescent="0.35">
      <c r="L7202" s="2"/>
      <c r="M7202" s="2"/>
      <c r="N7202" s="650"/>
      <c r="O7202" s="650"/>
      <c r="P7202" s="651"/>
      <c r="Q7202" s="651"/>
      <c r="R7202" s="651"/>
      <c r="S7202" s="651"/>
    </row>
    <row r="7203" spans="12:19" ht="15.75" customHeight="1" x14ac:dyDescent="0.35">
      <c r="L7203" s="2"/>
      <c r="M7203" s="2"/>
      <c r="N7203" s="650"/>
      <c r="O7203" s="650"/>
      <c r="P7203" s="651"/>
      <c r="Q7203" s="651"/>
      <c r="R7203" s="651"/>
      <c r="S7203" s="651"/>
    </row>
    <row r="7204" spans="12:19" ht="15.75" customHeight="1" x14ac:dyDescent="0.35">
      <c r="L7204" s="2"/>
      <c r="M7204" s="2"/>
      <c r="N7204" s="650"/>
      <c r="O7204" s="650"/>
      <c r="P7204" s="651"/>
      <c r="Q7204" s="651"/>
      <c r="R7204" s="651"/>
      <c r="S7204" s="651"/>
    </row>
    <row r="7205" spans="12:19" ht="15.75" customHeight="1" x14ac:dyDescent="0.35">
      <c r="L7205" s="2"/>
      <c r="M7205" s="2"/>
      <c r="N7205" s="650"/>
      <c r="O7205" s="650"/>
      <c r="P7205" s="651"/>
      <c r="Q7205" s="651"/>
      <c r="R7205" s="651"/>
      <c r="S7205" s="651"/>
    </row>
    <row r="7206" spans="12:19" ht="15.75" customHeight="1" x14ac:dyDescent="0.35">
      <c r="L7206" s="2"/>
      <c r="M7206" s="2"/>
      <c r="N7206" s="650"/>
      <c r="O7206" s="650"/>
      <c r="P7206" s="651"/>
      <c r="Q7206" s="651"/>
      <c r="R7206" s="651"/>
      <c r="S7206" s="651"/>
    </row>
    <row r="7207" spans="12:19" ht="15.75" customHeight="1" x14ac:dyDescent="0.35">
      <c r="L7207" s="2"/>
      <c r="M7207" s="2"/>
      <c r="N7207" s="650"/>
      <c r="O7207" s="650"/>
      <c r="P7207" s="651"/>
      <c r="Q7207" s="651"/>
      <c r="R7207" s="651"/>
      <c r="S7207" s="651"/>
    </row>
    <row r="7208" spans="12:19" ht="15.75" customHeight="1" x14ac:dyDescent="0.35">
      <c r="L7208" s="2"/>
      <c r="M7208" s="2"/>
      <c r="N7208" s="650"/>
      <c r="O7208" s="650"/>
      <c r="P7208" s="651"/>
      <c r="Q7208" s="651"/>
      <c r="R7208" s="651"/>
      <c r="S7208" s="651"/>
    </row>
    <row r="7209" spans="12:19" ht="15.75" customHeight="1" x14ac:dyDescent="0.35">
      <c r="L7209" s="2"/>
      <c r="M7209" s="2"/>
      <c r="N7209" s="650"/>
      <c r="O7209" s="650"/>
      <c r="P7209" s="651"/>
      <c r="Q7209" s="651"/>
      <c r="R7209" s="651"/>
      <c r="S7209" s="651"/>
    </row>
    <row r="7210" spans="12:19" ht="15.75" customHeight="1" x14ac:dyDescent="0.35">
      <c r="L7210" s="2"/>
      <c r="M7210" s="2"/>
      <c r="N7210" s="650"/>
      <c r="O7210" s="650"/>
      <c r="P7210" s="651"/>
      <c r="Q7210" s="651"/>
      <c r="R7210" s="651"/>
      <c r="S7210" s="651"/>
    </row>
    <row r="7211" spans="12:19" ht="15.75" customHeight="1" x14ac:dyDescent="0.35">
      <c r="L7211" s="2"/>
      <c r="M7211" s="2"/>
      <c r="N7211" s="650"/>
      <c r="O7211" s="650"/>
      <c r="P7211" s="651"/>
      <c r="Q7211" s="651"/>
      <c r="R7211" s="651"/>
      <c r="S7211" s="651"/>
    </row>
    <row r="7212" spans="12:19" ht="15.75" customHeight="1" x14ac:dyDescent="0.35">
      <c r="L7212" s="2"/>
      <c r="M7212" s="2"/>
      <c r="N7212" s="650"/>
      <c r="O7212" s="650"/>
      <c r="P7212" s="651"/>
      <c r="Q7212" s="651"/>
      <c r="R7212" s="651"/>
      <c r="S7212" s="651"/>
    </row>
    <row r="7213" spans="12:19" ht="15.75" customHeight="1" x14ac:dyDescent="0.35">
      <c r="L7213" s="2"/>
      <c r="M7213" s="2"/>
      <c r="N7213" s="650"/>
      <c r="O7213" s="650"/>
      <c r="P7213" s="651"/>
      <c r="Q7213" s="651"/>
      <c r="R7213" s="651"/>
      <c r="S7213" s="651"/>
    </row>
    <row r="7214" spans="12:19" ht="15.75" customHeight="1" x14ac:dyDescent="0.35">
      <c r="L7214" s="2"/>
      <c r="M7214" s="2"/>
      <c r="N7214" s="650"/>
      <c r="O7214" s="650"/>
      <c r="P7214" s="651"/>
      <c r="Q7214" s="651"/>
      <c r="R7214" s="651"/>
      <c r="S7214" s="651"/>
    </row>
    <row r="7215" spans="12:19" ht="15.75" customHeight="1" x14ac:dyDescent="0.35">
      <c r="L7215" s="2"/>
      <c r="M7215" s="2"/>
      <c r="N7215" s="650"/>
      <c r="O7215" s="650"/>
      <c r="P7215" s="651"/>
      <c r="Q7215" s="651"/>
      <c r="R7215" s="651"/>
      <c r="S7215" s="651"/>
    </row>
    <row r="7216" spans="12:19" ht="15.75" customHeight="1" x14ac:dyDescent="0.35">
      <c r="L7216" s="2"/>
      <c r="M7216" s="2"/>
      <c r="N7216" s="650"/>
      <c r="O7216" s="650"/>
      <c r="P7216" s="651"/>
      <c r="Q7216" s="651"/>
      <c r="R7216" s="651"/>
      <c r="S7216" s="651"/>
    </row>
    <row r="7217" spans="12:19" ht="15.75" customHeight="1" x14ac:dyDescent="0.35">
      <c r="L7217" s="2"/>
      <c r="M7217" s="2"/>
      <c r="N7217" s="650"/>
      <c r="O7217" s="650"/>
      <c r="P7217" s="651"/>
      <c r="Q7217" s="651"/>
      <c r="R7217" s="651"/>
      <c r="S7217" s="651"/>
    </row>
    <row r="7218" spans="12:19" ht="15.75" customHeight="1" x14ac:dyDescent="0.35">
      <c r="L7218" s="2"/>
      <c r="M7218" s="2"/>
      <c r="N7218" s="650"/>
      <c r="O7218" s="650"/>
      <c r="P7218" s="651"/>
      <c r="Q7218" s="651"/>
      <c r="R7218" s="651"/>
      <c r="S7218" s="651"/>
    </row>
    <row r="7219" spans="12:19" ht="15.75" customHeight="1" x14ac:dyDescent="0.35">
      <c r="L7219" s="2"/>
      <c r="M7219" s="2"/>
      <c r="N7219" s="650"/>
      <c r="O7219" s="650"/>
      <c r="P7219" s="651"/>
      <c r="Q7219" s="651"/>
      <c r="R7219" s="651"/>
      <c r="S7219" s="651"/>
    </row>
    <row r="7220" spans="12:19" ht="15.75" customHeight="1" x14ac:dyDescent="0.35">
      <c r="L7220" s="2"/>
      <c r="M7220" s="2"/>
      <c r="N7220" s="650"/>
      <c r="O7220" s="650"/>
      <c r="P7220" s="651"/>
      <c r="Q7220" s="651"/>
      <c r="R7220" s="651"/>
      <c r="S7220" s="651"/>
    </row>
    <row r="7221" spans="12:19" ht="15.75" customHeight="1" x14ac:dyDescent="0.35">
      <c r="L7221" s="2"/>
      <c r="M7221" s="2"/>
      <c r="N7221" s="650"/>
      <c r="O7221" s="650"/>
      <c r="P7221" s="651"/>
      <c r="Q7221" s="651"/>
      <c r="R7221" s="651"/>
      <c r="S7221" s="651"/>
    </row>
    <row r="7222" spans="12:19" ht="15.75" customHeight="1" x14ac:dyDescent="0.35">
      <c r="L7222" s="2"/>
      <c r="M7222" s="2"/>
      <c r="N7222" s="650"/>
      <c r="O7222" s="650"/>
      <c r="P7222" s="651"/>
      <c r="Q7222" s="651"/>
      <c r="R7222" s="651"/>
      <c r="S7222" s="651"/>
    </row>
    <row r="7223" spans="12:19" ht="15.75" customHeight="1" x14ac:dyDescent="0.35">
      <c r="L7223" s="2"/>
      <c r="M7223" s="2"/>
      <c r="N7223" s="650"/>
      <c r="O7223" s="650"/>
      <c r="P7223" s="651"/>
      <c r="Q7223" s="651"/>
      <c r="R7223" s="651"/>
      <c r="S7223" s="651"/>
    </row>
    <row r="7224" spans="12:19" ht="15.75" customHeight="1" x14ac:dyDescent="0.35">
      <c r="L7224" s="2"/>
      <c r="M7224" s="2"/>
      <c r="N7224" s="650"/>
      <c r="O7224" s="650"/>
      <c r="P7224" s="651"/>
      <c r="Q7224" s="651"/>
      <c r="R7224" s="651"/>
      <c r="S7224" s="651"/>
    </row>
    <row r="7225" spans="12:19" ht="15.75" customHeight="1" x14ac:dyDescent="0.35">
      <c r="L7225" s="2"/>
      <c r="M7225" s="2"/>
      <c r="N7225" s="650"/>
      <c r="O7225" s="650"/>
      <c r="P7225" s="651"/>
      <c r="Q7225" s="651"/>
      <c r="R7225" s="651"/>
      <c r="S7225" s="651"/>
    </row>
    <row r="7226" spans="12:19" ht="15.75" customHeight="1" x14ac:dyDescent="0.35">
      <c r="L7226" s="2"/>
      <c r="M7226" s="2"/>
      <c r="N7226" s="650"/>
      <c r="O7226" s="650"/>
      <c r="P7226" s="651"/>
      <c r="Q7226" s="651"/>
      <c r="R7226" s="651"/>
      <c r="S7226" s="651"/>
    </row>
    <row r="7227" spans="12:19" ht="15.75" customHeight="1" x14ac:dyDescent="0.35">
      <c r="L7227" s="2"/>
      <c r="M7227" s="2"/>
      <c r="N7227" s="650"/>
      <c r="O7227" s="650"/>
      <c r="P7227" s="651"/>
      <c r="Q7227" s="651"/>
      <c r="R7227" s="651"/>
      <c r="S7227" s="651"/>
    </row>
    <row r="7228" spans="12:19" ht="15.75" customHeight="1" x14ac:dyDescent="0.35">
      <c r="L7228" s="2"/>
      <c r="M7228" s="2"/>
      <c r="N7228" s="650"/>
      <c r="O7228" s="650"/>
      <c r="P7228" s="651"/>
      <c r="Q7228" s="651"/>
      <c r="R7228" s="651"/>
      <c r="S7228" s="651"/>
    </row>
    <row r="7229" spans="12:19" ht="15.75" customHeight="1" x14ac:dyDescent="0.35">
      <c r="L7229" s="2"/>
      <c r="M7229" s="2"/>
      <c r="N7229" s="650"/>
      <c r="O7229" s="650"/>
      <c r="P7229" s="651"/>
      <c r="Q7229" s="651"/>
      <c r="R7229" s="651"/>
      <c r="S7229" s="651"/>
    </row>
    <row r="7230" spans="12:19" ht="15.75" customHeight="1" x14ac:dyDescent="0.35">
      <c r="L7230" s="2"/>
      <c r="M7230" s="2"/>
      <c r="N7230" s="650"/>
      <c r="O7230" s="650"/>
      <c r="P7230" s="651"/>
      <c r="Q7230" s="651"/>
      <c r="R7230" s="651"/>
      <c r="S7230" s="651"/>
    </row>
    <row r="7231" spans="12:19" ht="15.75" customHeight="1" x14ac:dyDescent="0.35">
      <c r="L7231" s="2"/>
      <c r="M7231" s="2"/>
      <c r="N7231" s="650"/>
      <c r="O7231" s="650"/>
      <c r="P7231" s="651"/>
      <c r="Q7231" s="651"/>
      <c r="R7231" s="651"/>
      <c r="S7231" s="651"/>
    </row>
    <row r="7232" spans="12:19" ht="15.75" customHeight="1" x14ac:dyDescent="0.35">
      <c r="L7232" s="2"/>
      <c r="M7232" s="2"/>
      <c r="N7232" s="650"/>
      <c r="O7232" s="650"/>
      <c r="P7232" s="651"/>
      <c r="Q7232" s="651"/>
      <c r="R7232" s="651"/>
      <c r="S7232" s="651"/>
    </row>
    <row r="7233" spans="12:19" ht="15.75" customHeight="1" x14ac:dyDescent="0.35">
      <c r="L7233" s="2"/>
      <c r="M7233" s="2"/>
      <c r="N7233" s="650"/>
      <c r="O7233" s="650"/>
      <c r="P7233" s="651"/>
      <c r="Q7233" s="651"/>
      <c r="R7233" s="651"/>
      <c r="S7233" s="651"/>
    </row>
    <row r="7234" spans="12:19" ht="15.75" customHeight="1" x14ac:dyDescent="0.35">
      <c r="L7234" s="2"/>
      <c r="M7234" s="2"/>
      <c r="N7234" s="650"/>
      <c r="O7234" s="650"/>
      <c r="P7234" s="651"/>
      <c r="Q7234" s="651"/>
      <c r="R7234" s="651"/>
      <c r="S7234" s="651"/>
    </row>
    <row r="7235" spans="12:19" ht="15.75" customHeight="1" x14ac:dyDescent="0.35">
      <c r="L7235" s="2"/>
      <c r="M7235" s="2"/>
      <c r="N7235" s="650"/>
      <c r="O7235" s="650"/>
      <c r="P7235" s="651"/>
      <c r="Q7235" s="651"/>
      <c r="R7235" s="651"/>
      <c r="S7235" s="651"/>
    </row>
    <row r="7236" spans="12:19" ht="15.75" customHeight="1" x14ac:dyDescent="0.35">
      <c r="L7236" s="2"/>
      <c r="M7236" s="2"/>
      <c r="N7236" s="650"/>
      <c r="O7236" s="650"/>
      <c r="P7236" s="651"/>
      <c r="Q7236" s="651"/>
      <c r="R7236" s="651"/>
      <c r="S7236" s="651"/>
    </row>
    <row r="7237" spans="12:19" ht="15.75" customHeight="1" x14ac:dyDescent="0.35">
      <c r="L7237" s="2"/>
      <c r="M7237" s="2"/>
      <c r="N7237" s="650"/>
      <c r="O7237" s="650"/>
      <c r="P7237" s="651"/>
      <c r="Q7237" s="651"/>
      <c r="R7237" s="651"/>
      <c r="S7237" s="651"/>
    </row>
    <row r="7238" spans="12:19" ht="15.75" customHeight="1" x14ac:dyDescent="0.35">
      <c r="L7238" s="2"/>
      <c r="M7238" s="2"/>
      <c r="N7238" s="650"/>
      <c r="O7238" s="650"/>
      <c r="P7238" s="651"/>
      <c r="Q7238" s="651"/>
      <c r="R7238" s="651"/>
      <c r="S7238" s="651"/>
    </row>
    <row r="7239" spans="12:19" ht="15.75" customHeight="1" x14ac:dyDescent="0.35">
      <c r="L7239" s="2"/>
      <c r="M7239" s="2"/>
      <c r="N7239" s="650"/>
      <c r="O7239" s="650"/>
      <c r="P7239" s="651"/>
      <c r="Q7239" s="651"/>
      <c r="R7239" s="651"/>
      <c r="S7239" s="651"/>
    </row>
    <row r="7240" spans="12:19" ht="15.75" customHeight="1" x14ac:dyDescent="0.35">
      <c r="L7240" s="2"/>
      <c r="M7240" s="2"/>
      <c r="N7240" s="650"/>
      <c r="O7240" s="650"/>
      <c r="P7240" s="651"/>
      <c r="Q7240" s="651"/>
      <c r="R7240" s="651"/>
      <c r="S7240" s="651"/>
    </row>
    <row r="7241" spans="12:19" ht="15.75" customHeight="1" x14ac:dyDescent="0.35">
      <c r="L7241" s="2"/>
      <c r="M7241" s="2"/>
      <c r="N7241" s="650"/>
      <c r="O7241" s="650"/>
      <c r="P7241" s="651"/>
      <c r="Q7241" s="651"/>
      <c r="R7241" s="651"/>
      <c r="S7241" s="651"/>
    </row>
    <row r="7242" spans="12:19" ht="15.75" customHeight="1" x14ac:dyDescent="0.35">
      <c r="L7242" s="2"/>
      <c r="M7242" s="2"/>
      <c r="N7242" s="650"/>
      <c r="O7242" s="650"/>
      <c r="P7242" s="651"/>
      <c r="Q7242" s="651"/>
      <c r="R7242" s="651"/>
      <c r="S7242" s="651"/>
    </row>
    <row r="7243" spans="12:19" ht="15.75" customHeight="1" x14ac:dyDescent="0.35">
      <c r="L7243" s="2"/>
      <c r="M7243" s="2"/>
      <c r="N7243" s="650"/>
      <c r="O7243" s="650"/>
      <c r="P7243" s="651"/>
      <c r="Q7243" s="651"/>
      <c r="R7243" s="651"/>
      <c r="S7243" s="651"/>
    </row>
    <row r="7244" spans="12:19" ht="15.75" customHeight="1" x14ac:dyDescent="0.35">
      <c r="L7244" s="2"/>
      <c r="M7244" s="2"/>
      <c r="N7244" s="650"/>
      <c r="O7244" s="650"/>
      <c r="P7244" s="651"/>
      <c r="Q7244" s="651"/>
      <c r="R7244" s="651"/>
      <c r="S7244" s="651"/>
    </row>
    <row r="7245" spans="12:19" ht="15.75" customHeight="1" x14ac:dyDescent="0.35">
      <c r="L7245" s="2"/>
      <c r="M7245" s="2"/>
      <c r="N7245" s="650"/>
      <c r="O7245" s="650"/>
      <c r="P7245" s="651"/>
      <c r="Q7245" s="651"/>
      <c r="R7245" s="651"/>
      <c r="S7245" s="651"/>
    </row>
    <row r="7246" spans="12:19" ht="15.75" customHeight="1" x14ac:dyDescent="0.35">
      <c r="L7246" s="2"/>
      <c r="M7246" s="2"/>
      <c r="N7246" s="650"/>
      <c r="O7246" s="650"/>
      <c r="P7246" s="651"/>
      <c r="Q7246" s="651"/>
      <c r="R7246" s="651"/>
      <c r="S7246" s="651"/>
    </row>
    <row r="7247" spans="12:19" ht="15.75" customHeight="1" x14ac:dyDescent="0.35">
      <c r="L7247" s="2"/>
      <c r="M7247" s="2"/>
      <c r="N7247" s="650"/>
      <c r="O7247" s="650"/>
      <c r="P7247" s="651"/>
      <c r="Q7247" s="651"/>
      <c r="R7247" s="651"/>
      <c r="S7247" s="651"/>
    </row>
    <row r="7248" spans="12:19" ht="15.75" customHeight="1" x14ac:dyDescent="0.35">
      <c r="L7248" s="2"/>
      <c r="M7248" s="2"/>
      <c r="N7248" s="650"/>
      <c r="O7248" s="650"/>
      <c r="P7248" s="651"/>
      <c r="Q7248" s="651"/>
      <c r="R7248" s="651"/>
      <c r="S7248" s="651"/>
    </row>
    <row r="7249" spans="12:19" ht="15.75" customHeight="1" x14ac:dyDescent="0.35">
      <c r="L7249" s="2"/>
      <c r="M7249" s="2"/>
      <c r="N7249" s="650"/>
      <c r="O7249" s="650"/>
      <c r="P7249" s="651"/>
      <c r="Q7249" s="651"/>
      <c r="R7249" s="651"/>
      <c r="S7249" s="651"/>
    </row>
    <row r="7250" spans="12:19" ht="15.75" customHeight="1" x14ac:dyDescent="0.35">
      <c r="L7250" s="2"/>
      <c r="M7250" s="2"/>
      <c r="N7250" s="650"/>
      <c r="O7250" s="650"/>
      <c r="P7250" s="651"/>
      <c r="Q7250" s="651"/>
      <c r="R7250" s="651"/>
      <c r="S7250" s="651"/>
    </row>
    <row r="7251" spans="12:19" ht="15.75" customHeight="1" x14ac:dyDescent="0.35">
      <c r="L7251" s="2"/>
      <c r="M7251" s="2"/>
      <c r="N7251" s="650"/>
      <c r="O7251" s="650"/>
      <c r="P7251" s="651"/>
      <c r="Q7251" s="651"/>
      <c r="R7251" s="651"/>
      <c r="S7251" s="651"/>
    </row>
    <row r="7252" spans="12:19" ht="15.75" customHeight="1" x14ac:dyDescent="0.35">
      <c r="L7252" s="2"/>
      <c r="M7252" s="2"/>
      <c r="N7252" s="650"/>
      <c r="O7252" s="650"/>
      <c r="P7252" s="651"/>
      <c r="Q7252" s="651"/>
      <c r="R7252" s="651"/>
      <c r="S7252" s="651"/>
    </row>
    <row r="7253" spans="12:19" ht="15.75" customHeight="1" x14ac:dyDescent="0.35">
      <c r="L7253" s="2"/>
      <c r="M7253" s="2"/>
      <c r="N7253" s="650"/>
      <c r="O7253" s="650"/>
      <c r="P7253" s="651"/>
      <c r="Q7253" s="651"/>
      <c r="R7253" s="651"/>
      <c r="S7253" s="651"/>
    </row>
    <row r="7254" spans="12:19" ht="15.75" customHeight="1" x14ac:dyDescent="0.35">
      <c r="L7254" s="2"/>
      <c r="M7254" s="2"/>
      <c r="N7254" s="650"/>
      <c r="O7254" s="650"/>
      <c r="P7254" s="651"/>
      <c r="Q7254" s="651"/>
      <c r="R7254" s="651"/>
      <c r="S7254" s="651"/>
    </row>
    <row r="7255" spans="12:19" ht="15.75" customHeight="1" x14ac:dyDescent="0.35">
      <c r="L7255" s="2"/>
      <c r="M7255" s="2"/>
      <c r="N7255" s="650"/>
      <c r="O7255" s="650"/>
      <c r="P7255" s="651"/>
      <c r="Q7255" s="651"/>
      <c r="R7255" s="651"/>
      <c r="S7255" s="651"/>
    </row>
    <row r="7256" spans="12:19" ht="15.75" customHeight="1" x14ac:dyDescent="0.35">
      <c r="L7256" s="2"/>
      <c r="M7256" s="2"/>
      <c r="N7256" s="650"/>
      <c r="O7256" s="650"/>
      <c r="P7256" s="651"/>
      <c r="Q7256" s="651"/>
      <c r="R7256" s="651"/>
      <c r="S7256" s="651"/>
    </row>
    <row r="7257" spans="12:19" ht="15.75" customHeight="1" x14ac:dyDescent="0.35">
      <c r="L7257" s="2"/>
      <c r="M7257" s="2"/>
      <c r="N7257" s="650"/>
      <c r="O7257" s="650"/>
      <c r="P7257" s="651"/>
      <c r="Q7257" s="651"/>
      <c r="R7257" s="651"/>
      <c r="S7257" s="651"/>
    </row>
    <row r="7258" spans="12:19" ht="15.75" customHeight="1" x14ac:dyDescent="0.35">
      <c r="L7258" s="2"/>
      <c r="M7258" s="2"/>
      <c r="N7258" s="650"/>
      <c r="O7258" s="650"/>
      <c r="P7258" s="651"/>
      <c r="Q7258" s="651"/>
      <c r="R7258" s="651"/>
      <c r="S7258" s="651"/>
    </row>
    <row r="7259" spans="12:19" ht="15.75" customHeight="1" x14ac:dyDescent="0.35">
      <c r="L7259" s="2"/>
      <c r="M7259" s="2"/>
      <c r="N7259" s="650"/>
      <c r="O7259" s="650"/>
      <c r="P7259" s="651"/>
      <c r="Q7259" s="651"/>
      <c r="R7259" s="651"/>
      <c r="S7259" s="651"/>
    </row>
    <row r="7260" spans="12:19" ht="15.75" customHeight="1" x14ac:dyDescent="0.35">
      <c r="L7260" s="2"/>
      <c r="M7260" s="2"/>
      <c r="N7260" s="650"/>
      <c r="O7260" s="650"/>
      <c r="P7260" s="651"/>
      <c r="Q7260" s="651"/>
      <c r="R7260" s="651"/>
      <c r="S7260" s="651"/>
    </row>
    <row r="7261" spans="12:19" ht="15.75" customHeight="1" x14ac:dyDescent="0.35">
      <c r="L7261" s="2"/>
      <c r="M7261" s="2"/>
      <c r="N7261" s="650"/>
      <c r="O7261" s="650"/>
      <c r="P7261" s="651"/>
      <c r="Q7261" s="651"/>
      <c r="R7261" s="651"/>
      <c r="S7261" s="651"/>
    </row>
    <row r="7262" spans="12:19" ht="15.75" customHeight="1" x14ac:dyDescent="0.35">
      <c r="L7262" s="2"/>
      <c r="M7262" s="2"/>
      <c r="N7262" s="650"/>
      <c r="O7262" s="650"/>
      <c r="P7262" s="651"/>
      <c r="Q7262" s="651"/>
      <c r="R7262" s="651"/>
      <c r="S7262" s="651"/>
    </row>
    <row r="7263" spans="12:19" ht="15.75" customHeight="1" x14ac:dyDescent="0.35">
      <c r="L7263" s="2"/>
      <c r="M7263" s="2"/>
      <c r="N7263" s="650"/>
      <c r="O7263" s="650"/>
      <c r="P7263" s="651"/>
      <c r="Q7263" s="651"/>
      <c r="R7263" s="651"/>
      <c r="S7263" s="651"/>
    </row>
    <row r="7264" spans="12:19" ht="15.75" customHeight="1" x14ac:dyDescent="0.35">
      <c r="L7264" s="2"/>
      <c r="M7264" s="2"/>
      <c r="N7264" s="650"/>
      <c r="O7264" s="650"/>
      <c r="P7264" s="651"/>
      <c r="Q7264" s="651"/>
      <c r="R7264" s="651"/>
      <c r="S7264" s="651"/>
    </row>
    <row r="7265" spans="12:19" ht="15.75" customHeight="1" x14ac:dyDescent="0.35">
      <c r="L7265" s="2"/>
      <c r="M7265" s="2"/>
      <c r="N7265" s="650"/>
      <c r="O7265" s="650"/>
      <c r="P7265" s="651"/>
      <c r="Q7265" s="651"/>
      <c r="R7265" s="651"/>
      <c r="S7265" s="651"/>
    </row>
    <row r="7266" spans="12:19" ht="15.75" customHeight="1" x14ac:dyDescent="0.35">
      <c r="L7266" s="2"/>
      <c r="M7266" s="2"/>
      <c r="N7266" s="650"/>
      <c r="O7266" s="650"/>
      <c r="P7266" s="651"/>
      <c r="Q7266" s="651"/>
      <c r="R7266" s="651"/>
      <c r="S7266" s="651"/>
    </row>
    <row r="7267" spans="12:19" ht="15.75" customHeight="1" x14ac:dyDescent="0.35">
      <c r="L7267" s="2"/>
      <c r="M7267" s="2"/>
      <c r="N7267" s="650"/>
      <c r="O7267" s="650"/>
      <c r="P7267" s="651"/>
      <c r="Q7267" s="651"/>
      <c r="R7267" s="651"/>
      <c r="S7267" s="651"/>
    </row>
    <row r="7268" spans="12:19" ht="15.75" customHeight="1" x14ac:dyDescent="0.35">
      <c r="L7268" s="2"/>
      <c r="M7268" s="2"/>
      <c r="N7268" s="650"/>
      <c r="O7268" s="650"/>
      <c r="P7268" s="651"/>
      <c r="Q7268" s="651"/>
      <c r="R7268" s="651"/>
      <c r="S7268" s="651"/>
    </row>
    <row r="7269" spans="12:19" ht="15.75" customHeight="1" x14ac:dyDescent="0.35">
      <c r="L7269" s="2"/>
      <c r="M7269" s="2"/>
      <c r="N7269" s="650"/>
      <c r="O7269" s="650"/>
      <c r="P7269" s="651"/>
      <c r="Q7269" s="651"/>
      <c r="R7269" s="651"/>
      <c r="S7269" s="651"/>
    </row>
    <row r="7270" spans="12:19" ht="15.75" customHeight="1" x14ac:dyDescent="0.35">
      <c r="L7270" s="2"/>
      <c r="M7270" s="2"/>
      <c r="N7270" s="650"/>
      <c r="O7270" s="650"/>
      <c r="P7270" s="651"/>
      <c r="Q7270" s="651"/>
      <c r="R7270" s="651"/>
      <c r="S7270" s="651"/>
    </row>
    <row r="7271" spans="12:19" ht="15.75" customHeight="1" x14ac:dyDescent="0.35">
      <c r="L7271" s="2"/>
      <c r="M7271" s="2"/>
      <c r="N7271" s="650"/>
      <c r="O7271" s="650"/>
      <c r="P7271" s="651"/>
      <c r="Q7271" s="651"/>
      <c r="R7271" s="651"/>
      <c r="S7271" s="651"/>
    </row>
    <row r="7272" spans="12:19" ht="15.75" customHeight="1" x14ac:dyDescent="0.35">
      <c r="L7272" s="2"/>
      <c r="M7272" s="2"/>
      <c r="N7272" s="650"/>
      <c r="O7272" s="650"/>
      <c r="P7272" s="651"/>
      <c r="Q7272" s="651"/>
      <c r="R7272" s="651"/>
      <c r="S7272" s="651"/>
    </row>
    <row r="7273" spans="12:19" ht="15.75" customHeight="1" x14ac:dyDescent="0.35">
      <c r="L7273" s="2"/>
      <c r="M7273" s="2"/>
      <c r="N7273" s="650"/>
      <c r="O7273" s="650"/>
      <c r="P7273" s="651"/>
      <c r="Q7273" s="651"/>
      <c r="R7273" s="651"/>
      <c r="S7273" s="651"/>
    </row>
    <row r="7274" spans="12:19" ht="15.75" customHeight="1" x14ac:dyDescent="0.35">
      <c r="L7274" s="2"/>
      <c r="M7274" s="2"/>
      <c r="N7274" s="650"/>
      <c r="O7274" s="650"/>
      <c r="P7274" s="651"/>
      <c r="Q7274" s="651"/>
      <c r="R7274" s="651"/>
      <c r="S7274" s="651"/>
    </row>
    <row r="7275" spans="12:19" ht="15.75" customHeight="1" x14ac:dyDescent="0.35">
      <c r="L7275" s="2"/>
      <c r="M7275" s="2"/>
      <c r="N7275" s="650"/>
      <c r="O7275" s="650"/>
      <c r="P7275" s="651"/>
      <c r="Q7275" s="651"/>
      <c r="R7275" s="651"/>
      <c r="S7275" s="651"/>
    </row>
    <row r="7276" spans="12:19" ht="15.75" customHeight="1" x14ac:dyDescent="0.35">
      <c r="L7276" s="2"/>
      <c r="M7276" s="2"/>
      <c r="N7276" s="650"/>
      <c r="O7276" s="650"/>
      <c r="P7276" s="651"/>
      <c r="Q7276" s="651"/>
      <c r="R7276" s="651"/>
      <c r="S7276" s="651"/>
    </row>
    <row r="7277" spans="12:19" ht="15.75" customHeight="1" x14ac:dyDescent="0.35">
      <c r="L7277" s="2"/>
      <c r="M7277" s="2"/>
      <c r="N7277" s="650"/>
      <c r="O7277" s="650"/>
      <c r="P7277" s="651"/>
      <c r="Q7277" s="651"/>
      <c r="R7277" s="651"/>
      <c r="S7277" s="651"/>
    </row>
    <row r="7278" spans="12:19" ht="15.75" customHeight="1" x14ac:dyDescent="0.35">
      <c r="L7278" s="2"/>
      <c r="M7278" s="2"/>
      <c r="N7278" s="650"/>
      <c r="O7278" s="650"/>
      <c r="P7278" s="651"/>
      <c r="Q7278" s="651"/>
      <c r="R7278" s="651"/>
      <c r="S7278" s="651"/>
    </row>
    <row r="7279" spans="12:19" ht="15.75" customHeight="1" x14ac:dyDescent="0.35">
      <c r="L7279" s="2"/>
      <c r="M7279" s="2"/>
      <c r="N7279" s="650"/>
      <c r="O7279" s="650"/>
      <c r="P7279" s="651"/>
      <c r="Q7279" s="651"/>
      <c r="R7279" s="651"/>
      <c r="S7279" s="651"/>
    </row>
    <row r="7280" spans="12:19" ht="15.75" customHeight="1" x14ac:dyDescent="0.35">
      <c r="L7280" s="2"/>
      <c r="M7280" s="2"/>
      <c r="N7280" s="650"/>
      <c r="O7280" s="650"/>
      <c r="P7280" s="651"/>
      <c r="Q7280" s="651"/>
      <c r="R7280" s="651"/>
      <c r="S7280" s="651"/>
    </row>
    <row r="7281" spans="12:19" ht="15.75" customHeight="1" x14ac:dyDescent="0.35">
      <c r="L7281" s="2"/>
      <c r="M7281" s="2"/>
      <c r="N7281" s="650"/>
      <c r="O7281" s="650"/>
      <c r="P7281" s="651"/>
      <c r="Q7281" s="651"/>
      <c r="R7281" s="651"/>
      <c r="S7281" s="651"/>
    </row>
    <row r="7282" spans="12:19" ht="15.75" customHeight="1" x14ac:dyDescent="0.35">
      <c r="L7282" s="2"/>
      <c r="M7282" s="2"/>
      <c r="N7282" s="650"/>
      <c r="O7282" s="650"/>
      <c r="P7282" s="651"/>
      <c r="Q7282" s="651"/>
      <c r="R7282" s="651"/>
      <c r="S7282" s="651"/>
    </row>
    <row r="7283" spans="12:19" ht="15.75" customHeight="1" x14ac:dyDescent="0.35">
      <c r="L7283" s="2"/>
      <c r="M7283" s="2"/>
      <c r="N7283" s="650"/>
      <c r="O7283" s="650"/>
      <c r="P7283" s="651"/>
      <c r="Q7283" s="651"/>
      <c r="R7283" s="651"/>
      <c r="S7283" s="651"/>
    </row>
    <row r="7284" spans="12:19" ht="15.75" customHeight="1" x14ac:dyDescent="0.35">
      <c r="L7284" s="2"/>
      <c r="M7284" s="2"/>
      <c r="N7284" s="650"/>
      <c r="O7284" s="650"/>
      <c r="P7284" s="651"/>
      <c r="Q7284" s="651"/>
      <c r="R7284" s="651"/>
      <c r="S7284" s="651"/>
    </row>
    <row r="7285" spans="12:19" ht="15.75" customHeight="1" x14ac:dyDescent="0.35">
      <c r="L7285" s="2"/>
      <c r="M7285" s="2"/>
      <c r="N7285" s="650"/>
      <c r="O7285" s="650"/>
      <c r="P7285" s="651"/>
      <c r="Q7285" s="651"/>
      <c r="R7285" s="651"/>
      <c r="S7285" s="651"/>
    </row>
    <row r="7286" spans="12:19" ht="15.75" customHeight="1" x14ac:dyDescent="0.35">
      <c r="L7286" s="2"/>
      <c r="M7286" s="2"/>
      <c r="N7286" s="650"/>
      <c r="O7286" s="650"/>
      <c r="P7286" s="651"/>
      <c r="Q7286" s="651"/>
      <c r="R7286" s="651"/>
      <c r="S7286" s="651"/>
    </row>
    <row r="7287" spans="12:19" ht="15.75" customHeight="1" x14ac:dyDescent="0.35">
      <c r="L7287" s="2"/>
      <c r="M7287" s="2"/>
      <c r="N7287" s="650"/>
      <c r="O7287" s="650"/>
      <c r="P7287" s="651"/>
      <c r="Q7287" s="651"/>
      <c r="R7287" s="651"/>
      <c r="S7287" s="651"/>
    </row>
    <row r="7288" spans="12:19" ht="15.75" customHeight="1" x14ac:dyDescent="0.35">
      <c r="L7288" s="2"/>
      <c r="M7288" s="2"/>
      <c r="N7288" s="650"/>
      <c r="O7288" s="650"/>
      <c r="P7288" s="651"/>
      <c r="Q7288" s="651"/>
      <c r="R7288" s="651"/>
      <c r="S7288" s="651"/>
    </row>
    <row r="7289" spans="12:19" ht="15.75" customHeight="1" x14ac:dyDescent="0.35">
      <c r="L7289" s="2"/>
      <c r="M7289" s="2"/>
      <c r="N7289" s="650"/>
      <c r="O7289" s="650"/>
      <c r="P7289" s="651"/>
      <c r="Q7289" s="651"/>
      <c r="R7289" s="651"/>
      <c r="S7289" s="651"/>
    </row>
    <row r="7290" spans="12:19" ht="15.75" customHeight="1" x14ac:dyDescent="0.35">
      <c r="L7290" s="2"/>
      <c r="M7290" s="2"/>
      <c r="N7290" s="650"/>
      <c r="O7290" s="650"/>
      <c r="P7290" s="651"/>
      <c r="Q7290" s="651"/>
      <c r="R7290" s="651"/>
      <c r="S7290" s="651"/>
    </row>
    <row r="7291" spans="12:19" ht="15.75" customHeight="1" x14ac:dyDescent="0.35">
      <c r="L7291" s="2"/>
      <c r="M7291" s="2"/>
      <c r="N7291" s="650"/>
      <c r="O7291" s="650"/>
      <c r="P7291" s="651"/>
      <c r="Q7291" s="651"/>
      <c r="R7291" s="651"/>
      <c r="S7291" s="651"/>
    </row>
    <row r="7292" spans="12:19" ht="15.75" customHeight="1" x14ac:dyDescent="0.35">
      <c r="L7292" s="2"/>
      <c r="M7292" s="2"/>
      <c r="N7292" s="650"/>
      <c r="O7292" s="650"/>
      <c r="P7292" s="651"/>
      <c r="Q7292" s="651"/>
      <c r="R7292" s="651"/>
      <c r="S7292" s="651"/>
    </row>
    <row r="7293" spans="12:19" ht="15.75" customHeight="1" x14ac:dyDescent="0.35">
      <c r="L7293" s="2"/>
      <c r="M7293" s="2"/>
      <c r="N7293" s="650"/>
      <c r="O7293" s="650"/>
      <c r="P7293" s="651"/>
      <c r="Q7293" s="651"/>
      <c r="R7293" s="651"/>
      <c r="S7293" s="651"/>
    </row>
    <row r="7294" spans="12:19" ht="15.75" customHeight="1" x14ac:dyDescent="0.35">
      <c r="L7294" s="2"/>
      <c r="M7294" s="2"/>
      <c r="N7294" s="650"/>
      <c r="O7294" s="650"/>
      <c r="P7294" s="651"/>
      <c r="Q7294" s="651"/>
      <c r="R7294" s="651"/>
      <c r="S7294" s="651"/>
    </row>
    <row r="7295" spans="12:19" ht="15.75" customHeight="1" x14ac:dyDescent="0.35">
      <c r="L7295" s="2"/>
      <c r="M7295" s="2"/>
      <c r="N7295" s="650"/>
      <c r="O7295" s="650"/>
      <c r="P7295" s="651"/>
      <c r="Q7295" s="651"/>
      <c r="R7295" s="651"/>
      <c r="S7295" s="651"/>
    </row>
    <row r="7296" spans="12:19" ht="15.75" customHeight="1" x14ac:dyDescent="0.35">
      <c r="L7296" s="2"/>
      <c r="M7296" s="2"/>
      <c r="N7296" s="650"/>
      <c r="O7296" s="650"/>
      <c r="P7296" s="651"/>
      <c r="Q7296" s="651"/>
      <c r="R7296" s="651"/>
      <c r="S7296" s="651"/>
    </row>
    <row r="7297" spans="12:19" ht="15.75" customHeight="1" x14ac:dyDescent="0.35">
      <c r="L7297" s="2"/>
      <c r="M7297" s="2"/>
      <c r="N7297" s="650"/>
      <c r="O7297" s="650"/>
      <c r="P7297" s="651"/>
      <c r="Q7297" s="651"/>
      <c r="R7297" s="651"/>
      <c r="S7297" s="651"/>
    </row>
    <row r="7298" spans="12:19" ht="15.75" customHeight="1" x14ac:dyDescent="0.35">
      <c r="L7298" s="2"/>
      <c r="M7298" s="2"/>
      <c r="N7298" s="650"/>
      <c r="O7298" s="650"/>
      <c r="P7298" s="651"/>
      <c r="Q7298" s="651"/>
      <c r="R7298" s="651"/>
      <c r="S7298" s="651"/>
    </row>
    <row r="7299" spans="12:19" ht="15.75" customHeight="1" x14ac:dyDescent="0.35">
      <c r="L7299" s="2"/>
      <c r="M7299" s="2"/>
      <c r="N7299" s="650"/>
      <c r="O7299" s="650"/>
      <c r="P7299" s="651"/>
      <c r="Q7299" s="651"/>
      <c r="R7299" s="651"/>
      <c r="S7299" s="651"/>
    </row>
    <row r="7300" spans="12:19" ht="15.75" customHeight="1" x14ac:dyDescent="0.35">
      <c r="L7300" s="2"/>
      <c r="M7300" s="2"/>
      <c r="N7300" s="650"/>
      <c r="O7300" s="650"/>
      <c r="P7300" s="651"/>
      <c r="Q7300" s="651"/>
      <c r="R7300" s="651"/>
      <c r="S7300" s="651"/>
    </row>
    <row r="7301" spans="12:19" ht="15.75" customHeight="1" x14ac:dyDescent="0.35">
      <c r="L7301" s="2"/>
      <c r="M7301" s="2"/>
      <c r="N7301" s="650"/>
      <c r="O7301" s="650"/>
      <c r="P7301" s="651"/>
      <c r="Q7301" s="651"/>
      <c r="R7301" s="651"/>
      <c r="S7301" s="651"/>
    </row>
    <row r="7302" spans="12:19" ht="15.75" customHeight="1" x14ac:dyDescent="0.35">
      <c r="L7302" s="2"/>
      <c r="M7302" s="2"/>
      <c r="N7302" s="650"/>
      <c r="O7302" s="650"/>
      <c r="P7302" s="651"/>
      <c r="Q7302" s="651"/>
      <c r="R7302" s="651"/>
      <c r="S7302" s="651"/>
    </row>
    <row r="7303" spans="12:19" ht="15.75" customHeight="1" x14ac:dyDescent="0.35">
      <c r="L7303" s="2"/>
      <c r="M7303" s="2"/>
      <c r="N7303" s="650"/>
      <c r="O7303" s="650"/>
      <c r="P7303" s="651"/>
      <c r="Q7303" s="651"/>
      <c r="R7303" s="651"/>
      <c r="S7303" s="651"/>
    </row>
    <row r="7304" spans="12:19" ht="15.75" customHeight="1" x14ac:dyDescent="0.35">
      <c r="L7304" s="2"/>
      <c r="M7304" s="2"/>
      <c r="N7304" s="650"/>
      <c r="O7304" s="650"/>
      <c r="P7304" s="651"/>
      <c r="Q7304" s="651"/>
      <c r="R7304" s="651"/>
      <c r="S7304" s="651"/>
    </row>
    <row r="7305" spans="12:19" ht="15.75" customHeight="1" x14ac:dyDescent="0.35">
      <c r="L7305" s="2"/>
      <c r="M7305" s="2"/>
      <c r="N7305" s="650"/>
      <c r="O7305" s="650"/>
      <c r="P7305" s="651"/>
      <c r="Q7305" s="651"/>
      <c r="R7305" s="651"/>
      <c r="S7305" s="651"/>
    </row>
    <row r="7306" spans="12:19" ht="15.75" customHeight="1" x14ac:dyDescent="0.35">
      <c r="L7306" s="2"/>
      <c r="M7306" s="2"/>
      <c r="N7306" s="650"/>
      <c r="O7306" s="650"/>
      <c r="P7306" s="651"/>
      <c r="Q7306" s="651"/>
      <c r="R7306" s="651"/>
      <c r="S7306" s="651"/>
    </row>
    <row r="7307" spans="12:19" ht="15.75" customHeight="1" x14ac:dyDescent="0.35">
      <c r="L7307" s="2"/>
      <c r="M7307" s="2"/>
      <c r="N7307" s="650"/>
      <c r="O7307" s="650"/>
      <c r="P7307" s="651"/>
      <c r="Q7307" s="651"/>
      <c r="R7307" s="651"/>
      <c r="S7307" s="651"/>
    </row>
    <row r="7308" spans="12:19" ht="15.75" customHeight="1" x14ac:dyDescent="0.35">
      <c r="L7308" s="2"/>
      <c r="M7308" s="2"/>
      <c r="N7308" s="650"/>
      <c r="O7308" s="650"/>
      <c r="P7308" s="651"/>
      <c r="Q7308" s="651"/>
      <c r="R7308" s="651"/>
      <c r="S7308" s="651"/>
    </row>
    <row r="7309" spans="12:19" ht="15.75" customHeight="1" x14ac:dyDescent="0.35">
      <c r="L7309" s="2"/>
      <c r="M7309" s="2"/>
      <c r="N7309" s="650"/>
      <c r="O7309" s="650"/>
      <c r="P7309" s="651"/>
      <c r="Q7309" s="651"/>
      <c r="R7309" s="651"/>
      <c r="S7309" s="651"/>
    </row>
    <row r="7310" spans="12:19" ht="15.75" customHeight="1" x14ac:dyDescent="0.35">
      <c r="L7310" s="2"/>
      <c r="M7310" s="2"/>
      <c r="N7310" s="650"/>
      <c r="O7310" s="650"/>
      <c r="P7310" s="651"/>
      <c r="Q7310" s="651"/>
      <c r="R7310" s="651"/>
      <c r="S7310" s="651"/>
    </row>
    <row r="7311" spans="12:19" ht="15.75" customHeight="1" x14ac:dyDescent="0.35">
      <c r="L7311" s="2"/>
      <c r="M7311" s="2"/>
      <c r="N7311" s="650"/>
      <c r="O7311" s="650"/>
      <c r="P7311" s="651"/>
      <c r="Q7311" s="651"/>
      <c r="R7311" s="651"/>
      <c r="S7311" s="651"/>
    </row>
    <row r="7312" spans="12:19" ht="15.75" customHeight="1" x14ac:dyDescent="0.35">
      <c r="L7312" s="2"/>
      <c r="M7312" s="2"/>
      <c r="N7312" s="650"/>
      <c r="O7312" s="650"/>
      <c r="P7312" s="651"/>
      <c r="Q7312" s="651"/>
      <c r="R7312" s="651"/>
      <c r="S7312" s="651"/>
    </row>
    <row r="7313" spans="12:19" ht="15.75" customHeight="1" x14ac:dyDescent="0.35">
      <c r="L7313" s="2"/>
      <c r="M7313" s="2"/>
      <c r="N7313" s="650"/>
      <c r="O7313" s="650"/>
      <c r="P7313" s="651"/>
      <c r="Q7313" s="651"/>
      <c r="R7313" s="651"/>
      <c r="S7313" s="651"/>
    </row>
    <row r="7314" spans="12:19" ht="15.75" customHeight="1" x14ac:dyDescent="0.35">
      <c r="L7314" s="2"/>
      <c r="M7314" s="2"/>
      <c r="N7314" s="650"/>
      <c r="O7314" s="650"/>
      <c r="P7314" s="651"/>
      <c r="Q7314" s="651"/>
      <c r="R7314" s="651"/>
      <c r="S7314" s="651"/>
    </row>
    <row r="7315" spans="12:19" ht="15.75" customHeight="1" x14ac:dyDescent="0.35">
      <c r="L7315" s="2"/>
      <c r="M7315" s="2"/>
      <c r="N7315" s="650"/>
      <c r="O7315" s="650"/>
      <c r="P7315" s="651"/>
      <c r="Q7315" s="651"/>
      <c r="R7315" s="651"/>
      <c r="S7315" s="651"/>
    </row>
    <row r="7316" spans="12:19" ht="15.75" customHeight="1" x14ac:dyDescent="0.35">
      <c r="L7316" s="2"/>
      <c r="M7316" s="2"/>
      <c r="N7316" s="650"/>
      <c r="O7316" s="650"/>
      <c r="P7316" s="651"/>
      <c r="Q7316" s="651"/>
      <c r="R7316" s="651"/>
      <c r="S7316" s="651"/>
    </row>
    <row r="7317" spans="12:19" ht="15.75" customHeight="1" x14ac:dyDescent="0.35">
      <c r="L7317" s="2"/>
      <c r="M7317" s="2"/>
      <c r="N7317" s="650"/>
      <c r="O7317" s="650"/>
      <c r="P7317" s="651"/>
      <c r="Q7317" s="651"/>
      <c r="R7317" s="651"/>
      <c r="S7317" s="651"/>
    </row>
    <row r="7318" spans="12:19" ht="15.75" customHeight="1" x14ac:dyDescent="0.35">
      <c r="L7318" s="2"/>
      <c r="M7318" s="2"/>
      <c r="N7318" s="650"/>
      <c r="O7318" s="650"/>
      <c r="P7318" s="651"/>
      <c r="Q7318" s="651"/>
      <c r="R7318" s="651"/>
      <c r="S7318" s="651"/>
    </row>
    <row r="7319" spans="12:19" ht="15.75" customHeight="1" x14ac:dyDescent="0.35">
      <c r="L7319" s="2"/>
      <c r="M7319" s="2"/>
      <c r="N7319" s="650"/>
      <c r="O7319" s="650"/>
      <c r="P7319" s="651"/>
      <c r="Q7319" s="651"/>
      <c r="R7319" s="651"/>
      <c r="S7319" s="651"/>
    </row>
    <row r="7320" spans="12:19" ht="15.75" customHeight="1" x14ac:dyDescent="0.35">
      <c r="L7320" s="2"/>
      <c r="M7320" s="2"/>
      <c r="N7320" s="650"/>
      <c r="O7320" s="650"/>
      <c r="P7320" s="651"/>
      <c r="Q7320" s="651"/>
      <c r="R7320" s="651"/>
      <c r="S7320" s="651"/>
    </row>
    <row r="7321" spans="12:19" ht="15.75" customHeight="1" x14ac:dyDescent="0.35">
      <c r="L7321" s="2"/>
      <c r="M7321" s="2"/>
      <c r="N7321" s="650"/>
      <c r="O7321" s="650"/>
      <c r="P7321" s="651"/>
      <c r="Q7321" s="651"/>
      <c r="R7321" s="651"/>
      <c r="S7321" s="651"/>
    </row>
    <row r="7322" spans="12:19" ht="15.75" customHeight="1" x14ac:dyDescent="0.35">
      <c r="L7322" s="2"/>
      <c r="M7322" s="2"/>
      <c r="N7322" s="650"/>
      <c r="O7322" s="650"/>
      <c r="P7322" s="651"/>
      <c r="Q7322" s="651"/>
      <c r="R7322" s="651"/>
      <c r="S7322" s="651"/>
    </row>
    <row r="7323" spans="12:19" ht="15.75" customHeight="1" x14ac:dyDescent="0.35">
      <c r="L7323" s="2"/>
      <c r="M7323" s="2"/>
      <c r="N7323" s="650"/>
      <c r="O7323" s="650"/>
      <c r="P7323" s="651"/>
      <c r="Q7323" s="651"/>
      <c r="R7323" s="651"/>
      <c r="S7323" s="651"/>
    </row>
    <row r="7324" spans="12:19" ht="15.75" customHeight="1" x14ac:dyDescent="0.35">
      <c r="L7324" s="2"/>
      <c r="M7324" s="2"/>
      <c r="N7324" s="650"/>
      <c r="O7324" s="650"/>
      <c r="P7324" s="651"/>
      <c r="Q7324" s="651"/>
      <c r="R7324" s="651"/>
      <c r="S7324" s="651"/>
    </row>
    <row r="7325" spans="12:19" ht="15.75" customHeight="1" x14ac:dyDescent="0.35">
      <c r="L7325" s="2"/>
      <c r="M7325" s="2"/>
      <c r="N7325" s="650"/>
      <c r="O7325" s="650"/>
      <c r="P7325" s="651"/>
      <c r="Q7325" s="651"/>
      <c r="R7325" s="651"/>
      <c r="S7325" s="651"/>
    </row>
    <row r="7326" spans="12:19" ht="15.75" customHeight="1" x14ac:dyDescent="0.35">
      <c r="L7326" s="2"/>
      <c r="M7326" s="2"/>
      <c r="N7326" s="650"/>
      <c r="O7326" s="650"/>
      <c r="P7326" s="651"/>
      <c r="Q7326" s="651"/>
      <c r="R7326" s="651"/>
      <c r="S7326" s="651"/>
    </row>
    <row r="7327" spans="12:19" ht="15.75" customHeight="1" x14ac:dyDescent="0.35">
      <c r="L7327" s="2"/>
      <c r="M7327" s="2"/>
      <c r="N7327" s="650"/>
      <c r="O7327" s="650"/>
      <c r="P7327" s="651"/>
      <c r="Q7327" s="651"/>
      <c r="R7327" s="651"/>
      <c r="S7327" s="651"/>
    </row>
    <row r="7328" spans="12:19" ht="15.75" customHeight="1" x14ac:dyDescent="0.35">
      <c r="L7328" s="2"/>
      <c r="M7328" s="2"/>
      <c r="N7328" s="650"/>
      <c r="O7328" s="650"/>
      <c r="P7328" s="651"/>
      <c r="Q7328" s="651"/>
      <c r="R7328" s="651"/>
      <c r="S7328" s="651"/>
    </row>
    <row r="7329" spans="12:19" ht="15.75" customHeight="1" x14ac:dyDescent="0.35">
      <c r="L7329" s="2"/>
      <c r="M7329" s="2"/>
      <c r="N7329" s="650"/>
      <c r="O7329" s="650"/>
      <c r="P7329" s="651"/>
      <c r="Q7329" s="651"/>
      <c r="R7329" s="651"/>
      <c r="S7329" s="651"/>
    </row>
    <row r="7330" spans="12:19" ht="15.75" customHeight="1" x14ac:dyDescent="0.35">
      <c r="L7330" s="2"/>
      <c r="M7330" s="2"/>
      <c r="N7330" s="650"/>
      <c r="O7330" s="650"/>
      <c r="P7330" s="651"/>
      <c r="Q7330" s="651"/>
      <c r="R7330" s="651"/>
      <c r="S7330" s="651"/>
    </row>
    <row r="7331" spans="12:19" ht="15.75" customHeight="1" x14ac:dyDescent="0.35">
      <c r="L7331" s="2"/>
      <c r="M7331" s="2"/>
      <c r="N7331" s="650"/>
      <c r="O7331" s="650"/>
      <c r="P7331" s="651"/>
      <c r="Q7331" s="651"/>
      <c r="R7331" s="651"/>
      <c r="S7331" s="651"/>
    </row>
    <row r="7332" spans="12:19" ht="15.75" customHeight="1" x14ac:dyDescent="0.35">
      <c r="L7332" s="2"/>
      <c r="M7332" s="2"/>
      <c r="N7332" s="650"/>
      <c r="O7332" s="650"/>
      <c r="P7332" s="651"/>
      <c r="Q7332" s="651"/>
      <c r="R7332" s="651"/>
      <c r="S7332" s="651"/>
    </row>
    <row r="7333" spans="12:19" ht="15.75" customHeight="1" x14ac:dyDescent="0.35">
      <c r="L7333" s="2"/>
      <c r="M7333" s="2"/>
      <c r="N7333" s="650"/>
      <c r="O7333" s="650"/>
      <c r="P7333" s="651"/>
      <c r="Q7333" s="651"/>
      <c r="R7333" s="651"/>
      <c r="S7333" s="651"/>
    </row>
    <row r="7334" spans="12:19" ht="15.75" customHeight="1" x14ac:dyDescent="0.35">
      <c r="L7334" s="2"/>
      <c r="M7334" s="2"/>
      <c r="N7334" s="650"/>
      <c r="O7334" s="650"/>
      <c r="P7334" s="651"/>
      <c r="Q7334" s="651"/>
      <c r="R7334" s="651"/>
      <c r="S7334" s="651"/>
    </row>
    <row r="7335" spans="12:19" ht="15.75" customHeight="1" x14ac:dyDescent="0.35">
      <c r="L7335" s="2"/>
      <c r="M7335" s="2"/>
      <c r="N7335" s="650"/>
      <c r="O7335" s="650"/>
      <c r="P7335" s="651"/>
      <c r="Q7335" s="651"/>
      <c r="R7335" s="651"/>
      <c r="S7335" s="651"/>
    </row>
    <row r="7336" spans="12:19" ht="15.75" customHeight="1" x14ac:dyDescent="0.35">
      <c r="L7336" s="2"/>
      <c r="M7336" s="2"/>
      <c r="N7336" s="650"/>
      <c r="O7336" s="650"/>
      <c r="P7336" s="651"/>
      <c r="Q7336" s="651"/>
      <c r="R7336" s="651"/>
      <c r="S7336" s="651"/>
    </row>
    <row r="7337" spans="12:19" ht="15.75" customHeight="1" x14ac:dyDescent="0.35">
      <c r="L7337" s="2"/>
      <c r="M7337" s="2"/>
      <c r="N7337" s="650"/>
      <c r="O7337" s="650"/>
      <c r="P7337" s="651"/>
      <c r="Q7337" s="651"/>
      <c r="R7337" s="651"/>
      <c r="S7337" s="651"/>
    </row>
    <row r="7338" spans="12:19" ht="15.75" customHeight="1" x14ac:dyDescent="0.35">
      <c r="L7338" s="2"/>
      <c r="M7338" s="2"/>
      <c r="N7338" s="650"/>
      <c r="O7338" s="650"/>
      <c r="P7338" s="651"/>
      <c r="Q7338" s="651"/>
      <c r="R7338" s="651"/>
      <c r="S7338" s="651"/>
    </row>
    <row r="7339" spans="12:19" ht="15.75" customHeight="1" x14ac:dyDescent="0.35">
      <c r="L7339" s="2"/>
      <c r="M7339" s="2"/>
      <c r="N7339" s="650"/>
      <c r="O7339" s="650"/>
      <c r="P7339" s="651"/>
      <c r="Q7339" s="651"/>
      <c r="R7339" s="651"/>
      <c r="S7339" s="651"/>
    </row>
    <row r="7340" spans="12:19" ht="15.75" customHeight="1" x14ac:dyDescent="0.35">
      <c r="L7340" s="2"/>
      <c r="M7340" s="2"/>
      <c r="N7340" s="650"/>
      <c r="O7340" s="650"/>
      <c r="P7340" s="651"/>
      <c r="Q7340" s="651"/>
      <c r="R7340" s="651"/>
      <c r="S7340" s="651"/>
    </row>
    <row r="7341" spans="12:19" ht="15.75" customHeight="1" x14ac:dyDescent="0.35">
      <c r="L7341" s="2"/>
      <c r="M7341" s="2"/>
      <c r="N7341" s="650"/>
      <c r="O7341" s="650"/>
      <c r="P7341" s="651"/>
      <c r="Q7341" s="651"/>
      <c r="R7341" s="651"/>
      <c r="S7341" s="651"/>
    </row>
    <row r="7342" spans="12:19" ht="15.75" customHeight="1" x14ac:dyDescent="0.35">
      <c r="L7342" s="2"/>
      <c r="M7342" s="2"/>
      <c r="N7342" s="650"/>
      <c r="O7342" s="650"/>
      <c r="P7342" s="651"/>
      <c r="Q7342" s="651"/>
      <c r="R7342" s="651"/>
      <c r="S7342" s="651"/>
    </row>
    <row r="7343" spans="12:19" ht="15.75" customHeight="1" x14ac:dyDescent="0.35">
      <c r="L7343" s="2"/>
      <c r="M7343" s="2"/>
      <c r="N7343" s="650"/>
      <c r="O7343" s="650"/>
      <c r="P7343" s="651"/>
      <c r="Q7343" s="651"/>
      <c r="R7343" s="651"/>
      <c r="S7343" s="651"/>
    </row>
    <row r="7344" spans="12:19" ht="15.75" customHeight="1" x14ac:dyDescent="0.35">
      <c r="L7344" s="2"/>
      <c r="M7344" s="2"/>
      <c r="N7344" s="650"/>
      <c r="O7344" s="650"/>
      <c r="P7344" s="651"/>
      <c r="Q7344" s="651"/>
      <c r="R7344" s="651"/>
      <c r="S7344" s="651"/>
    </row>
    <row r="7345" spans="12:19" ht="15.75" customHeight="1" x14ac:dyDescent="0.35">
      <c r="L7345" s="2"/>
      <c r="M7345" s="2"/>
      <c r="N7345" s="650"/>
      <c r="O7345" s="650"/>
      <c r="P7345" s="651"/>
      <c r="Q7345" s="651"/>
      <c r="R7345" s="651"/>
      <c r="S7345" s="651"/>
    </row>
    <row r="7346" spans="12:19" ht="15.75" customHeight="1" x14ac:dyDescent="0.35">
      <c r="L7346" s="2"/>
      <c r="M7346" s="2"/>
      <c r="N7346" s="650"/>
      <c r="O7346" s="650"/>
      <c r="P7346" s="651"/>
      <c r="Q7346" s="651"/>
      <c r="R7346" s="651"/>
      <c r="S7346" s="651"/>
    </row>
    <row r="7347" spans="12:19" ht="15.75" customHeight="1" x14ac:dyDescent="0.35">
      <c r="L7347" s="2"/>
      <c r="M7347" s="2"/>
      <c r="N7347" s="650"/>
      <c r="O7347" s="650"/>
      <c r="P7347" s="651"/>
      <c r="Q7347" s="651"/>
      <c r="R7347" s="651"/>
      <c r="S7347" s="651"/>
    </row>
    <row r="7348" spans="12:19" ht="15.75" customHeight="1" x14ac:dyDescent="0.35">
      <c r="L7348" s="2"/>
      <c r="M7348" s="2"/>
      <c r="N7348" s="650"/>
      <c r="O7348" s="650"/>
      <c r="P7348" s="651"/>
      <c r="Q7348" s="651"/>
      <c r="R7348" s="651"/>
      <c r="S7348" s="651"/>
    </row>
    <row r="7349" spans="12:19" ht="15.75" customHeight="1" x14ac:dyDescent="0.35">
      <c r="L7349" s="2"/>
      <c r="M7349" s="2"/>
      <c r="N7349" s="650"/>
      <c r="O7349" s="650"/>
      <c r="P7349" s="651"/>
      <c r="Q7349" s="651"/>
      <c r="R7349" s="651"/>
      <c r="S7349" s="651"/>
    </row>
    <row r="7350" spans="12:19" ht="15.75" customHeight="1" x14ac:dyDescent="0.35">
      <c r="L7350" s="2"/>
      <c r="M7350" s="2"/>
      <c r="N7350" s="650"/>
      <c r="O7350" s="650"/>
      <c r="P7350" s="651"/>
      <c r="Q7350" s="651"/>
      <c r="R7350" s="651"/>
      <c r="S7350" s="651"/>
    </row>
    <row r="7351" spans="12:19" ht="15.75" customHeight="1" x14ac:dyDescent="0.35">
      <c r="L7351" s="2"/>
      <c r="M7351" s="2"/>
      <c r="N7351" s="650"/>
      <c r="O7351" s="650"/>
      <c r="P7351" s="651"/>
      <c r="Q7351" s="651"/>
      <c r="R7351" s="651"/>
      <c r="S7351" s="651"/>
    </row>
    <row r="7352" spans="12:19" ht="15.75" customHeight="1" x14ac:dyDescent="0.35">
      <c r="L7352" s="2"/>
      <c r="M7352" s="2"/>
      <c r="N7352" s="650"/>
      <c r="O7352" s="650"/>
      <c r="P7352" s="651"/>
      <c r="Q7352" s="651"/>
      <c r="R7352" s="651"/>
      <c r="S7352" s="651"/>
    </row>
    <row r="7353" spans="12:19" ht="15.75" customHeight="1" x14ac:dyDescent="0.35">
      <c r="L7353" s="2"/>
      <c r="M7353" s="2"/>
      <c r="N7353" s="650"/>
      <c r="O7353" s="650"/>
      <c r="P7353" s="651"/>
      <c r="Q7353" s="651"/>
      <c r="R7353" s="651"/>
      <c r="S7353" s="651"/>
    </row>
    <row r="7354" spans="12:19" ht="15.75" customHeight="1" x14ac:dyDescent="0.35">
      <c r="L7354" s="2"/>
      <c r="M7354" s="2"/>
      <c r="N7354" s="650"/>
      <c r="O7354" s="650"/>
      <c r="P7354" s="651"/>
      <c r="Q7354" s="651"/>
      <c r="R7354" s="651"/>
      <c r="S7354" s="651"/>
    </row>
    <row r="7355" spans="12:19" ht="15.75" customHeight="1" x14ac:dyDescent="0.35">
      <c r="L7355" s="2"/>
      <c r="M7355" s="2"/>
      <c r="N7355" s="650"/>
      <c r="O7355" s="650"/>
      <c r="P7355" s="651"/>
      <c r="Q7355" s="651"/>
      <c r="R7355" s="651"/>
      <c r="S7355" s="651"/>
    </row>
    <row r="7356" spans="12:19" ht="15.75" customHeight="1" x14ac:dyDescent="0.35">
      <c r="L7356" s="2"/>
      <c r="M7356" s="2"/>
      <c r="N7356" s="650"/>
      <c r="O7356" s="650"/>
      <c r="P7356" s="651"/>
      <c r="Q7356" s="651"/>
      <c r="R7356" s="651"/>
      <c r="S7356" s="651"/>
    </row>
    <row r="7357" spans="12:19" ht="15.75" customHeight="1" x14ac:dyDescent="0.35">
      <c r="L7357" s="2"/>
      <c r="M7357" s="2"/>
      <c r="N7357" s="650"/>
      <c r="O7357" s="650"/>
      <c r="P7357" s="651"/>
      <c r="Q7357" s="651"/>
      <c r="R7357" s="651"/>
      <c r="S7357" s="651"/>
    </row>
    <row r="7358" spans="12:19" ht="15.75" customHeight="1" x14ac:dyDescent="0.35">
      <c r="L7358" s="2"/>
      <c r="M7358" s="2"/>
      <c r="N7358" s="650"/>
      <c r="O7358" s="650"/>
      <c r="P7358" s="651"/>
      <c r="Q7358" s="651"/>
      <c r="R7358" s="651"/>
      <c r="S7358" s="651"/>
    </row>
    <row r="7359" spans="12:19" ht="15.75" customHeight="1" x14ac:dyDescent="0.35">
      <c r="L7359" s="2"/>
      <c r="M7359" s="2"/>
      <c r="N7359" s="650"/>
      <c r="O7359" s="650"/>
      <c r="P7359" s="651"/>
      <c r="Q7359" s="651"/>
      <c r="R7359" s="651"/>
      <c r="S7359" s="651"/>
    </row>
    <row r="7360" spans="12:19" ht="15.75" customHeight="1" x14ac:dyDescent="0.35">
      <c r="L7360" s="2"/>
      <c r="M7360" s="2"/>
      <c r="N7360" s="650"/>
      <c r="O7360" s="650"/>
      <c r="P7360" s="651"/>
      <c r="Q7360" s="651"/>
      <c r="R7360" s="651"/>
      <c r="S7360" s="651"/>
    </row>
    <row r="7361" spans="12:19" ht="15.75" customHeight="1" x14ac:dyDescent="0.35">
      <c r="L7361" s="2"/>
      <c r="M7361" s="2"/>
      <c r="N7361" s="650"/>
      <c r="O7361" s="650"/>
      <c r="P7361" s="651"/>
      <c r="Q7361" s="651"/>
      <c r="R7361" s="651"/>
      <c r="S7361" s="651"/>
    </row>
    <row r="7362" spans="12:19" ht="15.75" customHeight="1" x14ac:dyDescent="0.35">
      <c r="L7362" s="2"/>
      <c r="M7362" s="2"/>
      <c r="N7362" s="650"/>
      <c r="O7362" s="650"/>
      <c r="P7362" s="651"/>
      <c r="Q7362" s="651"/>
      <c r="R7362" s="651"/>
      <c r="S7362" s="651"/>
    </row>
    <row r="7363" spans="12:19" ht="15.75" customHeight="1" x14ac:dyDescent="0.35">
      <c r="L7363" s="2"/>
      <c r="M7363" s="2"/>
      <c r="N7363" s="650"/>
      <c r="O7363" s="650"/>
      <c r="P7363" s="651"/>
      <c r="Q7363" s="651"/>
      <c r="R7363" s="651"/>
      <c r="S7363" s="651"/>
    </row>
    <row r="7364" spans="12:19" ht="15.75" customHeight="1" x14ac:dyDescent="0.35">
      <c r="L7364" s="2"/>
      <c r="M7364" s="2"/>
      <c r="N7364" s="650"/>
      <c r="O7364" s="650"/>
      <c r="P7364" s="651"/>
      <c r="Q7364" s="651"/>
      <c r="R7364" s="651"/>
      <c r="S7364" s="651"/>
    </row>
    <row r="7365" spans="12:19" ht="15.75" customHeight="1" x14ac:dyDescent="0.35">
      <c r="L7365" s="2"/>
      <c r="M7365" s="2"/>
      <c r="N7365" s="650"/>
      <c r="O7365" s="650"/>
      <c r="P7365" s="651"/>
      <c r="Q7365" s="651"/>
      <c r="R7365" s="651"/>
      <c r="S7365" s="651"/>
    </row>
    <row r="7366" spans="12:19" ht="15.75" customHeight="1" x14ac:dyDescent="0.35">
      <c r="L7366" s="2"/>
      <c r="M7366" s="2"/>
      <c r="N7366" s="650"/>
      <c r="O7366" s="650"/>
      <c r="P7366" s="651"/>
      <c r="Q7366" s="651"/>
      <c r="R7366" s="651"/>
      <c r="S7366" s="651"/>
    </row>
    <row r="7367" spans="12:19" ht="15.75" customHeight="1" x14ac:dyDescent="0.35">
      <c r="L7367" s="2"/>
      <c r="M7367" s="2"/>
      <c r="N7367" s="650"/>
      <c r="O7367" s="650"/>
      <c r="P7367" s="651"/>
      <c r="Q7367" s="651"/>
      <c r="R7367" s="651"/>
      <c r="S7367" s="651"/>
    </row>
    <row r="7368" spans="12:19" ht="15.75" customHeight="1" x14ac:dyDescent="0.35">
      <c r="L7368" s="2"/>
      <c r="M7368" s="2"/>
      <c r="N7368" s="650"/>
      <c r="O7368" s="650"/>
      <c r="P7368" s="651"/>
      <c r="Q7368" s="651"/>
      <c r="R7368" s="651"/>
      <c r="S7368" s="651"/>
    </row>
    <row r="7369" spans="12:19" ht="15.75" customHeight="1" x14ac:dyDescent="0.35">
      <c r="L7369" s="2"/>
      <c r="M7369" s="2"/>
      <c r="N7369" s="650"/>
      <c r="O7369" s="650"/>
      <c r="P7369" s="651"/>
      <c r="Q7369" s="651"/>
      <c r="R7369" s="651"/>
      <c r="S7369" s="651"/>
    </row>
    <row r="7370" spans="12:19" ht="15.75" customHeight="1" x14ac:dyDescent="0.35">
      <c r="L7370" s="2"/>
      <c r="M7370" s="2"/>
      <c r="N7370" s="650"/>
      <c r="O7370" s="650"/>
      <c r="P7370" s="651"/>
      <c r="Q7370" s="651"/>
      <c r="R7370" s="651"/>
      <c r="S7370" s="651"/>
    </row>
    <row r="7371" spans="12:19" ht="15.75" customHeight="1" x14ac:dyDescent="0.35">
      <c r="L7371" s="2"/>
      <c r="M7371" s="2"/>
      <c r="N7371" s="650"/>
      <c r="O7371" s="650"/>
      <c r="P7371" s="651"/>
      <c r="Q7371" s="651"/>
      <c r="R7371" s="651"/>
      <c r="S7371" s="651"/>
    </row>
    <row r="7372" spans="12:19" ht="15.75" customHeight="1" x14ac:dyDescent="0.35">
      <c r="L7372" s="2"/>
      <c r="M7372" s="2"/>
      <c r="N7372" s="650"/>
      <c r="O7372" s="650"/>
      <c r="P7372" s="651"/>
      <c r="Q7372" s="651"/>
      <c r="R7372" s="651"/>
      <c r="S7372" s="651"/>
    </row>
    <row r="7373" spans="12:19" ht="15.75" customHeight="1" x14ac:dyDescent="0.35">
      <c r="L7373" s="2"/>
      <c r="M7373" s="2"/>
      <c r="N7373" s="650"/>
      <c r="O7373" s="650"/>
      <c r="P7373" s="651"/>
      <c r="Q7373" s="651"/>
      <c r="R7373" s="651"/>
      <c r="S7373" s="651"/>
    </row>
    <row r="7374" spans="12:19" ht="15.75" customHeight="1" x14ac:dyDescent="0.35">
      <c r="L7374" s="2"/>
      <c r="M7374" s="2"/>
      <c r="N7374" s="650"/>
      <c r="O7374" s="650"/>
      <c r="P7374" s="651"/>
      <c r="Q7374" s="651"/>
      <c r="R7374" s="651"/>
      <c r="S7374" s="651"/>
    </row>
    <row r="7375" spans="12:19" ht="15.75" customHeight="1" x14ac:dyDescent="0.35">
      <c r="L7375" s="2"/>
      <c r="M7375" s="2"/>
      <c r="N7375" s="650"/>
      <c r="O7375" s="650"/>
      <c r="P7375" s="651"/>
      <c r="Q7375" s="651"/>
      <c r="R7375" s="651"/>
      <c r="S7375" s="651"/>
    </row>
    <row r="7376" spans="12:19" ht="15.75" customHeight="1" x14ac:dyDescent="0.35">
      <c r="L7376" s="2"/>
      <c r="M7376" s="2"/>
      <c r="N7376" s="650"/>
      <c r="O7376" s="650"/>
      <c r="P7376" s="651"/>
      <c r="Q7376" s="651"/>
      <c r="R7376" s="651"/>
      <c r="S7376" s="651"/>
    </row>
    <row r="7377" spans="12:19" ht="15.75" customHeight="1" x14ac:dyDescent="0.35">
      <c r="L7377" s="2"/>
      <c r="M7377" s="2"/>
      <c r="N7377" s="650"/>
      <c r="O7377" s="650"/>
      <c r="P7377" s="651"/>
      <c r="Q7377" s="651"/>
      <c r="R7377" s="651"/>
      <c r="S7377" s="651"/>
    </row>
    <row r="7378" spans="12:19" ht="15.75" customHeight="1" x14ac:dyDescent="0.35">
      <c r="L7378" s="2"/>
      <c r="M7378" s="2"/>
      <c r="N7378" s="650"/>
      <c r="O7378" s="650"/>
      <c r="P7378" s="651"/>
      <c r="Q7378" s="651"/>
      <c r="R7378" s="651"/>
      <c r="S7378" s="651"/>
    </row>
    <row r="7379" spans="12:19" ht="15.75" customHeight="1" x14ac:dyDescent="0.35">
      <c r="L7379" s="2"/>
      <c r="M7379" s="2"/>
      <c r="N7379" s="650"/>
      <c r="O7379" s="650"/>
      <c r="P7379" s="651"/>
      <c r="Q7379" s="651"/>
      <c r="R7379" s="651"/>
      <c r="S7379" s="651"/>
    </row>
    <row r="7380" spans="12:19" ht="15.75" customHeight="1" x14ac:dyDescent="0.35">
      <c r="L7380" s="2"/>
      <c r="M7380" s="2"/>
      <c r="N7380" s="650"/>
      <c r="O7380" s="650"/>
      <c r="P7380" s="651"/>
      <c r="Q7380" s="651"/>
      <c r="R7380" s="651"/>
      <c r="S7380" s="651"/>
    </row>
    <row r="7381" spans="12:19" ht="15.75" customHeight="1" x14ac:dyDescent="0.35">
      <c r="L7381" s="2"/>
      <c r="M7381" s="2"/>
      <c r="N7381" s="650"/>
      <c r="O7381" s="650"/>
      <c r="P7381" s="651"/>
      <c r="Q7381" s="651"/>
      <c r="R7381" s="651"/>
      <c r="S7381" s="651"/>
    </row>
    <row r="7382" spans="12:19" ht="15.75" customHeight="1" x14ac:dyDescent="0.35">
      <c r="L7382" s="2"/>
      <c r="M7382" s="2"/>
      <c r="N7382" s="650"/>
      <c r="O7382" s="650"/>
      <c r="P7382" s="651"/>
      <c r="Q7382" s="651"/>
      <c r="R7382" s="651"/>
      <c r="S7382" s="651"/>
    </row>
    <row r="7383" spans="12:19" ht="15.75" customHeight="1" x14ac:dyDescent="0.35">
      <c r="L7383" s="2"/>
      <c r="M7383" s="2"/>
      <c r="N7383" s="650"/>
      <c r="O7383" s="650"/>
      <c r="P7383" s="651"/>
      <c r="Q7383" s="651"/>
      <c r="R7383" s="651"/>
      <c r="S7383" s="651"/>
    </row>
    <row r="7384" spans="12:19" ht="15.75" customHeight="1" x14ac:dyDescent="0.35">
      <c r="L7384" s="2"/>
      <c r="M7384" s="2"/>
      <c r="N7384" s="650"/>
      <c r="O7384" s="650"/>
      <c r="P7384" s="651"/>
      <c r="Q7384" s="651"/>
      <c r="R7384" s="651"/>
      <c r="S7384" s="651"/>
    </row>
    <row r="7385" spans="12:19" ht="15.75" customHeight="1" x14ac:dyDescent="0.35">
      <c r="L7385" s="2"/>
      <c r="M7385" s="2"/>
      <c r="N7385" s="650"/>
      <c r="O7385" s="650"/>
      <c r="P7385" s="651"/>
      <c r="Q7385" s="651"/>
      <c r="R7385" s="651"/>
      <c r="S7385" s="651"/>
    </row>
    <row r="7386" spans="12:19" ht="15.75" customHeight="1" x14ac:dyDescent="0.35">
      <c r="L7386" s="2"/>
      <c r="M7386" s="2"/>
      <c r="N7386" s="650"/>
      <c r="O7386" s="650"/>
      <c r="P7386" s="651"/>
      <c r="Q7386" s="651"/>
      <c r="R7386" s="651"/>
      <c r="S7386" s="651"/>
    </row>
    <row r="7387" spans="12:19" ht="15.75" customHeight="1" x14ac:dyDescent="0.35">
      <c r="L7387" s="2"/>
      <c r="M7387" s="2"/>
      <c r="N7387" s="650"/>
      <c r="O7387" s="650"/>
      <c r="P7387" s="651"/>
      <c r="Q7387" s="651"/>
      <c r="R7387" s="651"/>
      <c r="S7387" s="651"/>
    </row>
    <row r="7388" spans="12:19" ht="15.75" customHeight="1" x14ac:dyDescent="0.35">
      <c r="L7388" s="2"/>
      <c r="M7388" s="2"/>
      <c r="N7388" s="650"/>
      <c r="O7388" s="650"/>
      <c r="P7388" s="651"/>
      <c r="Q7388" s="651"/>
      <c r="R7388" s="651"/>
      <c r="S7388" s="651"/>
    </row>
    <row r="7389" spans="12:19" ht="15.75" customHeight="1" x14ac:dyDescent="0.35">
      <c r="L7389" s="2"/>
      <c r="M7389" s="2"/>
      <c r="N7389" s="650"/>
      <c r="O7389" s="650"/>
      <c r="P7389" s="651"/>
      <c r="Q7389" s="651"/>
      <c r="R7389" s="651"/>
      <c r="S7389" s="651"/>
    </row>
    <row r="7390" spans="12:19" ht="15.75" customHeight="1" x14ac:dyDescent="0.35">
      <c r="L7390" s="2"/>
      <c r="M7390" s="2"/>
      <c r="N7390" s="650"/>
      <c r="O7390" s="650"/>
      <c r="P7390" s="651"/>
      <c r="Q7390" s="651"/>
      <c r="R7390" s="651"/>
      <c r="S7390" s="651"/>
    </row>
    <row r="7391" spans="12:19" ht="15.75" customHeight="1" x14ac:dyDescent="0.35">
      <c r="L7391" s="2"/>
      <c r="M7391" s="2"/>
      <c r="N7391" s="650"/>
      <c r="O7391" s="650"/>
      <c r="P7391" s="651"/>
      <c r="Q7391" s="651"/>
      <c r="R7391" s="651"/>
      <c r="S7391" s="651"/>
    </row>
    <row r="7392" spans="12:19" ht="15.75" customHeight="1" x14ac:dyDescent="0.35">
      <c r="L7392" s="2"/>
      <c r="M7392" s="2"/>
      <c r="N7392" s="650"/>
      <c r="O7392" s="650"/>
      <c r="P7392" s="651"/>
      <c r="Q7392" s="651"/>
      <c r="R7392" s="651"/>
      <c r="S7392" s="651"/>
    </row>
    <row r="7393" spans="12:19" ht="15.75" customHeight="1" x14ac:dyDescent="0.35">
      <c r="L7393" s="2"/>
      <c r="M7393" s="2"/>
      <c r="N7393" s="650"/>
      <c r="O7393" s="650"/>
      <c r="P7393" s="651"/>
      <c r="Q7393" s="651"/>
      <c r="R7393" s="651"/>
      <c r="S7393" s="651"/>
    </row>
    <row r="7394" spans="12:19" ht="15.75" customHeight="1" x14ac:dyDescent="0.35">
      <c r="L7394" s="2"/>
      <c r="M7394" s="2"/>
      <c r="N7394" s="650"/>
      <c r="O7394" s="650"/>
      <c r="P7394" s="651"/>
      <c r="Q7394" s="651"/>
      <c r="R7394" s="651"/>
      <c r="S7394" s="651"/>
    </row>
    <row r="7395" spans="12:19" ht="15.75" customHeight="1" x14ac:dyDescent="0.35">
      <c r="L7395" s="2"/>
      <c r="M7395" s="2"/>
      <c r="N7395" s="650"/>
      <c r="O7395" s="650"/>
      <c r="P7395" s="651"/>
      <c r="Q7395" s="651"/>
      <c r="R7395" s="651"/>
      <c r="S7395" s="651"/>
    </row>
    <row r="7396" spans="12:19" ht="15.75" customHeight="1" x14ac:dyDescent="0.35">
      <c r="L7396" s="2"/>
      <c r="M7396" s="2"/>
      <c r="N7396" s="650"/>
      <c r="O7396" s="650"/>
      <c r="P7396" s="651"/>
      <c r="Q7396" s="651"/>
      <c r="R7396" s="651"/>
      <c r="S7396" s="651"/>
    </row>
    <row r="7397" spans="12:19" ht="15.75" customHeight="1" x14ac:dyDescent="0.35">
      <c r="L7397" s="2"/>
      <c r="M7397" s="2"/>
      <c r="N7397" s="650"/>
      <c r="O7397" s="650"/>
      <c r="P7397" s="651"/>
      <c r="Q7397" s="651"/>
      <c r="R7397" s="651"/>
      <c r="S7397" s="651"/>
    </row>
    <row r="7398" spans="12:19" ht="15.75" customHeight="1" x14ac:dyDescent="0.35">
      <c r="L7398" s="2"/>
      <c r="M7398" s="2"/>
      <c r="N7398" s="650"/>
      <c r="O7398" s="650"/>
      <c r="P7398" s="651"/>
      <c r="Q7398" s="651"/>
      <c r="R7398" s="651"/>
      <c r="S7398" s="651"/>
    </row>
    <row r="7399" spans="12:19" ht="15.75" customHeight="1" x14ac:dyDescent="0.35">
      <c r="L7399" s="2"/>
      <c r="M7399" s="2"/>
      <c r="N7399" s="650"/>
      <c r="O7399" s="650"/>
      <c r="P7399" s="651"/>
      <c r="Q7399" s="651"/>
      <c r="R7399" s="651"/>
      <c r="S7399" s="651"/>
    </row>
    <row r="7400" spans="12:19" ht="15.75" customHeight="1" x14ac:dyDescent="0.35">
      <c r="L7400" s="2"/>
      <c r="M7400" s="2"/>
      <c r="N7400" s="650"/>
      <c r="O7400" s="650"/>
      <c r="P7400" s="651"/>
      <c r="Q7400" s="651"/>
      <c r="R7400" s="651"/>
      <c r="S7400" s="651"/>
    </row>
    <row r="7401" spans="12:19" ht="15.75" customHeight="1" x14ac:dyDescent="0.35">
      <c r="L7401" s="2"/>
      <c r="M7401" s="2"/>
      <c r="N7401" s="650"/>
      <c r="O7401" s="650"/>
      <c r="P7401" s="651"/>
      <c r="Q7401" s="651"/>
      <c r="R7401" s="651"/>
      <c r="S7401" s="651"/>
    </row>
    <row r="7402" spans="12:19" ht="15.75" customHeight="1" x14ac:dyDescent="0.35">
      <c r="L7402" s="2"/>
      <c r="M7402" s="2"/>
      <c r="N7402" s="650"/>
      <c r="O7402" s="650"/>
      <c r="P7402" s="651"/>
      <c r="Q7402" s="651"/>
      <c r="R7402" s="651"/>
      <c r="S7402" s="651"/>
    </row>
    <row r="7403" spans="12:19" ht="15.75" customHeight="1" x14ac:dyDescent="0.35">
      <c r="L7403" s="2"/>
      <c r="M7403" s="2"/>
      <c r="N7403" s="650"/>
      <c r="O7403" s="650"/>
      <c r="P7403" s="651"/>
      <c r="Q7403" s="651"/>
      <c r="R7403" s="651"/>
      <c r="S7403" s="651"/>
    </row>
    <row r="7404" spans="12:19" ht="15.75" customHeight="1" x14ac:dyDescent="0.35">
      <c r="L7404" s="2"/>
      <c r="M7404" s="2"/>
      <c r="N7404" s="650"/>
      <c r="O7404" s="650"/>
      <c r="P7404" s="651"/>
      <c r="Q7404" s="651"/>
      <c r="R7404" s="651"/>
      <c r="S7404" s="651"/>
    </row>
    <row r="7405" spans="12:19" ht="15.75" customHeight="1" x14ac:dyDescent="0.35">
      <c r="L7405" s="2"/>
      <c r="M7405" s="2"/>
      <c r="N7405" s="650"/>
      <c r="O7405" s="650"/>
      <c r="P7405" s="651"/>
      <c r="Q7405" s="651"/>
      <c r="R7405" s="651"/>
      <c r="S7405" s="651"/>
    </row>
    <row r="7406" spans="12:19" ht="15.75" customHeight="1" x14ac:dyDescent="0.35">
      <c r="L7406" s="2"/>
      <c r="M7406" s="2"/>
      <c r="N7406" s="650"/>
      <c r="O7406" s="650"/>
      <c r="P7406" s="651"/>
      <c r="Q7406" s="651"/>
      <c r="R7406" s="651"/>
      <c r="S7406" s="651"/>
    </row>
    <row r="7407" spans="12:19" ht="15.75" customHeight="1" x14ac:dyDescent="0.35">
      <c r="L7407" s="2"/>
      <c r="M7407" s="2"/>
      <c r="N7407" s="650"/>
      <c r="O7407" s="650"/>
      <c r="P7407" s="651"/>
      <c r="Q7407" s="651"/>
      <c r="R7407" s="651"/>
      <c r="S7407" s="651"/>
    </row>
    <row r="7408" spans="12:19" ht="15.75" customHeight="1" x14ac:dyDescent="0.35">
      <c r="L7408" s="2"/>
      <c r="M7408" s="2"/>
      <c r="N7408" s="650"/>
      <c r="O7408" s="650"/>
      <c r="P7408" s="651"/>
      <c r="Q7408" s="651"/>
      <c r="R7408" s="651"/>
      <c r="S7408" s="651"/>
    </row>
    <row r="7409" spans="12:19" ht="15.75" customHeight="1" x14ac:dyDescent="0.35">
      <c r="L7409" s="2"/>
      <c r="M7409" s="2"/>
      <c r="N7409" s="650"/>
      <c r="O7409" s="650"/>
      <c r="P7409" s="651"/>
      <c r="Q7409" s="651"/>
      <c r="R7409" s="651"/>
      <c r="S7409" s="651"/>
    </row>
    <row r="7410" spans="12:19" ht="15.75" customHeight="1" x14ac:dyDescent="0.35">
      <c r="L7410" s="2"/>
      <c r="M7410" s="2"/>
      <c r="N7410" s="650"/>
      <c r="O7410" s="650"/>
      <c r="P7410" s="651"/>
      <c r="Q7410" s="651"/>
      <c r="R7410" s="651"/>
      <c r="S7410" s="651"/>
    </row>
    <row r="7411" spans="12:19" ht="15.75" customHeight="1" x14ac:dyDescent="0.35">
      <c r="L7411" s="2"/>
      <c r="M7411" s="2"/>
      <c r="N7411" s="650"/>
      <c r="O7411" s="650"/>
      <c r="P7411" s="651"/>
      <c r="Q7411" s="651"/>
      <c r="R7411" s="651"/>
      <c r="S7411" s="651"/>
    </row>
    <row r="7412" spans="12:19" ht="15.75" customHeight="1" x14ac:dyDescent="0.35">
      <c r="L7412" s="2"/>
      <c r="M7412" s="2"/>
      <c r="N7412" s="650"/>
      <c r="O7412" s="650"/>
      <c r="P7412" s="651"/>
      <c r="Q7412" s="651"/>
      <c r="R7412" s="651"/>
      <c r="S7412" s="651"/>
    </row>
    <row r="7413" spans="12:19" ht="15.75" customHeight="1" x14ac:dyDescent="0.35">
      <c r="L7413" s="2"/>
      <c r="M7413" s="2"/>
      <c r="N7413" s="650"/>
      <c r="O7413" s="650"/>
      <c r="P7413" s="651"/>
      <c r="Q7413" s="651"/>
      <c r="R7413" s="651"/>
      <c r="S7413" s="651"/>
    </row>
    <row r="7414" spans="12:19" ht="15.75" customHeight="1" x14ac:dyDescent="0.35">
      <c r="L7414" s="2"/>
      <c r="M7414" s="2"/>
      <c r="N7414" s="650"/>
      <c r="O7414" s="650"/>
      <c r="P7414" s="651"/>
      <c r="Q7414" s="651"/>
      <c r="R7414" s="651"/>
      <c r="S7414" s="651"/>
    </row>
    <row r="7415" spans="12:19" ht="15.75" customHeight="1" x14ac:dyDescent="0.35">
      <c r="L7415" s="2"/>
      <c r="M7415" s="2"/>
      <c r="N7415" s="650"/>
      <c r="O7415" s="650"/>
      <c r="P7415" s="651"/>
      <c r="Q7415" s="651"/>
      <c r="R7415" s="651"/>
      <c r="S7415" s="651"/>
    </row>
    <row r="7416" spans="12:19" ht="15.75" customHeight="1" x14ac:dyDescent="0.35">
      <c r="L7416" s="2"/>
      <c r="M7416" s="2"/>
      <c r="N7416" s="650"/>
      <c r="O7416" s="650"/>
      <c r="P7416" s="651"/>
      <c r="Q7416" s="651"/>
      <c r="R7416" s="651"/>
      <c r="S7416" s="651"/>
    </row>
    <row r="7417" spans="12:19" ht="15.75" customHeight="1" x14ac:dyDescent="0.35">
      <c r="L7417" s="2"/>
      <c r="M7417" s="2"/>
      <c r="N7417" s="650"/>
      <c r="O7417" s="650"/>
      <c r="P7417" s="651"/>
      <c r="Q7417" s="651"/>
      <c r="R7417" s="651"/>
      <c r="S7417" s="651"/>
    </row>
    <row r="7418" spans="12:19" ht="15.75" customHeight="1" x14ac:dyDescent="0.35">
      <c r="L7418" s="2"/>
      <c r="M7418" s="2"/>
      <c r="N7418" s="650"/>
      <c r="O7418" s="650"/>
      <c r="P7418" s="651"/>
      <c r="Q7418" s="651"/>
      <c r="R7418" s="651"/>
      <c r="S7418" s="651"/>
    </row>
    <row r="7419" spans="12:19" ht="15.75" customHeight="1" x14ac:dyDescent="0.35">
      <c r="L7419" s="2"/>
      <c r="M7419" s="2"/>
      <c r="N7419" s="650"/>
      <c r="O7419" s="650"/>
      <c r="P7419" s="651"/>
      <c r="Q7419" s="651"/>
      <c r="R7419" s="651"/>
      <c r="S7419" s="651"/>
    </row>
    <row r="7420" spans="12:19" ht="15.75" customHeight="1" x14ac:dyDescent="0.35">
      <c r="L7420" s="2"/>
      <c r="M7420" s="2"/>
      <c r="N7420" s="650"/>
      <c r="O7420" s="650"/>
      <c r="P7420" s="651"/>
      <c r="Q7420" s="651"/>
      <c r="R7420" s="651"/>
      <c r="S7420" s="651"/>
    </row>
    <row r="7421" spans="12:19" ht="15.75" customHeight="1" x14ac:dyDescent="0.35">
      <c r="L7421" s="2"/>
      <c r="M7421" s="2"/>
      <c r="N7421" s="650"/>
      <c r="O7421" s="650"/>
      <c r="P7421" s="651"/>
      <c r="Q7421" s="651"/>
      <c r="R7421" s="651"/>
      <c r="S7421" s="651"/>
    </row>
    <row r="7422" spans="12:19" ht="15.75" customHeight="1" x14ac:dyDescent="0.35">
      <c r="L7422" s="2"/>
      <c r="M7422" s="2"/>
      <c r="N7422" s="650"/>
      <c r="O7422" s="650"/>
      <c r="P7422" s="651"/>
      <c r="Q7422" s="651"/>
      <c r="R7422" s="651"/>
      <c r="S7422" s="651"/>
    </row>
    <row r="7423" spans="12:19" ht="15.75" customHeight="1" x14ac:dyDescent="0.35">
      <c r="L7423" s="2"/>
      <c r="M7423" s="2"/>
      <c r="N7423" s="650"/>
      <c r="O7423" s="650"/>
      <c r="P7423" s="651"/>
      <c r="Q7423" s="651"/>
      <c r="R7423" s="651"/>
      <c r="S7423" s="651"/>
    </row>
    <row r="7424" spans="12:19" ht="15.75" customHeight="1" x14ac:dyDescent="0.35">
      <c r="L7424" s="2"/>
      <c r="M7424" s="2"/>
      <c r="N7424" s="650"/>
      <c r="O7424" s="650"/>
      <c r="P7424" s="651"/>
      <c r="Q7424" s="651"/>
      <c r="R7424" s="651"/>
      <c r="S7424" s="651"/>
    </row>
    <row r="7425" spans="12:19" ht="15.75" customHeight="1" x14ac:dyDescent="0.35">
      <c r="L7425" s="2"/>
      <c r="M7425" s="2"/>
      <c r="N7425" s="650"/>
      <c r="O7425" s="650"/>
      <c r="P7425" s="651"/>
      <c r="Q7425" s="651"/>
      <c r="R7425" s="651"/>
      <c r="S7425" s="651"/>
    </row>
    <row r="7426" spans="12:19" ht="15.75" customHeight="1" x14ac:dyDescent="0.35">
      <c r="L7426" s="2"/>
      <c r="M7426" s="2"/>
      <c r="N7426" s="650"/>
      <c r="O7426" s="650"/>
      <c r="P7426" s="651"/>
      <c r="Q7426" s="651"/>
      <c r="R7426" s="651"/>
      <c r="S7426" s="651"/>
    </row>
    <row r="7427" spans="12:19" ht="15.75" customHeight="1" x14ac:dyDescent="0.35">
      <c r="L7427" s="2"/>
      <c r="M7427" s="2"/>
      <c r="N7427" s="650"/>
      <c r="O7427" s="650"/>
      <c r="P7427" s="651"/>
      <c r="Q7427" s="651"/>
      <c r="R7427" s="651"/>
      <c r="S7427" s="651"/>
    </row>
    <row r="7428" spans="12:19" ht="15.75" customHeight="1" x14ac:dyDescent="0.35">
      <c r="L7428" s="2"/>
      <c r="M7428" s="2"/>
      <c r="N7428" s="650"/>
      <c r="O7428" s="650"/>
      <c r="P7428" s="651"/>
      <c r="Q7428" s="651"/>
      <c r="R7428" s="651"/>
      <c r="S7428" s="651"/>
    </row>
    <row r="7429" spans="12:19" ht="15.75" customHeight="1" x14ac:dyDescent="0.35">
      <c r="L7429" s="2"/>
      <c r="M7429" s="2"/>
      <c r="N7429" s="650"/>
      <c r="O7429" s="650"/>
      <c r="P7429" s="651"/>
      <c r="Q7429" s="651"/>
      <c r="R7429" s="651"/>
      <c r="S7429" s="651"/>
    </row>
    <row r="7430" spans="12:19" ht="15.75" customHeight="1" x14ac:dyDescent="0.35">
      <c r="L7430" s="2"/>
      <c r="M7430" s="2"/>
      <c r="N7430" s="650"/>
      <c r="O7430" s="650"/>
      <c r="P7430" s="651"/>
      <c r="Q7430" s="651"/>
      <c r="R7430" s="651"/>
      <c r="S7430" s="651"/>
    </row>
    <row r="7431" spans="12:19" ht="15.75" customHeight="1" x14ac:dyDescent="0.35">
      <c r="L7431" s="2"/>
      <c r="M7431" s="2"/>
      <c r="N7431" s="650"/>
      <c r="O7431" s="650"/>
      <c r="P7431" s="651"/>
      <c r="Q7431" s="651"/>
      <c r="R7431" s="651"/>
      <c r="S7431" s="651"/>
    </row>
    <row r="7432" spans="12:19" ht="15.75" customHeight="1" x14ac:dyDescent="0.35">
      <c r="L7432" s="2"/>
      <c r="M7432" s="2"/>
      <c r="N7432" s="650"/>
      <c r="O7432" s="650"/>
      <c r="P7432" s="651"/>
      <c r="Q7432" s="651"/>
      <c r="R7432" s="651"/>
      <c r="S7432" s="651"/>
    </row>
    <row r="7433" spans="12:19" ht="15.75" customHeight="1" x14ac:dyDescent="0.35">
      <c r="L7433" s="2"/>
      <c r="M7433" s="2"/>
      <c r="N7433" s="650"/>
      <c r="O7433" s="650"/>
      <c r="P7433" s="651"/>
      <c r="Q7433" s="651"/>
      <c r="R7433" s="651"/>
      <c r="S7433" s="651"/>
    </row>
    <row r="7434" spans="12:19" ht="15.75" customHeight="1" x14ac:dyDescent="0.35">
      <c r="L7434" s="2"/>
      <c r="M7434" s="2"/>
      <c r="N7434" s="650"/>
      <c r="O7434" s="650"/>
      <c r="P7434" s="651"/>
      <c r="Q7434" s="651"/>
      <c r="R7434" s="651"/>
      <c r="S7434" s="651"/>
    </row>
    <row r="7435" spans="12:19" ht="15.75" customHeight="1" x14ac:dyDescent="0.35">
      <c r="L7435" s="2"/>
      <c r="M7435" s="2"/>
      <c r="N7435" s="650"/>
      <c r="O7435" s="650"/>
      <c r="P7435" s="651"/>
      <c r="Q7435" s="651"/>
      <c r="R7435" s="651"/>
      <c r="S7435" s="651"/>
    </row>
    <row r="7436" spans="12:19" ht="15.75" customHeight="1" x14ac:dyDescent="0.35">
      <c r="L7436" s="2"/>
      <c r="M7436" s="2"/>
      <c r="N7436" s="650"/>
      <c r="O7436" s="650"/>
      <c r="P7436" s="651"/>
      <c r="Q7436" s="651"/>
      <c r="R7436" s="651"/>
      <c r="S7436" s="651"/>
    </row>
    <row r="7437" spans="12:19" ht="15.75" customHeight="1" x14ac:dyDescent="0.35">
      <c r="L7437" s="2"/>
      <c r="M7437" s="2"/>
      <c r="N7437" s="650"/>
      <c r="O7437" s="650"/>
      <c r="P7437" s="651"/>
      <c r="Q7437" s="651"/>
      <c r="R7437" s="651"/>
      <c r="S7437" s="651"/>
    </row>
    <row r="7438" spans="12:19" ht="15.75" customHeight="1" x14ac:dyDescent="0.35">
      <c r="L7438" s="2"/>
      <c r="M7438" s="2"/>
      <c r="N7438" s="650"/>
      <c r="O7438" s="650"/>
      <c r="P7438" s="651"/>
      <c r="Q7438" s="651"/>
      <c r="R7438" s="651"/>
      <c r="S7438" s="651"/>
    </row>
    <row r="7439" spans="12:19" ht="15.75" customHeight="1" x14ac:dyDescent="0.35">
      <c r="L7439" s="2"/>
      <c r="M7439" s="2"/>
      <c r="N7439" s="650"/>
      <c r="O7439" s="650"/>
      <c r="P7439" s="651"/>
      <c r="Q7439" s="651"/>
      <c r="R7439" s="651"/>
      <c r="S7439" s="651"/>
    </row>
    <row r="7440" spans="12:19" ht="15.75" customHeight="1" x14ac:dyDescent="0.35">
      <c r="L7440" s="2"/>
      <c r="M7440" s="2"/>
      <c r="N7440" s="650"/>
      <c r="O7440" s="650"/>
      <c r="P7440" s="651"/>
      <c r="Q7440" s="651"/>
      <c r="R7440" s="651"/>
      <c r="S7440" s="651"/>
    </row>
    <row r="7441" spans="12:19" ht="15.75" customHeight="1" x14ac:dyDescent="0.35">
      <c r="L7441" s="2"/>
      <c r="M7441" s="2"/>
      <c r="N7441" s="650"/>
      <c r="O7441" s="650"/>
      <c r="P7441" s="651"/>
      <c r="Q7441" s="651"/>
      <c r="R7441" s="651"/>
      <c r="S7441" s="651"/>
    </row>
    <row r="7442" spans="12:19" ht="15.75" customHeight="1" x14ac:dyDescent="0.35">
      <c r="L7442" s="2"/>
      <c r="M7442" s="2"/>
      <c r="N7442" s="650"/>
      <c r="O7442" s="650"/>
      <c r="P7442" s="651"/>
      <c r="Q7442" s="651"/>
      <c r="R7442" s="651"/>
      <c r="S7442" s="651"/>
    </row>
    <row r="7443" spans="12:19" ht="15.75" customHeight="1" x14ac:dyDescent="0.35">
      <c r="L7443" s="2"/>
      <c r="M7443" s="2"/>
      <c r="N7443" s="650"/>
      <c r="O7443" s="650"/>
      <c r="P7443" s="651"/>
      <c r="Q7443" s="651"/>
      <c r="R7443" s="651"/>
      <c r="S7443" s="651"/>
    </row>
    <row r="7444" spans="12:19" ht="15.75" customHeight="1" x14ac:dyDescent="0.35">
      <c r="L7444" s="2"/>
      <c r="M7444" s="2"/>
      <c r="N7444" s="650"/>
      <c r="O7444" s="650"/>
      <c r="P7444" s="651"/>
      <c r="Q7444" s="651"/>
      <c r="R7444" s="651"/>
      <c r="S7444" s="651"/>
    </row>
    <row r="7445" spans="12:19" ht="15.75" customHeight="1" x14ac:dyDescent="0.35">
      <c r="L7445" s="2"/>
      <c r="M7445" s="2"/>
      <c r="N7445" s="650"/>
      <c r="O7445" s="650"/>
      <c r="P7445" s="651"/>
      <c r="Q7445" s="651"/>
      <c r="R7445" s="651"/>
      <c r="S7445" s="651"/>
    </row>
    <row r="7446" spans="12:19" ht="15.75" customHeight="1" x14ac:dyDescent="0.35">
      <c r="L7446" s="2"/>
      <c r="M7446" s="2"/>
      <c r="N7446" s="650"/>
      <c r="O7446" s="650"/>
      <c r="P7446" s="651"/>
      <c r="Q7446" s="651"/>
      <c r="R7446" s="651"/>
      <c r="S7446" s="651"/>
    </row>
    <row r="7447" spans="12:19" ht="15.75" customHeight="1" x14ac:dyDescent="0.35">
      <c r="L7447" s="2"/>
      <c r="M7447" s="2"/>
      <c r="N7447" s="650"/>
      <c r="O7447" s="650"/>
      <c r="P7447" s="651"/>
      <c r="Q7447" s="651"/>
      <c r="R7447" s="651"/>
      <c r="S7447" s="651"/>
    </row>
    <row r="7448" spans="12:19" ht="15.75" customHeight="1" x14ac:dyDescent="0.35">
      <c r="L7448" s="2"/>
      <c r="M7448" s="2"/>
      <c r="N7448" s="650"/>
      <c r="O7448" s="650"/>
      <c r="P7448" s="651"/>
      <c r="Q7448" s="651"/>
      <c r="R7448" s="651"/>
      <c r="S7448" s="651"/>
    </row>
    <row r="7449" spans="12:19" ht="15.75" customHeight="1" x14ac:dyDescent="0.35">
      <c r="L7449" s="2"/>
      <c r="M7449" s="2"/>
      <c r="N7449" s="650"/>
      <c r="O7449" s="650"/>
      <c r="P7449" s="651"/>
      <c r="Q7449" s="651"/>
      <c r="R7449" s="651"/>
      <c r="S7449" s="651"/>
    </row>
    <row r="7450" spans="12:19" ht="15.75" customHeight="1" x14ac:dyDescent="0.35">
      <c r="L7450" s="2"/>
      <c r="M7450" s="2"/>
      <c r="N7450" s="650"/>
      <c r="O7450" s="650"/>
      <c r="P7450" s="651"/>
      <c r="Q7450" s="651"/>
      <c r="R7450" s="651"/>
      <c r="S7450" s="651"/>
    </row>
    <row r="7451" spans="12:19" ht="15.75" customHeight="1" x14ac:dyDescent="0.35">
      <c r="L7451" s="2"/>
      <c r="M7451" s="2"/>
      <c r="N7451" s="650"/>
      <c r="O7451" s="650"/>
      <c r="P7451" s="651"/>
      <c r="Q7451" s="651"/>
      <c r="R7451" s="651"/>
      <c r="S7451" s="651"/>
    </row>
    <row r="7452" spans="12:19" ht="15.75" customHeight="1" x14ac:dyDescent="0.35">
      <c r="L7452" s="2"/>
      <c r="M7452" s="2"/>
      <c r="N7452" s="650"/>
      <c r="O7452" s="650"/>
      <c r="P7452" s="651"/>
      <c r="Q7452" s="651"/>
      <c r="R7452" s="651"/>
      <c r="S7452" s="651"/>
    </row>
    <row r="7453" spans="12:19" ht="15.75" customHeight="1" x14ac:dyDescent="0.35">
      <c r="L7453" s="2"/>
      <c r="M7453" s="2"/>
      <c r="N7453" s="650"/>
      <c r="O7453" s="650"/>
      <c r="P7453" s="651"/>
      <c r="Q7453" s="651"/>
      <c r="R7453" s="651"/>
      <c r="S7453" s="651"/>
    </row>
    <row r="7454" spans="12:19" ht="15.75" customHeight="1" x14ac:dyDescent="0.35">
      <c r="L7454" s="2"/>
      <c r="M7454" s="2"/>
      <c r="N7454" s="650"/>
      <c r="O7454" s="650"/>
      <c r="P7454" s="651"/>
      <c r="Q7454" s="651"/>
      <c r="R7454" s="651"/>
      <c r="S7454" s="651"/>
    </row>
    <row r="7455" spans="12:19" ht="15.75" customHeight="1" x14ac:dyDescent="0.35">
      <c r="L7455" s="2"/>
      <c r="M7455" s="2"/>
      <c r="N7455" s="650"/>
      <c r="O7455" s="650"/>
      <c r="P7455" s="651"/>
      <c r="Q7455" s="651"/>
      <c r="R7455" s="651"/>
      <c r="S7455" s="651"/>
    </row>
    <row r="7456" spans="12:19" ht="15.75" customHeight="1" x14ac:dyDescent="0.35">
      <c r="L7456" s="2"/>
      <c r="M7456" s="2"/>
      <c r="N7456" s="650"/>
      <c r="O7456" s="650"/>
      <c r="P7456" s="651"/>
      <c r="Q7456" s="651"/>
      <c r="R7456" s="651"/>
      <c r="S7456" s="651"/>
    </row>
    <row r="7457" spans="12:19" ht="15.75" customHeight="1" x14ac:dyDescent="0.35">
      <c r="L7457" s="2"/>
      <c r="M7457" s="2"/>
      <c r="N7457" s="650"/>
      <c r="O7457" s="650"/>
      <c r="P7457" s="651"/>
      <c r="Q7457" s="651"/>
      <c r="R7457" s="651"/>
      <c r="S7457" s="651"/>
    </row>
    <row r="7458" spans="12:19" ht="15.75" customHeight="1" x14ac:dyDescent="0.35">
      <c r="L7458" s="2"/>
      <c r="M7458" s="2"/>
      <c r="N7458" s="650"/>
      <c r="O7458" s="650"/>
      <c r="P7458" s="651"/>
      <c r="Q7458" s="651"/>
      <c r="R7458" s="651"/>
      <c r="S7458" s="651"/>
    </row>
    <row r="7459" spans="12:19" ht="15.75" customHeight="1" x14ac:dyDescent="0.35">
      <c r="L7459" s="2"/>
      <c r="M7459" s="2"/>
      <c r="N7459" s="650"/>
      <c r="O7459" s="650"/>
      <c r="P7459" s="651"/>
      <c r="Q7459" s="651"/>
      <c r="R7459" s="651"/>
      <c r="S7459" s="651"/>
    </row>
    <row r="7460" spans="12:19" ht="15.75" customHeight="1" x14ac:dyDescent="0.35">
      <c r="L7460" s="2"/>
      <c r="M7460" s="2"/>
      <c r="N7460" s="650"/>
      <c r="O7460" s="650"/>
      <c r="P7460" s="651"/>
      <c r="Q7460" s="651"/>
      <c r="R7460" s="651"/>
      <c r="S7460" s="651"/>
    </row>
    <row r="7461" spans="12:19" ht="15.75" customHeight="1" x14ac:dyDescent="0.35">
      <c r="L7461" s="2"/>
      <c r="M7461" s="2"/>
      <c r="N7461" s="650"/>
      <c r="O7461" s="650"/>
      <c r="P7461" s="651"/>
      <c r="Q7461" s="651"/>
      <c r="R7461" s="651"/>
      <c r="S7461" s="651"/>
    </row>
    <row r="7462" spans="12:19" ht="15.75" customHeight="1" x14ac:dyDescent="0.35">
      <c r="L7462" s="2"/>
      <c r="M7462" s="2"/>
      <c r="N7462" s="650"/>
      <c r="O7462" s="650"/>
      <c r="P7462" s="651"/>
      <c r="Q7462" s="651"/>
      <c r="R7462" s="651"/>
      <c r="S7462" s="651"/>
    </row>
    <row r="7463" spans="12:19" ht="15.75" customHeight="1" x14ac:dyDescent="0.35">
      <c r="L7463" s="2"/>
      <c r="M7463" s="2"/>
      <c r="N7463" s="650"/>
      <c r="O7463" s="650"/>
      <c r="P7463" s="651"/>
      <c r="Q7463" s="651"/>
      <c r="R7463" s="651"/>
      <c r="S7463" s="651"/>
    </row>
    <row r="7464" spans="12:19" ht="15.75" customHeight="1" x14ac:dyDescent="0.35">
      <c r="L7464" s="2"/>
      <c r="M7464" s="2"/>
      <c r="N7464" s="650"/>
      <c r="O7464" s="650"/>
      <c r="P7464" s="651"/>
      <c r="Q7464" s="651"/>
      <c r="R7464" s="651"/>
      <c r="S7464" s="651"/>
    </row>
    <row r="7465" spans="12:19" ht="15.75" customHeight="1" x14ac:dyDescent="0.35">
      <c r="L7465" s="2"/>
      <c r="M7465" s="2"/>
      <c r="N7465" s="650"/>
      <c r="O7465" s="650"/>
      <c r="P7465" s="651"/>
      <c r="Q7465" s="651"/>
      <c r="R7465" s="651"/>
      <c r="S7465" s="651"/>
    </row>
    <row r="7466" spans="12:19" ht="15.75" customHeight="1" x14ac:dyDescent="0.35">
      <c r="L7466" s="2"/>
      <c r="M7466" s="2"/>
      <c r="N7466" s="650"/>
      <c r="O7466" s="650"/>
      <c r="P7466" s="651"/>
      <c r="Q7466" s="651"/>
      <c r="R7466" s="651"/>
      <c r="S7466" s="651"/>
    </row>
    <row r="7467" spans="12:19" ht="15.75" customHeight="1" x14ac:dyDescent="0.35">
      <c r="L7467" s="2"/>
      <c r="M7467" s="2"/>
      <c r="N7467" s="650"/>
      <c r="O7467" s="650"/>
      <c r="P7467" s="651"/>
      <c r="Q7467" s="651"/>
      <c r="R7467" s="651"/>
      <c r="S7467" s="651"/>
    </row>
    <row r="7468" spans="12:19" ht="15.75" customHeight="1" x14ac:dyDescent="0.35">
      <c r="L7468" s="2"/>
      <c r="M7468" s="2"/>
      <c r="N7468" s="650"/>
      <c r="O7468" s="650"/>
      <c r="P7468" s="651"/>
      <c r="Q7468" s="651"/>
      <c r="R7468" s="651"/>
      <c r="S7468" s="651"/>
    </row>
    <row r="7469" spans="12:19" ht="15.75" customHeight="1" x14ac:dyDescent="0.35">
      <c r="L7469" s="2"/>
      <c r="M7469" s="2"/>
      <c r="N7469" s="650"/>
      <c r="O7469" s="650"/>
      <c r="P7469" s="651"/>
      <c r="Q7469" s="651"/>
      <c r="R7469" s="651"/>
      <c r="S7469" s="651"/>
    </row>
    <row r="7470" spans="12:19" ht="15.75" customHeight="1" x14ac:dyDescent="0.35">
      <c r="L7470" s="2"/>
      <c r="M7470" s="2"/>
      <c r="N7470" s="650"/>
      <c r="O7470" s="650"/>
      <c r="P7470" s="651"/>
      <c r="Q7470" s="651"/>
      <c r="R7470" s="651"/>
      <c r="S7470" s="651"/>
    </row>
    <row r="7471" spans="12:19" ht="15.75" customHeight="1" x14ac:dyDescent="0.35">
      <c r="L7471" s="2"/>
      <c r="M7471" s="2"/>
      <c r="N7471" s="650"/>
      <c r="O7471" s="650"/>
      <c r="P7471" s="651"/>
      <c r="Q7471" s="651"/>
      <c r="R7471" s="651"/>
      <c r="S7471" s="651"/>
    </row>
    <row r="7472" spans="12:19" ht="15.75" customHeight="1" x14ac:dyDescent="0.35">
      <c r="L7472" s="2"/>
      <c r="M7472" s="2"/>
      <c r="N7472" s="650"/>
      <c r="O7472" s="650"/>
      <c r="P7472" s="651"/>
      <c r="Q7472" s="651"/>
      <c r="R7472" s="651"/>
      <c r="S7472" s="651"/>
    </row>
    <row r="7473" spans="12:19" ht="15.75" customHeight="1" x14ac:dyDescent="0.35">
      <c r="L7473" s="2"/>
      <c r="M7473" s="2"/>
      <c r="N7473" s="650"/>
      <c r="O7473" s="650"/>
      <c r="P7473" s="651"/>
      <c r="Q7473" s="651"/>
      <c r="R7473" s="651"/>
      <c r="S7473" s="651"/>
    </row>
    <row r="7474" spans="12:19" ht="15.75" customHeight="1" x14ac:dyDescent="0.35">
      <c r="L7474" s="2"/>
      <c r="M7474" s="2"/>
      <c r="N7474" s="650"/>
      <c r="O7474" s="650"/>
      <c r="P7474" s="651"/>
      <c r="Q7474" s="651"/>
      <c r="R7474" s="651"/>
      <c r="S7474" s="651"/>
    </row>
    <row r="7475" spans="12:19" ht="15.75" customHeight="1" x14ac:dyDescent="0.35">
      <c r="L7475" s="2"/>
      <c r="M7475" s="2"/>
      <c r="N7475" s="650"/>
      <c r="O7475" s="650"/>
      <c r="P7475" s="651"/>
      <c r="Q7475" s="651"/>
      <c r="R7475" s="651"/>
      <c r="S7475" s="651"/>
    </row>
    <row r="7476" spans="12:19" ht="15.75" customHeight="1" x14ac:dyDescent="0.35">
      <c r="L7476" s="2"/>
      <c r="M7476" s="2"/>
      <c r="N7476" s="650"/>
      <c r="O7476" s="650"/>
      <c r="P7476" s="651"/>
      <c r="Q7476" s="651"/>
      <c r="R7476" s="651"/>
      <c r="S7476" s="651"/>
    </row>
    <row r="7477" spans="12:19" ht="15.75" customHeight="1" x14ac:dyDescent="0.35">
      <c r="L7477" s="2"/>
      <c r="M7477" s="2"/>
      <c r="N7477" s="650"/>
      <c r="O7477" s="650"/>
      <c r="P7477" s="651"/>
      <c r="Q7477" s="651"/>
      <c r="R7477" s="651"/>
      <c r="S7477" s="651"/>
    </row>
    <row r="7478" spans="12:19" ht="15.75" customHeight="1" x14ac:dyDescent="0.35">
      <c r="L7478" s="2"/>
      <c r="M7478" s="2"/>
      <c r="N7478" s="650"/>
      <c r="O7478" s="650"/>
      <c r="P7478" s="651"/>
      <c r="Q7478" s="651"/>
      <c r="R7478" s="651"/>
      <c r="S7478" s="651"/>
    </row>
    <row r="7479" spans="12:19" ht="15.75" customHeight="1" x14ac:dyDescent="0.35">
      <c r="L7479" s="2"/>
      <c r="M7479" s="2"/>
      <c r="N7479" s="650"/>
      <c r="O7479" s="650"/>
      <c r="P7479" s="651"/>
      <c r="Q7479" s="651"/>
      <c r="R7479" s="651"/>
      <c r="S7479" s="651"/>
    </row>
    <row r="7480" spans="12:19" ht="15.75" customHeight="1" x14ac:dyDescent="0.35">
      <c r="L7480" s="2"/>
      <c r="M7480" s="2"/>
      <c r="N7480" s="650"/>
      <c r="O7480" s="650"/>
      <c r="P7480" s="651"/>
      <c r="Q7480" s="651"/>
      <c r="R7480" s="651"/>
      <c r="S7480" s="651"/>
    </row>
    <row r="7481" spans="12:19" ht="15.75" customHeight="1" x14ac:dyDescent="0.35">
      <c r="L7481" s="2"/>
      <c r="M7481" s="2"/>
      <c r="N7481" s="650"/>
      <c r="O7481" s="650"/>
      <c r="P7481" s="651"/>
      <c r="Q7481" s="651"/>
      <c r="R7481" s="651"/>
      <c r="S7481" s="651"/>
    </row>
    <row r="7482" spans="12:19" ht="15.75" customHeight="1" x14ac:dyDescent="0.35">
      <c r="L7482" s="2"/>
      <c r="M7482" s="2"/>
      <c r="N7482" s="650"/>
      <c r="O7482" s="650"/>
      <c r="P7482" s="651"/>
      <c r="Q7482" s="651"/>
      <c r="R7482" s="651"/>
      <c r="S7482" s="651"/>
    </row>
    <row r="7483" spans="12:19" ht="15.75" customHeight="1" x14ac:dyDescent="0.35">
      <c r="L7483" s="2"/>
      <c r="M7483" s="2"/>
      <c r="N7483" s="650"/>
      <c r="O7483" s="650"/>
      <c r="P7483" s="651"/>
      <c r="Q7483" s="651"/>
      <c r="R7483" s="651"/>
      <c r="S7483" s="651"/>
    </row>
    <row r="7484" spans="12:19" ht="15.75" customHeight="1" x14ac:dyDescent="0.35">
      <c r="L7484" s="2"/>
      <c r="M7484" s="2"/>
      <c r="N7484" s="650"/>
      <c r="O7484" s="650"/>
      <c r="P7484" s="651"/>
      <c r="Q7484" s="651"/>
      <c r="R7484" s="651"/>
      <c r="S7484" s="651"/>
    </row>
    <row r="7485" spans="12:19" ht="15.75" customHeight="1" x14ac:dyDescent="0.35">
      <c r="L7485" s="2"/>
      <c r="M7485" s="2"/>
      <c r="N7485" s="650"/>
      <c r="O7485" s="650"/>
      <c r="P7485" s="651"/>
      <c r="Q7485" s="651"/>
      <c r="R7485" s="651"/>
      <c r="S7485" s="651"/>
    </row>
    <row r="7486" spans="12:19" ht="15.75" customHeight="1" x14ac:dyDescent="0.35">
      <c r="L7486" s="2"/>
      <c r="M7486" s="2"/>
      <c r="N7486" s="650"/>
      <c r="O7486" s="650"/>
      <c r="P7486" s="651"/>
      <c r="Q7486" s="651"/>
      <c r="R7486" s="651"/>
      <c r="S7486" s="651"/>
    </row>
    <row r="7487" spans="12:19" ht="15.75" customHeight="1" x14ac:dyDescent="0.35">
      <c r="L7487" s="2"/>
      <c r="M7487" s="2"/>
      <c r="N7487" s="650"/>
      <c r="O7487" s="650"/>
      <c r="P7487" s="651"/>
      <c r="Q7487" s="651"/>
      <c r="R7487" s="651"/>
      <c r="S7487" s="651"/>
    </row>
    <row r="7488" spans="12:19" ht="15.75" customHeight="1" x14ac:dyDescent="0.35">
      <c r="L7488" s="2"/>
      <c r="M7488" s="2"/>
      <c r="N7488" s="650"/>
      <c r="O7488" s="650"/>
      <c r="P7488" s="651"/>
      <c r="Q7488" s="651"/>
      <c r="R7488" s="651"/>
      <c r="S7488" s="651"/>
    </row>
    <row r="7489" spans="12:19" ht="15.75" customHeight="1" x14ac:dyDescent="0.35">
      <c r="L7489" s="2"/>
      <c r="M7489" s="2"/>
      <c r="N7489" s="650"/>
      <c r="O7489" s="650"/>
      <c r="P7489" s="651"/>
      <c r="Q7489" s="651"/>
      <c r="R7489" s="651"/>
      <c r="S7489" s="651"/>
    </row>
    <row r="7490" spans="12:19" ht="15.75" customHeight="1" x14ac:dyDescent="0.35">
      <c r="L7490" s="2"/>
      <c r="M7490" s="2"/>
      <c r="N7490" s="650"/>
      <c r="O7490" s="650"/>
      <c r="P7490" s="651"/>
      <c r="Q7490" s="651"/>
      <c r="R7490" s="651"/>
      <c r="S7490" s="651"/>
    </row>
    <row r="7491" spans="12:19" ht="15.75" customHeight="1" x14ac:dyDescent="0.35">
      <c r="L7491" s="2"/>
      <c r="M7491" s="2"/>
      <c r="N7491" s="650"/>
      <c r="O7491" s="650"/>
      <c r="P7491" s="651"/>
      <c r="Q7491" s="651"/>
      <c r="R7491" s="651"/>
      <c r="S7491" s="651"/>
    </row>
    <row r="7492" spans="12:19" ht="15.75" customHeight="1" x14ac:dyDescent="0.35">
      <c r="L7492" s="2"/>
      <c r="M7492" s="2"/>
      <c r="N7492" s="650"/>
      <c r="O7492" s="650"/>
      <c r="P7492" s="651"/>
      <c r="Q7492" s="651"/>
      <c r="R7492" s="651"/>
      <c r="S7492" s="651"/>
    </row>
    <row r="7493" spans="12:19" ht="15.75" customHeight="1" x14ac:dyDescent="0.35">
      <c r="L7493" s="2"/>
      <c r="M7493" s="2"/>
      <c r="N7493" s="650"/>
      <c r="O7493" s="650"/>
      <c r="P7493" s="651"/>
      <c r="Q7493" s="651"/>
      <c r="R7493" s="651"/>
      <c r="S7493" s="651"/>
    </row>
    <row r="7494" spans="12:19" ht="15.75" customHeight="1" x14ac:dyDescent="0.35">
      <c r="L7494" s="2"/>
      <c r="M7494" s="2"/>
      <c r="N7494" s="650"/>
      <c r="O7494" s="650"/>
      <c r="P7494" s="651"/>
      <c r="Q7494" s="651"/>
      <c r="R7494" s="651"/>
      <c r="S7494" s="651"/>
    </row>
    <row r="7495" spans="12:19" ht="15.75" customHeight="1" x14ac:dyDescent="0.35">
      <c r="L7495" s="2"/>
      <c r="M7495" s="2"/>
      <c r="N7495" s="650"/>
      <c r="O7495" s="650"/>
      <c r="P7495" s="651"/>
      <c r="Q7495" s="651"/>
      <c r="R7495" s="651"/>
      <c r="S7495" s="651"/>
    </row>
    <row r="7496" spans="12:19" ht="15.75" customHeight="1" x14ac:dyDescent="0.35">
      <c r="L7496" s="2"/>
      <c r="M7496" s="2"/>
      <c r="N7496" s="650"/>
      <c r="O7496" s="650"/>
      <c r="P7496" s="651"/>
      <c r="Q7496" s="651"/>
      <c r="R7496" s="651"/>
      <c r="S7496" s="651"/>
    </row>
    <row r="7497" spans="12:19" ht="15.75" customHeight="1" x14ac:dyDescent="0.35">
      <c r="L7497" s="2"/>
      <c r="M7497" s="2"/>
      <c r="N7497" s="650"/>
      <c r="O7497" s="650"/>
      <c r="P7497" s="651"/>
      <c r="Q7497" s="651"/>
      <c r="R7497" s="651"/>
      <c r="S7497" s="651"/>
    </row>
    <row r="7498" spans="12:19" ht="15.75" customHeight="1" x14ac:dyDescent="0.35">
      <c r="L7498" s="2"/>
      <c r="M7498" s="2"/>
      <c r="N7498" s="650"/>
      <c r="O7498" s="650"/>
      <c r="P7498" s="651"/>
      <c r="Q7498" s="651"/>
      <c r="R7498" s="651"/>
      <c r="S7498" s="651"/>
    </row>
    <row r="7499" spans="12:19" ht="15.75" customHeight="1" x14ac:dyDescent="0.35">
      <c r="L7499" s="2"/>
      <c r="M7499" s="2"/>
      <c r="N7499" s="650"/>
      <c r="O7499" s="650"/>
      <c r="P7499" s="651"/>
      <c r="Q7499" s="651"/>
      <c r="R7499" s="651"/>
      <c r="S7499" s="651"/>
    </row>
    <row r="7500" spans="12:19" ht="15.75" customHeight="1" x14ac:dyDescent="0.35">
      <c r="L7500" s="2"/>
      <c r="M7500" s="2"/>
      <c r="N7500" s="650"/>
      <c r="O7500" s="650"/>
      <c r="P7500" s="651"/>
      <c r="Q7500" s="651"/>
      <c r="R7500" s="651"/>
      <c r="S7500" s="651"/>
    </row>
    <row r="7501" spans="12:19" ht="15.75" customHeight="1" x14ac:dyDescent="0.35">
      <c r="L7501" s="2"/>
      <c r="M7501" s="2"/>
      <c r="N7501" s="650"/>
      <c r="O7501" s="650"/>
      <c r="P7501" s="651"/>
      <c r="Q7501" s="651"/>
      <c r="R7501" s="651"/>
      <c r="S7501" s="651"/>
    </row>
    <row r="7502" spans="12:19" ht="15.75" customHeight="1" x14ac:dyDescent="0.35">
      <c r="L7502" s="2"/>
      <c r="M7502" s="2"/>
      <c r="N7502" s="650"/>
      <c r="O7502" s="650"/>
      <c r="P7502" s="651"/>
      <c r="Q7502" s="651"/>
      <c r="R7502" s="651"/>
      <c r="S7502" s="651"/>
    </row>
    <row r="7503" spans="12:19" ht="15.75" customHeight="1" x14ac:dyDescent="0.35">
      <c r="L7503" s="2"/>
      <c r="M7503" s="2"/>
      <c r="N7503" s="650"/>
      <c r="O7503" s="650"/>
      <c r="P7503" s="651"/>
      <c r="Q7503" s="651"/>
      <c r="R7503" s="651"/>
      <c r="S7503" s="651"/>
    </row>
    <row r="7504" spans="12:19" ht="15.75" customHeight="1" x14ac:dyDescent="0.35">
      <c r="L7504" s="2"/>
      <c r="M7504" s="2"/>
      <c r="N7504" s="650"/>
      <c r="O7504" s="650"/>
      <c r="P7504" s="651"/>
      <c r="Q7504" s="651"/>
      <c r="R7504" s="651"/>
      <c r="S7504" s="651"/>
    </row>
    <row r="7505" spans="12:19" ht="15.75" customHeight="1" x14ac:dyDescent="0.35">
      <c r="L7505" s="2"/>
      <c r="M7505" s="2"/>
      <c r="N7505" s="650"/>
      <c r="O7505" s="650"/>
      <c r="P7505" s="651"/>
      <c r="Q7505" s="651"/>
      <c r="R7505" s="651"/>
      <c r="S7505" s="651"/>
    </row>
    <row r="7506" spans="12:19" ht="15.75" customHeight="1" x14ac:dyDescent="0.35">
      <c r="L7506" s="2"/>
      <c r="M7506" s="2"/>
      <c r="N7506" s="650"/>
      <c r="O7506" s="650"/>
      <c r="P7506" s="651"/>
      <c r="Q7506" s="651"/>
      <c r="R7506" s="651"/>
      <c r="S7506" s="651"/>
    </row>
    <row r="7507" spans="12:19" ht="15.75" customHeight="1" x14ac:dyDescent="0.35">
      <c r="L7507" s="2"/>
      <c r="M7507" s="2"/>
      <c r="N7507" s="650"/>
      <c r="O7507" s="650"/>
      <c r="P7507" s="651"/>
      <c r="Q7507" s="651"/>
      <c r="R7507" s="651"/>
      <c r="S7507" s="651"/>
    </row>
    <row r="7508" spans="12:19" ht="15.75" customHeight="1" x14ac:dyDescent="0.35">
      <c r="L7508" s="2"/>
      <c r="M7508" s="2"/>
      <c r="N7508" s="650"/>
      <c r="O7508" s="650"/>
      <c r="P7508" s="651"/>
      <c r="Q7508" s="651"/>
      <c r="R7508" s="651"/>
      <c r="S7508" s="651"/>
    </row>
    <row r="7509" spans="12:19" ht="15.75" customHeight="1" x14ac:dyDescent="0.35">
      <c r="L7509" s="2"/>
      <c r="M7509" s="2"/>
      <c r="N7509" s="650"/>
      <c r="O7509" s="650"/>
      <c r="P7509" s="651"/>
      <c r="Q7509" s="651"/>
      <c r="R7509" s="651"/>
      <c r="S7509" s="651"/>
    </row>
    <row r="7510" spans="12:19" ht="15.75" customHeight="1" x14ac:dyDescent="0.35">
      <c r="L7510" s="2"/>
      <c r="M7510" s="2"/>
      <c r="N7510" s="650"/>
      <c r="O7510" s="650"/>
      <c r="P7510" s="651"/>
      <c r="Q7510" s="651"/>
      <c r="R7510" s="651"/>
      <c r="S7510" s="651"/>
    </row>
    <row r="7511" spans="12:19" ht="15.75" customHeight="1" x14ac:dyDescent="0.35">
      <c r="L7511" s="2"/>
      <c r="M7511" s="2"/>
      <c r="N7511" s="650"/>
      <c r="O7511" s="650"/>
      <c r="P7511" s="651"/>
      <c r="Q7511" s="651"/>
      <c r="R7511" s="651"/>
      <c r="S7511" s="651"/>
    </row>
    <row r="7512" spans="12:19" ht="15.75" customHeight="1" x14ac:dyDescent="0.35">
      <c r="L7512" s="2"/>
      <c r="M7512" s="2"/>
      <c r="N7512" s="650"/>
      <c r="O7512" s="650"/>
      <c r="P7512" s="651"/>
      <c r="Q7512" s="651"/>
      <c r="R7512" s="651"/>
      <c r="S7512" s="651"/>
    </row>
    <row r="7513" spans="12:19" ht="15.75" customHeight="1" x14ac:dyDescent="0.35">
      <c r="L7513" s="2"/>
      <c r="M7513" s="2"/>
      <c r="N7513" s="650"/>
      <c r="O7513" s="650"/>
      <c r="P7513" s="651"/>
      <c r="Q7513" s="651"/>
      <c r="R7513" s="651"/>
      <c r="S7513" s="651"/>
    </row>
    <row r="7514" spans="12:19" ht="15.75" customHeight="1" x14ac:dyDescent="0.35">
      <c r="L7514" s="2"/>
      <c r="M7514" s="2"/>
      <c r="N7514" s="650"/>
      <c r="O7514" s="650"/>
      <c r="P7514" s="651"/>
      <c r="Q7514" s="651"/>
      <c r="R7514" s="651"/>
      <c r="S7514" s="651"/>
    </row>
    <row r="7515" spans="12:19" ht="15.75" customHeight="1" x14ac:dyDescent="0.35">
      <c r="L7515" s="2"/>
      <c r="M7515" s="2"/>
      <c r="N7515" s="650"/>
      <c r="O7515" s="650"/>
      <c r="P7515" s="651"/>
      <c r="Q7515" s="651"/>
      <c r="R7515" s="651"/>
      <c r="S7515" s="651"/>
    </row>
    <row r="7516" spans="12:19" ht="15.75" customHeight="1" x14ac:dyDescent="0.35">
      <c r="L7516" s="2"/>
      <c r="M7516" s="2"/>
      <c r="N7516" s="650"/>
      <c r="O7516" s="650"/>
      <c r="P7516" s="651"/>
      <c r="Q7516" s="651"/>
      <c r="R7516" s="651"/>
      <c r="S7516" s="651"/>
    </row>
    <row r="7517" spans="12:19" ht="15.75" customHeight="1" x14ac:dyDescent="0.35">
      <c r="L7517" s="2"/>
      <c r="M7517" s="2"/>
      <c r="N7517" s="650"/>
      <c r="O7517" s="650"/>
      <c r="P7517" s="651"/>
      <c r="Q7517" s="651"/>
      <c r="R7517" s="651"/>
      <c r="S7517" s="651"/>
    </row>
    <row r="7518" spans="12:19" ht="15.75" customHeight="1" x14ac:dyDescent="0.35">
      <c r="L7518" s="2"/>
      <c r="M7518" s="2"/>
      <c r="N7518" s="650"/>
      <c r="O7518" s="650"/>
      <c r="P7518" s="651"/>
      <c r="Q7518" s="651"/>
      <c r="R7518" s="651"/>
      <c r="S7518" s="651"/>
    </row>
    <row r="7519" spans="12:19" ht="15.75" customHeight="1" x14ac:dyDescent="0.35">
      <c r="L7519" s="2"/>
      <c r="M7519" s="2"/>
      <c r="N7519" s="650"/>
      <c r="O7519" s="650"/>
      <c r="P7519" s="651"/>
      <c r="Q7519" s="651"/>
      <c r="R7519" s="651"/>
      <c r="S7519" s="651"/>
    </row>
    <row r="7520" spans="12:19" ht="15.75" customHeight="1" x14ac:dyDescent="0.35">
      <c r="L7520" s="2"/>
      <c r="M7520" s="2"/>
      <c r="N7520" s="650"/>
      <c r="O7520" s="650"/>
      <c r="P7520" s="651"/>
      <c r="Q7520" s="651"/>
      <c r="R7520" s="651"/>
      <c r="S7520" s="651"/>
    </row>
    <row r="7521" spans="12:19" ht="15.75" customHeight="1" x14ac:dyDescent="0.35">
      <c r="L7521" s="2"/>
      <c r="M7521" s="2"/>
      <c r="N7521" s="650"/>
      <c r="O7521" s="650"/>
      <c r="P7521" s="651"/>
      <c r="Q7521" s="651"/>
      <c r="R7521" s="651"/>
      <c r="S7521" s="651"/>
    </row>
    <row r="7522" spans="12:19" ht="15.75" customHeight="1" x14ac:dyDescent="0.35">
      <c r="L7522" s="2"/>
      <c r="M7522" s="2"/>
      <c r="N7522" s="650"/>
      <c r="O7522" s="650"/>
      <c r="P7522" s="651"/>
      <c r="Q7522" s="651"/>
      <c r="R7522" s="651"/>
      <c r="S7522" s="651"/>
    </row>
    <row r="7523" spans="12:19" ht="15.75" customHeight="1" x14ac:dyDescent="0.35">
      <c r="L7523" s="2"/>
      <c r="M7523" s="2"/>
      <c r="N7523" s="650"/>
      <c r="O7523" s="650"/>
      <c r="P7523" s="651"/>
      <c r="Q7523" s="651"/>
      <c r="R7523" s="651"/>
      <c r="S7523" s="651"/>
    </row>
    <row r="7524" spans="12:19" ht="15.75" customHeight="1" x14ac:dyDescent="0.35">
      <c r="L7524" s="2"/>
      <c r="M7524" s="2"/>
      <c r="N7524" s="650"/>
      <c r="O7524" s="650"/>
      <c r="P7524" s="651"/>
      <c r="Q7524" s="651"/>
      <c r="R7524" s="651"/>
      <c r="S7524" s="651"/>
    </row>
    <row r="7525" spans="12:19" ht="15.75" customHeight="1" x14ac:dyDescent="0.35">
      <c r="L7525" s="2"/>
      <c r="M7525" s="2"/>
      <c r="N7525" s="650"/>
      <c r="O7525" s="650"/>
      <c r="P7525" s="651"/>
      <c r="Q7525" s="651"/>
      <c r="R7525" s="651"/>
      <c r="S7525" s="651"/>
    </row>
    <row r="7526" spans="12:19" ht="15.75" customHeight="1" x14ac:dyDescent="0.35">
      <c r="L7526" s="2"/>
      <c r="M7526" s="2"/>
      <c r="N7526" s="650"/>
      <c r="O7526" s="650"/>
      <c r="P7526" s="651"/>
      <c r="Q7526" s="651"/>
      <c r="R7526" s="651"/>
      <c r="S7526" s="651"/>
    </row>
    <row r="7527" spans="12:19" ht="15.75" customHeight="1" x14ac:dyDescent="0.35">
      <c r="L7527" s="2"/>
      <c r="M7527" s="2"/>
      <c r="N7527" s="650"/>
      <c r="O7527" s="650"/>
      <c r="P7527" s="651"/>
      <c r="Q7527" s="651"/>
      <c r="R7527" s="651"/>
      <c r="S7527" s="651"/>
    </row>
    <row r="7528" spans="12:19" ht="15.75" customHeight="1" x14ac:dyDescent="0.35">
      <c r="L7528" s="2"/>
      <c r="M7528" s="2"/>
      <c r="N7528" s="650"/>
      <c r="O7528" s="650"/>
      <c r="P7528" s="651"/>
      <c r="Q7528" s="651"/>
      <c r="R7528" s="651"/>
      <c r="S7528" s="651"/>
    </row>
    <row r="7529" spans="12:19" ht="15.75" customHeight="1" x14ac:dyDescent="0.35">
      <c r="L7529" s="2"/>
      <c r="M7529" s="2"/>
      <c r="N7529" s="650"/>
      <c r="O7529" s="650"/>
      <c r="P7529" s="651"/>
      <c r="Q7529" s="651"/>
      <c r="R7529" s="651"/>
      <c r="S7529" s="651"/>
    </row>
    <row r="7530" spans="12:19" ht="15.75" customHeight="1" x14ac:dyDescent="0.35">
      <c r="L7530" s="2"/>
      <c r="M7530" s="2"/>
      <c r="N7530" s="650"/>
      <c r="O7530" s="650"/>
      <c r="P7530" s="651"/>
      <c r="Q7530" s="651"/>
      <c r="R7530" s="651"/>
      <c r="S7530" s="651"/>
    </row>
    <row r="7531" spans="12:19" ht="15.75" customHeight="1" x14ac:dyDescent="0.35">
      <c r="L7531" s="2"/>
      <c r="M7531" s="2"/>
      <c r="N7531" s="650"/>
      <c r="O7531" s="650"/>
      <c r="P7531" s="651"/>
      <c r="Q7531" s="651"/>
      <c r="R7531" s="651"/>
      <c r="S7531" s="651"/>
    </row>
    <row r="7532" spans="12:19" ht="15.75" customHeight="1" x14ac:dyDescent="0.35">
      <c r="L7532" s="2"/>
      <c r="M7532" s="2"/>
      <c r="N7532" s="650"/>
      <c r="O7532" s="650"/>
      <c r="P7532" s="651"/>
      <c r="Q7532" s="651"/>
      <c r="R7532" s="651"/>
      <c r="S7532" s="651"/>
    </row>
    <row r="7533" spans="12:19" ht="15.75" customHeight="1" x14ac:dyDescent="0.35">
      <c r="L7533" s="2"/>
      <c r="M7533" s="2"/>
      <c r="N7533" s="650"/>
      <c r="O7533" s="650"/>
      <c r="P7533" s="651"/>
      <c r="Q7533" s="651"/>
      <c r="R7533" s="651"/>
      <c r="S7533" s="651"/>
    </row>
    <row r="7534" spans="12:19" ht="15.75" customHeight="1" x14ac:dyDescent="0.35">
      <c r="L7534" s="2"/>
      <c r="M7534" s="2"/>
      <c r="N7534" s="650"/>
      <c r="O7534" s="650"/>
      <c r="P7534" s="651"/>
      <c r="Q7534" s="651"/>
      <c r="R7534" s="651"/>
      <c r="S7534" s="651"/>
    </row>
    <row r="7535" spans="12:19" ht="15.75" customHeight="1" x14ac:dyDescent="0.35">
      <c r="L7535" s="2"/>
      <c r="M7535" s="2"/>
      <c r="N7535" s="650"/>
      <c r="O7535" s="650"/>
      <c r="P7535" s="651"/>
      <c r="Q7535" s="651"/>
      <c r="R7535" s="651"/>
      <c r="S7535" s="651"/>
    </row>
    <row r="7536" spans="12:19" ht="15.75" customHeight="1" x14ac:dyDescent="0.35">
      <c r="L7536" s="2"/>
      <c r="M7536" s="2"/>
      <c r="N7536" s="650"/>
      <c r="O7536" s="650"/>
      <c r="P7536" s="651"/>
      <c r="Q7536" s="651"/>
      <c r="R7536" s="651"/>
      <c r="S7536" s="651"/>
    </row>
    <row r="7537" spans="12:19" ht="15.75" customHeight="1" x14ac:dyDescent="0.35">
      <c r="L7537" s="2"/>
      <c r="M7537" s="2"/>
      <c r="N7537" s="650"/>
      <c r="O7537" s="650"/>
      <c r="P7537" s="651"/>
      <c r="Q7537" s="651"/>
      <c r="R7537" s="651"/>
      <c r="S7537" s="651"/>
    </row>
    <row r="7538" spans="12:19" ht="15.75" customHeight="1" x14ac:dyDescent="0.35">
      <c r="L7538" s="2"/>
      <c r="M7538" s="2"/>
      <c r="N7538" s="650"/>
      <c r="O7538" s="650"/>
      <c r="P7538" s="651"/>
      <c r="Q7538" s="651"/>
      <c r="R7538" s="651"/>
      <c r="S7538" s="651"/>
    </row>
    <row r="7539" spans="12:19" ht="15.75" customHeight="1" x14ac:dyDescent="0.35">
      <c r="L7539" s="2"/>
      <c r="M7539" s="2"/>
      <c r="N7539" s="650"/>
      <c r="O7539" s="650"/>
      <c r="P7539" s="651"/>
      <c r="Q7539" s="651"/>
      <c r="R7539" s="651"/>
      <c r="S7539" s="651"/>
    </row>
    <row r="7540" spans="12:19" ht="15.75" customHeight="1" x14ac:dyDescent="0.35">
      <c r="L7540" s="2"/>
      <c r="M7540" s="2"/>
      <c r="N7540" s="650"/>
      <c r="O7540" s="650"/>
      <c r="P7540" s="651"/>
      <c r="Q7540" s="651"/>
      <c r="R7540" s="651"/>
      <c r="S7540" s="651"/>
    </row>
    <row r="7541" spans="12:19" ht="15.75" customHeight="1" x14ac:dyDescent="0.35">
      <c r="L7541" s="2"/>
      <c r="M7541" s="2"/>
      <c r="N7541" s="650"/>
      <c r="O7541" s="650"/>
      <c r="P7541" s="651"/>
      <c r="Q7541" s="651"/>
      <c r="R7541" s="651"/>
      <c r="S7541" s="651"/>
    </row>
    <row r="7542" spans="12:19" ht="15.75" customHeight="1" x14ac:dyDescent="0.35">
      <c r="L7542" s="2"/>
      <c r="M7542" s="2"/>
      <c r="N7542" s="650"/>
      <c r="O7542" s="650"/>
      <c r="P7542" s="651"/>
      <c r="Q7542" s="651"/>
      <c r="R7542" s="651"/>
      <c r="S7542" s="651"/>
    </row>
    <row r="7543" spans="12:19" ht="15.75" customHeight="1" x14ac:dyDescent="0.35">
      <c r="L7543" s="2"/>
      <c r="M7543" s="2"/>
      <c r="N7543" s="650"/>
      <c r="O7543" s="650"/>
      <c r="P7543" s="651"/>
      <c r="Q7543" s="651"/>
      <c r="R7543" s="651"/>
      <c r="S7543" s="651"/>
    </row>
    <row r="7544" spans="12:19" ht="15.75" customHeight="1" x14ac:dyDescent="0.35">
      <c r="L7544" s="2"/>
      <c r="M7544" s="2"/>
      <c r="N7544" s="650"/>
      <c r="O7544" s="650"/>
      <c r="P7544" s="651"/>
      <c r="Q7544" s="651"/>
      <c r="R7544" s="651"/>
      <c r="S7544" s="651"/>
    </row>
    <row r="7545" spans="12:19" ht="15.75" customHeight="1" x14ac:dyDescent="0.35">
      <c r="L7545" s="2"/>
      <c r="M7545" s="2"/>
      <c r="N7545" s="650"/>
      <c r="O7545" s="650"/>
      <c r="P7545" s="651"/>
      <c r="Q7545" s="651"/>
      <c r="R7545" s="651"/>
      <c r="S7545" s="651"/>
    </row>
    <row r="7546" spans="12:19" ht="15.75" customHeight="1" x14ac:dyDescent="0.35">
      <c r="L7546" s="2"/>
      <c r="M7546" s="2"/>
      <c r="N7546" s="650"/>
      <c r="O7546" s="650"/>
      <c r="P7546" s="651"/>
      <c r="Q7546" s="651"/>
      <c r="R7546" s="651"/>
      <c r="S7546" s="651"/>
    </row>
    <row r="7547" spans="12:19" ht="15.75" customHeight="1" x14ac:dyDescent="0.35">
      <c r="L7547" s="2"/>
      <c r="M7547" s="2"/>
      <c r="N7547" s="650"/>
      <c r="O7547" s="650"/>
      <c r="P7547" s="651"/>
      <c r="Q7547" s="651"/>
      <c r="R7547" s="651"/>
      <c r="S7547" s="651"/>
    </row>
    <row r="7548" spans="12:19" ht="15.75" customHeight="1" x14ac:dyDescent="0.35">
      <c r="L7548" s="2"/>
      <c r="M7548" s="2"/>
      <c r="N7548" s="650"/>
      <c r="O7548" s="650"/>
      <c r="P7548" s="651"/>
      <c r="Q7548" s="651"/>
      <c r="R7548" s="651"/>
      <c r="S7548" s="651"/>
    </row>
    <row r="7549" spans="12:19" ht="15.75" customHeight="1" x14ac:dyDescent="0.35">
      <c r="L7549" s="2"/>
      <c r="M7549" s="2"/>
      <c r="N7549" s="650"/>
      <c r="O7549" s="650"/>
      <c r="P7549" s="651"/>
      <c r="Q7549" s="651"/>
      <c r="R7549" s="651"/>
      <c r="S7549" s="651"/>
    </row>
    <row r="7550" spans="12:19" ht="15.75" customHeight="1" x14ac:dyDescent="0.35">
      <c r="L7550" s="2"/>
      <c r="M7550" s="2"/>
      <c r="N7550" s="650"/>
      <c r="O7550" s="650"/>
      <c r="P7550" s="651"/>
      <c r="Q7550" s="651"/>
      <c r="R7550" s="651"/>
      <c r="S7550" s="651"/>
    </row>
    <row r="7551" spans="12:19" ht="15.75" customHeight="1" x14ac:dyDescent="0.35">
      <c r="L7551" s="2"/>
      <c r="M7551" s="2"/>
      <c r="N7551" s="650"/>
      <c r="O7551" s="650"/>
      <c r="P7551" s="651"/>
      <c r="Q7551" s="651"/>
      <c r="R7551" s="651"/>
      <c r="S7551" s="651"/>
    </row>
    <row r="7552" spans="12:19" ht="15.75" customHeight="1" x14ac:dyDescent="0.35">
      <c r="L7552" s="2"/>
      <c r="M7552" s="2"/>
      <c r="N7552" s="650"/>
      <c r="O7552" s="650"/>
      <c r="P7552" s="651"/>
      <c r="Q7552" s="651"/>
      <c r="R7552" s="651"/>
      <c r="S7552" s="651"/>
    </row>
    <row r="7553" spans="12:19" ht="15.75" customHeight="1" x14ac:dyDescent="0.35">
      <c r="L7553" s="2"/>
      <c r="M7553" s="2"/>
      <c r="N7553" s="650"/>
      <c r="O7553" s="650"/>
      <c r="P7553" s="651"/>
      <c r="Q7553" s="651"/>
      <c r="R7553" s="651"/>
      <c r="S7553" s="651"/>
    </row>
    <row r="7554" spans="12:19" ht="15.75" customHeight="1" x14ac:dyDescent="0.35">
      <c r="L7554" s="2"/>
      <c r="M7554" s="2"/>
      <c r="N7554" s="650"/>
      <c r="O7554" s="650"/>
      <c r="P7554" s="651"/>
      <c r="Q7554" s="651"/>
      <c r="R7554" s="651"/>
      <c r="S7554" s="651"/>
    </row>
    <row r="7555" spans="12:19" ht="15.75" customHeight="1" x14ac:dyDescent="0.35">
      <c r="L7555" s="2"/>
      <c r="M7555" s="2"/>
      <c r="N7555" s="650"/>
      <c r="O7555" s="650"/>
      <c r="P7555" s="651"/>
      <c r="Q7555" s="651"/>
      <c r="R7555" s="651"/>
      <c r="S7555" s="651"/>
    </row>
    <row r="7556" spans="12:19" ht="15.75" customHeight="1" x14ac:dyDescent="0.35">
      <c r="L7556" s="2"/>
      <c r="M7556" s="2"/>
      <c r="N7556" s="650"/>
      <c r="O7556" s="650"/>
      <c r="P7556" s="651"/>
      <c r="Q7556" s="651"/>
      <c r="R7556" s="651"/>
      <c r="S7556" s="651"/>
    </row>
    <row r="7557" spans="12:19" ht="15.75" customHeight="1" x14ac:dyDescent="0.35">
      <c r="L7557" s="2"/>
      <c r="M7557" s="2"/>
      <c r="N7557" s="650"/>
      <c r="O7557" s="650"/>
      <c r="P7557" s="651"/>
      <c r="Q7557" s="651"/>
      <c r="R7557" s="651"/>
      <c r="S7557" s="651"/>
    </row>
    <row r="7558" spans="12:19" ht="15.75" customHeight="1" x14ac:dyDescent="0.35">
      <c r="L7558" s="2"/>
      <c r="M7558" s="2"/>
      <c r="N7558" s="650"/>
      <c r="O7558" s="650"/>
      <c r="P7558" s="651"/>
      <c r="Q7558" s="651"/>
      <c r="R7558" s="651"/>
      <c r="S7558" s="651"/>
    </row>
    <row r="7559" spans="12:19" ht="15.75" customHeight="1" x14ac:dyDescent="0.35">
      <c r="L7559" s="2"/>
      <c r="M7559" s="2"/>
      <c r="N7559" s="650"/>
      <c r="O7559" s="650"/>
      <c r="P7559" s="651"/>
      <c r="Q7559" s="651"/>
      <c r="R7559" s="651"/>
      <c r="S7559" s="651"/>
    </row>
    <row r="7560" spans="12:19" ht="15.75" customHeight="1" x14ac:dyDescent="0.35">
      <c r="L7560" s="2"/>
      <c r="M7560" s="2"/>
      <c r="N7560" s="650"/>
      <c r="O7560" s="650"/>
      <c r="P7560" s="651"/>
      <c r="Q7560" s="651"/>
      <c r="R7560" s="651"/>
      <c r="S7560" s="651"/>
    </row>
    <row r="7561" spans="12:19" ht="15.75" customHeight="1" x14ac:dyDescent="0.35">
      <c r="L7561" s="2"/>
      <c r="M7561" s="2"/>
      <c r="N7561" s="650"/>
      <c r="O7561" s="650"/>
      <c r="P7561" s="651"/>
      <c r="Q7561" s="651"/>
      <c r="R7561" s="651"/>
      <c r="S7561" s="651"/>
    </row>
    <row r="7562" spans="12:19" ht="15.75" customHeight="1" x14ac:dyDescent="0.35">
      <c r="L7562" s="2"/>
      <c r="M7562" s="2"/>
      <c r="N7562" s="650"/>
      <c r="O7562" s="650"/>
      <c r="P7562" s="651"/>
      <c r="Q7562" s="651"/>
      <c r="R7562" s="651"/>
      <c r="S7562" s="651"/>
    </row>
    <row r="7563" spans="12:19" ht="15.75" customHeight="1" x14ac:dyDescent="0.35">
      <c r="L7563" s="2"/>
      <c r="M7563" s="2"/>
      <c r="N7563" s="650"/>
      <c r="O7563" s="650"/>
      <c r="P7563" s="651"/>
      <c r="Q7563" s="651"/>
      <c r="R7563" s="651"/>
      <c r="S7563" s="651"/>
    </row>
    <row r="7564" spans="12:19" ht="15.75" customHeight="1" x14ac:dyDescent="0.35">
      <c r="L7564" s="2"/>
      <c r="M7564" s="2"/>
      <c r="N7564" s="650"/>
      <c r="O7564" s="650"/>
      <c r="P7564" s="651"/>
      <c r="Q7564" s="651"/>
      <c r="R7564" s="651"/>
      <c r="S7564" s="651"/>
    </row>
    <row r="7565" spans="12:19" ht="15.75" customHeight="1" x14ac:dyDescent="0.35">
      <c r="L7565" s="2"/>
      <c r="M7565" s="2"/>
      <c r="N7565" s="650"/>
      <c r="O7565" s="650"/>
      <c r="P7565" s="651"/>
      <c r="Q7565" s="651"/>
      <c r="R7565" s="651"/>
      <c r="S7565" s="651"/>
    </row>
    <row r="7566" spans="12:19" ht="15.75" customHeight="1" x14ac:dyDescent="0.35">
      <c r="L7566" s="2"/>
      <c r="M7566" s="2"/>
      <c r="N7566" s="650"/>
      <c r="O7566" s="650"/>
      <c r="P7566" s="651"/>
      <c r="Q7566" s="651"/>
      <c r="R7566" s="651"/>
      <c r="S7566" s="651"/>
    </row>
    <row r="7567" spans="12:19" ht="15.75" customHeight="1" x14ac:dyDescent="0.35">
      <c r="L7567" s="2"/>
      <c r="M7567" s="2"/>
      <c r="N7567" s="650"/>
      <c r="O7567" s="650"/>
      <c r="P7567" s="651"/>
      <c r="Q7567" s="651"/>
      <c r="R7567" s="651"/>
      <c r="S7567" s="651"/>
    </row>
    <row r="7568" spans="12:19" ht="15.75" customHeight="1" x14ac:dyDescent="0.35">
      <c r="L7568" s="2"/>
      <c r="M7568" s="2"/>
      <c r="N7568" s="650"/>
      <c r="O7568" s="650"/>
      <c r="P7568" s="651"/>
      <c r="Q7568" s="651"/>
      <c r="R7568" s="651"/>
      <c r="S7568" s="651"/>
    </row>
    <row r="7569" spans="12:19" ht="15.75" customHeight="1" x14ac:dyDescent="0.35">
      <c r="L7569" s="2"/>
      <c r="M7569" s="2"/>
      <c r="N7569" s="650"/>
      <c r="O7569" s="650"/>
      <c r="P7569" s="651"/>
      <c r="Q7569" s="651"/>
      <c r="R7569" s="651"/>
      <c r="S7569" s="651"/>
    </row>
    <row r="7570" spans="12:19" ht="15.75" customHeight="1" x14ac:dyDescent="0.35">
      <c r="L7570" s="2"/>
      <c r="M7570" s="2"/>
      <c r="N7570" s="650"/>
      <c r="O7570" s="650"/>
      <c r="P7570" s="651"/>
      <c r="Q7570" s="651"/>
      <c r="R7570" s="651"/>
      <c r="S7570" s="651"/>
    </row>
    <row r="7571" spans="12:19" ht="15.75" customHeight="1" x14ac:dyDescent="0.35">
      <c r="L7571" s="2"/>
      <c r="M7571" s="2"/>
      <c r="N7571" s="650"/>
      <c r="O7571" s="650"/>
      <c r="P7571" s="651"/>
      <c r="Q7571" s="651"/>
      <c r="R7571" s="651"/>
      <c r="S7571" s="651"/>
    </row>
    <row r="7572" spans="12:19" ht="15.75" customHeight="1" x14ac:dyDescent="0.35">
      <c r="L7572" s="2"/>
      <c r="M7572" s="2"/>
      <c r="N7572" s="650"/>
      <c r="O7572" s="650"/>
      <c r="P7572" s="651"/>
      <c r="Q7572" s="651"/>
      <c r="R7572" s="651"/>
      <c r="S7572" s="651"/>
    </row>
    <row r="7573" spans="12:19" ht="15.75" customHeight="1" x14ac:dyDescent="0.35">
      <c r="L7573" s="2"/>
      <c r="M7573" s="2"/>
      <c r="N7573" s="650"/>
      <c r="O7573" s="650"/>
      <c r="P7573" s="651"/>
      <c r="Q7573" s="651"/>
      <c r="R7573" s="651"/>
      <c r="S7573" s="651"/>
    </row>
    <row r="7574" spans="12:19" ht="15.75" customHeight="1" x14ac:dyDescent="0.35">
      <c r="L7574" s="2"/>
      <c r="M7574" s="2"/>
      <c r="N7574" s="650"/>
      <c r="O7574" s="650"/>
      <c r="P7574" s="651"/>
      <c r="Q7574" s="651"/>
      <c r="R7574" s="651"/>
      <c r="S7574" s="651"/>
    </row>
    <row r="7575" spans="12:19" ht="15.75" customHeight="1" x14ac:dyDescent="0.35">
      <c r="L7575" s="2"/>
      <c r="M7575" s="2"/>
      <c r="N7575" s="650"/>
      <c r="O7575" s="650"/>
      <c r="P7575" s="651"/>
      <c r="Q7575" s="651"/>
      <c r="R7575" s="651"/>
      <c r="S7575" s="651"/>
    </row>
    <row r="7576" spans="12:19" ht="15.75" customHeight="1" x14ac:dyDescent="0.35">
      <c r="L7576" s="2"/>
      <c r="M7576" s="2"/>
      <c r="N7576" s="650"/>
      <c r="O7576" s="650"/>
      <c r="P7576" s="651"/>
      <c r="Q7576" s="651"/>
      <c r="R7576" s="651"/>
      <c r="S7576" s="651"/>
    </row>
    <row r="7577" spans="12:19" ht="15.75" customHeight="1" x14ac:dyDescent="0.35">
      <c r="L7577" s="2"/>
      <c r="M7577" s="2"/>
      <c r="N7577" s="650"/>
      <c r="O7577" s="650"/>
      <c r="P7577" s="651"/>
      <c r="Q7577" s="651"/>
      <c r="R7577" s="651"/>
      <c r="S7577" s="651"/>
    </row>
    <row r="7578" spans="12:19" ht="15.75" customHeight="1" x14ac:dyDescent="0.35">
      <c r="L7578" s="2"/>
      <c r="M7578" s="2"/>
      <c r="N7578" s="650"/>
      <c r="O7578" s="650"/>
      <c r="P7578" s="651"/>
      <c r="Q7578" s="651"/>
      <c r="R7578" s="651"/>
      <c r="S7578" s="651"/>
    </row>
    <row r="7579" spans="12:19" ht="15.75" customHeight="1" x14ac:dyDescent="0.35">
      <c r="L7579" s="2"/>
      <c r="M7579" s="2"/>
      <c r="N7579" s="650"/>
      <c r="O7579" s="650"/>
      <c r="P7579" s="651"/>
      <c r="Q7579" s="651"/>
      <c r="R7579" s="651"/>
      <c r="S7579" s="651"/>
    </row>
    <row r="7580" spans="12:19" ht="15.75" customHeight="1" x14ac:dyDescent="0.35">
      <c r="L7580" s="2"/>
      <c r="M7580" s="2"/>
      <c r="N7580" s="650"/>
      <c r="O7580" s="650"/>
      <c r="P7580" s="651"/>
      <c r="Q7580" s="651"/>
      <c r="R7580" s="651"/>
      <c r="S7580" s="651"/>
    </row>
    <row r="7581" spans="12:19" ht="15.75" customHeight="1" x14ac:dyDescent="0.35">
      <c r="L7581" s="2"/>
      <c r="M7581" s="2"/>
      <c r="N7581" s="650"/>
      <c r="O7581" s="650"/>
      <c r="P7581" s="651"/>
      <c r="Q7581" s="651"/>
      <c r="R7581" s="651"/>
      <c r="S7581" s="651"/>
    </row>
    <row r="7582" spans="12:19" ht="15.75" customHeight="1" x14ac:dyDescent="0.35">
      <c r="L7582" s="2"/>
      <c r="M7582" s="2"/>
      <c r="N7582" s="650"/>
      <c r="O7582" s="650"/>
      <c r="P7582" s="651"/>
      <c r="Q7582" s="651"/>
      <c r="R7582" s="651"/>
      <c r="S7582" s="651"/>
    </row>
    <row r="7583" spans="12:19" ht="15.75" customHeight="1" x14ac:dyDescent="0.35">
      <c r="L7583" s="2"/>
      <c r="M7583" s="2"/>
      <c r="N7583" s="650"/>
      <c r="O7583" s="650"/>
      <c r="P7583" s="651"/>
      <c r="Q7583" s="651"/>
      <c r="R7583" s="651"/>
      <c r="S7583" s="651"/>
    </row>
    <row r="7584" spans="12:19" ht="15.75" customHeight="1" x14ac:dyDescent="0.35">
      <c r="L7584" s="2"/>
      <c r="M7584" s="2"/>
      <c r="N7584" s="650"/>
      <c r="O7584" s="650"/>
      <c r="P7584" s="651"/>
      <c r="Q7584" s="651"/>
      <c r="R7584" s="651"/>
      <c r="S7584" s="651"/>
    </row>
    <row r="7585" spans="12:19" ht="15.75" customHeight="1" x14ac:dyDescent="0.35">
      <c r="L7585" s="2"/>
      <c r="M7585" s="2"/>
      <c r="N7585" s="650"/>
      <c r="O7585" s="650"/>
      <c r="P7585" s="651"/>
      <c r="Q7585" s="651"/>
      <c r="R7585" s="651"/>
      <c r="S7585" s="651"/>
    </row>
    <row r="7586" spans="12:19" ht="15.75" customHeight="1" x14ac:dyDescent="0.35">
      <c r="L7586" s="2"/>
      <c r="M7586" s="2"/>
      <c r="N7586" s="650"/>
      <c r="O7586" s="650"/>
      <c r="P7586" s="651"/>
      <c r="Q7586" s="651"/>
      <c r="R7586" s="651"/>
      <c r="S7586" s="651"/>
    </row>
    <row r="7587" spans="12:19" ht="15.75" customHeight="1" x14ac:dyDescent="0.35">
      <c r="L7587" s="2"/>
      <c r="M7587" s="2"/>
      <c r="N7587" s="650"/>
      <c r="O7587" s="650"/>
      <c r="P7587" s="651"/>
      <c r="Q7587" s="651"/>
      <c r="R7587" s="651"/>
      <c r="S7587" s="651"/>
    </row>
    <row r="7588" spans="12:19" ht="15.75" customHeight="1" x14ac:dyDescent="0.35">
      <c r="L7588" s="2"/>
      <c r="M7588" s="2"/>
      <c r="N7588" s="650"/>
      <c r="O7588" s="650"/>
      <c r="P7588" s="651"/>
      <c r="Q7588" s="651"/>
      <c r="R7588" s="651"/>
      <c r="S7588" s="651"/>
    </row>
    <row r="7589" spans="12:19" ht="15.75" customHeight="1" x14ac:dyDescent="0.35">
      <c r="L7589" s="2"/>
      <c r="M7589" s="2"/>
      <c r="N7589" s="650"/>
      <c r="O7589" s="650"/>
      <c r="P7589" s="651"/>
      <c r="Q7589" s="651"/>
      <c r="R7589" s="651"/>
      <c r="S7589" s="651"/>
    </row>
    <row r="7590" spans="12:19" ht="15.75" customHeight="1" x14ac:dyDescent="0.35">
      <c r="L7590" s="2"/>
      <c r="M7590" s="2"/>
      <c r="N7590" s="650"/>
      <c r="O7590" s="650"/>
      <c r="P7590" s="651"/>
      <c r="Q7590" s="651"/>
      <c r="R7590" s="651"/>
      <c r="S7590" s="651"/>
    </row>
    <row r="7591" spans="12:19" ht="15.75" customHeight="1" x14ac:dyDescent="0.35">
      <c r="L7591" s="2"/>
      <c r="M7591" s="2"/>
      <c r="N7591" s="650"/>
      <c r="O7591" s="650"/>
      <c r="P7591" s="651"/>
      <c r="Q7591" s="651"/>
      <c r="R7591" s="651"/>
      <c r="S7591" s="651"/>
    </row>
    <row r="7592" spans="12:19" ht="15.75" customHeight="1" x14ac:dyDescent="0.35">
      <c r="L7592" s="2"/>
      <c r="M7592" s="2"/>
      <c r="N7592" s="650"/>
      <c r="O7592" s="650"/>
      <c r="P7592" s="651"/>
      <c r="Q7592" s="651"/>
      <c r="R7592" s="651"/>
      <c r="S7592" s="651"/>
    </row>
    <row r="7593" spans="12:19" ht="15.75" customHeight="1" x14ac:dyDescent="0.35">
      <c r="L7593" s="2"/>
      <c r="M7593" s="2"/>
      <c r="N7593" s="650"/>
      <c r="O7593" s="650"/>
      <c r="P7593" s="651"/>
      <c r="Q7593" s="651"/>
      <c r="R7593" s="651"/>
      <c r="S7593" s="651"/>
    </row>
    <row r="7594" spans="12:19" ht="15.75" customHeight="1" x14ac:dyDescent="0.35">
      <c r="L7594" s="2"/>
      <c r="M7594" s="2"/>
      <c r="N7594" s="650"/>
      <c r="O7594" s="650"/>
      <c r="P7594" s="651"/>
      <c r="Q7594" s="651"/>
      <c r="R7594" s="651"/>
      <c r="S7594" s="651"/>
    </row>
    <row r="7595" spans="12:19" ht="15.75" customHeight="1" x14ac:dyDescent="0.35">
      <c r="L7595" s="2"/>
      <c r="M7595" s="2"/>
      <c r="N7595" s="650"/>
      <c r="O7595" s="650"/>
      <c r="P7595" s="651"/>
      <c r="Q7595" s="651"/>
      <c r="R7595" s="651"/>
      <c r="S7595" s="651"/>
    </row>
    <row r="7596" spans="12:19" ht="15.75" customHeight="1" x14ac:dyDescent="0.35">
      <c r="L7596" s="2"/>
      <c r="M7596" s="2"/>
      <c r="N7596" s="650"/>
      <c r="O7596" s="650"/>
      <c r="P7596" s="651"/>
      <c r="Q7596" s="651"/>
      <c r="R7596" s="651"/>
      <c r="S7596" s="651"/>
    </row>
    <row r="7597" spans="12:19" ht="15.75" customHeight="1" x14ac:dyDescent="0.35">
      <c r="L7597" s="2"/>
      <c r="M7597" s="2"/>
      <c r="N7597" s="650"/>
      <c r="O7597" s="650"/>
      <c r="P7597" s="651"/>
      <c r="Q7597" s="651"/>
      <c r="R7597" s="651"/>
      <c r="S7597" s="651"/>
    </row>
    <row r="7598" spans="12:19" ht="15.75" customHeight="1" x14ac:dyDescent="0.35">
      <c r="L7598" s="2"/>
      <c r="M7598" s="2"/>
      <c r="N7598" s="650"/>
      <c r="O7598" s="650"/>
      <c r="P7598" s="651"/>
      <c r="Q7598" s="651"/>
      <c r="R7598" s="651"/>
      <c r="S7598" s="651"/>
    </row>
    <row r="7599" spans="12:19" ht="15.75" customHeight="1" x14ac:dyDescent="0.35">
      <c r="L7599" s="2"/>
      <c r="M7599" s="2"/>
      <c r="N7599" s="650"/>
      <c r="O7599" s="650"/>
      <c r="P7599" s="651"/>
      <c r="Q7599" s="651"/>
      <c r="R7599" s="651"/>
      <c r="S7599" s="651"/>
    </row>
    <row r="7600" spans="12:19" ht="15.75" customHeight="1" x14ac:dyDescent="0.35">
      <c r="L7600" s="2"/>
      <c r="M7600" s="2"/>
      <c r="N7600" s="650"/>
      <c r="O7600" s="650"/>
      <c r="P7600" s="651"/>
      <c r="Q7600" s="651"/>
      <c r="R7600" s="651"/>
      <c r="S7600" s="651"/>
    </row>
    <row r="7601" spans="12:19" ht="15.75" customHeight="1" x14ac:dyDescent="0.35">
      <c r="L7601" s="2"/>
      <c r="M7601" s="2"/>
      <c r="N7601" s="650"/>
      <c r="O7601" s="650"/>
      <c r="P7601" s="651"/>
      <c r="Q7601" s="651"/>
      <c r="R7601" s="651"/>
      <c r="S7601" s="651"/>
    </row>
    <row r="7602" spans="12:19" ht="15.75" customHeight="1" x14ac:dyDescent="0.35">
      <c r="L7602" s="2"/>
      <c r="M7602" s="2"/>
      <c r="N7602" s="650"/>
      <c r="O7602" s="650"/>
      <c r="P7602" s="651"/>
      <c r="Q7602" s="651"/>
      <c r="R7602" s="651"/>
      <c r="S7602" s="651"/>
    </row>
    <row r="7603" spans="12:19" ht="15.75" customHeight="1" x14ac:dyDescent="0.35">
      <c r="L7603" s="2"/>
      <c r="M7603" s="2"/>
      <c r="N7603" s="650"/>
      <c r="O7603" s="650"/>
      <c r="P7603" s="651"/>
      <c r="Q7603" s="651"/>
      <c r="R7603" s="651"/>
      <c r="S7603" s="651"/>
    </row>
    <row r="7604" spans="12:19" ht="15.75" customHeight="1" x14ac:dyDescent="0.35">
      <c r="L7604" s="2"/>
      <c r="M7604" s="2"/>
      <c r="N7604" s="650"/>
      <c r="O7604" s="650"/>
      <c r="P7604" s="651"/>
      <c r="Q7604" s="651"/>
      <c r="R7604" s="651"/>
      <c r="S7604" s="651"/>
    </row>
    <row r="7605" spans="12:19" ht="15.75" customHeight="1" x14ac:dyDescent="0.35">
      <c r="L7605" s="2"/>
      <c r="M7605" s="2"/>
      <c r="N7605" s="650"/>
      <c r="O7605" s="650"/>
      <c r="P7605" s="651"/>
      <c r="Q7605" s="651"/>
      <c r="R7605" s="651"/>
      <c r="S7605" s="651"/>
    </row>
    <row r="7606" spans="12:19" ht="15.75" customHeight="1" x14ac:dyDescent="0.35">
      <c r="L7606" s="2"/>
      <c r="M7606" s="2"/>
      <c r="N7606" s="650"/>
      <c r="O7606" s="650"/>
      <c r="P7606" s="651"/>
      <c r="Q7606" s="651"/>
      <c r="R7606" s="651"/>
      <c r="S7606" s="651"/>
    </row>
    <row r="7607" spans="12:19" ht="15.75" customHeight="1" x14ac:dyDescent="0.35">
      <c r="L7607" s="2"/>
      <c r="M7607" s="2"/>
      <c r="N7607" s="650"/>
      <c r="O7607" s="650"/>
      <c r="P7607" s="651"/>
      <c r="Q7607" s="651"/>
      <c r="R7607" s="651"/>
      <c r="S7607" s="651"/>
    </row>
    <row r="7608" spans="12:19" ht="15.75" customHeight="1" x14ac:dyDescent="0.35">
      <c r="L7608" s="2"/>
      <c r="M7608" s="2"/>
      <c r="N7608" s="650"/>
      <c r="O7608" s="650"/>
      <c r="P7608" s="651"/>
      <c r="Q7608" s="651"/>
      <c r="R7608" s="651"/>
      <c r="S7608" s="651"/>
    </row>
    <row r="7609" spans="12:19" ht="15.75" customHeight="1" x14ac:dyDescent="0.35">
      <c r="L7609" s="2"/>
      <c r="M7609" s="2"/>
      <c r="N7609" s="650"/>
      <c r="O7609" s="650"/>
      <c r="P7609" s="651"/>
      <c r="Q7609" s="651"/>
      <c r="R7609" s="651"/>
      <c r="S7609" s="651"/>
    </row>
    <row r="7610" spans="12:19" ht="15.75" customHeight="1" x14ac:dyDescent="0.35">
      <c r="L7610" s="2"/>
      <c r="M7610" s="2"/>
      <c r="N7610" s="650"/>
      <c r="O7610" s="650"/>
      <c r="P7610" s="651"/>
      <c r="Q7610" s="651"/>
      <c r="R7610" s="651"/>
      <c r="S7610" s="651"/>
    </row>
    <row r="7611" spans="12:19" ht="15.75" customHeight="1" x14ac:dyDescent="0.35">
      <c r="L7611" s="2"/>
      <c r="M7611" s="2"/>
      <c r="N7611" s="650"/>
      <c r="O7611" s="650"/>
      <c r="P7611" s="651"/>
      <c r="Q7611" s="651"/>
      <c r="R7611" s="651"/>
      <c r="S7611" s="651"/>
    </row>
    <row r="7612" spans="12:19" ht="15.75" customHeight="1" x14ac:dyDescent="0.35">
      <c r="L7612" s="2"/>
      <c r="M7612" s="2"/>
      <c r="N7612" s="650"/>
      <c r="O7612" s="650"/>
      <c r="P7612" s="651"/>
      <c r="Q7612" s="651"/>
      <c r="R7612" s="651"/>
      <c r="S7612" s="651"/>
    </row>
    <row r="7613" spans="12:19" ht="15.75" customHeight="1" x14ac:dyDescent="0.35">
      <c r="L7613" s="2"/>
      <c r="M7613" s="2"/>
      <c r="N7613" s="650"/>
      <c r="O7613" s="650"/>
      <c r="P7613" s="651"/>
      <c r="Q7613" s="651"/>
      <c r="R7613" s="651"/>
      <c r="S7613" s="651"/>
    </row>
    <row r="7614" spans="12:19" ht="15.75" customHeight="1" x14ac:dyDescent="0.35">
      <c r="L7614" s="2"/>
      <c r="M7614" s="2"/>
      <c r="N7614" s="650"/>
      <c r="O7614" s="650"/>
      <c r="P7614" s="651"/>
      <c r="Q7614" s="651"/>
      <c r="R7614" s="651"/>
      <c r="S7614" s="651"/>
    </row>
    <row r="7615" spans="12:19" ht="15.75" customHeight="1" x14ac:dyDescent="0.35">
      <c r="L7615" s="2"/>
      <c r="M7615" s="2"/>
      <c r="N7615" s="650"/>
      <c r="O7615" s="650"/>
      <c r="P7615" s="651"/>
      <c r="Q7615" s="651"/>
      <c r="R7615" s="651"/>
      <c r="S7615" s="651"/>
    </row>
    <row r="7616" spans="12:19" ht="15.75" customHeight="1" x14ac:dyDescent="0.35">
      <c r="L7616" s="2"/>
      <c r="M7616" s="2"/>
      <c r="N7616" s="650"/>
      <c r="O7616" s="650"/>
      <c r="P7616" s="651"/>
      <c r="Q7616" s="651"/>
      <c r="R7616" s="651"/>
      <c r="S7616" s="651"/>
    </row>
    <row r="7617" spans="12:19" ht="15.75" customHeight="1" x14ac:dyDescent="0.35">
      <c r="L7617" s="2"/>
      <c r="M7617" s="2"/>
      <c r="N7617" s="650"/>
      <c r="O7617" s="650"/>
      <c r="P7617" s="651"/>
      <c r="Q7617" s="651"/>
      <c r="R7617" s="651"/>
      <c r="S7617" s="651"/>
    </row>
    <row r="7618" spans="12:19" ht="15.75" customHeight="1" x14ac:dyDescent="0.35">
      <c r="L7618" s="2"/>
      <c r="M7618" s="2"/>
      <c r="N7618" s="650"/>
      <c r="O7618" s="650"/>
      <c r="P7618" s="651"/>
      <c r="Q7618" s="651"/>
      <c r="R7618" s="651"/>
      <c r="S7618" s="651"/>
    </row>
    <row r="7619" spans="12:19" ht="15.75" customHeight="1" x14ac:dyDescent="0.35">
      <c r="L7619" s="2"/>
      <c r="M7619" s="2"/>
      <c r="N7619" s="650"/>
      <c r="O7619" s="650"/>
      <c r="P7619" s="651"/>
      <c r="Q7619" s="651"/>
      <c r="R7619" s="651"/>
      <c r="S7619" s="651"/>
    </row>
    <row r="7620" spans="12:19" ht="15.75" customHeight="1" x14ac:dyDescent="0.35">
      <c r="L7620" s="2"/>
      <c r="M7620" s="2"/>
      <c r="N7620" s="650"/>
      <c r="O7620" s="650"/>
      <c r="P7620" s="651"/>
      <c r="Q7620" s="651"/>
      <c r="R7620" s="651"/>
      <c r="S7620" s="651"/>
    </row>
    <row r="7621" spans="12:19" ht="15.75" customHeight="1" x14ac:dyDescent="0.35">
      <c r="L7621" s="2"/>
      <c r="M7621" s="2"/>
      <c r="N7621" s="650"/>
      <c r="O7621" s="650"/>
      <c r="P7621" s="651"/>
      <c r="Q7621" s="651"/>
      <c r="R7621" s="651"/>
      <c r="S7621" s="651"/>
    </row>
    <row r="7622" spans="12:19" ht="15.75" customHeight="1" x14ac:dyDescent="0.35">
      <c r="L7622" s="2"/>
      <c r="M7622" s="2"/>
      <c r="N7622" s="650"/>
      <c r="O7622" s="650"/>
      <c r="P7622" s="651"/>
      <c r="Q7622" s="651"/>
      <c r="R7622" s="651"/>
      <c r="S7622" s="651"/>
    </row>
    <row r="7623" spans="12:19" ht="15.75" customHeight="1" x14ac:dyDescent="0.35">
      <c r="L7623" s="2"/>
      <c r="M7623" s="2"/>
      <c r="N7623" s="650"/>
      <c r="O7623" s="650"/>
      <c r="P7623" s="651"/>
      <c r="Q7623" s="651"/>
      <c r="R7623" s="651"/>
      <c r="S7623" s="651"/>
    </row>
    <row r="7624" spans="12:19" ht="15.75" customHeight="1" x14ac:dyDescent="0.35">
      <c r="L7624" s="2"/>
      <c r="M7624" s="2"/>
      <c r="N7624" s="650"/>
      <c r="O7624" s="650"/>
      <c r="P7624" s="651"/>
      <c r="Q7624" s="651"/>
      <c r="R7624" s="651"/>
      <c r="S7624" s="651"/>
    </row>
    <row r="7625" spans="12:19" ht="15.75" customHeight="1" x14ac:dyDescent="0.35">
      <c r="L7625" s="2"/>
      <c r="M7625" s="2"/>
      <c r="N7625" s="650"/>
      <c r="O7625" s="650"/>
      <c r="P7625" s="651"/>
      <c r="Q7625" s="651"/>
      <c r="R7625" s="651"/>
      <c r="S7625" s="651"/>
    </row>
    <row r="7626" spans="12:19" ht="15.75" customHeight="1" x14ac:dyDescent="0.35">
      <c r="L7626" s="2"/>
      <c r="M7626" s="2"/>
      <c r="N7626" s="650"/>
      <c r="O7626" s="650"/>
      <c r="P7626" s="651"/>
      <c r="Q7626" s="651"/>
      <c r="R7626" s="651"/>
      <c r="S7626" s="651"/>
    </row>
    <row r="7627" spans="12:19" ht="15.75" customHeight="1" x14ac:dyDescent="0.35">
      <c r="L7627" s="2"/>
      <c r="M7627" s="2"/>
      <c r="N7627" s="650"/>
      <c r="O7627" s="650"/>
      <c r="P7627" s="651"/>
      <c r="Q7627" s="651"/>
      <c r="R7627" s="651"/>
      <c r="S7627" s="651"/>
    </row>
    <row r="7628" spans="12:19" ht="15.75" customHeight="1" x14ac:dyDescent="0.35">
      <c r="L7628" s="2"/>
      <c r="M7628" s="2"/>
      <c r="N7628" s="650"/>
      <c r="O7628" s="650"/>
      <c r="P7628" s="651"/>
      <c r="Q7628" s="651"/>
      <c r="R7628" s="651"/>
      <c r="S7628" s="651"/>
    </row>
    <row r="7629" spans="12:19" ht="15.75" customHeight="1" x14ac:dyDescent="0.35">
      <c r="L7629" s="2"/>
      <c r="M7629" s="2"/>
      <c r="N7629" s="650"/>
      <c r="O7629" s="650"/>
      <c r="P7629" s="651"/>
      <c r="Q7629" s="651"/>
      <c r="R7629" s="651"/>
      <c r="S7629" s="651"/>
    </row>
    <row r="7630" spans="12:19" ht="15.75" customHeight="1" x14ac:dyDescent="0.35">
      <c r="L7630" s="2"/>
      <c r="M7630" s="2"/>
      <c r="N7630" s="650"/>
      <c r="O7630" s="650"/>
      <c r="P7630" s="651"/>
      <c r="Q7630" s="651"/>
      <c r="R7630" s="651"/>
      <c r="S7630" s="651"/>
    </row>
    <row r="7631" spans="12:19" ht="15.75" customHeight="1" x14ac:dyDescent="0.35">
      <c r="L7631" s="2"/>
      <c r="M7631" s="2"/>
      <c r="N7631" s="650"/>
      <c r="O7631" s="650"/>
      <c r="P7631" s="651"/>
      <c r="Q7631" s="651"/>
      <c r="R7631" s="651"/>
      <c r="S7631" s="651"/>
    </row>
    <row r="7632" spans="12:19" ht="15.75" customHeight="1" x14ac:dyDescent="0.35">
      <c r="L7632" s="2"/>
      <c r="M7632" s="2"/>
      <c r="N7632" s="650"/>
      <c r="O7632" s="650"/>
      <c r="P7632" s="651"/>
      <c r="Q7632" s="651"/>
      <c r="R7632" s="651"/>
      <c r="S7632" s="651"/>
    </row>
    <row r="7633" spans="12:19" ht="15.75" customHeight="1" x14ac:dyDescent="0.35">
      <c r="L7633" s="2"/>
      <c r="M7633" s="2"/>
      <c r="N7633" s="650"/>
      <c r="O7633" s="650"/>
      <c r="P7633" s="651"/>
      <c r="Q7633" s="651"/>
      <c r="R7633" s="651"/>
      <c r="S7633" s="651"/>
    </row>
    <row r="7634" spans="12:19" ht="15.75" customHeight="1" x14ac:dyDescent="0.35">
      <c r="L7634" s="2"/>
      <c r="M7634" s="2"/>
      <c r="N7634" s="650"/>
      <c r="O7634" s="650"/>
      <c r="P7634" s="651"/>
      <c r="Q7634" s="651"/>
      <c r="R7634" s="651"/>
      <c r="S7634" s="651"/>
    </row>
    <row r="7635" spans="12:19" ht="15.75" customHeight="1" x14ac:dyDescent="0.35">
      <c r="L7635" s="2"/>
      <c r="M7635" s="2"/>
      <c r="N7635" s="650"/>
      <c r="O7635" s="650"/>
      <c r="P7635" s="651"/>
      <c r="Q7635" s="651"/>
      <c r="R7635" s="651"/>
      <c r="S7635" s="651"/>
    </row>
    <row r="7636" spans="12:19" ht="15.75" customHeight="1" x14ac:dyDescent="0.35">
      <c r="L7636" s="2"/>
      <c r="M7636" s="2"/>
      <c r="N7636" s="650"/>
      <c r="O7636" s="650"/>
      <c r="P7636" s="651"/>
      <c r="Q7636" s="651"/>
      <c r="R7636" s="651"/>
      <c r="S7636" s="651"/>
    </row>
    <row r="7637" spans="12:19" ht="15.75" customHeight="1" x14ac:dyDescent="0.35">
      <c r="L7637" s="2"/>
      <c r="M7637" s="2"/>
      <c r="N7637" s="650"/>
      <c r="O7637" s="650"/>
      <c r="P7637" s="651"/>
      <c r="Q7637" s="651"/>
      <c r="R7637" s="651"/>
      <c r="S7637" s="651"/>
    </row>
    <row r="7638" spans="12:19" ht="15.75" customHeight="1" x14ac:dyDescent="0.35">
      <c r="L7638" s="2"/>
      <c r="M7638" s="2"/>
      <c r="N7638" s="650"/>
      <c r="O7638" s="650"/>
      <c r="P7638" s="651"/>
      <c r="Q7638" s="651"/>
      <c r="R7638" s="651"/>
      <c r="S7638" s="651"/>
    </row>
    <row r="7639" spans="12:19" ht="15.75" customHeight="1" x14ac:dyDescent="0.35">
      <c r="L7639" s="2"/>
      <c r="M7639" s="2"/>
      <c r="N7639" s="650"/>
      <c r="O7639" s="650"/>
      <c r="P7639" s="651"/>
      <c r="Q7639" s="651"/>
      <c r="R7639" s="651"/>
      <c r="S7639" s="651"/>
    </row>
    <row r="7640" spans="12:19" ht="15.75" customHeight="1" x14ac:dyDescent="0.35">
      <c r="L7640" s="2"/>
      <c r="M7640" s="2"/>
      <c r="N7640" s="650"/>
      <c r="O7640" s="650"/>
      <c r="P7640" s="651"/>
      <c r="Q7640" s="651"/>
      <c r="R7640" s="651"/>
      <c r="S7640" s="651"/>
    </row>
    <row r="7641" spans="12:19" ht="15.75" customHeight="1" x14ac:dyDescent="0.35">
      <c r="L7641" s="2"/>
      <c r="M7641" s="2"/>
      <c r="N7641" s="650"/>
      <c r="O7641" s="650"/>
      <c r="P7641" s="651"/>
      <c r="Q7641" s="651"/>
      <c r="R7641" s="651"/>
      <c r="S7641" s="651"/>
    </row>
    <row r="7642" spans="12:19" ht="15.75" customHeight="1" x14ac:dyDescent="0.35">
      <c r="L7642" s="2"/>
      <c r="M7642" s="2"/>
      <c r="N7642" s="650"/>
      <c r="O7642" s="650"/>
      <c r="P7642" s="651"/>
      <c r="Q7642" s="651"/>
      <c r="R7642" s="651"/>
      <c r="S7642" s="651"/>
    </row>
    <row r="7643" spans="12:19" ht="15.75" customHeight="1" x14ac:dyDescent="0.35">
      <c r="L7643" s="2"/>
      <c r="M7643" s="2"/>
      <c r="N7643" s="650"/>
      <c r="O7643" s="650"/>
      <c r="P7643" s="651"/>
      <c r="Q7643" s="651"/>
      <c r="R7643" s="651"/>
      <c r="S7643" s="651"/>
    </row>
    <row r="7644" spans="12:19" ht="15.75" customHeight="1" x14ac:dyDescent="0.35">
      <c r="L7644" s="2"/>
      <c r="M7644" s="2"/>
      <c r="N7644" s="650"/>
      <c r="O7644" s="650"/>
      <c r="P7644" s="651"/>
      <c r="Q7644" s="651"/>
      <c r="R7644" s="651"/>
      <c r="S7644" s="651"/>
    </row>
    <row r="7645" spans="12:19" ht="15.75" customHeight="1" x14ac:dyDescent="0.35">
      <c r="L7645" s="643"/>
      <c r="M7645" s="644"/>
      <c r="N7645" s="645"/>
      <c r="O7645" s="646"/>
      <c r="P7645" s="647"/>
      <c r="Q7645" s="648"/>
      <c r="R7645" s="648"/>
      <c r="S7645" s="649"/>
    </row>
  </sheetData>
  <autoFilter ref="A14:AI104" xr:uid="{00000000-0009-0000-0000-000001000000}">
    <filterColumn colId="3">
      <filters>
        <filter val="66OP12044-INN-PRET-ME-PL0288"/>
      </filters>
    </filterColumn>
  </autoFilter>
  <mergeCells count="20">
    <mergeCell ref="BD13:BG13"/>
    <mergeCell ref="BH13:BK13"/>
    <mergeCell ref="AJ13:AM13"/>
    <mergeCell ref="AN13:AQ13"/>
    <mergeCell ref="AR13:AU13"/>
    <mergeCell ref="AV13:AY13"/>
    <mergeCell ref="AZ13:BC13"/>
    <mergeCell ref="J12:K12"/>
    <mergeCell ref="J8:K8"/>
    <mergeCell ref="J9:K9"/>
    <mergeCell ref="D10:F10"/>
    <mergeCell ref="J10:K10"/>
    <mergeCell ref="J11:K11"/>
    <mergeCell ref="AF13:AI13"/>
    <mergeCell ref="G13:K13"/>
    <mergeCell ref="L13:O13"/>
    <mergeCell ref="P13:S13"/>
    <mergeCell ref="T13:W13"/>
    <mergeCell ref="X13:AA13"/>
    <mergeCell ref="AB13:AE13"/>
  </mergeCells>
  <phoneticPr fontId="11" type="noConversion"/>
  <conditionalFormatting sqref="D105:D65213 D1:D2 D7:D13 D4:D5">
    <cfRule type="duplicateValues" dxfId="8" priority="104"/>
  </conditionalFormatting>
  <conditionalFormatting sqref="D105:D65213">
    <cfRule type="duplicateValues" dxfId="7" priority="108"/>
  </conditionalFormatting>
  <printOptions horizontalCentered="1"/>
  <pageMargins left="0.98425196850393704" right="0.59055118110236227" top="0.59055118110236227" bottom="0.78740157480314965" header="1.299212598425197" footer="0.51181102362204722"/>
  <pageSetup scale="10" fitToHeight="0" orientation="landscape" verticalDpi="300" r:id="rId1"/>
  <headerFooter alignWithMargins="0">
    <oddHeader>&amp;R&amp;P de &amp;N
&amp;D</oddHeader>
    <oddFooter>&amp;C&amp;6Este documento es propiedad de Pares&amp;&amp;Alvarez.  No podrá ser copiado, emitido o utilizado con otro propósito que no sea el estipulado en el contrato con el Cliente.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5F2A-712F-476F-B33C-ED7488CA1DB7}">
  <dimension ref="A1:H25"/>
  <sheetViews>
    <sheetView workbookViewId="0">
      <selection activeCell="C2" sqref="C2"/>
    </sheetView>
  </sheetViews>
  <sheetFormatPr baseColWidth="10" defaultColWidth="33.1796875" defaultRowHeight="14.5" x14ac:dyDescent="0.35"/>
  <cols>
    <col min="1" max="1" width="14.81640625" customWidth="1"/>
    <col min="2" max="2" width="17.54296875" bestFit="1" customWidth="1"/>
    <col min="3" max="3" width="30.54296875" bestFit="1" customWidth="1"/>
    <col min="4" max="4" width="70.81640625" customWidth="1"/>
    <col min="5" max="5" width="26.1796875" customWidth="1"/>
    <col min="6" max="6" width="11" bestFit="1" customWidth="1"/>
    <col min="7" max="7" width="29.1796875" bestFit="1" customWidth="1"/>
    <col min="8" max="8" width="3.54296875" bestFit="1" customWidth="1"/>
  </cols>
  <sheetData>
    <row r="1" spans="1:8" ht="75.5" x14ac:dyDescent="0.35">
      <c r="A1" s="465" t="s">
        <v>17</v>
      </c>
      <c r="B1" s="465" t="s">
        <v>18</v>
      </c>
      <c r="C1" s="466" t="s">
        <v>19</v>
      </c>
      <c r="D1" s="469" t="s">
        <v>21</v>
      </c>
      <c r="E1" s="479" t="s">
        <v>22</v>
      </c>
      <c r="F1" s="492" t="s">
        <v>23</v>
      </c>
      <c r="G1" s="494" t="s">
        <v>25</v>
      </c>
      <c r="H1" s="467" t="s">
        <v>807</v>
      </c>
    </row>
    <row r="2" spans="1:8" ht="52" x14ac:dyDescent="0.35">
      <c r="A2" s="473" t="s">
        <v>44</v>
      </c>
      <c r="B2" s="473" t="s">
        <v>444</v>
      </c>
      <c r="C2" s="475" t="s">
        <v>445</v>
      </c>
      <c r="D2" s="476" t="s">
        <v>447</v>
      </c>
      <c r="E2" s="475" t="s">
        <v>945</v>
      </c>
      <c r="F2" s="475">
        <v>3</v>
      </c>
      <c r="G2" s="474" t="s">
        <v>449</v>
      </c>
      <c r="H2" s="472" t="s">
        <v>117</v>
      </c>
    </row>
    <row r="3" spans="1:8" x14ac:dyDescent="0.35">
      <c r="A3" s="473" t="s">
        <v>59</v>
      </c>
      <c r="B3" s="473" t="s">
        <v>458</v>
      </c>
      <c r="C3" s="475" t="s">
        <v>459</v>
      </c>
      <c r="D3" s="476" t="s">
        <v>461</v>
      </c>
      <c r="E3" s="477">
        <v>46002</v>
      </c>
      <c r="F3" s="493" t="s">
        <v>462</v>
      </c>
      <c r="G3" s="478"/>
      <c r="H3" s="472" t="s">
        <v>117</v>
      </c>
    </row>
    <row r="4" spans="1:8" x14ac:dyDescent="0.35">
      <c r="A4" s="473" t="s">
        <v>68</v>
      </c>
      <c r="B4" s="473" t="s">
        <v>479</v>
      </c>
      <c r="C4" s="475" t="s">
        <v>480</v>
      </c>
      <c r="D4" s="476" t="s">
        <v>482</v>
      </c>
      <c r="E4" s="477">
        <v>46002</v>
      </c>
      <c r="F4" s="493" t="s">
        <v>462</v>
      </c>
      <c r="G4" s="478"/>
      <c r="H4" s="472" t="s">
        <v>117</v>
      </c>
    </row>
    <row r="5" spans="1:8" x14ac:dyDescent="0.35">
      <c r="A5" s="473" t="s">
        <v>139</v>
      </c>
      <c r="B5" s="473" t="s">
        <v>487</v>
      </c>
      <c r="C5" s="475" t="s">
        <v>488</v>
      </c>
      <c r="D5" s="476" t="s">
        <v>490</v>
      </c>
      <c r="E5" s="477">
        <v>46002</v>
      </c>
      <c r="F5" s="493" t="s">
        <v>462</v>
      </c>
      <c r="G5" s="491"/>
      <c r="H5" s="472" t="s">
        <v>117</v>
      </c>
    </row>
    <row r="6" spans="1:8" ht="26" x14ac:dyDescent="0.35">
      <c r="A6" s="473" t="s">
        <v>59</v>
      </c>
      <c r="B6" s="468" t="s">
        <v>317</v>
      </c>
      <c r="C6" s="475" t="s">
        <v>318</v>
      </c>
      <c r="D6" s="476" t="s">
        <v>320</v>
      </c>
      <c r="E6" s="477">
        <v>45979</v>
      </c>
      <c r="F6" s="493">
        <v>3</v>
      </c>
      <c r="G6" s="477"/>
      <c r="H6" s="472" t="s">
        <v>117</v>
      </c>
    </row>
    <row r="7" spans="1:8" ht="26" x14ac:dyDescent="0.35">
      <c r="A7" s="473" t="s">
        <v>68</v>
      </c>
      <c r="B7" s="468" t="s">
        <v>322</v>
      </c>
      <c r="C7" s="475" t="s">
        <v>323</v>
      </c>
      <c r="D7" s="476" t="s">
        <v>325</v>
      </c>
      <c r="E7" s="477">
        <v>45979</v>
      </c>
      <c r="F7" s="493">
        <v>3</v>
      </c>
      <c r="G7" s="477"/>
      <c r="H7" s="472" t="s">
        <v>117</v>
      </c>
    </row>
    <row r="8" spans="1:8" ht="26" x14ac:dyDescent="0.35">
      <c r="A8" s="473" t="s">
        <v>139</v>
      </c>
      <c r="B8" s="468" t="s">
        <v>326</v>
      </c>
      <c r="C8" s="475" t="s">
        <v>327</v>
      </c>
      <c r="D8" s="476" t="s">
        <v>329</v>
      </c>
      <c r="E8" s="477">
        <v>45979</v>
      </c>
      <c r="F8" s="493">
        <v>3</v>
      </c>
      <c r="G8" s="477"/>
      <c r="H8" s="472" t="s">
        <v>117</v>
      </c>
    </row>
    <row r="9" spans="1:8" x14ac:dyDescent="0.35">
      <c r="A9" s="473" t="s">
        <v>44</v>
      </c>
      <c r="B9" s="468" t="s">
        <v>177</v>
      </c>
      <c r="C9" s="475" t="s">
        <v>178</v>
      </c>
      <c r="D9" s="476" t="s">
        <v>179</v>
      </c>
      <c r="E9" s="477">
        <v>45989</v>
      </c>
      <c r="F9" s="493">
        <v>3</v>
      </c>
      <c r="G9" s="474"/>
      <c r="H9" s="472" t="s">
        <v>117</v>
      </c>
    </row>
    <row r="10" spans="1:8" x14ac:dyDescent="0.35">
      <c r="A10" s="473" t="s">
        <v>44</v>
      </c>
      <c r="B10" s="468" t="s">
        <v>569</v>
      </c>
      <c r="C10" s="475" t="s">
        <v>570</v>
      </c>
      <c r="D10" s="476" t="s">
        <v>572</v>
      </c>
      <c r="E10" s="477">
        <v>45989</v>
      </c>
      <c r="F10" s="493">
        <v>3</v>
      </c>
      <c r="G10" s="477"/>
      <c r="H10" s="472" t="s">
        <v>117</v>
      </c>
    </row>
    <row r="11" spans="1:8" x14ac:dyDescent="0.35">
      <c r="A11" s="473" t="s">
        <v>44</v>
      </c>
      <c r="B11" s="468" t="s">
        <v>173</v>
      </c>
      <c r="C11" s="475" t="s">
        <v>174</v>
      </c>
      <c r="D11" s="476" t="s">
        <v>176</v>
      </c>
      <c r="E11" s="477">
        <v>45989</v>
      </c>
      <c r="F11" s="493">
        <v>3</v>
      </c>
      <c r="G11" s="477"/>
      <c r="H11" s="472" t="s">
        <v>117</v>
      </c>
    </row>
    <row r="12" spans="1:8" x14ac:dyDescent="0.35">
      <c r="A12" s="473" t="s">
        <v>44</v>
      </c>
      <c r="B12" s="468" t="s">
        <v>525</v>
      </c>
      <c r="C12" s="475" t="s">
        <v>526</v>
      </c>
      <c r="D12" s="476" t="s">
        <v>528</v>
      </c>
      <c r="E12" s="477">
        <v>45989</v>
      </c>
      <c r="F12" s="493">
        <v>3</v>
      </c>
      <c r="G12" s="477"/>
      <c r="H12" s="472" t="s">
        <v>117</v>
      </c>
    </row>
    <row r="13" spans="1:8" ht="52" x14ac:dyDescent="0.35">
      <c r="A13" s="473" t="s">
        <v>59</v>
      </c>
      <c r="B13" s="473" t="s">
        <v>499</v>
      </c>
      <c r="C13" s="475" t="s">
        <v>500</v>
      </c>
      <c r="D13" s="476" t="s">
        <v>501</v>
      </c>
      <c r="E13" s="475" t="s">
        <v>502</v>
      </c>
      <c r="F13" s="475">
        <v>3</v>
      </c>
      <c r="G13" s="478"/>
      <c r="H13" s="472" t="s">
        <v>117</v>
      </c>
    </row>
    <row r="14" spans="1:8" ht="52" x14ac:dyDescent="0.35">
      <c r="A14" s="473" t="s">
        <v>68</v>
      </c>
      <c r="B14" s="473" t="s">
        <v>504</v>
      </c>
      <c r="C14" s="475" t="s">
        <v>505</v>
      </c>
      <c r="D14" s="476" t="s">
        <v>506</v>
      </c>
      <c r="E14" s="475" t="s">
        <v>502</v>
      </c>
      <c r="F14" s="475">
        <v>3</v>
      </c>
      <c r="G14" s="478"/>
      <c r="H14" s="472" t="s">
        <v>117</v>
      </c>
    </row>
    <row r="15" spans="1:8" ht="52" x14ac:dyDescent="0.35">
      <c r="A15" s="473" t="s">
        <v>139</v>
      </c>
      <c r="B15" s="473" t="s">
        <v>507</v>
      </c>
      <c r="C15" s="475" t="s">
        <v>508</v>
      </c>
      <c r="D15" s="476" t="s">
        <v>509</v>
      </c>
      <c r="E15" s="475" t="s">
        <v>502</v>
      </c>
      <c r="F15" s="475">
        <v>3</v>
      </c>
      <c r="G15" s="491"/>
      <c r="H15" s="472" t="s">
        <v>117</v>
      </c>
    </row>
    <row r="16" spans="1:8" ht="26" x14ac:dyDescent="0.35">
      <c r="A16" s="473" t="s">
        <v>44</v>
      </c>
      <c r="B16" s="473" t="s">
        <v>573</v>
      </c>
      <c r="C16" s="475" t="s">
        <v>574</v>
      </c>
      <c r="D16" s="476" t="s">
        <v>576</v>
      </c>
      <c r="E16" s="477">
        <v>45989</v>
      </c>
      <c r="F16" s="493">
        <v>3</v>
      </c>
      <c r="G16" s="491"/>
      <c r="H16" s="472" t="s">
        <v>117</v>
      </c>
    </row>
    <row r="17" spans="1:8" ht="26" x14ac:dyDescent="0.35">
      <c r="A17" s="473" t="s">
        <v>59</v>
      </c>
      <c r="B17" s="473" t="s">
        <v>241</v>
      </c>
      <c r="C17" s="475" t="s">
        <v>242</v>
      </c>
      <c r="D17" s="476" t="s">
        <v>243</v>
      </c>
      <c r="E17" s="477">
        <v>45989</v>
      </c>
      <c r="F17" s="493">
        <v>3</v>
      </c>
      <c r="G17" s="478"/>
      <c r="H17" s="472" t="s">
        <v>117</v>
      </c>
    </row>
    <row r="18" spans="1:8" ht="26" x14ac:dyDescent="0.35">
      <c r="A18" s="473" t="s">
        <v>68</v>
      </c>
      <c r="B18" s="473" t="s">
        <v>256</v>
      </c>
      <c r="C18" s="475" t="s">
        <v>257</v>
      </c>
      <c r="D18" s="476" t="s">
        <v>258</v>
      </c>
      <c r="E18" s="477">
        <v>45989</v>
      </c>
      <c r="F18" s="493">
        <v>3</v>
      </c>
      <c r="G18" s="478"/>
      <c r="H18" s="472" t="s">
        <v>117</v>
      </c>
    </row>
    <row r="19" spans="1:8" ht="26" x14ac:dyDescent="0.35">
      <c r="A19" s="473" t="s">
        <v>139</v>
      </c>
      <c r="B19" s="473" t="s">
        <v>261</v>
      </c>
      <c r="C19" s="475" t="s">
        <v>262</v>
      </c>
      <c r="D19" s="476" t="s">
        <v>263</v>
      </c>
      <c r="E19" s="477">
        <v>45989</v>
      </c>
      <c r="F19" s="493">
        <v>3</v>
      </c>
      <c r="G19" s="478"/>
      <c r="H19" s="472" t="s">
        <v>117</v>
      </c>
    </row>
    <row r="20" spans="1:8" ht="26" x14ac:dyDescent="0.35">
      <c r="A20" s="473" t="s">
        <v>266</v>
      </c>
      <c r="B20" s="468" t="s">
        <v>416</v>
      </c>
      <c r="C20" s="475" t="s">
        <v>417</v>
      </c>
      <c r="D20" s="476" t="s">
        <v>419</v>
      </c>
      <c r="E20" s="477" t="s">
        <v>559</v>
      </c>
      <c r="F20" s="493">
        <v>2</v>
      </c>
      <c r="G20" s="477"/>
      <c r="H20" s="472" t="s">
        <v>117</v>
      </c>
    </row>
    <row r="21" spans="1:8" ht="26" x14ac:dyDescent="0.35">
      <c r="A21" s="473" t="s">
        <v>68</v>
      </c>
      <c r="B21" s="468" t="s">
        <v>406</v>
      </c>
      <c r="C21" s="475" t="s">
        <v>407</v>
      </c>
      <c r="D21" s="476" t="s">
        <v>409</v>
      </c>
      <c r="E21" s="477" t="s">
        <v>559</v>
      </c>
      <c r="F21" s="493">
        <v>2</v>
      </c>
      <c r="G21" s="477"/>
      <c r="H21" s="472" t="s">
        <v>117</v>
      </c>
    </row>
    <row r="22" spans="1:8" ht="26" x14ac:dyDescent="0.35">
      <c r="A22" s="473" t="s">
        <v>139</v>
      </c>
      <c r="B22" s="468" t="s">
        <v>279</v>
      </c>
      <c r="C22" s="475" t="s">
        <v>280</v>
      </c>
      <c r="D22" s="476" t="s">
        <v>282</v>
      </c>
      <c r="E22" s="477" t="s">
        <v>559</v>
      </c>
      <c r="F22" s="493">
        <v>2</v>
      </c>
      <c r="G22" s="477"/>
      <c r="H22" s="472" t="s">
        <v>117</v>
      </c>
    </row>
    <row r="23" spans="1:8" ht="26" x14ac:dyDescent="0.35">
      <c r="A23" s="473" t="s">
        <v>68</v>
      </c>
      <c r="B23" s="468" t="s">
        <v>188</v>
      </c>
      <c r="C23" s="475" t="s">
        <v>189</v>
      </c>
      <c r="D23" s="476" t="s">
        <v>190</v>
      </c>
      <c r="E23" s="496">
        <v>45978</v>
      </c>
      <c r="F23" s="493">
        <v>2</v>
      </c>
      <c r="G23" s="477"/>
      <c r="H23" s="472" t="s">
        <v>117</v>
      </c>
    </row>
    <row r="24" spans="1:8" ht="26" x14ac:dyDescent="0.35">
      <c r="A24" s="473" t="s">
        <v>139</v>
      </c>
      <c r="B24" s="468" t="s">
        <v>193</v>
      </c>
      <c r="C24" s="475" t="s">
        <v>194</v>
      </c>
      <c r="D24" s="476" t="s">
        <v>195</v>
      </c>
      <c r="E24" s="496">
        <v>45978</v>
      </c>
      <c r="F24" s="493">
        <v>2</v>
      </c>
      <c r="G24" s="477"/>
      <c r="H24" s="472" t="s">
        <v>117</v>
      </c>
    </row>
    <row r="25" spans="1:8" ht="26" x14ac:dyDescent="0.35">
      <c r="A25" s="473" t="s">
        <v>266</v>
      </c>
      <c r="B25" s="468" t="s">
        <v>267</v>
      </c>
      <c r="C25" s="475" t="s">
        <v>268</v>
      </c>
      <c r="D25" s="476" t="s">
        <v>269</v>
      </c>
      <c r="E25" s="496">
        <v>45978</v>
      </c>
      <c r="F25" s="493">
        <v>2</v>
      </c>
      <c r="G25" s="477"/>
      <c r="H25" s="472" t="s">
        <v>117</v>
      </c>
    </row>
  </sheetData>
  <autoFilter ref="A1:H1" xr:uid="{F6C65F2A-712F-476F-B33C-ED7488CA1DB7}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CBC0-44EE-4746-8B9B-17DD913D3702}">
  <sheetPr>
    <pageSetUpPr fitToPage="1"/>
  </sheetPr>
  <dimension ref="A1:EB96"/>
  <sheetViews>
    <sheetView showGridLines="0" view="pageBreakPreview" topLeftCell="A8" zoomScale="40" zoomScaleNormal="90" zoomScaleSheetLayoutView="40" workbookViewId="0">
      <pane xSplit="8" ySplit="2" topLeftCell="I46" activePane="bottomRight" state="frozen"/>
      <selection pane="topRight" activeCell="P8" sqref="P8"/>
      <selection pane="bottomLeft" activeCell="A10" sqref="A10"/>
      <selection pane="bottomRight" activeCell="D59" sqref="D59"/>
    </sheetView>
  </sheetViews>
  <sheetFormatPr baseColWidth="10" defaultColWidth="8.453125" defaultRowHeight="40.4" customHeight="1" x14ac:dyDescent="0.35"/>
  <cols>
    <col min="1" max="1" width="3.1796875" style="17" customWidth="1"/>
    <col min="2" max="2" width="17.1796875" style="16" customWidth="1"/>
    <col min="3" max="3" width="84.54296875" style="16" customWidth="1"/>
    <col min="4" max="4" width="170.81640625" style="17" customWidth="1"/>
    <col min="5" max="5" width="34.81640625" style="18" customWidth="1"/>
    <col min="6" max="6" width="46" style="19" customWidth="1"/>
    <col min="7" max="8" width="42.81640625" style="20" customWidth="1"/>
    <col min="9" max="191" width="14.81640625" style="17" customWidth="1"/>
    <col min="192" max="16384" width="8.453125" style="17"/>
  </cols>
  <sheetData>
    <row r="1" spans="1:132" s="16" customFormat="1" ht="40.4" customHeight="1" thickBot="1" x14ac:dyDescent="0.4">
      <c r="C1" s="389"/>
      <c r="D1" s="17"/>
      <c r="E1" s="18"/>
      <c r="F1" s="19"/>
      <c r="G1" s="20"/>
      <c r="H1" s="20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</row>
    <row r="2" spans="1:132" s="16" customFormat="1" ht="40.4" customHeight="1" x14ac:dyDescent="0.35">
      <c r="A2" s="388"/>
      <c r="B2" s="387"/>
      <c r="C2" s="387"/>
      <c r="D2" s="386"/>
      <c r="E2" s="385"/>
      <c r="F2" s="384"/>
      <c r="G2" s="383"/>
      <c r="H2" s="382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</row>
    <row r="3" spans="1:132" s="16" customFormat="1" ht="40.4" customHeight="1" x14ac:dyDescent="0.35">
      <c r="A3" s="380"/>
      <c r="D3" s="17"/>
      <c r="E3" s="18"/>
      <c r="F3" s="19"/>
      <c r="G3" s="20"/>
      <c r="H3" s="381" t="s">
        <v>792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</row>
    <row r="4" spans="1:132" s="16" customFormat="1" ht="40.4" customHeight="1" x14ac:dyDescent="0.35">
      <c r="A4" s="380"/>
      <c r="D4" s="17"/>
      <c r="E4" s="18"/>
      <c r="F4" s="19"/>
      <c r="G4" s="20"/>
      <c r="H4" s="381" t="s">
        <v>793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</row>
    <row r="5" spans="1:132" s="16" customFormat="1" ht="40.4" customHeight="1" x14ac:dyDescent="0.35">
      <c r="A5" s="380"/>
      <c r="C5" s="887"/>
      <c r="D5" s="888"/>
      <c r="E5" s="888"/>
      <c r="F5" s="23"/>
      <c r="G5" s="25"/>
      <c r="H5" s="381" t="s">
        <v>794</v>
      </c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</row>
    <row r="6" spans="1:132" s="16" customFormat="1" ht="40.4" customHeight="1" x14ac:dyDescent="0.35">
      <c r="A6" s="380"/>
      <c r="C6" s="24"/>
      <c r="D6" s="60"/>
      <c r="E6" s="59"/>
      <c r="F6" s="59"/>
      <c r="G6" s="59"/>
      <c r="H6" s="381" t="s">
        <v>63</v>
      </c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</row>
    <row r="7" spans="1:132" s="16" customFormat="1" ht="40.4" customHeight="1" thickBot="1" x14ac:dyDescent="0.4">
      <c r="A7" s="380"/>
      <c r="C7" s="24"/>
      <c r="D7" s="60"/>
      <c r="E7" s="59"/>
      <c r="F7" s="19"/>
      <c r="G7" s="20"/>
      <c r="H7" s="379">
        <f ca="1">TODAY()</f>
        <v>46130</v>
      </c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</row>
    <row r="8" spans="1:132" ht="57.65" customHeight="1" thickBot="1" x14ac:dyDescent="0.4">
      <c r="A8" s="371"/>
      <c r="B8" s="889" t="s">
        <v>946</v>
      </c>
      <c r="C8" s="890"/>
      <c r="D8" s="890"/>
      <c r="E8" s="891"/>
      <c r="F8" s="892" t="s">
        <v>947</v>
      </c>
      <c r="G8" s="893"/>
      <c r="H8" s="894"/>
      <c r="I8" s="24"/>
      <c r="J8" s="317"/>
      <c r="K8" s="317"/>
      <c r="L8" s="317"/>
      <c r="M8" s="378"/>
      <c r="N8" s="378"/>
      <c r="O8" s="378"/>
      <c r="P8" s="378"/>
      <c r="Q8" s="24"/>
      <c r="R8" s="317"/>
      <c r="S8" s="317"/>
      <c r="T8" s="317"/>
      <c r="U8" s="378"/>
      <c r="V8" s="378"/>
      <c r="W8" s="378"/>
      <c r="X8" s="378"/>
      <c r="Y8" s="24"/>
      <c r="Z8" s="317"/>
      <c r="AA8" s="317"/>
      <c r="AB8" s="317"/>
      <c r="AC8" s="378"/>
      <c r="AD8" s="378"/>
      <c r="AE8" s="378"/>
      <c r="AF8" s="378"/>
      <c r="AG8" s="24"/>
      <c r="AH8" s="317"/>
      <c r="AI8" s="317"/>
      <c r="AJ8" s="317"/>
      <c r="AK8" s="378"/>
      <c r="AL8" s="378"/>
      <c r="AM8" s="378"/>
      <c r="AN8" s="378"/>
      <c r="AO8" s="24"/>
      <c r="AP8" s="317"/>
      <c r="AQ8" s="317"/>
      <c r="AR8" s="317"/>
      <c r="AS8" s="378"/>
      <c r="AT8" s="378"/>
      <c r="AU8" s="376"/>
      <c r="AV8" s="375"/>
      <c r="AW8" s="374"/>
      <c r="AX8" s="373"/>
      <c r="AY8" s="373"/>
      <c r="AZ8" s="372"/>
      <c r="BA8" s="377"/>
      <c r="BB8" s="376"/>
      <c r="BC8" s="376"/>
      <c r="BD8" s="375"/>
      <c r="BE8" s="374"/>
      <c r="BF8" s="373"/>
      <c r="BG8" s="373"/>
      <c r="BH8" s="372"/>
      <c r="BI8" s="377"/>
      <c r="BJ8" s="376"/>
      <c r="BK8" s="376"/>
      <c r="BL8" s="375"/>
      <c r="BM8" s="374"/>
      <c r="BN8" s="373"/>
      <c r="BO8" s="373"/>
      <c r="BP8" s="372"/>
      <c r="BQ8" s="377"/>
      <c r="BR8" s="376"/>
      <c r="BS8" s="376"/>
      <c r="BT8" s="375"/>
      <c r="BU8" s="374"/>
      <c r="BV8" s="373"/>
      <c r="BW8" s="373"/>
      <c r="BX8" s="372"/>
      <c r="BY8" s="377"/>
      <c r="BZ8" s="376"/>
      <c r="CA8" s="376"/>
      <c r="CB8" s="375"/>
      <c r="CC8" s="374" t="s">
        <v>4</v>
      </c>
      <c r="CD8" s="373"/>
      <c r="CE8" s="373"/>
      <c r="CF8" s="372"/>
      <c r="CG8" s="377" t="s">
        <v>14</v>
      </c>
      <c r="CH8" s="376"/>
      <c r="CI8" s="376"/>
      <c r="CJ8" s="375"/>
      <c r="CK8" s="374" t="s">
        <v>4</v>
      </c>
      <c r="CL8" s="373"/>
      <c r="CM8" s="373"/>
      <c r="CN8" s="372"/>
      <c r="CO8" s="377" t="s">
        <v>14</v>
      </c>
      <c r="CP8" s="376"/>
      <c r="CQ8" s="376"/>
      <c r="CR8" s="375"/>
      <c r="CS8" s="374" t="s">
        <v>4</v>
      </c>
      <c r="CT8" s="373"/>
      <c r="CU8" s="373"/>
      <c r="CV8" s="372"/>
      <c r="CW8" s="377" t="s">
        <v>14</v>
      </c>
      <c r="CX8" s="376"/>
      <c r="CY8" s="376"/>
      <c r="CZ8" s="375"/>
      <c r="DA8" s="374" t="s">
        <v>4</v>
      </c>
      <c r="DB8" s="373"/>
      <c r="DC8" s="373"/>
      <c r="DD8" s="372"/>
      <c r="DE8" s="377" t="s">
        <v>14</v>
      </c>
      <c r="DF8" s="376"/>
      <c r="DG8" s="376"/>
      <c r="DH8" s="375"/>
      <c r="DI8" s="374" t="s">
        <v>4</v>
      </c>
      <c r="DJ8" s="373"/>
      <c r="DK8" s="373"/>
      <c r="DL8" s="372"/>
      <c r="DM8" s="377" t="s">
        <v>14</v>
      </c>
      <c r="DN8" s="376"/>
      <c r="DO8" s="376"/>
      <c r="DP8" s="375"/>
      <c r="DQ8" s="374" t="s">
        <v>4</v>
      </c>
      <c r="DR8" s="373"/>
      <c r="DS8" s="373"/>
      <c r="DT8" s="372"/>
      <c r="DU8" s="377" t="s">
        <v>14</v>
      </c>
      <c r="DV8" s="376"/>
      <c r="DW8" s="376"/>
      <c r="DX8" s="375"/>
      <c r="DY8" s="374" t="s">
        <v>4</v>
      </c>
      <c r="DZ8" s="373"/>
      <c r="EA8" s="373"/>
      <c r="EB8" s="372"/>
    </row>
    <row r="9" spans="1:132" ht="109" customHeight="1" thickBot="1" x14ac:dyDescent="0.4">
      <c r="A9" s="371"/>
      <c r="B9" s="390" t="s">
        <v>15</v>
      </c>
      <c r="C9" s="391" t="s">
        <v>948</v>
      </c>
      <c r="D9" s="392" t="s">
        <v>806</v>
      </c>
      <c r="E9" s="392" t="s">
        <v>807</v>
      </c>
      <c r="F9" s="392" t="s">
        <v>949</v>
      </c>
      <c r="G9" s="392" t="s">
        <v>950</v>
      </c>
      <c r="H9" s="393" t="s">
        <v>31</v>
      </c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  <c r="AB9" s="370"/>
      <c r="AC9" s="370"/>
      <c r="AD9" s="370"/>
      <c r="AE9" s="370"/>
      <c r="AF9" s="370"/>
      <c r="AG9" s="370"/>
      <c r="AH9" s="370"/>
      <c r="AI9" s="370"/>
      <c r="AJ9" s="370"/>
      <c r="AK9" s="370"/>
      <c r="AL9" s="370"/>
      <c r="AM9" s="370"/>
      <c r="AN9" s="370"/>
      <c r="AO9" s="370"/>
      <c r="AP9" s="370"/>
      <c r="AQ9" s="370"/>
      <c r="AR9" s="370"/>
      <c r="AS9" s="370"/>
      <c r="AT9" s="370"/>
      <c r="AU9" s="369"/>
      <c r="AV9" s="368"/>
      <c r="AW9" s="367"/>
      <c r="AX9" s="366"/>
      <c r="AY9" s="365"/>
      <c r="AZ9" s="368"/>
      <c r="BA9" s="367"/>
      <c r="BB9" s="366"/>
      <c r="BC9" s="365"/>
      <c r="BD9" s="368"/>
      <c r="BE9" s="367"/>
      <c r="BF9" s="366"/>
      <c r="BG9" s="365"/>
      <c r="BH9" s="368"/>
      <c r="BI9" s="367"/>
      <c r="BJ9" s="366"/>
      <c r="BK9" s="365"/>
      <c r="BL9" s="368"/>
      <c r="BM9" s="367"/>
      <c r="BN9" s="366"/>
      <c r="BO9" s="365"/>
      <c r="BP9" s="368"/>
      <c r="BQ9" s="367"/>
      <c r="BR9" s="366"/>
      <c r="BS9" s="365"/>
      <c r="BT9" s="57"/>
      <c r="BU9" s="56"/>
      <c r="BV9" s="55"/>
      <c r="BW9" s="364"/>
      <c r="BX9" s="57"/>
      <c r="BY9" s="56"/>
      <c r="BZ9" s="55"/>
      <c r="CA9" s="364" t="s">
        <v>37</v>
      </c>
      <c r="CB9" s="57" t="s">
        <v>40</v>
      </c>
      <c r="CC9" s="56" t="s">
        <v>43</v>
      </c>
      <c r="CD9" s="55" t="s">
        <v>40</v>
      </c>
      <c r="CE9" s="364" t="s">
        <v>37</v>
      </c>
      <c r="CF9" s="57" t="s">
        <v>41</v>
      </c>
      <c r="CG9" s="56" t="s">
        <v>35</v>
      </c>
      <c r="CH9" s="55" t="s">
        <v>36</v>
      </c>
      <c r="CI9" s="364" t="s">
        <v>37</v>
      </c>
      <c r="CJ9" s="57" t="s">
        <v>40</v>
      </c>
      <c r="CK9" s="56" t="s">
        <v>43</v>
      </c>
      <c r="CL9" s="55" t="s">
        <v>40</v>
      </c>
      <c r="CM9" s="364" t="s">
        <v>37</v>
      </c>
      <c r="CN9" s="57" t="s">
        <v>41</v>
      </c>
      <c r="CO9" s="56" t="s">
        <v>35</v>
      </c>
      <c r="CP9" s="55" t="s">
        <v>36</v>
      </c>
      <c r="CQ9" s="364" t="s">
        <v>37</v>
      </c>
      <c r="CR9" s="57" t="s">
        <v>40</v>
      </c>
      <c r="CS9" s="56" t="s">
        <v>43</v>
      </c>
      <c r="CT9" s="55" t="s">
        <v>40</v>
      </c>
      <c r="CU9" s="364" t="s">
        <v>37</v>
      </c>
      <c r="CV9" s="57" t="s">
        <v>41</v>
      </c>
      <c r="CW9" s="56" t="s">
        <v>35</v>
      </c>
      <c r="CX9" s="55" t="s">
        <v>36</v>
      </c>
      <c r="CY9" s="364" t="s">
        <v>37</v>
      </c>
      <c r="CZ9" s="57" t="s">
        <v>40</v>
      </c>
      <c r="DA9" s="56" t="s">
        <v>43</v>
      </c>
      <c r="DB9" s="55" t="s">
        <v>40</v>
      </c>
      <c r="DC9" s="364" t="s">
        <v>37</v>
      </c>
      <c r="DD9" s="57" t="s">
        <v>41</v>
      </c>
      <c r="DE9" s="56" t="s">
        <v>35</v>
      </c>
      <c r="DF9" s="55" t="s">
        <v>36</v>
      </c>
      <c r="DG9" s="364" t="s">
        <v>37</v>
      </c>
      <c r="DH9" s="57" t="s">
        <v>40</v>
      </c>
      <c r="DI9" s="56" t="s">
        <v>43</v>
      </c>
      <c r="DJ9" s="55" t="s">
        <v>40</v>
      </c>
      <c r="DK9" s="364" t="s">
        <v>37</v>
      </c>
      <c r="DL9" s="57" t="s">
        <v>41</v>
      </c>
      <c r="DM9" s="56" t="s">
        <v>35</v>
      </c>
      <c r="DN9" s="55" t="s">
        <v>36</v>
      </c>
      <c r="DO9" s="364" t="s">
        <v>37</v>
      </c>
      <c r="DP9" s="57" t="s">
        <v>40</v>
      </c>
      <c r="DQ9" s="56" t="s">
        <v>43</v>
      </c>
      <c r="DR9" s="55" t="s">
        <v>40</v>
      </c>
      <c r="DS9" s="364" t="s">
        <v>37</v>
      </c>
      <c r="DT9" s="57" t="s">
        <v>41</v>
      </c>
      <c r="DU9" s="56" t="s">
        <v>35</v>
      </c>
      <c r="DV9" s="55" t="s">
        <v>36</v>
      </c>
      <c r="DW9" s="364" t="s">
        <v>37</v>
      </c>
      <c r="DX9" s="57" t="s">
        <v>40</v>
      </c>
      <c r="DY9" s="56" t="s">
        <v>43</v>
      </c>
      <c r="DZ9" s="55" t="s">
        <v>40</v>
      </c>
      <c r="EA9" s="364" t="s">
        <v>37</v>
      </c>
      <c r="EB9" s="57" t="s">
        <v>41</v>
      </c>
    </row>
    <row r="10" spans="1:132" s="434" customFormat="1" ht="129" customHeight="1" x14ac:dyDescent="0.35">
      <c r="A10" s="425"/>
      <c r="B10" s="448">
        <v>1</v>
      </c>
      <c r="C10" s="413" t="s">
        <v>951</v>
      </c>
      <c r="D10" s="414" t="s">
        <v>952</v>
      </c>
      <c r="E10" s="415" t="s">
        <v>953</v>
      </c>
      <c r="F10" s="416" t="s">
        <v>954</v>
      </c>
      <c r="G10" s="417">
        <v>45881</v>
      </c>
      <c r="H10" s="418" t="s">
        <v>688</v>
      </c>
      <c r="I10" s="426"/>
      <c r="J10" s="59"/>
      <c r="K10" s="59"/>
      <c r="L10" s="59"/>
      <c r="M10" s="427"/>
      <c r="N10" s="59"/>
      <c r="O10" s="59"/>
      <c r="P10" s="59"/>
      <c r="Q10" s="426"/>
      <c r="R10" s="59"/>
      <c r="S10" s="59"/>
      <c r="T10" s="59"/>
      <c r="U10" s="427"/>
      <c r="V10" s="59"/>
      <c r="W10" s="59"/>
      <c r="X10" s="59"/>
      <c r="Y10" s="426"/>
      <c r="Z10" s="59"/>
      <c r="AA10" s="59"/>
      <c r="AB10" s="59"/>
      <c r="AC10" s="427"/>
      <c r="AD10" s="59"/>
      <c r="AE10" s="59"/>
      <c r="AF10" s="59"/>
      <c r="AG10" s="426"/>
      <c r="AH10" s="59"/>
      <c r="AI10" s="59"/>
      <c r="AJ10" s="59"/>
      <c r="AK10" s="427"/>
      <c r="AL10" s="59"/>
      <c r="AM10" s="59"/>
      <c r="AN10" s="59"/>
      <c r="AO10" s="426"/>
      <c r="AP10" s="59"/>
      <c r="AQ10" s="59"/>
      <c r="AR10" s="59"/>
      <c r="AS10" s="427"/>
      <c r="AT10" s="59"/>
      <c r="AU10" s="428"/>
      <c r="AV10" s="429"/>
      <c r="AW10" s="430"/>
      <c r="AX10" s="429"/>
      <c r="AY10" s="429"/>
      <c r="AZ10" s="429"/>
      <c r="BA10" s="431"/>
      <c r="BB10" s="429"/>
      <c r="BC10" s="429"/>
      <c r="BD10" s="429"/>
      <c r="BE10" s="430"/>
      <c r="BF10" s="429"/>
      <c r="BG10" s="429"/>
      <c r="BH10" s="429"/>
      <c r="BI10" s="431"/>
      <c r="BJ10" s="429"/>
      <c r="BK10" s="429"/>
      <c r="BL10" s="429"/>
      <c r="BM10" s="430"/>
      <c r="BN10" s="429"/>
      <c r="BO10" s="429"/>
      <c r="BP10" s="429"/>
      <c r="BQ10" s="431"/>
      <c r="BR10" s="429"/>
      <c r="BS10" s="429"/>
      <c r="BT10" s="429"/>
      <c r="BU10" s="432"/>
      <c r="BV10" s="433"/>
      <c r="BW10" s="433"/>
      <c r="BX10" s="433"/>
      <c r="BY10" s="431"/>
      <c r="BZ10" s="429"/>
      <c r="CA10" s="429"/>
      <c r="CB10" s="429"/>
      <c r="CC10" s="432"/>
      <c r="CD10" s="433"/>
      <c r="CE10" s="433"/>
      <c r="CF10" s="433"/>
      <c r="CG10" s="431"/>
      <c r="CH10" s="429"/>
      <c r="CI10" s="429"/>
      <c r="CJ10" s="429"/>
      <c r="CK10" s="432"/>
      <c r="CL10" s="433"/>
      <c r="CM10" s="433"/>
      <c r="CN10" s="433"/>
      <c r="CO10" s="431"/>
      <c r="CP10" s="429"/>
      <c r="CQ10" s="429"/>
      <c r="CR10" s="429"/>
      <c r="CS10" s="432"/>
      <c r="CT10" s="433"/>
      <c r="CU10" s="433"/>
      <c r="CV10" s="433"/>
      <c r="CW10" s="431"/>
      <c r="CX10" s="429"/>
      <c r="CY10" s="429"/>
      <c r="CZ10" s="429"/>
      <c r="DA10" s="432"/>
      <c r="DB10" s="433"/>
      <c r="DC10" s="433"/>
      <c r="DD10" s="433"/>
      <c r="DE10" s="431"/>
      <c r="DF10" s="429"/>
      <c r="DG10" s="429"/>
      <c r="DH10" s="429"/>
      <c r="DI10" s="432"/>
      <c r="DJ10" s="433"/>
      <c r="DK10" s="433"/>
      <c r="DL10" s="433"/>
      <c r="DM10" s="431"/>
      <c r="DN10" s="429"/>
      <c r="DO10" s="429"/>
      <c r="DP10" s="429"/>
      <c r="DQ10" s="432"/>
      <c r="DR10" s="433"/>
      <c r="DS10" s="433"/>
      <c r="DT10" s="433"/>
      <c r="DU10" s="431"/>
      <c r="DV10" s="429"/>
      <c r="DW10" s="429"/>
      <c r="DX10" s="429"/>
      <c r="DY10" s="432"/>
      <c r="DZ10" s="433"/>
      <c r="EA10" s="433"/>
      <c r="EB10" s="433"/>
    </row>
    <row r="11" spans="1:132" s="434" customFormat="1" ht="141.65" customHeight="1" x14ac:dyDescent="0.35">
      <c r="A11" s="425"/>
      <c r="B11" s="449">
        <v>2</v>
      </c>
      <c r="C11" s="413" t="s">
        <v>955</v>
      </c>
      <c r="D11" s="419" t="s">
        <v>956</v>
      </c>
      <c r="E11" s="420" t="s">
        <v>117</v>
      </c>
      <c r="F11" s="421" t="s">
        <v>957</v>
      </c>
      <c r="G11" s="422">
        <v>45887</v>
      </c>
      <c r="H11" s="418" t="s">
        <v>688</v>
      </c>
      <c r="I11" s="426"/>
      <c r="J11" s="59"/>
      <c r="K11" s="59"/>
      <c r="L11" s="59"/>
      <c r="M11" s="427"/>
      <c r="N11" s="59"/>
      <c r="O11" s="59"/>
      <c r="P11" s="59"/>
      <c r="Q11" s="426"/>
      <c r="R11" s="59"/>
      <c r="S11" s="59"/>
      <c r="T11" s="59"/>
      <c r="U11" s="427"/>
      <c r="V11" s="59"/>
      <c r="W11" s="59"/>
      <c r="X11" s="59"/>
      <c r="Y11" s="426"/>
      <c r="Z11" s="59"/>
      <c r="AA11" s="59"/>
      <c r="AB11" s="59"/>
      <c r="AC11" s="427"/>
      <c r="AD11" s="59"/>
      <c r="AE11" s="59"/>
      <c r="AF11" s="59"/>
      <c r="AG11" s="426"/>
      <c r="AH11" s="59"/>
      <c r="AI11" s="59"/>
      <c r="AJ11" s="59"/>
      <c r="AK11" s="427"/>
      <c r="AL11" s="59"/>
      <c r="AM11" s="59"/>
      <c r="AN11" s="59"/>
      <c r="AO11" s="426"/>
      <c r="AP11" s="59"/>
      <c r="AQ11" s="59"/>
      <c r="AR11" s="59"/>
      <c r="AS11" s="427"/>
      <c r="AT11" s="59"/>
      <c r="AU11" s="428"/>
      <c r="AV11" s="429"/>
      <c r="AW11" s="430"/>
      <c r="AX11" s="429"/>
      <c r="AY11" s="429"/>
      <c r="AZ11" s="429"/>
      <c r="BA11" s="431"/>
      <c r="BB11" s="429"/>
      <c r="BC11" s="429"/>
      <c r="BD11" s="429"/>
      <c r="BE11" s="430"/>
      <c r="BF11" s="429"/>
      <c r="BG11" s="429"/>
      <c r="BH11" s="429"/>
      <c r="BI11" s="431"/>
      <c r="BJ11" s="429"/>
      <c r="BK11" s="429"/>
      <c r="BL11" s="429"/>
      <c r="BM11" s="430"/>
      <c r="BN11" s="429"/>
      <c r="BO11" s="429"/>
      <c r="BP11" s="429"/>
      <c r="BQ11" s="431"/>
      <c r="BR11" s="429"/>
      <c r="BS11" s="429"/>
      <c r="BT11" s="429"/>
      <c r="BU11" s="432"/>
      <c r="BV11" s="433"/>
      <c r="BW11" s="433"/>
      <c r="BX11" s="433"/>
      <c r="BY11" s="431"/>
      <c r="BZ11" s="429"/>
      <c r="CA11" s="429"/>
      <c r="CB11" s="429"/>
      <c r="CC11" s="432"/>
      <c r="CD11" s="433"/>
      <c r="CE11" s="433"/>
      <c r="CF11" s="433"/>
      <c r="CG11" s="431"/>
      <c r="CH11" s="429"/>
      <c r="CI11" s="429"/>
      <c r="CJ11" s="429"/>
      <c r="CK11" s="432"/>
      <c r="CL11" s="433"/>
      <c r="CM11" s="433"/>
      <c r="CN11" s="433"/>
      <c r="CO11" s="431"/>
      <c r="CP11" s="429"/>
      <c r="CQ11" s="429"/>
      <c r="CR11" s="429"/>
      <c r="CS11" s="432"/>
      <c r="CT11" s="433"/>
      <c r="CU11" s="433"/>
      <c r="CV11" s="433"/>
      <c r="CW11" s="431"/>
      <c r="CX11" s="429"/>
      <c r="CY11" s="429"/>
      <c r="CZ11" s="429"/>
      <c r="DA11" s="432"/>
      <c r="DB11" s="433"/>
      <c r="DC11" s="433"/>
      <c r="DD11" s="433"/>
      <c r="DE11" s="431"/>
      <c r="DF11" s="429"/>
      <c r="DG11" s="429"/>
      <c r="DH11" s="429"/>
      <c r="DI11" s="432"/>
      <c r="DJ11" s="433"/>
      <c r="DK11" s="433"/>
      <c r="DL11" s="433"/>
      <c r="DM11" s="431"/>
      <c r="DN11" s="429"/>
      <c r="DO11" s="429"/>
      <c r="DP11" s="429"/>
      <c r="DQ11" s="432"/>
      <c r="DR11" s="433"/>
      <c r="DS11" s="433"/>
      <c r="DT11" s="433"/>
      <c r="DU11" s="431"/>
      <c r="DV11" s="429"/>
      <c r="DW11" s="429"/>
      <c r="DX11" s="429"/>
      <c r="DY11" s="432"/>
      <c r="DZ11" s="433"/>
      <c r="EA11" s="433"/>
      <c r="EB11" s="433"/>
    </row>
    <row r="12" spans="1:132" s="434" customFormat="1" ht="129" customHeight="1" x14ac:dyDescent="0.35">
      <c r="A12" s="425"/>
      <c r="B12" s="449">
        <v>3</v>
      </c>
      <c r="C12" s="413" t="s">
        <v>958</v>
      </c>
      <c r="D12" s="423" t="s">
        <v>959</v>
      </c>
      <c r="E12" s="420" t="s">
        <v>117</v>
      </c>
      <c r="F12" s="424" t="s">
        <v>960</v>
      </c>
      <c r="G12" s="422">
        <v>45888</v>
      </c>
      <c r="H12" s="418" t="s">
        <v>688</v>
      </c>
      <c r="I12" s="426"/>
      <c r="J12" s="59"/>
      <c r="K12" s="59"/>
      <c r="L12" s="59"/>
      <c r="M12" s="427"/>
      <c r="N12" s="59"/>
      <c r="O12" s="59"/>
      <c r="P12" s="59"/>
      <c r="Q12" s="426"/>
      <c r="R12" s="59"/>
      <c r="S12" s="59"/>
      <c r="T12" s="59"/>
      <c r="U12" s="427"/>
      <c r="V12" s="59"/>
      <c r="W12" s="59"/>
      <c r="X12" s="59"/>
      <c r="Y12" s="426"/>
      <c r="Z12" s="59"/>
      <c r="AA12" s="59"/>
      <c r="AB12" s="59"/>
      <c r="AC12" s="427"/>
      <c r="AD12" s="59"/>
      <c r="AE12" s="59"/>
      <c r="AF12" s="59"/>
      <c r="AG12" s="426"/>
      <c r="AH12" s="59"/>
      <c r="AI12" s="59"/>
      <c r="AJ12" s="59"/>
      <c r="AK12" s="427"/>
      <c r="AL12" s="59"/>
      <c r="AM12" s="59"/>
      <c r="AN12" s="59"/>
      <c r="AO12" s="426"/>
      <c r="AP12" s="59"/>
      <c r="AQ12" s="59"/>
      <c r="AR12" s="59"/>
      <c r="AS12" s="427"/>
      <c r="AT12" s="59"/>
      <c r="AU12" s="428"/>
      <c r="AV12" s="429"/>
      <c r="AW12" s="430"/>
      <c r="AX12" s="429"/>
      <c r="AY12" s="429"/>
      <c r="AZ12" s="429"/>
      <c r="BA12" s="431"/>
      <c r="BB12" s="429"/>
      <c r="BC12" s="429"/>
      <c r="BD12" s="429"/>
      <c r="BE12" s="430"/>
      <c r="BF12" s="429"/>
      <c r="BG12" s="429"/>
      <c r="BH12" s="429"/>
      <c r="BI12" s="431"/>
      <c r="BJ12" s="429"/>
      <c r="BK12" s="429"/>
      <c r="BL12" s="429"/>
      <c r="BM12" s="430"/>
      <c r="BN12" s="429"/>
      <c r="BO12" s="429"/>
      <c r="BP12" s="429"/>
      <c r="BQ12" s="431"/>
      <c r="BR12" s="429"/>
      <c r="BS12" s="429"/>
      <c r="BT12" s="429"/>
      <c r="BU12" s="432"/>
      <c r="BV12" s="433"/>
      <c r="BW12" s="433"/>
      <c r="BX12" s="433"/>
      <c r="BY12" s="431"/>
      <c r="BZ12" s="429"/>
      <c r="CA12" s="429"/>
      <c r="CB12" s="429"/>
      <c r="CC12" s="432"/>
      <c r="CD12" s="433"/>
      <c r="CE12" s="433"/>
      <c r="CF12" s="433"/>
      <c r="CG12" s="431"/>
      <c r="CH12" s="429"/>
      <c r="CI12" s="429"/>
      <c r="CJ12" s="429"/>
      <c r="CK12" s="432"/>
      <c r="CL12" s="433"/>
      <c r="CM12" s="433"/>
      <c r="CN12" s="433"/>
      <c r="CO12" s="431"/>
      <c r="CP12" s="429"/>
      <c r="CQ12" s="429"/>
      <c r="CR12" s="429"/>
      <c r="CS12" s="432"/>
      <c r="CT12" s="433"/>
      <c r="CU12" s="433"/>
      <c r="CV12" s="433"/>
      <c r="CW12" s="431"/>
      <c r="CX12" s="429"/>
      <c r="CY12" s="429"/>
      <c r="CZ12" s="429"/>
      <c r="DA12" s="432"/>
      <c r="DB12" s="433"/>
      <c r="DC12" s="433"/>
      <c r="DD12" s="433"/>
      <c r="DE12" s="431"/>
      <c r="DF12" s="429"/>
      <c r="DG12" s="429"/>
      <c r="DH12" s="429"/>
      <c r="DI12" s="432"/>
      <c r="DJ12" s="433"/>
      <c r="DK12" s="433"/>
      <c r="DL12" s="433"/>
      <c r="DM12" s="431"/>
      <c r="DN12" s="429"/>
      <c r="DO12" s="429"/>
      <c r="DP12" s="429"/>
      <c r="DQ12" s="432"/>
      <c r="DR12" s="433"/>
      <c r="DS12" s="433"/>
      <c r="DT12" s="433"/>
      <c r="DU12" s="431"/>
      <c r="DV12" s="429"/>
      <c r="DW12" s="429"/>
      <c r="DX12" s="429"/>
      <c r="DY12" s="432"/>
      <c r="DZ12" s="433"/>
      <c r="EA12" s="433"/>
      <c r="EB12" s="433"/>
    </row>
    <row r="13" spans="1:132" s="434" customFormat="1" ht="129" customHeight="1" x14ac:dyDescent="0.35">
      <c r="A13" s="425"/>
      <c r="B13" s="449">
        <v>4</v>
      </c>
      <c r="C13" s="413" t="s">
        <v>961</v>
      </c>
      <c r="D13" s="412" t="s">
        <v>962</v>
      </c>
      <c r="E13" s="409" t="s">
        <v>117</v>
      </c>
      <c r="F13" s="410" t="s">
        <v>963</v>
      </c>
      <c r="G13" s="411">
        <v>45890</v>
      </c>
      <c r="H13" s="435" t="s">
        <v>688</v>
      </c>
      <c r="I13" s="426"/>
      <c r="J13" s="59"/>
      <c r="K13" s="59"/>
      <c r="L13" s="59"/>
      <c r="M13" s="427"/>
      <c r="N13" s="59"/>
      <c r="O13" s="59"/>
      <c r="P13" s="59"/>
      <c r="Q13" s="426"/>
      <c r="R13" s="59"/>
      <c r="S13" s="59"/>
      <c r="T13" s="59"/>
      <c r="U13" s="427"/>
      <c r="V13" s="59"/>
      <c r="W13" s="59"/>
      <c r="X13" s="59"/>
      <c r="Y13" s="426"/>
      <c r="Z13" s="59"/>
      <c r="AA13" s="59"/>
      <c r="AB13" s="59"/>
      <c r="AC13" s="427"/>
      <c r="AD13" s="59"/>
      <c r="AE13" s="59"/>
      <c r="AF13" s="59"/>
      <c r="AG13" s="426"/>
      <c r="AH13" s="59"/>
      <c r="AI13" s="59"/>
      <c r="AJ13" s="59"/>
      <c r="AK13" s="427"/>
      <c r="AL13" s="59"/>
      <c r="AM13" s="59"/>
      <c r="AN13" s="59"/>
      <c r="AO13" s="426"/>
      <c r="AP13" s="59"/>
      <c r="AQ13" s="59"/>
      <c r="AR13" s="59"/>
      <c r="AS13" s="427"/>
      <c r="AT13" s="59"/>
      <c r="AU13" s="428"/>
      <c r="AV13" s="429"/>
      <c r="AW13" s="430"/>
      <c r="AX13" s="429"/>
      <c r="AY13" s="429"/>
      <c r="AZ13" s="429"/>
      <c r="BA13" s="431"/>
      <c r="BB13" s="429"/>
      <c r="BC13" s="429"/>
      <c r="BD13" s="429"/>
      <c r="BE13" s="430"/>
      <c r="BF13" s="429"/>
      <c r="BG13" s="429"/>
      <c r="BH13" s="429"/>
      <c r="BI13" s="431"/>
      <c r="BJ13" s="429"/>
      <c r="BK13" s="429"/>
      <c r="BL13" s="429"/>
      <c r="BM13" s="430"/>
      <c r="BN13" s="429"/>
      <c r="BO13" s="429"/>
      <c r="BP13" s="429"/>
      <c r="BQ13" s="431"/>
      <c r="BR13" s="429"/>
      <c r="BS13" s="429"/>
      <c r="BT13" s="429"/>
      <c r="BU13" s="432"/>
      <c r="BV13" s="433"/>
      <c r="BW13" s="433"/>
      <c r="BX13" s="433"/>
      <c r="BY13" s="431"/>
      <c r="BZ13" s="429"/>
      <c r="CA13" s="429"/>
      <c r="CB13" s="429"/>
      <c r="CC13" s="432"/>
      <c r="CD13" s="433"/>
      <c r="CE13" s="433"/>
      <c r="CF13" s="433"/>
      <c r="CG13" s="431"/>
      <c r="CH13" s="429"/>
      <c r="CI13" s="429"/>
      <c r="CJ13" s="429"/>
      <c r="CK13" s="432"/>
      <c r="CL13" s="433"/>
      <c r="CM13" s="433"/>
      <c r="CN13" s="433"/>
      <c r="CO13" s="431"/>
      <c r="CP13" s="429"/>
      <c r="CQ13" s="429"/>
      <c r="CR13" s="429"/>
      <c r="CS13" s="432"/>
      <c r="CT13" s="433"/>
      <c r="CU13" s="433"/>
      <c r="CV13" s="433"/>
      <c r="CW13" s="431"/>
      <c r="CX13" s="429"/>
      <c r="CY13" s="429"/>
      <c r="CZ13" s="429"/>
      <c r="DA13" s="432"/>
      <c r="DB13" s="433"/>
      <c r="DC13" s="433"/>
      <c r="DD13" s="433"/>
      <c r="DE13" s="431"/>
      <c r="DF13" s="429"/>
      <c r="DG13" s="429"/>
      <c r="DH13" s="429"/>
      <c r="DI13" s="432"/>
      <c r="DJ13" s="433"/>
      <c r="DK13" s="433"/>
      <c r="DL13" s="433"/>
      <c r="DM13" s="431"/>
      <c r="DN13" s="429"/>
      <c r="DO13" s="429"/>
      <c r="DP13" s="429"/>
      <c r="DQ13" s="432"/>
      <c r="DR13" s="433"/>
      <c r="DS13" s="433"/>
      <c r="DT13" s="433"/>
      <c r="DU13" s="431"/>
      <c r="DV13" s="429"/>
      <c r="DW13" s="429"/>
      <c r="DX13" s="429"/>
      <c r="DY13" s="432"/>
      <c r="DZ13" s="433"/>
      <c r="EA13" s="433"/>
      <c r="EB13" s="433"/>
    </row>
    <row r="14" spans="1:132" s="434" customFormat="1" ht="129" customHeight="1" x14ac:dyDescent="0.35">
      <c r="A14" s="425"/>
      <c r="B14" s="449">
        <v>5</v>
      </c>
      <c r="C14" s="413" t="s">
        <v>964</v>
      </c>
      <c r="D14" s="451" t="s">
        <v>965</v>
      </c>
      <c r="E14" s="409" t="s">
        <v>966</v>
      </c>
      <c r="F14" s="452" t="s">
        <v>967</v>
      </c>
      <c r="G14" s="411">
        <v>45895</v>
      </c>
      <c r="H14" s="435" t="s">
        <v>688</v>
      </c>
      <c r="I14" s="426"/>
      <c r="J14" s="59"/>
      <c r="K14" s="59"/>
      <c r="L14" s="59"/>
      <c r="M14" s="427"/>
      <c r="N14" s="59"/>
      <c r="O14" s="59"/>
      <c r="P14" s="59"/>
      <c r="Q14" s="426"/>
      <c r="R14" s="59"/>
      <c r="S14" s="59"/>
      <c r="T14" s="59"/>
      <c r="U14" s="427"/>
      <c r="V14" s="59"/>
      <c r="W14" s="59"/>
      <c r="X14" s="59"/>
      <c r="Y14" s="426"/>
      <c r="Z14" s="59"/>
      <c r="AA14" s="59"/>
      <c r="AB14" s="59"/>
      <c r="AC14" s="427"/>
      <c r="AD14" s="59"/>
      <c r="AE14" s="59"/>
      <c r="AF14" s="59"/>
      <c r="AG14" s="426"/>
      <c r="AH14" s="59"/>
      <c r="AI14" s="59"/>
      <c r="AJ14" s="59"/>
      <c r="AK14" s="427"/>
      <c r="AL14" s="59"/>
      <c r="AM14" s="59"/>
      <c r="AN14" s="59"/>
      <c r="AO14" s="426"/>
      <c r="AP14" s="59"/>
      <c r="AQ14" s="59"/>
      <c r="AR14" s="59"/>
      <c r="AS14" s="427"/>
      <c r="AT14" s="59"/>
      <c r="AU14" s="428"/>
      <c r="AV14" s="429"/>
      <c r="AW14" s="430"/>
      <c r="AX14" s="429"/>
      <c r="AY14" s="429"/>
      <c r="AZ14" s="429"/>
      <c r="BA14" s="431"/>
      <c r="BB14" s="429"/>
      <c r="BC14" s="429"/>
      <c r="BD14" s="429"/>
      <c r="BE14" s="430"/>
      <c r="BF14" s="429"/>
      <c r="BG14" s="429"/>
      <c r="BH14" s="429"/>
      <c r="BI14" s="431"/>
      <c r="BJ14" s="429"/>
      <c r="BK14" s="429"/>
      <c r="BL14" s="429"/>
      <c r="BM14" s="430"/>
      <c r="BN14" s="429"/>
      <c r="BO14" s="429"/>
      <c r="BP14" s="429"/>
      <c r="BQ14" s="431"/>
      <c r="BR14" s="429"/>
      <c r="BS14" s="429"/>
      <c r="BT14" s="429"/>
      <c r="BU14" s="432"/>
      <c r="BV14" s="433"/>
      <c r="BW14" s="433"/>
      <c r="BX14" s="433"/>
      <c r="BY14" s="431"/>
      <c r="BZ14" s="429"/>
      <c r="CA14" s="429"/>
      <c r="CB14" s="429"/>
      <c r="CC14" s="432"/>
      <c r="CD14" s="433"/>
      <c r="CE14" s="433"/>
      <c r="CF14" s="433"/>
      <c r="CG14" s="431"/>
      <c r="CH14" s="429"/>
      <c r="CI14" s="429"/>
      <c r="CJ14" s="429"/>
      <c r="CK14" s="432"/>
      <c r="CL14" s="433"/>
      <c r="CM14" s="433"/>
      <c r="CN14" s="433"/>
      <c r="CO14" s="431"/>
      <c r="CP14" s="429"/>
      <c r="CQ14" s="429"/>
      <c r="CR14" s="429"/>
      <c r="CS14" s="432"/>
      <c r="CT14" s="433"/>
      <c r="CU14" s="433"/>
      <c r="CV14" s="433"/>
      <c r="CW14" s="431"/>
      <c r="CX14" s="429"/>
      <c r="CY14" s="429"/>
      <c r="CZ14" s="429"/>
      <c r="DA14" s="432"/>
      <c r="DB14" s="433"/>
      <c r="DC14" s="433"/>
      <c r="DD14" s="433"/>
      <c r="DE14" s="431"/>
      <c r="DF14" s="429"/>
      <c r="DG14" s="429"/>
      <c r="DH14" s="429"/>
      <c r="DI14" s="432"/>
      <c r="DJ14" s="433"/>
      <c r="DK14" s="433"/>
      <c r="DL14" s="433"/>
      <c r="DM14" s="431"/>
      <c r="DN14" s="429"/>
      <c r="DO14" s="429"/>
      <c r="DP14" s="429"/>
      <c r="DQ14" s="432"/>
      <c r="DR14" s="433"/>
      <c r="DS14" s="433"/>
      <c r="DT14" s="433"/>
      <c r="DU14" s="431"/>
      <c r="DV14" s="429"/>
      <c r="DW14" s="429"/>
      <c r="DX14" s="429"/>
      <c r="DY14" s="432"/>
      <c r="DZ14" s="433"/>
      <c r="EA14" s="433"/>
      <c r="EB14" s="433"/>
    </row>
    <row r="15" spans="1:132" s="434" customFormat="1" ht="129" customHeight="1" x14ac:dyDescent="0.35">
      <c r="A15" s="425"/>
      <c r="B15" s="449">
        <v>6</v>
      </c>
      <c r="C15" s="453" t="s">
        <v>968</v>
      </c>
      <c r="D15" s="412" t="s">
        <v>969</v>
      </c>
      <c r="E15" s="409" t="s">
        <v>117</v>
      </c>
      <c r="F15" s="436" t="s">
        <v>970</v>
      </c>
      <c r="G15" s="411">
        <v>45898</v>
      </c>
      <c r="H15" s="435" t="s">
        <v>971</v>
      </c>
      <c r="I15" s="437"/>
      <c r="J15" s="438"/>
      <c r="K15" s="438"/>
      <c r="L15" s="438"/>
      <c r="M15" s="439"/>
      <c r="N15" s="438"/>
      <c r="O15" s="438"/>
      <c r="P15" s="438"/>
      <c r="Q15" s="437"/>
      <c r="R15" s="438"/>
      <c r="S15" s="438"/>
      <c r="T15" s="438"/>
      <c r="U15" s="439"/>
      <c r="V15" s="438"/>
      <c r="W15" s="438"/>
      <c r="X15" s="438"/>
      <c r="Y15" s="437"/>
      <c r="Z15" s="438"/>
      <c r="AA15" s="438"/>
      <c r="AB15" s="438"/>
      <c r="AC15" s="439"/>
      <c r="AD15" s="438"/>
      <c r="AE15" s="438"/>
      <c r="AF15" s="438"/>
      <c r="AG15" s="437"/>
      <c r="AH15" s="438"/>
      <c r="AI15" s="438"/>
      <c r="AJ15" s="438"/>
      <c r="AK15" s="439"/>
      <c r="AL15" s="438"/>
      <c r="AM15" s="438"/>
      <c r="AN15" s="438"/>
      <c r="AO15" s="437"/>
      <c r="AP15" s="438"/>
      <c r="AQ15" s="438"/>
      <c r="AR15" s="438"/>
      <c r="AS15" s="439"/>
      <c r="AT15" s="438"/>
      <c r="AU15" s="440"/>
      <c r="AV15" s="441"/>
      <c r="AW15" s="442"/>
      <c r="AX15" s="441"/>
      <c r="AY15" s="441"/>
      <c r="AZ15" s="441"/>
      <c r="BA15" s="443"/>
      <c r="BB15" s="441"/>
      <c r="BC15" s="441"/>
      <c r="BD15" s="441"/>
      <c r="BE15" s="442"/>
      <c r="BF15" s="441"/>
      <c r="BG15" s="441"/>
      <c r="BH15" s="441"/>
      <c r="BI15" s="443"/>
      <c r="BJ15" s="441"/>
      <c r="BK15" s="441"/>
      <c r="BL15" s="441"/>
      <c r="BM15" s="442"/>
      <c r="BN15" s="441"/>
      <c r="BO15" s="441"/>
      <c r="BP15" s="441"/>
      <c r="BQ15" s="443"/>
      <c r="BR15" s="441"/>
      <c r="BS15" s="441"/>
      <c r="BT15" s="441"/>
      <c r="BU15" s="444"/>
      <c r="BV15" s="445"/>
      <c r="BW15" s="445"/>
      <c r="BX15" s="445"/>
      <c r="BY15" s="443"/>
      <c r="BZ15" s="441"/>
      <c r="CA15" s="441"/>
      <c r="CB15" s="441"/>
      <c r="CC15" s="444"/>
      <c r="CD15" s="445"/>
      <c r="CE15" s="445"/>
      <c r="CF15" s="445"/>
      <c r="CG15" s="443"/>
      <c r="CH15" s="441"/>
      <c r="CI15" s="441"/>
      <c r="CJ15" s="441"/>
      <c r="CK15" s="444"/>
      <c r="CL15" s="445"/>
      <c r="CM15" s="445"/>
      <c r="CN15" s="445"/>
      <c r="CO15" s="443"/>
      <c r="CP15" s="441"/>
      <c r="CQ15" s="441"/>
      <c r="CR15" s="441"/>
      <c r="CS15" s="444"/>
      <c r="CT15" s="445"/>
      <c r="CU15" s="445"/>
      <c r="CV15" s="445"/>
      <c r="CW15" s="443"/>
      <c r="CX15" s="441"/>
      <c r="CY15" s="441"/>
      <c r="CZ15" s="441"/>
      <c r="DA15" s="444"/>
      <c r="DB15" s="445"/>
      <c r="DC15" s="445"/>
      <c r="DD15" s="445"/>
      <c r="DE15" s="443"/>
      <c r="DF15" s="441"/>
      <c r="DG15" s="441"/>
      <c r="DH15" s="441"/>
      <c r="DI15" s="444"/>
      <c r="DJ15" s="445"/>
      <c r="DK15" s="445"/>
      <c r="DL15" s="445"/>
      <c r="DM15" s="443"/>
      <c r="DN15" s="441"/>
      <c r="DO15" s="441"/>
      <c r="DP15" s="441"/>
      <c r="DQ15" s="444"/>
      <c r="DR15" s="445"/>
      <c r="DS15" s="445"/>
      <c r="DT15" s="445"/>
      <c r="DU15" s="443"/>
      <c r="DV15" s="441"/>
      <c r="DW15" s="441"/>
      <c r="DX15" s="441"/>
      <c r="DY15" s="444"/>
      <c r="DZ15" s="445"/>
      <c r="EA15" s="445"/>
      <c r="EB15" s="445"/>
    </row>
    <row r="16" spans="1:132" s="434" customFormat="1" ht="129" customHeight="1" x14ac:dyDescent="0.35">
      <c r="A16" s="425"/>
      <c r="B16" s="449">
        <v>7</v>
      </c>
      <c r="C16" s="453" t="s">
        <v>972</v>
      </c>
      <c r="D16" s="412" t="s">
        <v>973</v>
      </c>
      <c r="E16" s="409" t="s">
        <v>117</v>
      </c>
      <c r="F16" s="436" t="s">
        <v>970</v>
      </c>
      <c r="G16" s="411">
        <v>45902</v>
      </c>
      <c r="H16" s="435" t="s">
        <v>974</v>
      </c>
      <c r="I16" s="437"/>
      <c r="J16" s="438"/>
      <c r="K16" s="438"/>
      <c r="L16" s="438"/>
      <c r="M16" s="439"/>
      <c r="N16" s="438"/>
      <c r="O16" s="438"/>
      <c r="P16" s="438"/>
      <c r="Q16" s="437"/>
      <c r="R16" s="438"/>
      <c r="S16" s="438"/>
      <c r="T16" s="438"/>
      <c r="U16" s="439"/>
      <c r="V16" s="438"/>
      <c r="W16" s="438"/>
      <c r="X16" s="438"/>
      <c r="Y16" s="437"/>
      <c r="Z16" s="438"/>
      <c r="AA16" s="438"/>
      <c r="AB16" s="438"/>
      <c r="AC16" s="439"/>
      <c r="AD16" s="438"/>
      <c r="AE16" s="438"/>
      <c r="AF16" s="438"/>
      <c r="AG16" s="437"/>
      <c r="AH16" s="438"/>
      <c r="AI16" s="438"/>
      <c r="AJ16" s="438"/>
      <c r="AK16" s="439"/>
      <c r="AL16" s="438"/>
      <c r="AM16" s="438"/>
      <c r="AN16" s="438"/>
      <c r="AO16" s="437"/>
      <c r="AP16" s="438"/>
      <c r="AQ16" s="438"/>
      <c r="AR16" s="438"/>
      <c r="AS16" s="439"/>
      <c r="AT16" s="438"/>
      <c r="AU16" s="440"/>
      <c r="AV16" s="441"/>
      <c r="AW16" s="442"/>
      <c r="AX16" s="441"/>
      <c r="AY16" s="441"/>
      <c r="AZ16" s="441"/>
      <c r="BA16" s="443"/>
      <c r="BB16" s="441"/>
      <c r="BC16" s="441"/>
      <c r="BD16" s="441"/>
      <c r="BE16" s="442"/>
      <c r="BF16" s="441"/>
      <c r="BG16" s="441"/>
      <c r="BH16" s="441"/>
      <c r="BI16" s="443"/>
      <c r="BJ16" s="441"/>
      <c r="BK16" s="441"/>
      <c r="BL16" s="441"/>
      <c r="BM16" s="442"/>
      <c r="BN16" s="441"/>
      <c r="BO16" s="441"/>
      <c r="BP16" s="441"/>
      <c r="BQ16" s="443"/>
      <c r="BR16" s="441"/>
      <c r="BS16" s="441"/>
      <c r="BT16" s="441"/>
      <c r="BU16" s="444"/>
      <c r="BV16" s="445"/>
      <c r="BW16" s="445"/>
      <c r="BX16" s="445"/>
      <c r="BY16" s="443"/>
      <c r="BZ16" s="441"/>
      <c r="CA16" s="441"/>
      <c r="CB16" s="441"/>
      <c r="CC16" s="444"/>
      <c r="CD16" s="445"/>
      <c r="CE16" s="445"/>
      <c r="CF16" s="445"/>
      <c r="CG16" s="443"/>
      <c r="CH16" s="441"/>
      <c r="CI16" s="441"/>
      <c r="CJ16" s="441"/>
      <c r="CK16" s="444"/>
      <c r="CL16" s="445"/>
      <c r="CM16" s="445"/>
      <c r="CN16" s="445"/>
      <c r="CO16" s="443"/>
      <c r="CP16" s="441"/>
      <c r="CQ16" s="441"/>
      <c r="CR16" s="441"/>
      <c r="CS16" s="444"/>
      <c r="CT16" s="445"/>
      <c r="CU16" s="445"/>
      <c r="CV16" s="445"/>
      <c r="CW16" s="443"/>
      <c r="CX16" s="441"/>
      <c r="CY16" s="441"/>
      <c r="CZ16" s="441"/>
      <c r="DA16" s="444"/>
      <c r="DB16" s="445"/>
      <c r="DC16" s="445"/>
      <c r="DD16" s="445"/>
      <c r="DE16" s="443"/>
      <c r="DF16" s="441"/>
      <c r="DG16" s="441"/>
      <c r="DH16" s="441"/>
      <c r="DI16" s="444"/>
      <c r="DJ16" s="445"/>
      <c r="DK16" s="445"/>
      <c r="DL16" s="445"/>
      <c r="DM16" s="443"/>
      <c r="DN16" s="441"/>
      <c r="DO16" s="441"/>
      <c r="DP16" s="441"/>
      <c r="DQ16" s="444"/>
      <c r="DR16" s="445"/>
      <c r="DS16" s="445"/>
      <c r="DT16" s="445"/>
      <c r="DU16" s="443"/>
      <c r="DV16" s="441"/>
      <c r="DW16" s="441"/>
      <c r="DX16" s="441"/>
      <c r="DY16" s="444"/>
      <c r="DZ16" s="445"/>
      <c r="EA16" s="445"/>
      <c r="EB16" s="445"/>
    </row>
    <row r="17" spans="1:132" s="446" customFormat="1" ht="129" customHeight="1" x14ac:dyDescent="0.35">
      <c r="A17" s="425"/>
      <c r="B17" s="449">
        <v>8</v>
      </c>
      <c r="C17" s="413" t="s">
        <v>975</v>
      </c>
      <c r="D17" s="412" t="s">
        <v>976</v>
      </c>
      <c r="E17" s="409" t="s">
        <v>117</v>
      </c>
      <c r="F17" s="436" t="s">
        <v>960</v>
      </c>
      <c r="G17" s="411">
        <v>45903</v>
      </c>
      <c r="H17" s="435" t="s">
        <v>977</v>
      </c>
      <c r="I17" s="426"/>
      <c r="J17" s="28"/>
      <c r="K17" s="59"/>
      <c r="L17" s="59"/>
      <c r="M17" s="427"/>
      <c r="N17" s="59"/>
      <c r="O17" s="59"/>
      <c r="P17" s="59"/>
      <c r="Q17" s="426"/>
      <c r="R17" s="59"/>
      <c r="S17" s="59"/>
      <c r="T17" s="59"/>
      <c r="U17" s="427"/>
      <c r="V17" s="59"/>
      <c r="W17" s="59"/>
      <c r="X17" s="59"/>
      <c r="Y17" s="426"/>
      <c r="Z17" s="59"/>
      <c r="AA17" s="59"/>
      <c r="AB17" s="59"/>
      <c r="AC17" s="427"/>
      <c r="AD17" s="59"/>
      <c r="AE17" s="59"/>
      <c r="AF17" s="59"/>
      <c r="AG17" s="426"/>
      <c r="AH17" s="59"/>
      <c r="AI17" s="59"/>
      <c r="AJ17" s="59"/>
      <c r="AK17" s="427"/>
      <c r="AL17" s="59"/>
      <c r="AM17" s="59"/>
      <c r="AN17" s="59"/>
      <c r="AO17" s="426"/>
      <c r="AP17" s="59"/>
      <c r="AQ17" s="59"/>
      <c r="AR17" s="59"/>
      <c r="AS17" s="427"/>
      <c r="AT17" s="59"/>
      <c r="AU17" s="428"/>
      <c r="AV17" s="429"/>
      <c r="AW17" s="430"/>
      <c r="AX17" s="429"/>
      <c r="AY17" s="429"/>
      <c r="AZ17" s="429"/>
      <c r="BA17" s="431"/>
      <c r="BB17" s="429"/>
      <c r="BC17" s="429"/>
      <c r="BD17" s="429"/>
      <c r="BE17" s="430"/>
      <c r="BF17" s="429"/>
      <c r="BG17" s="429"/>
      <c r="BH17" s="429"/>
      <c r="BI17" s="431"/>
      <c r="BJ17" s="429"/>
      <c r="BK17" s="429"/>
      <c r="BL17" s="429"/>
      <c r="BM17" s="430"/>
      <c r="BN17" s="429"/>
      <c r="BO17" s="429"/>
      <c r="BP17" s="429"/>
      <c r="BQ17" s="431"/>
      <c r="BR17" s="429"/>
      <c r="BS17" s="429"/>
      <c r="BT17" s="429"/>
      <c r="BU17" s="432"/>
      <c r="BV17" s="433"/>
      <c r="BW17" s="433"/>
      <c r="BX17" s="433"/>
      <c r="BY17" s="431"/>
      <c r="BZ17" s="429"/>
      <c r="CA17" s="429"/>
      <c r="CB17" s="429"/>
      <c r="CC17" s="432"/>
      <c r="CD17" s="433"/>
      <c r="CE17" s="433"/>
      <c r="CF17" s="433"/>
      <c r="CG17" s="431"/>
      <c r="CH17" s="429"/>
      <c r="CI17" s="429"/>
      <c r="CJ17" s="429"/>
      <c r="CK17" s="432"/>
      <c r="CL17" s="433"/>
      <c r="CM17" s="433"/>
      <c r="CN17" s="433"/>
      <c r="CO17" s="431"/>
      <c r="CP17" s="429"/>
      <c r="CQ17" s="429"/>
      <c r="CR17" s="429"/>
      <c r="CS17" s="432"/>
      <c r="CT17" s="433"/>
      <c r="CU17" s="433"/>
      <c r="CV17" s="433"/>
      <c r="CW17" s="431"/>
      <c r="CX17" s="429"/>
      <c r="CY17" s="429"/>
      <c r="CZ17" s="429"/>
      <c r="DA17" s="432"/>
      <c r="DB17" s="433"/>
      <c r="DC17" s="433"/>
      <c r="DD17" s="433"/>
      <c r="DE17" s="431"/>
      <c r="DF17" s="429"/>
      <c r="DG17" s="429"/>
      <c r="DH17" s="429"/>
      <c r="DI17" s="432"/>
      <c r="DJ17" s="433"/>
      <c r="DK17" s="433"/>
      <c r="DL17" s="433"/>
      <c r="DM17" s="431"/>
      <c r="DN17" s="429"/>
      <c r="DO17" s="429"/>
      <c r="DP17" s="429"/>
      <c r="DQ17" s="432"/>
      <c r="DR17" s="433"/>
      <c r="DS17" s="433"/>
      <c r="DT17" s="433"/>
      <c r="DU17" s="431"/>
      <c r="DV17" s="429"/>
      <c r="DW17" s="429"/>
      <c r="DX17" s="429"/>
      <c r="DY17" s="432"/>
      <c r="DZ17" s="433"/>
      <c r="EA17" s="433"/>
      <c r="EB17" s="433"/>
    </row>
    <row r="18" spans="1:132" s="434" customFormat="1" ht="129" customHeight="1" x14ac:dyDescent="0.35">
      <c r="A18" s="425"/>
      <c r="B18" s="449">
        <v>9</v>
      </c>
      <c r="C18" s="413" t="s">
        <v>978</v>
      </c>
      <c r="D18" s="412" t="s">
        <v>979</v>
      </c>
      <c r="E18" s="409" t="s">
        <v>117</v>
      </c>
      <c r="F18" s="436" t="s">
        <v>980</v>
      </c>
      <c r="G18" s="411">
        <v>45910</v>
      </c>
      <c r="H18" s="435" t="s">
        <v>688</v>
      </c>
      <c r="I18" s="426"/>
      <c r="J18" s="59"/>
      <c r="K18" s="59"/>
      <c r="L18" s="59"/>
      <c r="M18" s="427"/>
      <c r="N18" s="59"/>
      <c r="O18" s="59"/>
      <c r="P18" s="59"/>
      <c r="Q18" s="426"/>
      <c r="R18" s="59"/>
      <c r="S18" s="59"/>
      <c r="T18" s="59"/>
      <c r="U18" s="427"/>
      <c r="V18" s="59"/>
      <c r="W18" s="59"/>
      <c r="X18" s="59"/>
      <c r="Y18" s="426"/>
      <c r="Z18" s="59"/>
      <c r="AA18" s="59"/>
      <c r="AB18" s="59"/>
      <c r="AC18" s="427"/>
      <c r="AD18" s="59"/>
      <c r="AE18" s="59"/>
      <c r="AF18" s="59"/>
      <c r="AG18" s="426"/>
      <c r="AH18" s="59"/>
      <c r="AI18" s="59"/>
      <c r="AJ18" s="59"/>
      <c r="AK18" s="427"/>
      <c r="AL18" s="59"/>
      <c r="AM18" s="59"/>
      <c r="AN18" s="59"/>
      <c r="AO18" s="426"/>
      <c r="AP18" s="59"/>
      <c r="AQ18" s="59"/>
      <c r="AR18" s="59"/>
      <c r="AS18" s="427"/>
      <c r="AT18" s="59"/>
      <c r="AU18" s="428"/>
      <c r="AV18" s="429"/>
      <c r="AW18" s="430"/>
      <c r="AX18" s="429"/>
      <c r="AY18" s="429"/>
      <c r="AZ18" s="429"/>
      <c r="BA18" s="431"/>
      <c r="BB18" s="429"/>
      <c r="BC18" s="429"/>
      <c r="BD18" s="429"/>
      <c r="BE18" s="430"/>
      <c r="BF18" s="429"/>
      <c r="BG18" s="429"/>
      <c r="BH18" s="429"/>
      <c r="BI18" s="431"/>
      <c r="BJ18" s="429"/>
      <c r="BK18" s="429"/>
      <c r="BL18" s="429"/>
      <c r="BM18" s="430"/>
      <c r="BN18" s="429"/>
      <c r="BO18" s="429"/>
      <c r="BP18" s="429"/>
      <c r="BQ18" s="431"/>
      <c r="BR18" s="429"/>
      <c r="BS18" s="429"/>
      <c r="BT18" s="429"/>
      <c r="BU18" s="432"/>
      <c r="BV18" s="433"/>
      <c r="BW18" s="433"/>
      <c r="BX18" s="433"/>
      <c r="BY18" s="431"/>
      <c r="BZ18" s="429"/>
      <c r="CA18" s="429"/>
      <c r="CB18" s="429"/>
      <c r="CC18" s="432"/>
      <c r="CD18" s="433"/>
      <c r="CE18" s="433"/>
      <c r="CF18" s="433"/>
      <c r="CG18" s="431"/>
      <c r="CH18" s="429"/>
      <c r="CI18" s="429"/>
      <c r="CJ18" s="429"/>
      <c r="CK18" s="432"/>
      <c r="CL18" s="433"/>
      <c r="CM18" s="433"/>
      <c r="CN18" s="433"/>
      <c r="CO18" s="431"/>
      <c r="CP18" s="429"/>
      <c r="CQ18" s="429"/>
      <c r="CR18" s="429"/>
      <c r="CS18" s="432"/>
      <c r="CT18" s="433"/>
      <c r="CU18" s="433"/>
      <c r="CV18" s="433"/>
      <c r="CW18" s="431"/>
      <c r="CX18" s="429"/>
      <c r="CY18" s="429"/>
      <c r="CZ18" s="429"/>
      <c r="DA18" s="432"/>
      <c r="DB18" s="433"/>
      <c r="DC18" s="433"/>
      <c r="DD18" s="433"/>
      <c r="DE18" s="431"/>
      <c r="DF18" s="429"/>
      <c r="DG18" s="429"/>
      <c r="DH18" s="429"/>
      <c r="DI18" s="432"/>
      <c r="DJ18" s="433"/>
      <c r="DK18" s="433"/>
      <c r="DL18" s="433"/>
      <c r="DM18" s="431"/>
      <c r="DN18" s="429"/>
      <c r="DO18" s="429"/>
      <c r="DP18" s="429"/>
      <c r="DQ18" s="432"/>
      <c r="DR18" s="433"/>
      <c r="DS18" s="433"/>
      <c r="DT18" s="433"/>
      <c r="DU18" s="431"/>
      <c r="DV18" s="429"/>
      <c r="DW18" s="429"/>
      <c r="DX18" s="429"/>
      <c r="DY18" s="432"/>
      <c r="DZ18" s="433"/>
      <c r="EA18" s="433"/>
      <c r="EB18" s="433"/>
    </row>
    <row r="19" spans="1:132" s="434" customFormat="1" ht="129" customHeight="1" x14ac:dyDescent="0.35">
      <c r="A19" s="425"/>
      <c r="B19" s="449">
        <v>10</v>
      </c>
      <c r="C19" s="413" t="s">
        <v>981</v>
      </c>
      <c r="D19" s="412" t="s">
        <v>982</v>
      </c>
      <c r="E19" s="409" t="s">
        <v>123</v>
      </c>
      <c r="F19" s="436" t="s">
        <v>960</v>
      </c>
      <c r="G19" s="411">
        <v>45912</v>
      </c>
      <c r="H19" s="435" t="s">
        <v>977</v>
      </c>
      <c r="I19" s="426"/>
      <c r="J19" s="59"/>
      <c r="K19" s="59"/>
      <c r="L19" s="59"/>
      <c r="M19" s="427"/>
      <c r="N19" s="59"/>
      <c r="O19" s="59"/>
      <c r="P19" s="59"/>
      <c r="Q19" s="426"/>
      <c r="R19" s="59"/>
      <c r="S19" s="59"/>
      <c r="T19" s="59"/>
      <c r="U19" s="427"/>
      <c r="V19" s="59"/>
      <c r="W19" s="59"/>
      <c r="X19" s="59"/>
      <c r="Y19" s="426"/>
      <c r="Z19" s="59"/>
      <c r="AA19" s="59"/>
      <c r="AB19" s="59"/>
      <c r="AC19" s="427"/>
      <c r="AD19" s="59"/>
      <c r="AE19" s="59"/>
      <c r="AF19" s="59"/>
      <c r="AG19" s="426"/>
      <c r="AH19" s="59"/>
      <c r="AI19" s="59"/>
      <c r="AJ19" s="59"/>
      <c r="AK19" s="427"/>
      <c r="AL19" s="59"/>
      <c r="AM19" s="59"/>
      <c r="AN19" s="59"/>
      <c r="AO19" s="426"/>
      <c r="AP19" s="59"/>
      <c r="AQ19" s="59"/>
      <c r="AR19" s="59"/>
      <c r="AS19" s="427"/>
      <c r="AT19" s="59"/>
      <c r="AU19" s="428"/>
      <c r="AV19" s="429"/>
      <c r="AW19" s="430"/>
      <c r="AX19" s="429"/>
      <c r="AY19" s="429"/>
      <c r="AZ19" s="429"/>
      <c r="BA19" s="431"/>
      <c r="BB19" s="429"/>
      <c r="BC19" s="429"/>
      <c r="BD19" s="429"/>
      <c r="BE19" s="430"/>
      <c r="BF19" s="429"/>
      <c r="BG19" s="429"/>
      <c r="BH19" s="429"/>
      <c r="BI19" s="431"/>
      <c r="BJ19" s="429"/>
      <c r="BK19" s="429"/>
      <c r="BL19" s="429"/>
      <c r="BM19" s="430"/>
      <c r="BN19" s="429"/>
      <c r="BO19" s="429"/>
      <c r="BP19" s="429"/>
      <c r="BQ19" s="431"/>
      <c r="BR19" s="429"/>
      <c r="BS19" s="429"/>
      <c r="BT19" s="429"/>
      <c r="BU19" s="432"/>
      <c r="BV19" s="433"/>
      <c r="BW19" s="433"/>
      <c r="BX19" s="433"/>
      <c r="BY19" s="431"/>
      <c r="BZ19" s="429"/>
      <c r="CA19" s="429"/>
      <c r="CB19" s="429"/>
      <c r="CC19" s="432"/>
      <c r="CD19" s="433"/>
      <c r="CE19" s="433"/>
      <c r="CF19" s="433"/>
      <c r="CG19" s="431"/>
      <c r="CH19" s="429"/>
      <c r="CI19" s="429"/>
      <c r="CJ19" s="429"/>
      <c r="CK19" s="432"/>
      <c r="CL19" s="433"/>
      <c r="CM19" s="433"/>
      <c r="CN19" s="433"/>
      <c r="CO19" s="431"/>
      <c r="CP19" s="429"/>
      <c r="CQ19" s="429"/>
      <c r="CR19" s="429"/>
      <c r="CS19" s="432"/>
      <c r="CT19" s="433"/>
      <c r="CU19" s="433"/>
      <c r="CV19" s="433"/>
      <c r="CW19" s="431"/>
      <c r="CX19" s="429"/>
      <c r="CY19" s="429"/>
      <c r="CZ19" s="429"/>
      <c r="DA19" s="432"/>
      <c r="DB19" s="433"/>
      <c r="DC19" s="433"/>
      <c r="DD19" s="433"/>
      <c r="DE19" s="431"/>
      <c r="DF19" s="429"/>
      <c r="DG19" s="429"/>
      <c r="DH19" s="429"/>
      <c r="DI19" s="432"/>
      <c r="DJ19" s="433"/>
      <c r="DK19" s="433"/>
      <c r="DL19" s="433"/>
      <c r="DM19" s="431"/>
      <c r="DN19" s="429"/>
      <c r="DO19" s="429"/>
      <c r="DP19" s="429"/>
      <c r="DQ19" s="432"/>
      <c r="DR19" s="433"/>
      <c r="DS19" s="433"/>
      <c r="DT19" s="433"/>
      <c r="DU19" s="431"/>
      <c r="DV19" s="429"/>
      <c r="DW19" s="429"/>
      <c r="DX19" s="429"/>
      <c r="DY19" s="432"/>
      <c r="DZ19" s="433"/>
      <c r="EA19" s="433"/>
      <c r="EB19" s="433"/>
    </row>
    <row r="20" spans="1:132" s="434" customFormat="1" ht="129" customHeight="1" x14ac:dyDescent="0.35">
      <c r="A20" s="425"/>
      <c r="B20" s="449">
        <v>11</v>
      </c>
      <c r="C20" s="413" t="s">
        <v>983</v>
      </c>
      <c r="D20" s="412" t="s">
        <v>984</v>
      </c>
      <c r="E20" s="409" t="s">
        <v>117</v>
      </c>
      <c r="F20" s="436" t="s">
        <v>985</v>
      </c>
      <c r="G20" s="411">
        <v>45912</v>
      </c>
      <c r="H20" s="435" t="s">
        <v>688</v>
      </c>
      <c r="I20" s="426"/>
      <c r="J20" s="59"/>
      <c r="K20" s="59"/>
      <c r="L20" s="59"/>
      <c r="M20" s="427"/>
      <c r="N20" s="59"/>
      <c r="O20" s="59"/>
      <c r="P20" s="59"/>
      <c r="Q20" s="426"/>
      <c r="R20" s="59"/>
      <c r="S20" s="59"/>
      <c r="T20" s="59"/>
      <c r="U20" s="427"/>
      <c r="V20" s="59"/>
      <c r="W20" s="59"/>
      <c r="X20" s="59"/>
      <c r="Y20" s="426"/>
      <c r="Z20" s="59"/>
      <c r="AA20" s="59"/>
      <c r="AB20" s="59"/>
      <c r="AC20" s="427"/>
      <c r="AD20" s="59"/>
      <c r="AE20" s="59"/>
      <c r="AF20" s="59"/>
      <c r="AG20" s="426"/>
      <c r="AH20" s="59"/>
      <c r="AI20" s="59"/>
      <c r="AJ20" s="59"/>
      <c r="AK20" s="427"/>
      <c r="AL20" s="59"/>
      <c r="AM20" s="59"/>
      <c r="AN20" s="59"/>
      <c r="AO20" s="426"/>
      <c r="AP20" s="59"/>
      <c r="AQ20" s="59"/>
      <c r="AR20" s="59"/>
      <c r="AS20" s="427"/>
      <c r="AT20" s="59"/>
      <c r="AU20" s="428"/>
      <c r="AV20" s="429"/>
      <c r="AW20" s="430"/>
      <c r="AX20" s="429"/>
      <c r="AY20" s="429"/>
      <c r="AZ20" s="429"/>
      <c r="BA20" s="431"/>
      <c r="BB20" s="429"/>
      <c r="BC20" s="429"/>
      <c r="BD20" s="429"/>
      <c r="BE20" s="430"/>
      <c r="BF20" s="429"/>
      <c r="BG20" s="429"/>
      <c r="BH20" s="429"/>
      <c r="BI20" s="431"/>
      <c r="BJ20" s="429"/>
      <c r="BK20" s="429"/>
      <c r="BL20" s="429"/>
      <c r="BM20" s="430"/>
      <c r="BN20" s="429"/>
      <c r="BO20" s="429"/>
      <c r="BP20" s="429"/>
      <c r="BQ20" s="431"/>
      <c r="BR20" s="429"/>
      <c r="BS20" s="429"/>
      <c r="BT20" s="429"/>
      <c r="BU20" s="432"/>
      <c r="BV20" s="433"/>
      <c r="BW20" s="433"/>
      <c r="BX20" s="433"/>
      <c r="BY20" s="431"/>
      <c r="BZ20" s="429"/>
      <c r="CA20" s="429"/>
      <c r="CB20" s="429"/>
      <c r="CC20" s="432"/>
      <c r="CD20" s="433"/>
      <c r="CE20" s="433"/>
      <c r="CF20" s="433"/>
      <c r="CG20" s="431"/>
      <c r="CH20" s="429"/>
      <c r="CI20" s="429"/>
      <c r="CJ20" s="429"/>
      <c r="CK20" s="432"/>
      <c r="CL20" s="433"/>
      <c r="CM20" s="433"/>
      <c r="CN20" s="433"/>
      <c r="CO20" s="431"/>
      <c r="CP20" s="429"/>
      <c r="CQ20" s="429"/>
      <c r="CR20" s="429"/>
      <c r="CS20" s="432"/>
      <c r="CT20" s="433"/>
      <c r="CU20" s="433"/>
      <c r="CV20" s="433"/>
      <c r="CW20" s="431"/>
      <c r="CX20" s="429"/>
      <c r="CY20" s="429"/>
      <c r="CZ20" s="429"/>
      <c r="DA20" s="432"/>
      <c r="DB20" s="433"/>
      <c r="DC20" s="433"/>
      <c r="DD20" s="433"/>
      <c r="DE20" s="431"/>
      <c r="DF20" s="429"/>
      <c r="DG20" s="429"/>
      <c r="DH20" s="429"/>
      <c r="DI20" s="432"/>
      <c r="DJ20" s="433"/>
      <c r="DK20" s="433"/>
      <c r="DL20" s="433"/>
      <c r="DM20" s="431"/>
      <c r="DN20" s="429"/>
      <c r="DO20" s="429"/>
      <c r="DP20" s="429"/>
      <c r="DQ20" s="432"/>
      <c r="DR20" s="433"/>
      <c r="DS20" s="433"/>
      <c r="DT20" s="433"/>
      <c r="DU20" s="431"/>
      <c r="DV20" s="429"/>
      <c r="DW20" s="429"/>
      <c r="DX20" s="429"/>
      <c r="DY20" s="432"/>
      <c r="DZ20" s="433"/>
      <c r="EA20" s="433"/>
      <c r="EB20" s="433"/>
    </row>
    <row r="21" spans="1:132" s="434" customFormat="1" ht="129" customHeight="1" x14ac:dyDescent="0.35">
      <c r="A21" s="425"/>
      <c r="B21" s="449">
        <v>12</v>
      </c>
      <c r="C21" s="413" t="s">
        <v>986</v>
      </c>
      <c r="D21" s="412" t="s">
        <v>987</v>
      </c>
      <c r="E21" s="409" t="s">
        <v>117</v>
      </c>
      <c r="F21" s="436" t="s">
        <v>988</v>
      </c>
      <c r="G21" s="447">
        <v>45916</v>
      </c>
      <c r="H21" s="435" t="s">
        <v>688</v>
      </c>
      <c r="I21" s="426"/>
      <c r="J21" s="59"/>
      <c r="K21" s="59"/>
      <c r="L21" s="59"/>
      <c r="M21" s="427"/>
      <c r="N21" s="59"/>
      <c r="O21" s="59"/>
      <c r="P21" s="59"/>
      <c r="Q21" s="426"/>
      <c r="R21" s="59"/>
      <c r="S21" s="59"/>
      <c r="T21" s="59"/>
      <c r="U21" s="427"/>
      <c r="V21" s="59"/>
      <c r="W21" s="59"/>
      <c r="X21" s="59"/>
      <c r="Y21" s="426"/>
      <c r="Z21" s="59"/>
      <c r="AA21" s="59"/>
      <c r="AB21" s="59"/>
      <c r="AC21" s="427"/>
      <c r="AD21" s="59"/>
      <c r="AE21" s="59"/>
      <c r="AF21" s="59"/>
      <c r="AG21" s="426"/>
      <c r="AH21" s="59"/>
      <c r="AI21" s="59"/>
      <c r="AJ21" s="59"/>
      <c r="AK21" s="427"/>
      <c r="AL21" s="59"/>
      <c r="AM21" s="59"/>
      <c r="AN21" s="59"/>
      <c r="AO21" s="426"/>
      <c r="AP21" s="59"/>
      <c r="AQ21" s="59"/>
      <c r="AR21" s="59"/>
      <c r="AS21" s="427"/>
      <c r="AT21" s="59"/>
      <c r="AU21" s="428"/>
      <c r="AV21" s="429"/>
      <c r="AW21" s="430"/>
      <c r="AX21" s="429"/>
      <c r="AY21" s="429"/>
      <c r="AZ21" s="429"/>
      <c r="BA21" s="431"/>
      <c r="BB21" s="429"/>
      <c r="BC21" s="429"/>
      <c r="BD21" s="429"/>
      <c r="BE21" s="430"/>
      <c r="BF21" s="429"/>
      <c r="BG21" s="429"/>
      <c r="BH21" s="429"/>
      <c r="BI21" s="431"/>
      <c r="BJ21" s="429"/>
      <c r="BK21" s="429"/>
      <c r="BL21" s="429"/>
      <c r="BM21" s="430"/>
      <c r="BN21" s="429"/>
      <c r="BO21" s="429"/>
      <c r="BP21" s="429"/>
      <c r="BQ21" s="431"/>
      <c r="BR21" s="429"/>
      <c r="BS21" s="429"/>
      <c r="BT21" s="429"/>
      <c r="BU21" s="432"/>
      <c r="BV21" s="433"/>
      <c r="BW21" s="433"/>
      <c r="BX21" s="433"/>
      <c r="BY21" s="431"/>
      <c r="BZ21" s="429"/>
      <c r="CA21" s="429"/>
      <c r="CB21" s="429"/>
      <c r="CC21" s="432"/>
      <c r="CD21" s="433"/>
      <c r="CE21" s="433"/>
      <c r="CF21" s="433"/>
      <c r="CG21" s="431"/>
      <c r="CH21" s="429"/>
      <c r="CI21" s="429"/>
      <c r="CJ21" s="429"/>
      <c r="CK21" s="432"/>
      <c r="CL21" s="433"/>
      <c r="CM21" s="433"/>
      <c r="CN21" s="433"/>
      <c r="CO21" s="431"/>
      <c r="CP21" s="429"/>
      <c r="CQ21" s="429"/>
      <c r="CR21" s="429"/>
      <c r="CS21" s="432"/>
      <c r="CT21" s="433"/>
      <c r="CU21" s="433"/>
      <c r="CV21" s="433"/>
      <c r="CW21" s="431"/>
      <c r="CX21" s="429"/>
      <c r="CY21" s="429"/>
      <c r="CZ21" s="429"/>
      <c r="DA21" s="432"/>
      <c r="DB21" s="433"/>
      <c r="DC21" s="433"/>
      <c r="DD21" s="433"/>
      <c r="DE21" s="431"/>
      <c r="DF21" s="429"/>
      <c r="DG21" s="429"/>
      <c r="DH21" s="429"/>
      <c r="DI21" s="432"/>
      <c r="DJ21" s="433"/>
      <c r="DK21" s="433"/>
      <c r="DL21" s="433"/>
      <c r="DM21" s="431"/>
      <c r="DN21" s="429"/>
      <c r="DO21" s="429"/>
      <c r="DP21" s="429"/>
      <c r="DQ21" s="432"/>
      <c r="DR21" s="433"/>
      <c r="DS21" s="433"/>
      <c r="DT21" s="433"/>
      <c r="DU21" s="431"/>
      <c r="DV21" s="429"/>
      <c r="DW21" s="429"/>
      <c r="DX21" s="429"/>
      <c r="DY21" s="432"/>
      <c r="DZ21" s="433"/>
      <c r="EA21" s="433"/>
      <c r="EB21" s="433"/>
    </row>
    <row r="22" spans="1:132" s="446" customFormat="1" ht="129" customHeight="1" x14ac:dyDescent="0.35">
      <c r="A22" s="425"/>
      <c r="B22" s="449">
        <v>13</v>
      </c>
      <c r="C22" s="413" t="s">
        <v>989</v>
      </c>
      <c r="D22" s="412" t="s">
        <v>990</v>
      </c>
      <c r="E22" s="409" t="s">
        <v>117</v>
      </c>
      <c r="F22" s="436" t="s">
        <v>988</v>
      </c>
      <c r="G22" s="447">
        <v>45917</v>
      </c>
      <c r="H22" s="435" t="s">
        <v>688</v>
      </c>
      <c r="I22" s="426"/>
      <c r="J22" s="59"/>
      <c r="K22" s="59"/>
      <c r="L22" s="59"/>
      <c r="M22" s="427"/>
      <c r="N22" s="59"/>
      <c r="O22" s="59"/>
      <c r="P22" s="59"/>
      <c r="Q22" s="426"/>
      <c r="R22" s="59"/>
      <c r="S22" s="59"/>
      <c r="T22" s="59"/>
      <c r="U22" s="427"/>
      <c r="V22" s="59"/>
      <c r="W22" s="59"/>
      <c r="X22" s="59"/>
      <c r="Y22" s="426"/>
      <c r="Z22" s="59"/>
      <c r="AA22" s="59"/>
      <c r="AB22" s="59"/>
      <c r="AC22" s="427"/>
      <c r="AD22" s="59"/>
      <c r="AE22" s="59"/>
      <c r="AF22" s="59"/>
      <c r="AG22" s="426"/>
      <c r="AH22" s="59"/>
      <c r="AI22" s="59"/>
      <c r="AJ22" s="59"/>
      <c r="AK22" s="427"/>
      <c r="AL22" s="59"/>
      <c r="AM22" s="59"/>
      <c r="AN22" s="59"/>
      <c r="AO22" s="426"/>
      <c r="AP22" s="59"/>
      <c r="AQ22" s="59"/>
      <c r="AR22" s="59"/>
      <c r="AS22" s="427"/>
      <c r="AT22" s="59"/>
      <c r="AU22" s="428"/>
      <c r="AV22" s="429"/>
      <c r="AW22" s="430"/>
      <c r="AX22" s="429"/>
      <c r="AY22" s="429"/>
      <c r="AZ22" s="429"/>
      <c r="BA22" s="431"/>
      <c r="BB22" s="429"/>
      <c r="BC22" s="429"/>
      <c r="BD22" s="429"/>
      <c r="BE22" s="430"/>
      <c r="BF22" s="429"/>
      <c r="BG22" s="429"/>
      <c r="BH22" s="429"/>
      <c r="BI22" s="431"/>
      <c r="BJ22" s="429"/>
      <c r="BK22" s="429"/>
      <c r="BL22" s="429"/>
      <c r="BM22" s="430"/>
      <c r="BN22" s="429"/>
      <c r="BO22" s="429"/>
      <c r="BP22" s="429"/>
      <c r="BQ22" s="431"/>
      <c r="BR22" s="429"/>
      <c r="BS22" s="429"/>
      <c r="BT22" s="429"/>
      <c r="BU22" s="432"/>
      <c r="BV22" s="433"/>
      <c r="BW22" s="433"/>
      <c r="BX22" s="433"/>
      <c r="BY22" s="431"/>
      <c r="BZ22" s="429"/>
      <c r="CA22" s="429"/>
      <c r="CB22" s="429"/>
      <c r="CC22" s="432"/>
      <c r="CD22" s="433"/>
      <c r="CE22" s="433"/>
      <c r="CF22" s="433"/>
      <c r="CG22" s="431"/>
      <c r="CH22" s="429"/>
      <c r="CI22" s="429"/>
      <c r="CJ22" s="429"/>
      <c r="CK22" s="432"/>
      <c r="CL22" s="433"/>
      <c r="CM22" s="433"/>
      <c r="CN22" s="433"/>
      <c r="CO22" s="431"/>
      <c r="CP22" s="429"/>
      <c r="CQ22" s="429"/>
      <c r="CR22" s="429"/>
      <c r="CS22" s="432"/>
      <c r="CT22" s="433"/>
      <c r="CU22" s="433"/>
      <c r="CV22" s="433"/>
      <c r="CW22" s="431"/>
      <c r="CX22" s="429"/>
      <c r="CY22" s="429"/>
      <c r="CZ22" s="429"/>
      <c r="DA22" s="432"/>
      <c r="DB22" s="433"/>
      <c r="DC22" s="433"/>
      <c r="DD22" s="433"/>
      <c r="DE22" s="431"/>
      <c r="DF22" s="429"/>
      <c r="DG22" s="429"/>
      <c r="DH22" s="429"/>
      <c r="DI22" s="432"/>
      <c r="DJ22" s="433"/>
      <c r="DK22" s="433"/>
      <c r="DL22" s="433"/>
      <c r="DM22" s="431"/>
      <c r="DN22" s="429"/>
      <c r="DO22" s="429"/>
      <c r="DP22" s="429"/>
      <c r="DQ22" s="432"/>
      <c r="DR22" s="433"/>
      <c r="DS22" s="433"/>
      <c r="DT22" s="433"/>
      <c r="DU22" s="431"/>
      <c r="DV22" s="429"/>
      <c r="DW22" s="429"/>
      <c r="DX22" s="429"/>
      <c r="DY22" s="432"/>
      <c r="DZ22" s="433"/>
      <c r="EA22" s="433"/>
      <c r="EB22" s="433"/>
    </row>
    <row r="23" spans="1:132" s="434" customFormat="1" ht="129" customHeight="1" x14ac:dyDescent="0.35">
      <c r="A23" s="425"/>
      <c r="B23" s="449">
        <v>14</v>
      </c>
      <c r="C23" s="413" t="s">
        <v>991</v>
      </c>
      <c r="D23" s="412" t="s">
        <v>992</v>
      </c>
      <c r="E23" s="409" t="s">
        <v>117</v>
      </c>
      <c r="F23" s="436" t="s">
        <v>993</v>
      </c>
      <c r="G23" s="447">
        <v>45917</v>
      </c>
      <c r="H23" s="435" t="s">
        <v>688</v>
      </c>
      <c r="I23" s="426"/>
      <c r="J23" s="59"/>
      <c r="K23" s="59"/>
      <c r="L23" s="59"/>
      <c r="M23" s="427"/>
      <c r="N23" s="59"/>
      <c r="O23" s="59"/>
      <c r="P23" s="59"/>
      <c r="Q23" s="426"/>
      <c r="R23" s="59"/>
      <c r="S23" s="59"/>
      <c r="T23" s="59"/>
      <c r="U23" s="427"/>
      <c r="V23" s="59"/>
      <c r="W23" s="59"/>
      <c r="X23" s="59"/>
      <c r="Y23" s="426"/>
      <c r="Z23" s="59"/>
      <c r="AA23" s="59"/>
      <c r="AB23" s="59"/>
      <c r="AC23" s="427"/>
      <c r="AD23" s="59"/>
      <c r="AE23" s="59"/>
      <c r="AF23" s="59"/>
      <c r="AG23" s="426"/>
      <c r="AH23" s="59"/>
      <c r="AI23" s="59"/>
      <c r="AJ23" s="59"/>
      <c r="AK23" s="427"/>
      <c r="AL23" s="59"/>
      <c r="AM23" s="59"/>
      <c r="AN23" s="59"/>
      <c r="AO23" s="426"/>
      <c r="AP23" s="59"/>
      <c r="AQ23" s="59"/>
      <c r="AR23" s="59"/>
      <c r="AS23" s="427"/>
      <c r="AT23" s="59"/>
      <c r="AU23" s="428"/>
      <c r="AV23" s="429"/>
      <c r="AW23" s="430"/>
      <c r="AX23" s="429"/>
      <c r="AY23" s="429"/>
      <c r="AZ23" s="429"/>
      <c r="BA23" s="431"/>
      <c r="BB23" s="429"/>
      <c r="BC23" s="429"/>
      <c r="BD23" s="429"/>
      <c r="BE23" s="430"/>
      <c r="BF23" s="429"/>
      <c r="BG23" s="429"/>
      <c r="BH23" s="429"/>
      <c r="BI23" s="431"/>
      <c r="BJ23" s="429"/>
      <c r="BK23" s="429"/>
      <c r="BL23" s="429"/>
      <c r="BM23" s="430"/>
      <c r="BN23" s="429"/>
      <c r="BO23" s="429"/>
      <c r="BP23" s="429"/>
      <c r="BQ23" s="431"/>
      <c r="BR23" s="429"/>
      <c r="BS23" s="429"/>
      <c r="BT23" s="429"/>
      <c r="BU23" s="432"/>
      <c r="BV23" s="433"/>
      <c r="BW23" s="433"/>
      <c r="BX23" s="433"/>
      <c r="BY23" s="431"/>
      <c r="BZ23" s="429"/>
      <c r="CA23" s="429"/>
      <c r="CB23" s="429"/>
      <c r="CC23" s="432"/>
      <c r="CD23" s="433"/>
      <c r="CE23" s="433"/>
      <c r="CF23" s="433"/>
      <c r="CG23" s="431"/>
      <c r="CH23" s="429"/>
      <c r="CI23" s="429"/>
      <c r="CJ23" s="429"/>
      <c r="CK23" s="432"/>
      <c r="CL23" s="433"/>
      <c r="CM23" s="433"/>
      <c r="CN23" s="433"/>
      <c r="CO23" s="431"/>
      <c r="CP23" s="429"/>
      <c r="CQ23" s="429"/>
      <c r="CR23" s="429"/>
      <c r="CS23" s="432"/>
      <c r="CT23" s="433"/>
      <c r="CU23" s="433"/>
      <c r="CV23" s="433"/>
      <c r="CW23" s="431"/>
      <c r="CX23" s="429"/>
      <c r="CY23" s="429"/>
      <c r="CZ23" s="429"/>
      <c r="DA23" s="432"/>
      <c r="DB23" s="433"/>
      <c r="DC23" s="433"/>
      <c r="DD23" s="433"/>
      <c r="DE23" s="431"/>
      <c r="DF23" s="429"/>
      <c r="DG23" s="429"/>
      <c r="DH23" s="429"/>
      <c r="DI23" s="432"/>
      <c r="DJ23" s="433"/>
      <c r="DK23" s="433"/>
      <c r="DL23" s="433"/>
      <c r="DM23" s="431"/>
      <c r="DN23" s="429"/>
      <c r="DO23" s="429"/>
      <c r="DP23" s="429"/>
      <c r="DQ23" s="432"/>
      <c r="DR23" s="433"/>
      <c r="DS23" s="433"/>
      <c r="DT23" s="433"/>
      <c r="DU23" s="431"/>
      <c r="DV23" s="429"/>
      <c r="DW23" s="429"/>
      <c r="DX23" s="429"/>
      <c r="DY23" s="432"/>
      <c r="DZ23" s="433"/>
      <c r="EA23" s="433"/>
      <c r="EB23" s="433"/>
    </row>
    <row r="24" spans="1:132" s="434" customFormat="1" ht="129" customHeight="1" x14ac:dyDescent="0.35">
      <c r="A24" s="425"/>
      <c r="B24" s="449">
        <v>15</v>
      </c>
      <c r="C24" s="413" t="s">
        <v>994</v>
      </c>
      <c r="D24" s="412" t="s">
        <v>995</v>
      </c>
      <c r="E24" s="409" t="s">
        <v>117</v>
      </c>
      <c r="F24" s="436" t="s">
        <v>996</v>
      </c>
      <c r="G24" s="447">
        <v>45917</v>
      </c>
      <c r="H24" s="435" t="s">
        <v>688</v>
      </c>
      <c r="I24" s="426"/>
      <c r="J24" s="59"/>
      <c r="K24" s="59"/>
      <c r="L24" s="59"/>
      <c r="M24" s="427"/>
      <c r="N24" s="59"/>
      <c r="O24" s="59"/>
      <c r="P24" s="59"/>
      <c r="Q24" s="426"/>
      <c r="R24" s="59"/>
      <c r="S24" s="59"/>
      <c r="T24" s="59"/>
      <c r="U24" s="427"/>
      <c r="V24" s="59"/>
      <c r="W24" s="59"/>
      <c r="X24" s="59"/>
      <c r="Y24" s="426"/>
      <c r="Z24" s="59"/>
      <c r="AA24" s="59"/>
      <c r="AB24" s="59"/>
      <c r="AC24" s="427"/>
      <c r="AD24" s="59"/>
      <c r="AE24" s="59"/>
      <c r="AF24" s="59"/>
      <c r="AG24" s="426"/>
      <c r="AH24" s="59"/>
      <c r="AI24" s="59"/>
      <c r="AJ24" s="59"/>
      <c r="AK24" s="427"/>
      <c r="AL24" s="59"/>
      <c r="AM24" s="59"/>
      <c r="AN24" s="59"/>
      <c r="AO24" s="426"/>
      <c r="AP24" s="59"/>
      <c r="AQ24" s="59"/>
      <c r="AR24" s="59"/>
      <c r="AS24" s="427"/>
      <c r="AT24" s="59"/>
      <c r="AU24" s="428"/>
      <c r="AV24" s="429"/>
      <c r="AW24" s="430"/>
      <c r="AX24" s="429"/>
      <c r="AY24" s="429"/>
      <c r="AZ24" s="429"/>
      <c r="BA24" s="431"/>
      <c r="BB24" s="429"/>
      <c r="BC24" s="429"/>
      <c r="BD24" s="429"/>
      <c r="BE24" s="430"/>
      <c r="BF24" s="429"/>
      <c r="BG24" s="429"/>
      <c r="BH24" s="429"/>
      <c r="BI24" s="431"/>
      <c r="BJ24" s="429"/>
      <c r="BK24" s="429"/>
      <c r="BL24" s="429"/>
      <c r="BM24" s="430"/>
      <c r="BN24" s="429"/>
      <c r="BO24" s="429"/>
      <c r="BP24" s="429"/>
      <c r="BQ24" s="431"/>
      <c r="BR24" s="429"/>
      <c r="BS24" s="429"/>
      <c r="BT24" s="429"/>
      <c r="BU24" s="432"/>
      <c r="BV24" s="433"/>
      <c r="BW24" s="433"/>
      <c r="BX24" s="433"/>
      <c r="BY24" s="431"/>
      <c r="BZ24" s="429"/>
      <c r="CA24" s="429"/>
      <c r="CB24" s="429"/>
      <c r="CC24" s="432"/>
      <c r="CD24" s="433"/>
      <c r="CE24" s="433"/>
      <c r="CF24" s="433"/>
      <c r="CG24" s="431"/>
      <c r="CH24" s="429"/>
      <c r="CI24" s="429"/>
      <c r="CJ24" s="429"/>
      <c r="CK24" s="432"/>
      <c r="CL24" s="433"/>
      <c r="CM24" s="433"/>
      <c r="CN24" s="433"/>
      <c r="CO24" s="431"/>
      <c r="CP24" s="429"/>
      <c r="CQ24" s="429"/>
      <c r="CR24" s="429"/>
      <c r="CS24" s="432"/>
      <c r="CT24" s="433"/>
      <c r="CU24" s="433"/>
      <c r="CV24" s="433"/>
      <c r="CW24" s="431"/>
      <c r="CX24" s="429"/>
      <c r="CY24" s="429"/>
      <c r="CZ24" s="429"/>
      <c r="DA24" s="432"/>
      <c r="DB24" s="433"/>
      <c r="DC24" s="433"/>
      <c r="DD24" s="433"/>
      <c r="DE24" s="431"/>
      <c r="DF24" s="429"/>
      <c r="DG24" s="429"/>
      <c r="DH24" s="429"/>
      <c r="DI24" s="432"/>
      <c r="DJ24" s="433"/>
      <c r="DK24" s="433"/>
      <c r="DL24" s="433"/>
      <c r="DM24" s="431"/>
      <c r="DN24" s="429"/>
      <c r="DO24" s="429"/>
      <c r="DP24" s="429"/>
      <c r="DQ24" s="432"/>
      <c r="DR24" s="433"/>
      <c r="DS24" s="433"/>
      <c r="DT24" s="433"/>
      <c r="DU24" s="431"/>
      <c r="DV24" s="429"/>
      <c r="DW24" s="429"/>
      <c r="DX24" s="429"/>
      <c r="DY24" s="432"/>
      <c r="DZ24" s="433"/>
      <c r="EA24" s="433"/>
      <c r="EB24" s="433"/>
    </row>
    <row r="25" spans="1:132" s="434" customFormat="1" ht="185.5" customHeight="1" x14ac:dyDescent="0.35">
      <c r="A25" s="425"/>
      <c r="B25" s="455">
        <v>16</v>
      </c>
      <c r="C25" s="456" t="s">
        <v>997</v>
      </c>
      <c r="D25" s="457" t="s">
        <v>998</v>
      </c>
      <c r="E25" s="458" t="s">
        <v>966</v>
      </c>
      <c r="F25" s="459" t="s">
        <v>999</v>
      </c>
      <c r="G25" s="460">
        <v>45924</v>
      </c>
      <c r="H25" s="461" t="s">
        <v>688</v>
      </c>
      <c r="I25" s="426"/>
      <c r="J25" s="59"/>
      <c r="K25" s="59"/>
      <c r="L25" s="59"/>
      <c r="M25" s="427"/>
      <c r="N25" s="59"/>
      <c r="O25" s="59"/>
      <c r="P25" s="59"/>
      <c r="Q25" s="426"/>
      <c r="R25" s="59"/>
      <c r="S25" s="59"/>
      <c r="T25" s="59"/>
      <c r="U25" s="427"/>
      <c r="V25" s="59"/>
      <c r="W25" s="59"/>
      <c r="X25" s="59"/>
      <c r="Y25" s="426"/>
      <c r="Z25" s="59"/>
      <c r="AA25" s="59"/>
      <c r="AB25" s="59"/>
      <c r="AC25" s="427"/>
      <c r="AD25" s="59"/>
      <c r="AE25" s="59"/>
      <c r="AF25" s="59"/>
      <c r="AG25" s="426"/>
      <c r="AH25" s="59"/>
      <c r="AI25" s="59"/>
      <c r="AJ25" s="59"/>
      <c r="AK25" s="427"/>
      <c r="AL25" s="59"/>
      <c r="AM25" s="59"/>
      <c r="AN25" s="59"/>
      <c r="AO25" s="426"/>
      <c r="AP25" s="59"/>
      <c r="AQ25" s="59"/>
      <c r="AR25" s="59"/>
      <c r="AS25" s="427"/>
      <c r="AT25" s="59"/>
      <c r="AU25" s="428"/>
      <c r="AV25" s="429"/>
      <c r="AW25" s="430"/>
      <c r="AX25" s="429"/>
      <c r="AY25" s="429"/>
      <c r="AZ25" s="429"/>
      <c r="BA25" s="431"/>
      <c r="BB25" s="429"/>
      <c r="BC25" s="429"/>
      <c r="BD25" s="429"/>
      <c r="BE25" s="430"/>
      <c r="BF25" s="429"/>
      <c r="BG25" s="429"/>
      <c r="BH25" s="429"/>
      <c r="BI25" s="431"/>
      <c r="BJ25" s="429"/>
      <c r="BK25" s="429"/>
      <c r="BL25" s="429"/>
      <c r="BM25" s="430"/>
      <c r="BN25" s="429"/>
      <c r="BO25" s="429"/>
      <c r="BP25" s="429"/>
      <c r="BQ25" s="431"/>
      <c r="BR25" s="429"/>
      <c r="BS25" s="429"/>
      <c r="BT25" s="429"/>
      <c r="BU25" s="432"/>
      <c r="BV25" s="433"/>
      <c r="BW25" s="433"/>
      <c r="BX25" s="433"/>
      <c r="BY25" s="431"/>
      <c r="BZ25" s="429"/>
      <c r="CA25" s="429"/>
      <c r="CB25" s="429"/>
      <c r="CC25" s="432"/>
      <c r="CD25" s="433"/>
      <c r="CE25" s="433"/>
      <c r="CF25" s="433"/>
      <c r="CG25" s="431"/>
      <c r="CH25" s="429"/>
      <c r="CI25" s="429"/>
      <c r="CJ25" s="429"/>
      <c r="CK25" s="432"/>
      <c r="CL25" s="433"/>
      <c r="CM25" s="433"/>
      <c r="CN25" s="433"/>
      <c r="CO25" s="431"/>
      <c r="CP25" s="429"/>
      <c r="CQ25" s="429"/>
      <c r="CR25" s="429"/>
      <c r="CS25" s="432"/>
      <c r="CT25" s="433"/>
      <c r="CU25" s="433"/>
      <c r="CV25" s="433"/>
      <c r="CW25" s="431"/>
      <c r="CX25" s="429"/>
      <c r="CY25" s="429"/>
      <c r="CZ25" s="429"/>
      <c r="DA25" s="432"/>
      <c r="DB25" s="433"/>
      <c r="DC25" s="433"/>
      <c r="DD25" s="433"/>
      <c r="DE25" s="431"/>
      <c r="DF25" s="429"/>
      <c r="DG25" s="429"/>
      <c r="DH25" s="429"/>
      <c r="DI25" s="432"/>
      <c r="DJ25" s="433"/>
      <c r="DK25" s="433"/>
      <c r="DL25" s="433"/>
      <c r="DM25" s="431"/>
      <c r="DN25" s="429"/>
      <c r="DO25" s="429"/>
      <c r="DP25" s="429"/>
      <c r="DQ25" s="432"/>
      <c r="DR25" s="433"/>
      <c r="DS25" s="433"/>
      <c r="DT25" s="433"/>
      <c r="DU25" s="431"/>
      <c r="DV25" s="429"/>
      <c r="DW25" s="429"/>
      <c r="DX25" s="429"/>
      <c r="DY25" s="432"/>
      <c r="DZ25" s="433"/>
      <c r="EA25" s="433"/>
      <c r="EB25" s="433"/>
    </row>
    <row r="26" spans="1:132" s="434" customFormat="1" ht="129" customHeight="1" x14ac:dyDescent="0.35">
      <c r="A26" s="425"/>
      <c r="B26" s="449">
        <v>17</v>
      </c>
      <c r="C26" s="413" t="s">
        <v>1000</v>
      </c>
      <c r="D26" s="412" t="s">
        <v>1001</v>
      </c>
      <c r="E26" s="409" t="s">
        <v>334</v>
      </c>
      <c r="F26" s="436" t="s">
        <v>1002</v>
      </c>
      <c r="G26" s="411">
        <v>45924</v>
      </c>
      <c r="H26" s="435" t="s">
        <v>1003</v>
      </c>
      <c r="I26" s="426"/>
      <c r="J26" s="59"/>
      <c r="K26" s="59"/>
      <c r="L26" s="59"/>
      <c r="M26" s="427"/>
      <c r="N26" s="59"/>
      <c r="O26" s="59"/>
      <c r="P26" s="59"/>
      <c r="Q26" s="426"/>
      <c r="R26" s="59"/>
      <c r="S26" s="59"/>
      <c r="T26" s="59"/>
      <c r="U26" s="427"/>
      <c r="V26" s="59"/>
      <c r="W26" s="59"/>
      <c r="X26" s="59"/>
      <c r="Y26" s="426"/>
      <c r="Z26" s="59"/>
      <c r="AA26" s="59"/>
      <c r="AB26" s="59"/>
      <c r="AC26" s="427"/>
      <c r="AD26" s="59"/>
      <c r="AE26" s="59"/>
      <c r="AF26" s="59"/>
      <c r="AG26" s="426"/>
      <c r="AH26" s="59"/>
      <c r="AI26" s="59"/>
      <c r="AJ26" s="59"/>
      <c r="AK26" s="427"/>
      <c r="AL26" s="59"/>
      <c r="AM26" s="59"/>
      <c r="AN26" s="59"/>
      <c r="AO26" s="426"/>
      <c r="AP26" s="59"/>
      <c r="AQ26" s="59"/>
      <c r="AR26" s="59"/>
      <c r="AS26" s="427"/>
      <c r="AT26" s="59"/>
      <c r="AU26" s="428"/>
      <c r="AV26" s="429"/>
      <c r="AW26" s="430"/>
      <c r="AX26" s="429"/>
      <c r="AY26" s="429"/>
      <c r="AZ26" s="429"/>
      <c r="BA26" s="431"/>
      <c r="BB26" s="429"/>
      <c r="BC26" s="429"/>
      <c r="BD26" s="429"/>
      <c r="BE26" s="430"/>
      <c r="BF26" s="429"/>
      <c r="BG26" s="429"/>
      <c r="BH26" s="429"/>
      <c r="BI26" s="431"/>
      <c r="BJ26" s="429"/>
      <c r="BK26" s="429"/>
      <c r="BL26" s="429"/>
      <c r="BM26" s="430"/>
      <c r="BN26" s="429"/>
      <c r="BO26" s="429"/>
      <c r="BP26" s="429"/>
      <c r="BQ26" s="431"/>
      <c r="BR26" s="429"/>
      <c r="BS26" s="429"/>
      <c r="BT26" s="429"/>
      <c r="BU26" s="432"/>
      <c r="BV26" s="433"/>
      <c r="BW26" s="433"/>
      <c r="BX26" s="433"/>
      <c r="BY26" s="431"/>
      <c r="BZ26" s="429"/>
      <c r="CA26" s="429"/>
      <c r="CB26" s="429"/>
      <c r="CC26" s="432"/>
      <c r="CD26" s="433"/>
      <c r="CE26" s="433"/>
      <c r="CF26" s="433"/>
      <c r="CG26" s="431"/>
      <c r="CH26" s="429"/>
      <c r="CI26" s="429"/>
      <c r="CJ26" s="429"/>
      <c r="CK26" s="432"/>
      <c r="CL26" s="433"/>
      <c r="CM26" s="433"/>
      <c r="CN26" s="433"/>
      <c r="CO26" s="431"/>
      <c r="CP26" s="429"/>
      <c r="CQ26" s="429"/>
      <c r="CR26" s="429"/>
      <c r="CS26" s="432"/>
      <c r="CT26" s="433"/>
      <c r="CU26" s="433"/>
      <c r="CV26" s="433"/>
      <c r="CW26" s="431"/>
      <c r="CX26" s="429"/>
      <c r="CY26" s="429"/>
      <c r="CZ26" s="429"/>
      <c r="DA26" s="432"/>
      <c r="DB26" s="433"/>
      <c r="DC26" s="433"/>
      <c r="DD26" s="433"/>
      <c r="DE26" s="431"/>
      <c r="DF26" s="429"/>
      <c r="DG26" s="429"/>
      <c r="DH26" s="429"/>
      <c r="DI26" s="432"/>
      <c r="DJ26" s="433"/>
      <c r="DK26" s="433"/>
      <c r="DL26" s="433"/>
      <c r="DM26" s="431"/>
      <c r="DN26" s="429"/>
      <c r="DO26" s="429"/>
      <c r="DP26" s="429"/>
      <c r="DQ26" s="432"/>
      <c r="DR26" s="433"/>
      <c r="DS26" s="433"/>
      <c r="DT26" s="433"/>
      <c r="DU26" s="431"/>
      <c r="DV26" s="429"/>
      <c r="DW26" s="429"/>
      <c r="DX26" s="429"/>
      <c r="DY26" s="432"/>
      <c r="DZ26" s="433"/>
      <c r="EA26" s="433"/>
      <c r="EB26" s="433"/>
    </row>
    <row r="27" spans="1:132" s="434" customFormat="1" ht="129" customHeight="1" x14ac:dyDescent="0.35">
      <c r="A27" s="425"/>
      <c r="B27" s="449">
        <v>18</v>
      </c>
      <c r="C27" s="413" t="s">
        <v>1004</v>
      </c>
      <c r="D27" s="412" t="s">
        <v>1005</v>
      </c>
      <c r="E27" s="409" t="s">
        <v>117</v>
      </c>
      <c r="F27" s="436" t="s">
        <v>985</v>
      </c>
      <c r="G27" s="411">
        <v>45924</v>
      </c>
      <c r="H27" s="435" t="s">
        <v>688</v>
      </c>
      <c r="I27" s="426"/>
      <c r="J27" s="59"/>
      <c r="K27" s="59"/>
      <c r="L27" s="59"/>
      <c r="M27" s="427"/>
      <c r="N27" s="59"/>
      <c r="O27" s="59"/>
      <c r="P27" s="59"/>
      <c r="Q27" s="426"/>
      <c r="R27" s="59"/>
      <c r="S27" s="59"/>
      <c r="T27" s="59"/>
      <c r="U27" s="427"/>
      <c r="V27" s="59"/>
      <c r="W27" s="59"/>
      <c r="X27" s="59"/>
      <c r="Y27" s="426"/>
      <c r="Z27" s="59"/>
      <c r="AA27" s="59"/>
      <c r="AB27" s="59"/>
      <c r="AC27" s="427"/>
      <c r="AD27" s="59"/>
      <c r="AE27" s="59"/>
      <c r="AF27" s="59"/>
      <c r="AG27" s="426"/>
      <c r="AH27" s="59"/>
      <c r="AI27" s="59"/>
      <c r="AJ27" s="59"/>
      <c r="AK27" s="427"/>
      <c r="AL27" s="59"/>
      <c r="AM27" s="59"/>
      <c r="AN27" s="59"/>
      <c r="AO27" s="426"/>
      <c r="AP27" s="59"/>
      <c r="AQ27" s="59"/>
      <c r="AR27" s="59"/>
      <c r="AS27" s="427"/>
      <c r="AT27" s="59"/>
      <c r="AU27" s="428"/>
      <c r="AV27" s="429"/>
      <c r="AW27" s="430"/>
      <c r="AX27" s="429"/>
      <c r="AY27" s="429"/>
      <c r="AZ27" s="429"/>
      <c r="BA27" s="431"/>
      <c r="BB27" s="429"/>
      <c r="BC27" s="429"/>
      <c r="BD27" s="429"/>
      <c r="BE27" s="430"/>
      <c r="BF27" s="429"/>
      <c r="BG27" s="429"/>
      <c r="BH27" s="429"/>
      <c r="BI27" s="431"/>
      <c r="BJ27" s="429"/>
      <c r="BK27" s="429"/>
      <c r="BL27" s="429"/>
      <c r="BM27" s="430"/>
      <c r="BN27" s="429"/>
      <c r="BO27" s="429"/>
      <c r="BP27" s="429"/>
      <c r="BQ27" s="431"/>
      <c r="BR27" s="429"/>
      <c r="BS27" s="429"/>
      <c r="BT27" s="429"/>
      <c r="BU27" s="432"/>
      <c r="BV27" s="433"/>
      <c r="BW27" s="433"/>
      <c r="BX27" s="433"/>
      <c r="BY27" s="431"/>
      <c r="BZ27" s="429"/>
      <c r="CA27" s="429"/>
      <c r="CB27" s="429"/>
      <c r="CC27" s="432"/>
      <c r="CD27" s="433"/>
      <c r="CE27" s="433"/>
      <c r="CF27" s="433"/>
      <c r="CG27" s="431"/>
      <c r="CH27" s="429"/>
      <c r="CI27" s="429"/>
      <c r="CJ27" s="429"/>
      <c r="CK27" s="432"/>
      <c r="CL27" s="433"/>
      <c r="CM27" s="433"/>
      <c r="CN27" s="433"/>
      <c r="CO27" s="431"/>
      <c r="CP27" s="429"/>
      <c r="CQ27" s="429"/>
      <c r="CR27" s="429"/>
      <c r="CS27" s="432"/>
      <c r="CT27" s="433"/>
      <c r="CU27" s="433"/>
      <c r="CV27" s="433"/>
      <c r="CW27" s="431"/>
      <c r="CX27" s="429"/>
      <c r="CY27" s="429"/>
      <c r="CZ27" s="429"/>
      <c r="DA27" s="432"/>
      <c r="DB27" s="433"/>
      <c r="DC27" s="433"/>
      <c r="DD27" s="433"/>
      <c r="DE27" s="431"/>
      <c r="DF27" s="429"/>
      <c r="DG27" s="429"/>
      <c r="DH27" s="429"/>
      <c r="DI27" s="432"/>
      <c r="DJ27" s="433"/>
      <c r="DK27" s="433"/>
      <c r="DL27" s="433"/>
      <c r="DM27" s="431"/>
      <c r="DN27" s="429"/>
      <c r="DO27" s="429"/>
      <c r="DP27" s="429"/>
      <c r="DQ27" s="432"/>
      <c r="DR27" s="433"/>
      <c r="DS27" s="433"/>
      <c r="DT27" s="433"/>
      <c r="DU27" s="431"/>
      <c r="DV27" s="429"/>
      <c r="DW27" s="429"/>
      <c r="DX27" s="429"/>
      <c r="DY27" s="432"/>
      <c r="DZ27" s="433"/>
      <c r="EA27" s="433"/>
      <c r="EB27" s="433"/>
    </row>
    <row r="28" spans="1:132" s="434" customFormat="1" ht="129" customHeight="1" x14ac:dyDescent="0.35">
      <c r="A28" s="425"/>
      <c r="B28" s="449">
        <v>19</v>
      </c>
      <c r="C28" s="413" t="s">
        <v>1006</v>
      </c>
      <c r="D28" s="412" t="s">
        <v>1007</v>
      </c>
      <c r="E28" s="409" t="s">
        <v>123</v>
      </c>
      <c r="F28" s="436" t="s">
        <v>1008</v>
      </c>
      <c r="G28" s="411">
        <v>45926</v>
      </c>
      <c r="H28" s="435" t="s">
        <v>1009</v>
      </c>
      <c r="I28" s="426"/>
      <c r="J28" s="59"/>
      <c r="K28" s="59"/>
      <c r="L28" s="59"/>
      <c r="M28" s="427"/>
      <c r="N28" s="59"/>
      <c r="O28" s="59"/>
      <c r="P28" s="59"/>
      <c r="Q28" s="426"/>
      <c r="R28" s="59"/>
      <c r="S28" s="59"/>
      <c r="T28" s="59"/>
      <c r="U28" s="427"/>
      <c r="V28" s="59"/>
      <c r="W28" s="59"/>
      <c r="X28" s="59"/>
      <c r="Y28" s="426"/>
      <c r="Z28" s="59"/>
      <c r="AA28" s="59"/>
      <c r="AB28" s="59"/>
      <c r="AC28" s="427"/>
      <c r="AD28" s="59"/>
      <c r="AE28" s="59"/>
      <c r="AF28" s="59"/>
      <c r="AG28" s="426"/>
      <c r="AH28" s="59"/>
      <c r="AI28" s="59"/>
      <c r="AJ28" s="59"/>
      <c r="AK28" s="427"/>
      <c r="AL28" s="59"/>
      <c r="AM28" s="59"/>
      <c r="AN28" s="59"/>
      <c r="AO28" s="426"/>
      <c r="AP28" s="59"/>
      <c r="AQ28" s="59"/>
      <c r="AR28" s="59"/>
      <c r="AS28" s="427"/>
      <c r="AT28" s="59"/>
      <c r="AU28" s="428"/>
      <c r="AV28" s="429"/>
      <c r="AW28" s="430"/>
      <c r="AX28" s="429"/>
      <c r="AY28" s="429"/>
      <c r="AZ28" s="429"/>
      <c r="BA28" s="431"/>
      <c r="BB28" s="429"/>
      <c r="BC28" s="429"/>
      <c r="BD28" s="429"/>
      <c r="BE28" s="430"/>
      <c r="BF28" s="429"/>
      <c r="BG28" s="429"/>
      <c r="BH28" s="429"/>
      <c r="BI28" s="431"/>
      <c r="BJ28" s="429"/>
      <c r="BK28" s="429"/>
      <c r="BL28" s="429"/>
      <c r="BM28" s="430"/>
      <c r="BN28" s="429"/>
      <c r="BO28" s="429"/>
      <c r="BP28" s="429"/>
      <c r="BQ28" s="431"/>
      <c r="BR28" s="429"/>
      <c r="BS28" s="429"/>
      <c r="BT28" s="429"/>
      <c r="BU28" s="432"/>
      <c r="BV28" s="433"/>
      <c r="BW28" s="433"/>
      <c r="BX28" s="433"/>
      <c r="BY28" s="431"/>
      <c r="BZ28" s="429"/>
      <c r="CA28" s="429"/>
      <c r="CB28" s="429"/>
      <c r="CC28" s="432"/>
      <c r="CD28" s="433"/>
      <c r="CE28" s="433"/>
      <c r="CF28" s="433"/>
      <c r="CG28" s="431"/>
      <c r="CH28" s="429"/>
      <c r="CI28" s="429"/>
      <c r="CJ28" s="429"/>
      <c r="CK28" s="432"/>
      <c r="CL28" s="433"/>
      <c r="CM28" s="433"/>
      <c r="CN28" s="433"/>
      <c r="CO28" s="431"/>
      <c r="CP28" s="429"/>
      <c r="CQ28" s="429"/>
      <c r="CR28" s="429"/>
      <c r="CS28" s="432"/>
      <c r="CT28" s="433"/>
      <c r="CU28" s="433"/>
      <c r="CV28" s="433"/>
      <c r="CW28" s="431"/>
      <c r="CX28" s="429"/>
      <c r="CY28" s="429"/>
      <c r="CZ28" s="429"/>
      <c r="DA28" s="432"/>
      <c r="DB28" s="433"/>
      <c r="DC28" s="433"/>
      <c r="DD28" s="433"/>
      <c r="DE28" s="431"/>
      <c r="DF28" s="429"/>
      <c r="DG28" s="429"/>
      <c r="DH28" s="429"/>
      <c r="DI28" s="432"/>
      <c r="DJ28" s="433"/>
      <c r="DK28" s="433"/>
      <c r="DL28" s="433"/>
      <c r="DM28" s="431"/>
      <c r="DN28" s="429"/>
      <c r="DO28" s="429"/>
      <c r="DP28" s="429"/>
      <c r="DQ28" s="432"/>
      <c r="DR28" s="433"/>
      <c r="DS28" s="433"/>
      <c r="DT28" s="433"/>
      <c r="DU28" s="431"/>
      <c r="DV28" s="429"/>
      <c r="DW28" s="429"/>
      <c r="DX28" s="429"/>
      <c r="DY28" s="432"/>
      <c r="DZ28" s="433"/>
      <c r="EA28" s="433"/>
      <c r="EB28" s="433"/>
    </row>
    <row r="29" spans="1:132" s="434" customFormat="1" ht="129" customHeight="1" x14ac:dyDescent="0.35">
      <c r="A29" s="425"/>
      <c r="B29" s="449">
        <v>20</v>
      </c>
      <c r="C29" s="413" t="s">
        <v>1010</v>
      </c>
      <c r="D29" s="412" t="s">
        <v>1011</v>
      </c>
      <c r="E29" s="409" t="s">
        <v>48</v>
      </c>
      <c r="F29" s="436" t="s">
        <v>1012</v>
      </c>
      <c r="G29" s="411">
        <v>45926</v>
      </c>
      <c r="H29" s="435" t="s">
        <v>1013</v>
      </c>
      <c r="I29" s="426"/>
      <c r="J29" s="59"/>
      <c r="K29" s="59"/>
      <c r="L29" s="59"/>
      <c r="M29" s="427"/>
      <c r="N29" s="59"/>
      <c r="O29" s="59"/>
      <c r="P29" s="59"/>
      <c r="Q29" s="426"/>
      <c r="R29" s="59"/>
      <c r="S29" s="59"/>
      <c r="T29" s="59"/>
      <c r="U29" s="427"/>
      <c r="V29" s="59"/>
      <c r="W29" s="59"/>
      <c r="X29" s="59"/>
      <c r="Y29" s="426"/>
      <c r="Z29" s="59"/>
      <c r="AA29" s="59"/>
      <c r="AB29" s="59"/>
      <c r="AC29" s="427"/>
      <c r="AD29" s="59"/>
      <c r="AE29" s="59"/>
      <c r="AF29" s="59"/>
      <c r="AG29" s="426"/>
      <c r="AH29" s="59"/>
      <c r="AI29" s="59"/>
      <c r="AJ29" s="59"/>
      <c r="AK29" s="427"/>
      <c r="AL29" s="59"/>
      <c r="AM29" s="59"/>
      <c r="AN29" s="59"/>
      <c r="AO29" s="426"/>
      <c r="AP29" s="59"/>
      <c r="AQ29" s="59"/>
      <c r="AR29" s="59"/>
      <c r="AS29" s="427"/>
      <c r="AT29" s="59"/>
      <c r="AU29" s="428"/>
      <c r="AV29" s="429"/>
      <c r="AW29" s="430"/>
      <c r="AX29" s="429"/>
      <c r="AY29" s="429"/>
      <c r="AZ29" s="429"/>
      <c r="BA29" s="431"/>
      <c r="BB29" s="429"/>
      <c r="BC29" s="429"/>
      <c r="BD29" s="429"/>
      <c r="BE29" s="430"/>
      <c r="BF29" s="429"/>
      <c r="BG29" s="429"/>
      <c r="BH29" s="429"/>
      <c r="BI29" s="431"/>
      <c r="BJ29" s="429"/>
      <c r="BK29" s="429"/>
      <c r="BL29" s="429"/>
      <c r="BM29" s="430"/>
      <c r="BN29" s="429"/>
      <c r="BO29" s="429"/>
      <c r="BP29" s="429"/>
      <c r="BQ29" s="431"/>
      <c r="BR29" s="429"/>
      <c r="BS29" s="429"/>
      <c r="BT29" s="429"/>
      <c r="BU29" s="432"/>
      <c r="BV29" s="433"/>
      <c r="BW29" s="433"/>
      <c r="BX29" s="433"/>
      <c r="BY29" s="431"/>
      <c r="BZ29" s="429"/>
      <c r="CA29" s="429"/>
      <c r="CB29" s="429"/>
      <c r="CC29" s="432"/>
      <c r="CD29" s="433"/>
      <c r="CE29" s="433"/>
      <c r="CF29" s="433"/>
      <c r="CG29" s="431"/>
      <c r="CH29" s="429"/>
      <c r="CI29" s="429"/>
      <c r="CJ29" s="429"/>
      <c r="CK29" s="432"/>
      <c r="CL29" s="433"/>
      <c r="CM29" s="433"/>
      <c r="CN29" s="433"/>
      <c r="CO29" s="431"/>
      <c r="CP29" s="429"/>
      <c r="CQ29" s="429"/>
      <c r="CR29" s="429"/>
      <c r="CS29" s="432"/>
      <c r="CT29" s="433"/>
      <c r="CU29" s="433"/>
      <c r="CV29" s="433"/>
      <c r="CW29" s="431"/>
      <c r="CX29" s="429"/>
      <c r="CY29" s="429"/>
      <c r="CZ29" s="429"/>
      <c r="DA29" s="432"/>
      <c r="DB29" s="433"/>
      <c r="DC29" s="433"/>
      <c r="DD29" s="433"/>
      <c r="DE29" s="431"/>
      <c r="DF29" s="429"/>
      <c r="DG29" s="429"/>
      <c r="DH29" s="429"/>
      <c r="DI29" s="432"/>
      <c r="DJ29" s="433"/>
      <c r="DK29" s="433"/>
      <c r="DL29" s="433"/>
      <c r="DM29" s="431"/>
      <c r="DN29" s="429"/>
      <c r="DO29" s="429"/>
      <c r="DP29" s="429"/>
      <c r="DQ29" s="432"/>
      <c r="DR29" s="433"/>
      <c r="DS29" s="433"/>
      <c r="DT29" s="433"/>
      <c r="DU29" s="431"/>
      <c r="DV29" s="429"/>
      <c r="DW29" s="429"/>
      <c r="DX29" s="429"/>
      <c r="DY29" s="432"/>
      <c r="DZ29" s="433"/>
      <c r="EA29" s="433"/>
      <c r="EB29" s="433"/>
    </row>
    <row r="30" spans="1:132" s="318" customFormat="1" ht="41.15" customHeight="1" x14ac:dyDescent="0.35">
      <c r="A30" s="342"/>
      <c r="B30" s="449">
        <v>21</v>
      </c>
      <c r="C30" s="413" t="s">
        <v>1014</v>
      </c>
      <c r="D30" s="412" t="s">
        <v>1015</v>
      </c>
      <c r="E30" s="409" t="s">
        <v>117</v>
      </c>
      <c r="F30" s="436" t="s">
        <v>960</v>
      </c>
      <c r="G30" s="411">
        <v>45930</v>
      </c>
      <c r="H30" s="435" t="s">
        <v>688</v>
      </c>
      <c r="I30" s="326"/>
      <c r="J30" s="18"/>
      <c r="K30" s="18"/>
      <c r="L30" s="18"/>
      <c r="M30" s="325"/>
      <c r="N30" s="18"/>
      <c r="O30" s="18"/>
      <c r="P30" s="18"/>
      <c r="Q30" s="326"/>
      <c r="R30" s="18"/>
      <c r="S30" s="18"/>
      <c r="T30" s="18"/>
      <c r="U30" s="325"/>
      <c r="V30" s="18"/>
      <c r="W30" s="18"/>
      <c r="X30" s="18"/>
      <c r="Y30" s="326"/>
      <c r="Z30" s="18"/>
      <c r="AA30" s="18"/>
      <c r="AB30" s="18"/>
      <c r="AC30" s="325"/>
      <c r="AD30" s="18"/>
      <c r="AE30" s="18"/>
      <c r="AF30" s="18"/>
      <c r="AG30" s="326"/>
      <c r="AH30" s="18"/>
      <c r="AI30" s="18"/>
      <c r="AJ30" s="18"/>
      <c r="AK30" s="325"/>
      <c r="AL30" s="18"/>
      <c r="AM30" s="18"/>
      <c r="AN30" s="18"/>
      <c r="AO30" s="326"/>
      <c r="AP30" s="18"/>
      <c r="AQ30" s="18"/>
      <c r="AR30" s="18"/>
      <c r="AS30" s="325"/>
      <c r="AT30" s="18"/>
      <c r="AU30" s="324"/>
      <c r="AV30" s="321"/>
      <c r="AW30" s="323"/>
      <c r="AX30" s="321"/>
      <c r="AY30" s="321"/>
      <c r="AZ30" s="321"/>
      <c r="BA30" s="322"/>
      <c r="BB30" s="321"/>
      <c r="BC30" s="321"/>
      <c r="BD30" s="321"/>
      <c r="BE30" s="323"/>
      <c r="BF30" s="321"/>
      <c r="BG30" s="321"/>
      <c r="BH30" s="321"/>
      <c r="BI30" s="322"/>
      <c r="BJ30" s="321"/>
      <c r="BK30" s="321"/>
      <c r="BL30" s="321"/>
      <c r="BM30" s="323"/>
      <c r="BN30" s="321"/>
      <c r="BO30" s="321"/>
      <c r="BP30" s="321"/>
      <c r="BQ30" s="322"/>
      <c r="BR30" s="321"/>
      <c r="BS30" s="321"/>
      <c r="BT30" s="321"/>
      <c r="BU30" s="320"/>
      <c r="BV30" s="319"/>
      <c r="BW30" s="319"/>
      <c r="BX30" s="319"/>
      <c r="BY30" s="322"/>
      <c r="BZ30" s="321"/>
      <c r="CA30" s="321"/>
      <c r="CB30" s="321"/>
      <c r="CC30" s="320"/>
      <c r="CD30" s="319"/>
      <c r="CE30" s="319"/>
      <c r="CF30" s="319"/>
      <c r="CG30" s="322"/>
      <c r="CH30" s="321"/>
      <c r="CI30" s="321"/>
      <c r="CJ30" s="321"/>
      <c r="CK30" s="320"/>
      <c r="CL30" s="319"/>
      <c r="CM30" s="319"/>
      <c r="CN30" s="319"/>
      <c r="CO30" s="322"/>
      <c r="CP30" s="321"/>
      <c r="CQ30" s="321"/>
      <c r="CR30" s="321"/>
      <c r="CS30" s="320"/>
      <c r="CT30" s="319"/>
      <c r="CU30" s="319"/>
      <c r="CV30" s="319"/>
      <c r="CW30" s="322"/>
      <c r="CX30" s="321"/>
      <c r="CY30" s="321"/>
      <c r="CZ30" s="321"/>
      <c r="DA30" s="320"/>
      <c r="DB30" s="319"/>
      <c r="DC30" s="319"/>
      <c r="DD30" s="319"/>
      <c r="DE30" s="322"/>
      <c r="DF30" s="321"/>
      <c r="DG30" s="321"/>
      <c r="DH30" s="321"/>
      <c r="DI30" s="320"/>
      <c r="DJ30" s="319"/>
      <c r="DK30" s="319"/>
      <c r="DL30" s="319"/>
      <c r="DM30" s="322"/>
      <c r="DN30" s="321"/>
      <c r="DO30" s="321"/>
      <c r="DP30" s="321"/>
      <c r="DQ30" s="320"/>
      <c r="DR30" s="319"/>
      <c r="DS30" s="319"/>
      <c r="DT30" s="319"/>
      <c r="DU30" s="322"/>
      <c r="DV30" s="321"/>
      <c r="DW30" s="321"/>
      <c r="DX30" s="321"/>
      <c r="DY30" s="320"/>
      <c r="DZ30" s="319"/>
      <c r="EA30" s="319"/>
      <c r="EB30" s="319"/>
    </row>
    <row r="31" spans="1:132" s="318" customFormat="1" ht="51.65" customHeight="1" x14ac:dyDescent="0.35">
      <c r="A31" s="342"/>
      <c r="B31" s="449">
        <v>22</v>
      </c>
      <c r="C31" s="413" t="s">
        <v>1016</v>
      </c>
      <c r="D31" s="412" t="s">
        <v>1017</v>
      </c>
      <c r="E31" s="409" t="s">
        <v>117</v>
      </c>
      <c r="F31" s="436" t="s">
        <v>988</v>
      </c>
      <c r="G31" s="411">
        <v>45930</v>
      </c>
      <c r="H31" s="435" t="s">
        <v>1018</v>
      </c>
      <c r="I31" s="326"/>
      <c r="J31" s="18"/>
      <c r="K31" s="18"/>
      <c r="L31" s="18"/>
      <c r="M31" s="325"/>
      <c r="N31" s="18"/>
      <c r="O31" s="18"/>
      <c r="P31" s="18"/>
      <c r="Q31" s="326"/>
      <c r="R31" s="18"/>
      <c r="S31" s="18"/>
      <c r="T31" s="18"/>
      <c r="U31" s="325"/>
      <c r="V31" s="18"/>
      <c r="W31" s="18"/>
      <c r="X31" s="18"/>
      <c r="Y31" s="326"/>
      <c r="Z31" s="18"/>
      <c r="AA31" s="18"/>
      <c r="AB31" s="18"/>
      <c r="AC31" s="325"/>
      <c r="AD31" s="18"/>
      <c r="AE31" s="18"/>
      <c r="AF31" s="18"/>
      <c r="AG31" s="326"/>
      <c r="AH31" s="18"/>
      <c r="AI31" s="18"/>
      <c r="AJ31" s="18"/>
      <c r="AK31" s="325"/>
      <c r="AL31" s="18"/>
      <c r="AM31" s="18"/>
      <c r="AN31" s="18"/>
      <c r="AO31" s="326"/>
      <c r="AP31" s="18"/>
      <c r="AQ31" s="18"/>
      <c r="AR31" s="18"/>
      <c r="AS31" s="325"/>
      <c r="AT31" s="18"/>
      <c r="AU31" s="324"/>
      <c r="AV31" s="321"/>
      <c r="AW31" s="323"/>
      <c r="AX31" s="321"/>
      <c r="AY31" s="321"/>
      <c r="AZ31" s="321"/>
      <c r="BA31" s="322"/>
      <c r="BB31" s="321"/>
      <c r="BC31" s="321"/>
      <c r="BD31" s="321"/>
      <c r="BE31" s="323"/>
      <c r="BF31" s="321"/>
      <c r="BG31" s="321"/>
      <c r="BH31" s="321"/>
      <c r="BI31" s="322"/>
      <c r="BJ31" s="321"/>
      <c r="BK31" s="321"/>
      <c r="BL31" s="321"/>
      <c r="BM31" s="323"/>
      <c r="BN31" s="321"/>
      <c r="BO31" s="321"/>
      <c r="BP31" s="321"/>
      <c r="BQ31" s="322"/>
      <c r="BR31" s="321"/>
      <c r="BS31" s="321"/>
      <c r="BT31" s="321"/>
      <c r="BU31" s="320"/>
      <c r="BV31" s="319"/>
      <c r="BW31" s="319"/>
      <c r="BX31" s="319"/>
      <c r="BY31" s="322"/>
      <c r="BZ31" s="321"/>
      <c r="CA31" s="321"/>
      <c r="CB31" s="321"/>
      <c r="CC31" s="320"/>
      <c r="CD31" s="319"/>
      <c r="CE31" s="319"/>
      <c r="CF31" s="319"/>
      <c r="CG31" s="322"/>
      <c r="CH31" s="321"/>
      <c r="CI31" s="321"/>
      <c r="CJ31" s="321"/>
      <c r="CK31" s="320"/>
      <c r="CL31" s="319"/>
      <c r="CM31" s="319"/>
      <c r="CN31" s="319"/>
      <c r="CO31" s="322"/>
      <c r="CP31" s="321"/>
      <c r="CQ31" s="321"/>
      <c r="CR31" s="321"/>
      <c r="CS31" s="320"/>
      <c r="CT31" s="319"/>
      <c r="CU31" s="319"/>
      <c r="CV31" s="319"/>
      <c r="CW31" s="322"/>
      <c r="CX31" s="321"/>
      <c r="CY31" s="321"/>
      <c r="CZ31" s="321"/>
      <c r="DA31" s="320"/>
      <c r="DB31" s="319"/>
      <c r="DC31" s="319"/>
      <c r="DD31" s="319"/>
      <c r="DE31" s="322"/>
      <c r="DF31" s="321"/>
      <c r="DG31" s="321"/>
      <c r="DH31" s="321"/>
      <c r="DI31" s="320"/>
      <c r="DJ31" s="319"/>
      <c r="DK31" s="319"/>
      <c r="DL31" s="319"/>
      <c r="DM31" s="322"/>
      <c r="DN31" s="321"/>
      <c r="DO31" s="321"/>
      <c r="DP31" s="321"/>
      <c r="DQ31" s="320"/>
      <c r="DR31" s="319"/>
      <c r="DS31" s="319"/>
      <c r="DT31" s="319"/>
      <c r="DU31" s="322"/>
      <c r="DV31" s="321"/>
      <c r="DW31" s="321"/>
      <c r="DX31" s="321"/>
      <c r="DY31" s="320"/>
      <c r="DZ31" s="319"/>
      <c r="EA31" s="319"/>
      <c r="EB31" s="319"/>
    </row>
    <row r="32" spans="1:132" s="318" customFormat="1" ht="60" x14ac:dyDescent="0.35">
      <c r="A32" s="342"/>
      <c r="B32" s="449">
        <v>23</v>
      </c>
      <c r="C32" s="413" t="s">
        <v>1019</v>
      </c>
      <c r="D32" s="412" t="s">
        <v>1020</v>
      </c>
      <c r="E32" s="409" t="s">
        <v>117</v>
      </c>
      <c r="F32" s="436" t="s">
        <v>1021</v>
      </c>
      <c r="G32" s="411">
        <v>45931</v>
      </c>
      <c r="H32" s="435" t="s">
        <v>1022</v>
      </c>
      <c r="I32" s="326"/>
      <c r="J32" s="18"/>
      <c r="K32" s="18"/>
      <c r="L32" s="18"/>
      <c r="M32" s="325"/>
      <c r="N32" s="18"/>
      <c r="O32" s="18"/>
      <c r="P32" s="18"/>
      <c r="Q32" s="326"/>
      <c r="R32" s="18"/>
      <c r="S32" s="18"/>
      <c r="T32" s="18"/>
      <c r="U32" s="325"/>
      <c r="V32" s="18"/>
      <c r="W32" s="18"/>
      <c r="X32" s="18"/>
      <c r="Y32" s="326"/>
      <c r="Z32" s="18"/>
      <c r="AA32" s="18"/>
      <c r="AB32" s="18"/>
      <c r="AC32" s="325"/>
      <c r="AD32" s="18"/>
      <c r="AE32" s="18"/>
      <c r="AF32" s="18"/>
      <c r="AG32" s="326"/>
      <c r="AH32" s="18"/>
      <c r="AI32" s="18"/>
      <c r="AJ32" s="18"/>
      <c r="AK32" s="325"/>
      <c r="AL32" s="18"/>
      <c r="AM32" s="18"/>
      <c r="AN32" s="18"/>
      <c r="AO32" s="326"/>
      <c r="AP32" s="18"/>
      <c r="AQ32" s="18"/>
      <c r="AR32" s="18"/>
      <c r="AS32" s="325"/>
      <c r="AT32" s="18"/>
      <c r="AU32" s="324"/>
      <c r="AV32" s="321"/>
      <c r="AW32" s="323"/>
      <c r="AX32" s="321"/>
      <c r="AY32" s="321"/>
      <c r="AZ32" s="321"/>
      <c r="BA32" s="322"/>
      <c r="BB32" s="321"/>
      <c r="BC32" s="321"/>
      <c r="BD32" s="321"/>
      <c r="BE32" s="323"/>
      <c r="BF32" s="321"/>
      <c r="BG32" s="321"/>
      <c r="BH32" s="321"/>
      <c r="BI32" s="322"/>
      <c r="BJ32" s="321"/>
      <c r="BK32" s="321"/>
      <c r="BL32" s="321"/>
      <c r="BM32" s="323"/>
      <c r="BN32" s="321"/>
      <c r="BO32" s="321"/>
      <c r="BP32" s="321"/>
      <c r="BQ32" s="322"/>
      <c r="BR32" s="321"/>
      <c r="BS32" s="321"/>
      <c r="BT32" s="321"/>
      <c r="BU32" s="320"/>
      <c r="BV32" s="319"/>
      <c r="BW32" s="319"/>
      <c r="BX32" s="319"/>
      <c r="BY32" s="322"/>
      <c r="BZ32" s="321"/>
      <c r="CA32" s="321"/>
      <c r="CB32" s="321"/>
      <c r="CC32" s="320"/>
      <c r="CD32" s="319"/>
      <c r="CE32" s="319"/>
      <c r="CF32" s="319"/>
      <c r="CG32" s="322"/>
      <c r="CH32" s="321"/>
      <c r="CI32" s="321"/>
      <c r="CJ32" s="321"/>
      <c r="CK32" s="320"/>
      <c r="CL32" s="319"/>
      <c r="CM32" s="319"/>
      <c r="CN32" s="319"/>
      <c r="CO32" s="322"/>
      <c r="CP32" s="321"/>
      <c r="CQ32" s="321"/>
      <c r="CR32" s="321"/>
      <c r="CS32" s="320"/>
      <c r="CT32" s="319"/>
      <c r="CU32" s="319"/>
      <c r="CV32" s="319"/>
      <c r="CW32" s="322"/>
      <c r="CX32" s="321"/>
      <c r="CY32" s="321"/>
      <c r="CZ32" s="321"/>
      <c r="DA32" s="320"/>
      <c r="DB32" s="319"/>
      <c r="DC32" s="319"/>
      <c r="DD32" s="319"/>
      <c r="DE32" s="322"/>
      <c r="DF32" s="321"/>
      <c r="DG32" s="321"/>
      <c r="DH32" s="321"/>
      <c r="DI32" s="320"/>
      <c r="DJ32" s="319"/>
      <c r="DK32" s="319"/>
      <c r="DL32" s="319"/>
      <c r="DM32" s="322"/>
      <c r="DN32" s="321"/>
      <c r="DO32" s="321"/>
      <c r="DP32" s="321"/>
      <c r="DQ32" s="320"/>
      <c r="DR32" s="319"/>
      <c r="DS32" s="319"/>
      <c r="DT32" s="319"/>
      <c r="DU32" s="322"/>
      <c r="DV32" s="321"/>
      <c r="DW32" s="321"/>
      <c r="DX32" s="321"/>
      <c r="DY32" s="320"/>
      <c r="DZ32" s="319"/>
      <c r="EA32" s="319"/>
      <c r="EB32" s="319"/>
    </row>
    <row r="33" spans="1:132" s="318" customFormat="1" ht="62.15" customHeight="1" x14ac:dyDescent="0.35">
      <c r="A33" s="342"/>
      <c r="B33" s="449">
        <v>24</v>
      </c>
      <c r="C33" s="462" t="s">
        <v>1023</v>
      </c>
      <c r="D33" s="339" t="s">
        <v>1024</v>
      </c>
      <c r="E33" s="338" t="s">
        <v>117</v>
      </c>
      <c r="F33" s="344" t="s">
        <v>1025</v>
      </c>
      <c r="G33" s="336">
        <v>45931</v>
      </c>
      <c r="H33" s="348" t="s">
        <v>1022</v>
      </c>
      <c r="I33" s="326"/>
      <c r="J33" s="18"/>
      <c r="K33" s="18"/>
      <c r="L33" s="18"/>
      <c r="M33" s="325"/>
      <c r="N33" s="18"/>
      <c r="O33" s="18"/>
      <c r="P33" s="18"/>
      <c r="Q33" s="326"/>
      <c r="R33" s="18"/>
      <c r="S33" s="18"/>
      <c r="T33" s="18"/>
      <c r="U33" s="325"/>
      <c r="V33" s="18"/>
      <c r="W33" s="18"/>
      <c r="X33" s="18"/>
      <c r="Y33" s="326"/>
      <c r="Z33" s="18"/>
      <c r="AA33" s="18"/>
      <c r="AB33" s="18"/>
      <c r="AC33" s="325"/>
      <c r="AD33" s="18"/>
      <c r="AE33" s="18"/>
      <c r="AF33" s="18"/>
      <c r="AG33" s="326"/>
      <c r="AH33" s="18"/>
      <c r="AI33" s="18"/>
      <c r="AJ33" s="18"/>
      <c r="AK33" s="325"/>
      <c r="AL33" s="18"/>
      <c r="AM33" s="18"/>
      <c r="AN33" s="18"/>
      <c r="AO33" s="326"/>
      <c r="AP33" s="18"/>
      <c r="AQ33" s="18"/>
      <c r="AR33" s="18"/>
      <c r="AS33" s="325"/>
      <c r="AT33" s="18"/>
      <c r="AU33" s="324"/>
      <c r="AV33" s="321"/>
      <c r="AW33" s="323"/>
      <c r="AX33" s="321"/>
      <c r="AY33" s="321"/>
      <c r="AZ33" s="321"/>
      <c r="BA33" s="322"/>
      <c r="BB33" s="321"/>
      <c r="BC33" s="321"/>
      <c r="BD33" s="321"/>
      <c r="BE33" s="323"/>
      <c r="BF33" s="321"/>
      <c r="BG33" s="321"/>
      <c r="BH33" s="321"/>
      <c r="BI33" s="322"/>
      <c r="BJ33" s="321"/>
      <c r="BK33" s="321"/>
      <c r="BL33" s="321"/>
      <c r="BM33" s="323"/>
      <c r="BN33" s="321"/>
      <c r="BO33" s="321"/>
      <c r="BP33" s="321"/>
      <c r="BQ33" s="322"/>
      <c r="BR33" s="321"/>
      <c r="BS33" s="321"/>
      <c r="BT33" s="321"/>
      <c r="BU33" s="320"/>
      <c r="BV33" s="319"/>
      <c r="BW33" s="319"/>
      <c r="BX33" s="319"/>
      <c r="BY33" s="322"/>
      <c r="BZ33" s="321"/>
      <c r="CA33" s="321"/>
      <c r="CB33" s="321"/>
      <c r="CC33" s="320"/>
      <c r="CD33" s="319"/>
      <c r="CE33" s="319"/>
      <c r="CF33" s="319"/>
      <c r="CG33" s="322"/>
      <c r="CH33" s="321"/>
      <c r="CI33" s="321"/>
      <c r="CJ33" s="321"/>
      <c r="CK33" s="320"/>
      <c r="CL33" s="319"/>
      <c r="CM33" s="319"/>
      <c r="CN33" s="319"/>
      <c r="CO33" s="322"/>
      <c r="CP33" s="321"/>
      <c r="CQ33" s="321"/>
      <c r="CR33" s="321"/>
      <c r="CS33" s="320"/>
      <c r="CT33" s="319"/>
      <c r="CU33" s="319"/>
      <c r="CV33" s="319"/>
      <c r="CW33" s="322"/>
      <c r="CX33" s="321"/>
      <c r="CY33" s="321"/>
      <c r="CZ33" s="321"/>
      <c r="DA33" s="320"/>
      <c r="DB33" s="319"/>
      <c r="DC33" s="319"/>
      <c r="DD33" s="319"/>
      <c r="DE33" s="322"/>
      <c r="DF33" s="321"/>
      <c r="DG33" s="321"/>
      <c r="DH33" s="321"/>
      <c r="DI33" s="320"/>
      <c r="DJ33" s="319"/>
      <c r="DK33" s="319"/>
      <c r="DL33" s="319"/>
      <c r="DM33" s="322"/>
      <c r="DN33" s="321"/>
      <c r="DO33" s="321"/>
      <c r="DP33" s="321"/>
      <c r="DQ33" s="320"/>
      <c r="DR33" s="319"/>
      <c r="DS33" s="319"/>
      <c r="DT33" s="319"/>
      <c r="DU33" s="322"/>
      <c r="DV33" s="321"/>
      <c r="DW33" s="321"/>
      <c r="DX33" s="321"/>
      <c r="DY33" s="320"/>
      <c r="DZ33" s="319"/>
      <c r="EA33" s="319"/>
      <c r="EB33" s="319"/>
    </row>
    <row r="34" spans="1:132" s="318" customFormat="1" ht="83.5" customHeight="1" x14ac:dyDescent="0.35">
      <c r="A34" s="342"/>
      <c r="B34" s="449">
        <v>25</v>
      </c>
      <c r="C34" s="462" t="s">
        <v>1026</v>
      </c>
      <c r="D34" s="339" t="s">
        <v>1027</v>
      </c>
      <c r="E34" s="338" t="s">
        <v>117</v>
      </c>
      <c r="F34" s="463" t="s">
        <v>1028</v>
      </c>
      <c r="G34" s="336">
        <v>45932</v>
      </c>
      <c r="H34" s="348" t="s">
        <v>1029</v>
      </c>
      <c r="I34" s="326"/>
      <c r="J34" s="18"/>
      <c r="K34" s="18"/>
      <c r="L34" s="18"/>
      <c r="M34" s="325"/>
      <c r="N34" s="18"/>
      <c r="O34" s="18"/>
      <c r="P34" s="18"/>
      <c r="Q34" s="326"/>
      <c r="R34" s="18"/>
      <c r="S34" s="18"/>
      <c r="T34" s="18"/>
      <c r="U34" s="325"/>
      <c r="V34" s="18"/>
      <c r="W34" s="18"/>
      <c r="X34" s="18"/>
      <c r="Y34" s="326"/>
      <c r="Z34" s="18"/>
      <c r="AA34" s="18"/>
      <c r="AB34" s="18"/>
      <c r="AC34" s="325"/>
      <c r="AD34" s="18"/>
      <c r="AE34" s="18"/>
      <c r="AF34" s="18"/>
      <c r="AG34" s="326"/>
      <c r="AH34" s="18"/>
      <c r="AI34" s="18"/>
      <c r="AJ34" s="18"/>
      <c r="AK34" s="325"/>
      <c r="AL34" s="18"/>
      <c r="AM34" s="18"/>
      <c r="AN34" s="18"/>
      <c r="AO34" s="326"/>
      <c r="AP34" s="18"/>
      <c r="AQ34" s="18"/>
      <c r="AR34" s="18"/>
      <c r="AS34" s="325"/>
      <c r="AT34" s="18"/>
      <c r="AU34" s="324"/>
      <c r="AV34" s="321"/>
      <c r="AW34" s="323"/>
      <c r="AX34" s="321"/>
      <c r="AY34" s="321"/>
      <c r="AZ34" s="321"/>
      <c r="BA34" s="322"/>
      <c r="BB34" s="321"/>
      <c r="BC34" s="321"/>
      <c r="BD34" s="321"/>
      <c r="BE34" s="323"/>
      <c r="BF34" s="321"/>
      <c r="BG34" s="321"/>
      <c r="BH34" s="321"/>
      <c r="BI34" s="322"/>
      <c r="BJ34" s="321"/>
      <c r="BK34" s="321"/>
      <c r="BL34" s="321"/>
      <c r="BM34" s="323"/>
      <c r="BN34" s="321"/>
      <c r="BO34" s="321"/>
      <c r="BP34" s="321"/>
      <c r="BQ34" s="322"/>
      <c r="BR34" s="321"/>
      <c r="BS34" s="321"/>
      <c r="BT34" s="321"/>
      <c r="BU34" s="320"/>
      <c r="BV34" s="319"/>
      <c r="BW34" s="319"/>
      <c r="BX34" s="319"/>
      <c r="BY34" s="322"/>
      <c r="BZ34" s="321"/>
      <c r="CA34" s="321"/>
      <c r="CB34" s="321"/>
      <c r="CC34" s="320"/>
      <c r="CD34" s="319"/>
      <c r="CE34" s="319"/>
      <c r="CF34" s="319"/>
      <c r="CG34" s="322"/>
      <c r="CH34" s="321"/>
      <c r="CI34" s="321"/>
      <c r="CJ34" s="321"/>
      <c r="CK34" s="320"/>
      <c r="CL34" s="319"/>
      <c r="CM34" s="319"/>
      <c r="CN34" s="319"/>
      <c r="CO34" s="322"/>
      <c r="CP34" s="321"/>
      <c r="CQ34" s="321"/>
      <c r="CR34" s="321"/>
      <c r="CS34" s="320"/>
      <c r="CT34" s="319"/>
      <c r="CU34" s="319"/>
      <c r="CV34" s="319"/>
      <c r="CW34" s="322"/>
      <c r="CX34" s="321"/>
      <c r="CY34" s="321"/>
      <c r="CZ34" s="321"/>
      <c r="DA34" s="320"/>
      <c r="DB34" s="319"/>
      <c r="DC34" s="319"/>
      <c r="DD34" s="319"/>
      <c r="DE34" s="322"/>
      <c r="DF34" s="321"/>
      <c r="DG34" s="321"/>
      <c r="DH34" s="321"/>
      <c r="DI34" s="320"/>
      <c r="DJ34" s="319"/>
      <c r="DK34" s="319"/>
      <c r="DL34" s="319"/>
      <c r="DM34" s="322"/>
      <c r="DN34" s="321"/>
      <c r="DO34" s="321"/>
      <c r="DP34" s="321"/>
      <c r="DQ34" s="320"/>
      <c r="DR34" s="319"/>
      <c r="DS34" s="319"/>
      <c r="DT34" s="319"/>
      <c r="DU34" s="322"/>
      <c r="DV34" s="321"/>
      <c r="DW34" s="321"/>
      <c r="DX34" s="321"/>
      <c r="DY34" s="320"/>
      <c r="DZ34" s="319"/>
      <c r="EA34" s="319"/>
      <c r="EB34" s="319"/>
    </row>
    <row r="35" spans="1:132" s="318" customFormat="1" ht="58.5" customHeight="1" x14ac:dyDescent="0.35">
      <c r="A35" s="342"/>
      <c r="B35" s="449">
        <v>26</v>
      </c>
      <c r="C35" s="462" t="s">
        <v>1030</v>
      </c>
      <c r="D35" s="464" t="s">
        <v>1031</v>
      </c>
      <c r="E35" s="338" t="s">
        <v>1032</v>
      </c>
      <c r="F35" s="344" t="s">
        <v>1033</v>
      </c>
      <c r="G35" s="336">
        <v>45936</v>
      </c>
      <c r="H35" s="348" t="s">
        <v>1003</v>
      </c>
      <c r="I35" s="326"/>
      <c r="J35" s="18"/>
      <c r="K35" s="18"/>
      <c r="L35" s="18"/>
      <c r="M35" s="325"/>
      <c r="N35" s="18"/>
      <c r="O35" s="18"/>
      <c r="P35" s="18"/>
      <c r="Q35" s="326"/>
      <c r="R35" s="18"/>
      <c r="S35" s="18"/>
      <c r="T35" s="18"/>
      <c r="U35" s="325"/>
      <c r="V35" s="18"/>
      <c r="W35" s="18"/>
      <c r="X35" s="18"/>
      <c r="Y35" s="326"/>
      <c r="Z35" s="18"/>
      <c r="AA35" s="18"/>
      <c r="AB35" s="18"/>
      <c r="AC35" s="325"/>
      <c r="AD35" s="18"/>
      <c r="AE35" s="18"/>
      <c r="AF35" s="18"/>
      <c r="AG35" s="326"/>
      <c r="AH35" s="18"/>
      <c r="AI35" s="18"/>
      <c r="AJ35" s="18"/>
      <c r="AK35" s="325"/>
      <c r="AL35" s="18"/>
      <c r="AM35" s="18"/>
      <c r="AN35" s="18"/>
      <c r="AO35" s="326"/>
      <c r="AP35" s="18"/>
      <c r="AQ35" s="18"/>
      <c r="AR35" s="18"/>
      <c r="AS35" s="325"/>
      <c r="AT35" s="18"/>
      <c r="AU35" s="324"/>
      <c r="AV35" s="321"/>
      <c r="AW35" s="323"/>
      <c r="AX35" s="321"/>
      <c r="AY35" s="321"/>
      <c r="AZ35" s="321"/>
      <c r="BA35" s="322"/>
      <c r="BB35" s="321"/>
      <c r="BC35" s="321"/>
      <c r="BD35" s="321"/>
      <c r="BE35" s="323"/>
      <c r="BF35" s="321"/>
      <c r="BG35" s="321"/>
      <c r="BH35" s="321"/>
      <c r="BI35" s="322"/>
      <c r="BJ35" s="321"/>
      <c r="BK35" s="321"/>
      <c r="BL35" s="321"/>
      <c r="BM35" s="323"/>
      <c r="BN35" s="321"/>
      <c r="BO35" s="321"/>
      <c r="BP35" s="321"/>
      <c r="BQ35" s="322"/>
      <c r="BR35" s="321"/>
      <c r="BS35" s="321"/>
      <c r="BT35" s="321"/>
      <c r="BU35" s="320"/>
      <c r="BV35" s="319"/>
      <c r="BW35" s="319"/>
      <c r="BX35" s="319"/>
      <c r="BY35" s="322"/>
      <c r="BZ35" s="321"/>
      <c r="CA35" s="321"/>
      <c r="CB35" s="321"/>
      <c r="CC35" s="320"/>
      <c r="CD35" s="319"/>
      <c r="CE35" s="319"/>
      <c r="CF35" s="319"/>
      <c r="CG35" s="322"/>
      <c r="CH35" s="321"/>
      <c r="CI35" s="321"/>
      <c r="CJ35" s="321"/>
      <c r="CK35" s="320"/>
      <c r="CL35" s="319"/>
      <c r="CM35" s="319"/>
      <c r="CN35" s="319"/>
      <c r="CO35" s="322"/>
      <c r="CP35" s="321"/>
      <c r="CQ35" s="321"/>
      <c r="CR35" s="321"/>
      <c r="CS35" s="320"/>
      <c r="CT35" s="319"/>
      <c r="CU35" s="319"/>
      <c r="CV35" s="319"/>
      <c r="CW35" s="322"/>
      <c r="CX35" s="321"/>
      <c r="CY35" s="321"/>
      <c r="CZ35" s="321"/>
      <c r="DA35" s="320"/>
      <c r="DB35" s="319"/>
      <c r="DC35" s="319"/>
      <c r="DD35" s="319"/>
      <c r="DE35" s="322"/>
      <c r="DF35" s="321"/>
      <c r="DG35" s="321"/>
      <c r="DH35" s="321"/>
      <c r="DI35" s="320"/>
      <c r="DJ35" s="319"/>
      <c r="DK35" s="319"/>
      <c r="DL35" s="319"/>
      <c r="DM35" s="322"/>
      <c r="DN35" s="321"/>
      <c r="DO35" s="321"/>
      <c r="DP35" s="321"/>
      <c r="DQ35" s="320"/>
      <c r="DR35" s="319"/>
      <c r="DS35" s="319"/>
      <c r="DT35" s="319"/>
      <c r="DU35" s="322"/>
      <c r="DV35" s="321"/>
      <c r="DW35" s="321"/>
      <c r="DX35" s="321"/>
      <c r="DY35" s="320"/>
      <c r="DZ35" s="319"/>
      <c r="EA35" s="319"/>
      <c r="EB35" s="319"/>
    </row>
    <row r="36" spans="1:132" s="318" customFormat="1" ht="63.65" customHeight="1" x14ac:dyDescent="0.35">
      <c r="A36" s="345"/>
      <c r="B36" s="449">
        <v>27</v>
      </c>
      <c r="C36" s="462" t="s">
        <v>1034</v>
      </c>
      <c r="D36" s="339" t="s">
        <v>1011</v>
      </c>
      <c r="E36" s="347" t="s">
        <v>48</v>
      </c>
      <c r="F36" s="344" t="s">
        <v>1035</v>
      </c>
      <c r="G36" s="336">
        <v>45936</v>
      </c>
      <c r="H36" s="348" t="s">
        <v>1036</v>
      </c>
      <c r="I36" s="326"/>
      <c r="J36" s="18"/>
      <c r="K36" s="18"/>
      <c r="L36" s="18"/>
      <c r="M36" s="325"/>
      <c r="N36" s="18"/>
      <c r="O36" s="18"/>
      <c r="P36" s="18"/>
      <c r="Q36" s="326"/>
      <c r="R36" s="18"/>
      <c r="S36" s="18"/>
      <c r="T36" s="18"/>
      <c r="U36" s="325"/>
      <c r="V36" s="18"/>
      <c r="W36" s="18"/>
      <c r="X36" s="18"/>
      <c r="Y36" s="326"/>
      <c r="Z36" s="18"/>
      <c r="AA36" s="18"/>
      <c r="AB36" s="18"/>
      <c r="AC36" s="325"/>
      <c r="AD36" s="18"/>
      <c r="AE36" s="18"/>
      <c r="AF36" s="18"/>
      <c r="AG36" s="326"/>
      <c r="AH36" s="18"/>
      <c r="AI36" s="18"/>
      <c r="AJ36" s="18"/>
      <c r="AK36" s="325"/>
      <c r="AL36" s="18"/>
      <c r="AM36" s="18"/>
      <c r="AN36" s="18"/>
      <c r="AO36" s="326"/>
      <c r="AP36" s="18"/>
      <c r="AQ36" s="18"/>
      <c r="AR36" s="18"/>
      <c r="AS36" s="325"/>
      <c r="AT36" s="18"/>
      <c r="AU36" s="324"/>
      <c r="AV36" s="321"/>
      <c r="AW36" s="323"/>
      <c r="AX36" s="321"/>
      <c r="AY36" s="321"/>
      <c r="AZ36" s="321"/>
      <c r="BA36" s="322"/>
      <c r="BB36" s="321"/>
      <c r="BC36" s="321"/>
      <c r="BD36" s="321"/>
      <c r="BE36" s="323"/>
      <c r="BF36" s="321"/>
      <c r="BG36" s="321"/>
      <c r="BH36" s="321"/>
      <c r="BI36" s="322"/>
      <c r="BJ36" s="321"/>
      <c r="BK36" s="321"/>
      <c r="BL36" s="321"/>
      <c r="BM36" s="323"/>
      <c r="BN36" s="321"/>
      <c r="BO36" s="321"/>
      <c r="BP36" s="321"/>
      <c r="BQ36" s="322"/>
      <c r="BR36" s="321"/>
      <c r="BS36" s="321"/>
      <c r="BT36" s="321"/>
      <c r="BU36" s="320"/>
      <c r="BV36" s="319"/>
      <c r="BW36" s="319"/>
      <c r="BX36" s="319"/>
      <c r="BY36" s="322"/>
      <c r="BZ36" s="321"/>
      <c r="CA36" s="321"/>
      <c r="CB36" s="321"/>
      <c r="CC36" s="320"/>
      <c r="CD36" s="319"/>
      <c r="CE36" s="319"/>
      <c r="CF36" s="319"/>
      <c r="CG36" s="322"/>
      <c r="CH36" s="321"/>
      <c r="CI36" s="321"/>
      <c r="CJ36" s="321"/>
      <c r="CK36" s="320"/>
      <c r="CL36" s="319"/>
      <c r="CM36" s="319"/>
      <c r="CN36" s="319"/>
      <c r="CO36" s="322"/>
      <c r="CP36" s="321"/>
      <c r="CQ36" s="321"/>
      <c r="CR36" s="321"/>
      <c r="CS36" s="320"/>
      <c r="CT36" s="319"/>
      <c r="CU36" s="319"/>
      <c r="CV36" s="319"/>
      <c r="CW36" s="322"/>
      <c r="CX36" s="321"/>
      <c r="CY36" s="321"/>
      <c r="CZ36" s="321"/>
      <c r="DA36" s="320"/>
      <c r="DB36" s="319"/>
      <c r="DC36" s="319"/>
      <c r="DD36" s="319"/>
      <c r="DE36" s="322"/>
      <c r="DF36" s="321"/>
      <c r="DG36" s="321"/>
      <c r="DH36" s="321"/>
      <c r="DI36" s="320"/>
      <c r="DJ36" s="319"/>
      <c r="DK36" s="319"/>
      <c r="DL36" s="319"/>
      <c r="DM36" s="322"/>
      <c r="DN36" s="321"/>
      <c r="DO36" s="321"/>
      <c r="DP36" s="321"/>
      <c r="DQ36" s="320"/>
      <c r="DR36" s="319"/>
      <c r="DS36" s="319"/>
      <c r="DT36" s="319"/>
      <c r="DU36" s="322"/>
      <c r="DV36" s="321"/>
      <c r="DW36" s="321"/>
      <c r="DX36" s="321"/>
      <c r="DY36" s="320"/>
      <c r="DZ36" s="319"/>
      <c r="EA36" s="319"/>
      <c r="EB36" s="319"/>
    </row>
    <row r="37" spans="1:132" s="318" customFormat="1" ht="41.15" customHeight="1" x14ac:dyDescent="0.35">
      <c r="A37" s="342"/>
      <c r="B37" s="449">
        <v>28</v>
      </c>
      <c r="C37" s="462" t="s">
        <v>1037</v>
      </c>
      <c r="D37" s="339" t="s">
        <v>1038</v>
      </c>
      <c r="E37" s="347" t="s">
        <v>123</v>
      </c>
      <c r="F37" s="344" t="s">
        <v>1039</v>
      </c>
      <c r="G37" s="336">
        <v>45938</v>
      </c>
      <c r="H37" s="348" t="s">
        <v>1040</v>
      </c>
      <c r="I37" s="326"/>
      <c r="J37" s="18"/>
      <c r="K37" s="18"/>
      <c r="L37" s="18"/>
      <c r="M37" s="325"/>
      <c r="N37" s="18"/>
      <c r="O37" s="18"/>
      <c r="P37" s="18"/>
      <c r="Q37" s="326"/>
      <c r="R37" s="18"/>
      <c r="S37" s="18"/>
      <c r="T37" s="18"/>
      <c r="U37" s="325"/>
      <c r="V37" s="18"/>
      <c r="W37" s="18"/>
      <c r="X37" s="18"/>
      <c r="Y37" s="326"/>
      <c r="Z37" s="18"/>
      <c r="AA37" s="18"/>
      <c r="AB37" s="18"/>
      <c r="AC37" s="325"/>
      <c r="AD37" s="18"/>
      <c r="AE37" s="18"/>
      <c r="AF37" s="18"/>
      <c r="AG37" s="326"/>
      <c r="AH37" s="18"/>
      <c r="AI37" s="18"/>
      <c r="AJ37" s="18"/>
      <c r="AK37" s="325"/>
      <c r="AL37" s="18"/>
      <c r="AM37" s="18"/>
      <c r="AN37" s="18"/>
      <c r="AO37" s="326"/>
      <c r="AP37" s="18"/>
      <c r="AQ37" s="18"/>
      <c r="AR37" s="18"/>
      <c r="AS37" s="325"/>
      <c r="AT37" s="18"/>
      <c r="AU37" s="324"/>
      <c r="AV37" s="321"/>
      <c r="AW37" s="323"/>
      <c r="AX37" s="321"/>
      <c r="AY37" s="321"/>
      <c r="AZ37" s="321"/>
      <c r="BA37" s="322"/>
      <c r="BB37" s="321"/>
      <c r="BC37" s="321"/>
      <c r="BD37" s="321"/>
      <c r="BE37" s="323"/>
      <c r="BF37" s="321"/>
      <c r="BG37" s="321"/>
      <c r="BH37" s="321"/>
      <c r="BI37" s="322"/>
      <c r="BJ37" s="321"/>
      <c r="BK37" s="321"/>
      <c r="BL37" s="321"/>
      <c r="BM37" s="323"/>
      <c r="BN37" s="321"/>
      <c r="BO37" s="321"/>
      <c r="BP37" s="321"/>
      <c r="BQ37" s="322"/>
      <c r="BR37" s="321"/>
      <c r="BS37" s="321"/>
      <c r="BT37" s="321"/>
      <c r="BU37" s="320"/>
      <c r="BV37" s="319"/>
      <c r="BW37" s="319"/>
      <c r="BX37" s="319"/>
      <c r="BY37" s="322"/>
      <c r="BZ37" s="321"/>
      <c r="CA37" s="321"/>
      <c r="CB37" s="321"/>
      <c r="CC37" s="320"/>
      <c r="CD37" s="319"/>
      <c r="CE37" s="319"/>
      <c r="CF37" s="319"/>
      <c r="CG37" s="322"/>
      <c r="CH37" s="321"/>
      <c r="CI37" s="321"/>
      <c r="CJ37" s="321"/>
      <c r="CK37" s="320"/>
      <c r="CL37" s="319"/>
      <c r="CM37" s="319"/>
      <c r="CN37" s="319"/>
      <c r="CO37" s="322"/>
      <c r="CP37" s="321"/>
      <c r="CQ37" s="321"/>
      <c r="CR37" s="321"/>
      <c r="CS37" s="320"/>
      <c r="CT37" s="319"/>
      <c r="CU37" s="319"/>
      <c r="CV37" s="319"/>
      <c r="CW37" s="322"/>
      <c r="CX37" s="321"/>
      <c r="CY37" s="321"/>
      <c r="CZ37" s="321"/>
      <c r="DA37" s="320"/>
      <c r="DB37" s="319"/>
      <c r="DC37" s="319"/>
      <c r="DD37" s="319"/>
      <c r="DE37" s="322"/>
      <c r="DF37" s="321"/>
      <c r="DG37" s="321"/>
      <c r="DH37" s="321"/>
      <c r="DI37" s="320"/>
      <c r="DJ37" s="319"/>
      <c r="DK37" s="319"/>
      <c r="DL37" s="319"/>
      <c r="DM37" s="322"/>
      <c r="DN37" s="321"/>
      <c r="DO37" s="321"/>
      <c r="DP37" s="321"/>
      <c r="DQ37" s="320"/>
      <c r="DR37" s="319"/>
      <c r="DS37" s="319"/>
      <c r="DT37" s="319"/>
      <c r="DU37" s="322"/>
      <c r="DV37" s="321"/>
      <c r="DW37" s="321"/>
      <c r="DX37" s="321"/>
      <c r="DY37" s="320"/>
      <c r="DZ37" s="319"/>
      <c r="EA37" s="319"/>
      <c r="EB37" s="319"/>
    </row>
    <row r="38" spans="1:132" s="318" customFormat="1" ht="41.15" customHeight="1" x14ac:dyDescent="0.35">
      <c r="A38" s="342"/>
      <c r="B38" s="449">
        <v>29</v>
      </c>
      <c r="C38" s="462" t="s">
        <v>1041</v>
      </c>
      <c r="D38" s="339" t="s">
        <v>1042</v>
      </c>
      <c r="E38" s="347" t="s">
        <v>117</v>
      </c>
      <c r="F38" s="344" t="s">
        <v>988</v>
      </c>
      <c r="G38" s="336">
        <v>45938</v>
      </c>
      <c r="H38" s="348" t="s">
        <v>1018</v>
      </c>
      <c r="I38" s="326"/>
      <c r="J38" s="18"/>
      <c r="K38" s="18"/>
      <c r="L38" s="18"/>
      <c r="M38" s="325"/>
      <c r="N38" s="18"/>
      <c r="O38" s="18"/>
      <c r="P38" s="18"/>
      <c r="Q38" s="326"/>
      <c r="R38" s="18"/>
      <c r="S38" s="18"/>
      <c r="T38" s="18"/>
      <c r="U38" s="325"/>
      <c r="V38" s="18"/>
      <c r="W38" s="18"/>
      <c r="X38" s="18"/>
      <c r="Y38" s="326"/>
      <c r="Z38" s="18"/>
      <c r="AA38" s="18"/>
      <c r="AB38" s="18"/>
      <c r="AC38" s="325"/>
      <c r="AD38" s="18"/>
      <c r="AE38" s="18"/>
      <c r="AF38" s="18"/>
      <c r="AG38" s="326"/>
      <c r="AH38" s="18"/>
      <c r="AI38" s="18"/>
      <c r="AJ38" s="18"/>
      <c r="AK38" s="325"/>
      <c r="AL38" s="18"/>
      <c r="AM38" s="18"/>
      <c r="AN38" s="18"/>
      <c r="AO38" s="326"/>
      <c r="AP38" s="18"/>
      <c r="AQ38" s="18"/>
      <c r="AR38" s="18"/>
      <c r="AS38" s="325"/>
      <c r="AT38" s="18"/>
      <c r="AU38" s="324"/>
      <c r="AV38" s="321"/>
      <c r="AW38" s="323"/>
      <c r="AX38" s="321"/>
      <c r="AY38" s="321"/>
      <c r="AZ38" s="321"/>
      <c r="BA38" s="322"/>
      <c r="BB38" s="321"/>
      <c r="BC38" s="321"/>
      <c r="BD38" s="321"/>
      <c r="BE38" s="323"/>
      <c r="BF38" s="321"/>
      <c r="BG38" s="321"/>
      <c r="BH38" s="321"/>
      <c r="BI38" s="322"/>
      <c r="BJ38" s="321"/>
      <c r="BK38" s="321"/>
      <c r="BL38" s="321"/>
      <c r="BM38" s="323"/>
      <c r="BN38" s="321"/>
      <c r="BO38" s="321"/>
      <c r="BP38" s="321"/>
      <c r="BQ38" s="322"/>
      <c r="BR38" s="321"/>
      <c r="BS38" s="321"/>
      <c r="BT38" s="321"/>
      <c r="BU38" s="320"/>
      <c r="BV38" s="319"/>
      <c r="BW38" s="319"/>
      <c r="BX38" s="319"/>
      <c r="BY38" s="322"/>
      <c r="BZ38" s="321"/>
      <c r="CA38" s="321"/>
      <c r="CB38" s="321"/>
      <c r="CC38" s="320"/>
      <c r="CD38" s="319"/>
      <c r="CE38" s="319"/>
      <c r="CF38" s="319"/>
      <c r="CG38" s="322"/>
      <c r="CH38" s="321"/>
      <c r="CI38" s="321"/>
      <c r="CJ38" s="321"/>
      <c r="CK38" s="320"/>
      <c r="CL38" s="319"/>
      <c r="CM38" s="319"/>
      <c r="CN38" s="319"/>
      <c r="CO38" s="322"/>
      <c r="CP38" s="321"/>
      <c r="CQ38" s="321"/>
      <c r="CR38" s="321"/>
      <c r="CS38" s="320"/>
      <c r="CT38" s="319"/>
      <c r="CU38" s="319"/>
      <c r="CV38" s="319"/>
      <c r="CW38" s="322"/>
      <c r="CX38" s="321"/>
      <c r="CY38" s="321"/>
      <c r="CZ38" s="321"/>
      <c r="DA38" s="320"/>
      <c r="DB38" s="319"/>
      <c r="DC38" s="319"/>
      <c r="DD38" s="319"/>
      <c r="DE38" s="322"/>
      <c r="DF38" s="321"/>
      <c r="DG38" s="321"/>
      <c r="DH38" s="321"/>
      <c r="DI38" s="320"/>
      <c r="DJ38" s="319"/>
      <c r="DK38" s="319"/>
      <c r="DL38" s="319"/>
      <c r="DM38" s="322"/>
      <c r="DN38" s="321"/>
      <c r="DO38" s="321"/>
      <c r="DP38" s="321"/>
      <c r="DQ38" s="320"/>
      <c r="DR38" s="319"/>
      <c r="DS38" s="319"/>
      <c r="DT38" s="319"/>
      <c r="DU38" s="322"/>
      <c r="DV38" s="321"/>
      <c r="DW38" s="321"/>
      <c r="DX38" s="321"/>
      <c r="DY38" s="320"/>
      <c r="DZ38" s="319"/>
      <c r="EA38" s="319"/>
      <c r="EB38" s="319"/>
    </row>
    <row r="39" spans="1:132" s="318" customFormat="1" ht="41.15" customHeight="1" x14ac:dyDescent="0.35">
      <c r="A39" s="342"/>
      <c r="B39" s="449">
        <v>30</v>
      </c>
      <c r="C39" s="462" t="s">
        <v>1043</v>
      </c>
      <c r="D39" s="339" t="s">
        <v>1044</v>
      </c>
      <c r="E39" s="347" t="s">
        <v>123</v>
      </c>
      <c r="F39" s="344" t="s">
        <v>985</v>
      </c>
      <c r="G39" s="336">
        <v>45938</v>
      </c>
      <c r="H39" s="348" t="s">
        <v>1045</v>
      </c>
      <c r="I39" s="326"/>
      <c r="J39" s="18"/>
      <c r="K39" s="18"/>
      <c r="L39" s="18"/>
      <c r="M39" s="325"/>
      <c r="N39" s="18"/>
      <c r="O39" s="18"/>
      <c r="P39" s="18"/>
      <c r="Q39" s="326"/>
      <c r="R39" s="18"/>
      <c r="S39" s="18"/>
      <c r="T39" s="18"/>
      <c r="U39" s="325"/>
      <c r="V39" s="18"/>
      <c r="W39" s="18"/>
      <c r="X39" s="18"/>
      <c r="Y39" s="326"/>
      <c r="Z39" s="18"/>
      <c r="AA39" s="18"/>
      <c r="AB39" s="18"/>
      <c r="AC39" s="325"/>
      <c r="AD39" s="18"/>
      <c r="AE39" s="18"/>
      <c r="AF39" s="18"/>
      <c r="AG39" s="326"/>
      <c r="AH39" s="18"/>
      <c r="AI39" s="18"/>
      <c r="AJ39" s="18"/>
      <c r="AK39" s="325"/>
      <c r="AL39" s="18"/>
      <c r="AM39" s="18"/>
      <c r="AN39" s="18"/>
      <c r="AO39" s="326"/>
      <c r="AP39" s="18"/>
      <c r="AQ39" s="18"/>
      <c r="AR39" s="18"/>
      <c r="AS39" s="325"/>
      <c r="AT39" s="18"/>
      <c r="AU39" s="324"/>
      <c r="AV39" s="321"/>
      <c r="AW39" s="323"/>
      <c r="AX39" s="321"/>
      <c r="AY39" s="321"/>
      <c r="AZ39" s="321"/>
      <c r="BA39" s="322"/>
      <c r="BB39" s="321"/>
      <c r="BC39" s="321"/>
      <c r="BD39" s="321"/>
      <c r="BE39" s="323"/>
      <c r="BF39" s="321"/>
      <c r="BG39" s="321"/>
      <c r="BH39" s="321"/>
      <c r="BI39" s="322"/>
      <c r="BJ39" s="321"/>
      <c r="BK39" s="321"/>
      <c r="BL39" s="321"/>
      <c r="BM39" s="323"/>
      <c r="BN39" s="321"/>
      <c r="BO39" s="321"/>
      <c r="BP39" s="321"/>
      <c r="BQ39" s="322"/>
      <c r="BR39" s="321"/>
      <c r="BS39" s="321"/>
      <c r="BT39" s="321"/>
      <c r="BU39" s="320"/>
      <c r="BV39" s="319"/>
      <c r="BW39" s="319"/>
      <c r="BX39" s="319"/>
      <c r="BY39" s="322"/>
      <c r="BZ39" s="321"/>
      <c r="CA39" s="321"/>
      <c r="CB39" s="321"/>
      <c r="CC39" s="320"/>
      <c r="CD39" s="319"/>
      <c r="CE39" s="319"/>
      <c r="CF39" s="319"/>
      <c r="CG39" s="322"/>
      <c r="CH39" s="321"/>
      <c r="CI39" s="321"/>
      <c r="CJ39" s="321"/>
      <c r="CK39" s="320"/>
      <c r="CL39" s="319"/>
      <c r="CM39" s="319"/>
      <c r="CN39" s="319"/>
      <c r="CO39" s="322"/>
      <c r="CP39" s="321"/>
      <c r="CQ39" s="321"/>
      <c r="CR39" s="321"/>
      <c r="CS39" s="320"/>
      <c r="CT39" s="319"/>
      <c r="CU39" s="319"/>
      <c r="CV39" s="319"/>
      <c r="CW39" s="322"/>
      <c r="CX39" s="321"/>
      <c r="CY39" s="321"/>
      <c r="CZ39" s="321"/>
      <c r="DA39" s="320"/>
      <c r="DB39" s="319"/>
      <c r="DC39" s="319"/>
      <c r="DD39" s="319"/>
      <c r="DE39" s="322"/>
      <c r="DF39" s="321"/>
      <c r="DG39" s="321"/>
      <c r="DH39" s="321"/>
      <c r="DI39" s="320"/>
      <c r="DJ39" s="319"/>
      <c r="DK39" s="319"/>
      <c r="DL39" s="319"/>
      <c r="DM39" s="322"/>
      <c r="DN39" s="321"/>
      <c r="DO39" s="321"/>
      <c r="DP39" s="321"/>
      <c r="DQ39" s="320"/>
      <c r="DR39" s="319"/>
      <c r="DS39" s="319"/>
      <c r="DT39" s="319"/>
      <c r="DU39" s="322"/>
      <c r="DV39" s="321"/>
      <c r="DW39" s="321"/>
      <c r="DX39" s="321"/>
      <c r="DY39" s="320"/>
      <c r="DZ39" s="319"/>
      <c r="EA39" s="319"/>
      <c r="EB39" s="319"/>
    </row>
    <row r="40" spans="1:132" s="318" customFormat="1" ht="41.15" customHeight="1" x14ac:dyDescent="0.35">
      <c r="A40" s="342"/>
      <c r="B40" s="449">
        <v>31</v>
      </c>
      <c r="C40" s="462" t="s">
        <v>1046</v>
      </c>
      <c r="D40" s="339" t="s">
        <v>1047</v>
      </c>
      <c r="E40" s="347" t="s">
        <v>117</v>
      </c>
      <c r="F40" s="344" t="s">
        <v>960</v>
      </c>
      <c r="G40" s="336">
        <v>45939</v>
      </c>
      <c r="H40" s="348" t="s">
        <v>1003</v>
      </c>
      <c r="I40" s="326"/>
      <c r="J40" s="18"/>
      <c r="K40" s="18"/>
      <c r="L40" s="18"/>
      <c r="M40" s="325"/>
      <c r="N40" s="18"/>
      <c r="O40" s="18"/>
      <c r="P40" s="18"/>
      <c r="Q40" s="326"/>
      <c r="R40" s="18"/>
      <c r="S40" s="18"/>
      <c r="T40" s="18"/>
      <c r="U40" s="325"/>
      <c r="V40" s="18"/>
      <c r="W40" s="18"/>
      <c r="X40" s="18"/>
      <c r="Y40" s="326"/>
      <c r="Z40" s="18"/>
      <c r="AA40" s="18"/>
      <c r="AB40" s="18"/>
      <c r="AC40" s="325"/>
      <c r="AD40" s="18"/>
      <c r="AE40" s="18"/>
      <c r="AF40" s="18"/>
      <c r="AG40" s="326"/>
      <c r="AH40" s="18"/>
      <c r="AI40" s="18"/>
      <c r="AJ40" s="18"/>
      <c r="AK40" s="325"/>
      <c r="AL40" s="18"/>
      <c r="AM40" s="18"/>
      <c r="AN40" s="18"/>
      <c r="AO40" s="326"/>
      <c r="AP40" s="18"/>
      <c r="AQ40" s="18"/>
      <c r="AR40" s="18"/>
      <c r="AS40" s="325"/>
      <c r="AT40" s="18"/>
      <c r="AU40" s="324"/>
      <c r="AV40" s="321"/>
      <c r="AW40" s="323"/>
      <c r="AX40" s="321"/>
      <c r="AY40" s="321"/>
      <c r="AZ40" s="321"/>
      <c r="BA40" s="322"/>
      <c r="BB40" s="321"/>
      <c r="BC40" s="321"/>
      <c r="BD40" s="321"/>
      <c r="BE40" s="323"/>
      <c r="BF40" s="321"/>
      <c r="BG40" s="321"/>
      <c r="BH40" s="321"/>
      <c r="BI40" s="322"/>
      <c r="BJ40" s="321"/>
      <c r="BK40" s="321"/>
      <c r="BL40" s="321"/>
      <c r="BM40" s="323"/>
      <c r="BN40" s="321"/>
      <c r="BO40" s="321"/>
      <c r="BP40" s="321"/>
      <c r="BQ40" s="322"/>
      <c r="BR40" s="321"/>
      <c r="BS40" s="321"/>
      <c r="BT40" s="321"/>
      <c r="BU40" s="320"/>
      <c r="BV40" s="319"/>
      <c r="BW40" s="319"/>
      <c r="BX40" s="319"/>
      <c r="BY40" s="322"/>
      <c r="BZ40" s="321"/>
      <c r="CA40" s="321"/>
      <c r="CB40" s="321"/>
      <c r="CC40" s="320"/>
      <c r="CD40" s="319"/>
      <c r="CE40" s="319"/>
      <c r="CF40" s="319"/>
      <c r="CG40" s="322"/>
      <c r="CH40" s="321"/>
      <c r="CI40" s="321"/>
      <c r="CJ40" s="321"/>
      <c r="CK40" s="320"/>
      <c r="CL40" s="319"/>
      <c r="CM40" s="319"/>
      <c r="CN40" s="319"/>
      <c r="CO40" s="322"/>
      <c r="CP40" s="321"/>
      <c r="CQ40" s="321"/>
      <c r="CR40" s="321"/>
      <c r="CS40" s="320"/>
      <c r="CT40" s="319"/>
      <c r="CU40" s="319"/>
      <c r="CV40" s="319"/>
      <c r="CW40" s="322"/>
      <c r="CX40" s="321"/>
      <c r="CY40" s="321"/>
      <c r="CZ40" s="321"/>
      <c r="DA40" s="320"/>
      <c r="DB40" s="319"/>
      <c r="DC40" s="319"/>
      <c r="DD40" s="319"/>
      <c r="DE40" s="322"/>
      <c r="DF40" s="321"/>
      <c r="DG40" s="321"/>
      <c r="DH40" s="321"/>
      <c r="DI40" s="320"/>
      <c r="DJ40" s="319"/>
      <c r="DK40" s="319"/>
      <c r="DL40" s="319"/>
      <c r="DM40" s="322"/>
      <c r="DN40" s="321"/>
      <c r="DO40" s="321"/>
      <c r="DP40" s="321"/>
      <c r="DQ40" s="320"/>
      <c r="DR40" s="319"/>
      <c r="DS40" s="319"/>
      <c r="DT40" s="319"/>
      <c r="DU40" s="322"/>
      <c r="DV40" s="321"/>
      <c r="DW40" s="321"/>
      <c r="DX40" s="321"/>
      <c r="DY40" s="320"/>
      <c r="DZ40" s="319"/>
      <c r="EA40" s="319"/>
      <c r="EB40" s="319"/>
    </row>
    <row r="41" spans="1:132" s="318" customFormat="1" ht="41.15" customHeight="1" x14ac:dyDescent="0.35">
      <c r="A41" s="342"/>
      <c r="B41" s="449">
        <v>32</v>
      </c>
      <c r="C41" s="462" t="s">
        <v>1048</v>
      </c>
      <c r="D41" s="339" t="s">
        <v>1049</v>
      </c>
      <c r="E41" s="347" t="s">
        <v>117</v>
      </c>
      <c r="F41" s="344" t="s">
        <v>1008</v>
      </c>
      <c r="G41" s="336">
        <v>45939</v>
      </c>
      <c r="H41" s="348" t="s">
        <v>688</v>
      </c>
      <c r="I41" s="326"/>
      <c r="J41" s="18"/>
      <c r="K41" s="18"/>
      <c r="L41" s="18"/>
      <c r="M41" s="325"/>
      <c r="N41" s="18"/>
      <c r="O41" s="18"/>
      <c r="P41" s="18"/>
      <c r="Q41" s="326"/>
      <c r="R41" s="18"/>
      <c r="S41" s="18"/>
      <c r="T41" s="18"/>
      <c r="U41" s="325"/>
      <c r="V41" s="18"/>
      <c r="W41" s="18"/>
      <c r="X41" s="18"/>
      <c r="Y41" s="326"/>
      <c r="Z41" s="18"/>
      <c r="AA41" s="18"/>
      <c r="AB41" s="18"/>
      <c r="AC41" s="325"/>
      <c r="AD41" s="18"/>
      <c r="AE41" s="18"/>
      <c r="AF41" s="18"/>
      <c r="AG41" s="326"/>
      <c r="AH41" s="18"/>
      <c r="AI41" s="18"/>
      <c r="AJ41" s="18"/>
      <c r="AK41" s="325"/>
      <c r="AL41" s="18"/>
      <c r="AM41" s="18"/>
      <c r="AN41" s="18"/>
      <c r="AO41" s="326"/>
      <c r="AP41" s="18"/>
      <c r="AQ41" s="18"/>
      <c r="AR41" s="18"/>
      <c r="AS41" s="325"/>
      <c r="AT41" s="18"/>
      <c r="AU41" s="324"/>
      <c r="AV41" s="321"/>
      <c r="AW41" s="323"/>
      <c r="AX41" s="321"/>
      <c r="AY41" s="321"/>
      <c r="AZ41" s="321"/>
      <c r="BA41" s="322"/>
      <c r="BB41" s="321"/>
      <c r="BC41" s="321"/>
      <c r="BD41" s="321"/>
      <c r="BE41" s="323"/>
      <c r="BF41" s="321"/>
      <c r="BG41" s="321"/>
      <c r="BH41" s="321"/>
      <c r="BI41" s="322"/>
      <c r="BJ41" s="321"/>
      <c r="BK41" s="321"/>
      <c r="BL41" s="321"/>
      <c r="BM41" s="323"/>
      <c r="BN41" s="321"/>
      <c r="BO41" s="321"/>
      <c r="BP41" s="321"/>
      <c r="BQ41" s="322"/>
      <c r="BR41" s="321"/>
      <c r="BS41" s="321"/>
      <c r="BT41" s="321"/>
      <c r="BU41" s="320"/>
      <c r="BV41" s="319"/>
      <c r="BW41" s="319"/>
      <c r="BX41" s="319"/>
      <c r="BY41" s="322"/>
      <c r="BZ41" s="321"/>
      <c r="CA41" s="321"/>
      <c r="CB41" s="321"/>
      <c r="CC41" s="320"/>
      <c r="CD41" s="319"/>
      <c r="CE41" s="319"/>
      <c r="CF41" s="319"/>
      <c r="CG41" s="322"/>
      <c r="CH41" s="321"/>
      <c r="CI41" s="321"/>
      <c r="CJ41" s="321"/>
      <c r="CK41" s="320"/>
      <c r="CL41" s="319"/>
      <c r="CM41" s="319"/>
      <c r="CN41" s="319"/>
      <c r="CO41" s="322"/>
      <c r="CP41" s="321"/>
      <c r="CQ41" s="321"/>
      <c r="CR41" s="321"/>
      <c r="CS41" s="320"/>
      <c r="CT41" s="319"/>
      <c r="CU41" s="319"/>
      <c r="CV41" s="319"/>
      <c r="CW41" s="322"/>
      <c r="CX41" s="321"/>
      <c r="CY41" s="321"/>
      <c r="CZ41" s="321"/>
      <c r="DA41" s="320"/>
      <c r="DB41" s="319"/>
      <c r="DC41" s="319"/>
      <c r="DD41" s="319"/>
      <c r="DE41" s="322"/>
      <c r="DF41" s="321"/>
      <c r="DG41" s="321"/>
      <c r="DH41" s="321"/>
      <c r="DI41" s="320"/>
      <c r="DJ41" s="319"/>
      <c r="DK41" s="319"/>
      <c r="DL41" s="319"/>
      <c r="DM41" s="322"/>
      <c r="DN41" s="321"/>
      <c r="DO41" s="321"/>
      <c r="DP41" s="321"/>
      <c r="DQ41" s="320"/>
      <c r="DR41" s="319"/>
      <c r="DS41" s="319"/>
      <c r="DT41" s="319"/>
      <c r="DU41" s="322"/>
      <c r="DV41" s="321"/>
      <c r="DW41" s="321"/>
      <c r="DX41" s="321"/>
      <c r="DY41" s="320"/>
      <c r="DZ41" s="319"/>
      <c r="EA41" s="319"/>
      <c r="EB41" s="319"/>
    </row>
    <row r="42" spans="1:132" s="318" customFormat="1" ht="41.15" customHeight="1" x14ac:dyDescent="0.35">
      <c r="A42" s="342"/>
      <c r="B42" s="449">
        <v>33</v>
      </c>
      <c r="C42" s="462" t="s">
        <v>1050</v>
      </c>
      <c r="D42" s="339" t="s">
        <v>1051</v>
      </c>
      <c r="E42" s="347" t="s">
        <v>117</v>
      </c>
      <c r="F42" s="344" t="s">
        <v>1052</v>
      </c>
      <c r="G42" s="336">
        <v>45940</v>
      </c>
      <c r="H42" s="348" t="s">
        <v>688</v>
      </c>
      <c r="I42" s="326"/>
      <c r="J42" s="18"/>
      <c r="K42" s="18"/>
      <c r="L42" s="18"/>
      <c r="M42" s="325"/>
      <c r="N42" s="18"/>
      <c r="O42" s="18"/>
      <c r="P42" s="18"/>
      <c r="Q42" s="326"/>
      <c r="R42" s="18"/>
      <c r="S42" s="18"/>
      <c r="T42" s="18"/>
      <c r="U42" s="325"/>
      <c r="V42" s="18"/>
      <c r="W42" s="18"/>
      <c r="X42" s="18"/>
      <c r="Y42" s="326"/>
      <c r="Z42" s="18"/>
      <c r="AA42" s="18"/>
      <c r="AB42" s="18"/>
      <c r="AC42" s="325"/>
      <c r="AD42" s="18"/>
      <c r="AE42" s="18"/>
      <c r="AF42" s="18"/>
      <c r="AG42" s="326"/>
      <c r="AH42" s="18"/>
      <c r="AI42" s="18"/>
      <c r="AJ42" s="18"/>
      <c r="AK42" s="325"/>
      <c r="AL42" s="18"/>
      <c r="AM42" s="18"/>
      <c r="AN42" s="18"/>
      <c r="AO42" s="326"/>
      <c r="AP42" s="18"/>
      <c r="AQ42" s="18"/>
      <c r="AR42" s="18"/>
      <c r="AS42" s="325"/>
      <c r="AT42" s="18"/>
      <c r="AU42" s="324"/>
      <c r="AV42" s="321"/>
      <c r="AW42" s="323"/>
      <c r="AX42" s="321"/>
      <c r="AY42" s="321"/>
      <c r="AZ42" s="321"/>
      <c r="BA42" s="322"/>
      <c r="BB42" s="321"/>
      <c r="BC42" s="321"/>
      <c r="BD42" s="321"/>
      <c r="BE42" s="323"/>
      <c r="BF42" s="321"/>
      <c r="BG42" s="321"/>
      <c r="BH42" s="321"/>
      <c r="BI42" s="322"/>
      <c r="BJ42" s="321"/>
      <c r="BK42" s="321"/>
      <c r="BL42" s="321"/>
      <c r="BM42" s="323"/>
      <c r="BN42" s="321"/>
      <c r="BO42" s="321"/>
      <c r="BP42" s="321"/>
      <c r="BQ42" s="322"/>
      <c r="BR42" s="321"/>
      <c r="BS42" s="321"/>
      <c r="BT42" s="321"/>
      <c r="BU42" s="320"/>
      <c r="BV42" s="319"/>
      <c r="BW42" s="319"/>
      <c r="BX42" s="319"/>
      <c r="BY42" s="322"/>
      <c r="BZ42" s="321"/>
      <c r="CA42" s="321"/>
      <c r="CB42" s="321"/>
      <c r="CC42" s="320"/>
      <c r="CD42" s="319"/>
      <c r="CE42" s="319"/>
      <c r="CF42" s="319"/>
      <c r="CG42" s="322"/>
      <c r="CH42" s="321"/>
      <c r="CI42" s="321"/>
      <c r="CJ42" s="321"/>
      <c r="CK42" s="320"/>
      <c r="CL42" s="319"/>
      <c r="CM42" s="319"/>
      <c r="CN42" s="319"/>
      <c r="CO42" s="322"/>
      <c r="CP42" s="321"/>
      <c r="CQ42" s="321"/>
      <c r="CR42" s="321"/>
      <c r="CS42" s="320"/>
      <c r="CT42" s="319"/>
      <c r="CU42" s="319"/>
      <c r="CV42" s="319"/>
      <c r="CW42" s="322"/>
      <c r="CX42" s="321"/>
      <c r="CY42" s="321"/>
      <c r="CZ42" s="321"/>
      <c r="DA42" s="320"/>
      <c r="DB42" s="319"/>
      <c r="DC42" s="319"/>
      <c r="DD42" s="319"/>
      <c r="DE42" s="322"/>
      <c r="DF42" s="321"/>
      <c r="DG42" s="321"/>
      <c r="DH42" s="321"/>
      <c r="DI42" s="320"/>
      <c r="DJ42" s="319"/>
      <c r="DK42" s="319"/>
      <c r="DL42" s="319"/>
      <c r="DM42" s="322"/>
      <c r="DN42" s="321"/>
      <c r="DO42" s="321"/>
      <c r="DP42" s="321"/>
      <c r="DQ42" s="320"/>
      <c r="DR42" s="319"/>
      <c r="DS42" s="319"/>
      <c r="DT42" s="319"/>
      <c r="DU42" s="322"/>
      <c r="DV42" s="321"/>
      <c r="DW42" s="321"/>
      <c r="DX42" s="321"/>
      <c r="DY42" s="320"/>
      <c r="DZ42" s="319"/>
      <c r="EA42" s="319"/>
      <c r="EB42" s="319"/>
    </row>
    <row r="43" spans="1:132" s="318" customFormat="1" ht="41.15" customHeight="1" x14ac:dyDescent="0.35">
      <c r="A43" s="342"/>
      <c r="B43" s="449">
        <v>34</v>
      </c>
      <c r="C43" s="462" t="s">
        <v>1053</v>
      </c>
      <c r="D43" s="339" t="s">
        <v>1054</v>
      </c>
      <c r="E43" s="347" t="s">
        <v>334</v>
      </c>
      <c r="F43" s="344" t="s">
        <v>1055</v>
      </c>
      <c r="G43" s="336">
        <v>45943</v>
      </c>
      <c r="H43" s="348" t="s">
        <v>1003</v>
      </c>
      <c r="I43" s="326"/>
      <c r="J43" s="18"/>
      <c r="K43" s="18"/>
      <c r="L43" s="18"/>
      <c r="M43" s="325"/>
      <c r="N43" s="18"/>
      <c r="O43" s="18"/>
      <c r="P43" s="18"/>
      <c r="Q43" s="326"/>
      <c r="R43" s="18"/>
      <c r="S43" s="18"/>
      <c r="T43" s="18"/>
      <c r="U43" s="325"/>
      <c r="V43" s="18"/>
      <c r="W43" s="18"/>
      <c r="X43" s="18"/>
      <c r="Y43" s="326"/>
      <c r="Z43" s="18"/>
      <c r="AA43" s="18"/>
      <c r="AB43" s="18"/>
      <c r="AC43" s="325"/>
      <c r="AD43" s="18"/>
      <c r="AE43" s="18"/>
      <c r="AF43" s="18"/>
      <c r="AG43" s="326"/>
      <c r="AH43" s="18"/>
      <c r="AI43" s="18"/>
      <c r="AJ43" s="18"/>
      <c r="AK43" s="325"/>
      <c r="AL43" s="18"/>
      <c r="AM43" s="18"/>
      <c r="AN43" s="18"/>
      <c r="AO43" s="326"/>
      <c r="AP43" s="18"/>
      <c r="AQ43" s="18"/>
      <c r="AR43" s="18"/>
      <c r="AS43" s="325"/>
      <c r="AT43" s="18"/>
      <c r="AU43" s="324"/>
      <c r="AV43" s="321"/>
      <c r="AW43" s="323"/>
      <c r="AX43" s="321"/>
      <c r="AY43" s="321"/>
      <c r="AZ43" s="321"/>
      <c r="BA43" s="322"/>
      <c r="BB43" s="321"/>
      <c r="BC43" s="321"/>
      <c r="BD43" s="321"/>
      <c r="BE43" s="323"/>
      <c r="BF43" s="321"/>
      <c r="BG43" s="321"/>
      <c r="BH43" s="321"/>
      <c r="BI43" s="322"/>
      <c r="BJ43" s="321"/>
      <c r="BK43" s="321"/>
      <c r="BL43" s="321"/>
      <c r="BM43" s="323"/>
      <c r="BN43" s="321"/>
      <c r="BO43" s="321"/>
      <c r="BP43" s="321"/>
      <c r="BQ43" s="322"/>
      <c r="BR43" s="321"/>
      <c r="BS43" s="321"/>
      <c r="BT43" s="321"/>
      <c r="BU43" s="320"/>
      <c r="BV43" s="319"/>
      <c r="BW43" s="319"/>
      <c r="BX43" s="319"/>
      <c r="BY43" s="322"/>
      <c r="BZ43" s="321"/>
      <c r="CA43" s="321"/>
      <c r="CB43" s="321"/>
      <c r="CC43" s="320"/>
      <c r="CD43" s="319"/>
      <c r="CE43" s="319"/>
      <c r="CF43" s="319"/>
      <c r="CG43" s="322"/>
      <c r="CH43" s="321"/>
      <c r="CI43" s="321"/>
      <c r="CJ43" s="321"/>
      <c r="CK43" s="320"/>
      <c r="CL43" s="319"/>
      <c r="CM43" s="319"/>
      <c r="CN43" s="319"/>
      <c r="CO43" s="322"/>
      <c r="CP43" s="321"/>
      <c r="CQ43" s="321"/>
      <c r="CR43" s="321"/>
      <c r="CS43" s="320"/>
      <c r="CT43" s="319"/>
      <c r="CU43" s="319"/>
      <c r="CV43" s="319"/>
      <c r="CW43" s="322"/>
      <c r="CX43" s="321"/>
      <c r="CY43" s="321"/>
      <c r="CZ43" s="321"/>
      <c r="DA43" s="320"/>
      <c r="DB43" s="319"/>
      <c r="DC43" s="319"/>
      <c r="DD43" s="319"/>
      <c r="DE43" s="322"/>
      <c r="DF43" s="321"/>
      <c r="DG43" s="321"/>
      <c r="DH43" s="321"/>
      <c r="DI43" s="320"/>
      <c r="DJ43" s="319"/>
      <c r="DK43" s="319"/>
      <c r="DL43" s="319"/>
      <c r="DM43" s="322"/>
      <c r="DN43" s="321"/>
      <c r="DO43" s="321"/>
      <c r="DP43" s="321"/>
      <c r="DQ43" s="320"/>
      <c r="DR43" s="319"/>
      <c r="DS43" s="319"/>
      <c r="DT43" s="319"/>
      <c r="DU43" s="322"/>
      <c r="DV43" s="321"/>
      <c r="DW43" s="321"/>
      <c r="DX43" s="321"/>
      <c r="DY43" s="320"/>
      <c r="DZ43" s="319"/>
      <c r="EA43" s="319"/>
      <c r="EB43" s="319"/>
    </row>
    <row r="44" spans="1:132" s="318" customFormat="1" ht="41.15" customHeight="1" x14ac:dyDescent="0.35">
      <c r="A44" s="342"/>
      <c r="B44" s="449">
        <v>35</v>
      </c>
      <c r="C44" s="462" t="s">
        <v>1056</v>
      </c>
      <c r="D44" s="339" t="s">
        <v>1054</v>
      </c>
      <c r="E44" s="347" t="s">
        <v>117</v>
      </c>
      <c r="F44" s="344" t="s">
        <v>996</v>
      </c>
      <c r="G44" s="336">
        <v>45943</v>
      </c>
      <c r="H44" s="348" t="s">
        <v>688</v>
      </c>
      <c r="I44" s="326"/>
      <c r="J44" s="18"/>
      <c r="K44" s="18"/>
      <c r="L44" s="18"/>
      <c r="M44" s="325"/>
      <c r="N44" s="18"/>
      <c r="O44" s="18"/>
      <c r="P44" s="18"/>
      <c r="Q44" s="326"/>
      <c r="R44" s="18"/>
      <c r="S44" s="18"/>
      <c r="T44" s="18"/>
      <c r="U44" s="325"/>
      <c r="V44" s="18"/>
      <c r="W44" s="18"/>
      <c r="X44" s="18"/>
      <c r="Y44" s="326"/>
      <c r="Z44" s="18"/>
      <c r="AA44" s="18"/>
      <c r="AB44" s="18"/>
      <c r="AC44" s="325"/>
      <c r="AD44" s="18"/>
      <c r="AE44" s="18"/>
      <c r="AF44" s="18"/>
      <c r="AG44" s="326"/>
      <c r="AH44" s="18"/>
      <c r="AI44" s="18"/>
      <c r="AJ44" s="18"/>
      <c r="AK44" s="325"/>
      <c r="AL44" s="18"/>
      <c r="AM44" s="18"/>
      <c r="AN44" s="18"/>
      <c r="AO44" s="326"/>
      <c r="AP44" s="18"/>
      <c r="AQ44" s="18"/>
      <c r="AR44" s="18"/>
      <c r="AS44" s="325"/>
      <c r="AT44" s="18"/>
      <c r="AU44" s="324"/>
      <c r="AV44" s="321"/>
      <c r="AW44" s="323"/>
      <c r="AX44" s="321"/>
      <c r="AY44" s="321"/>
      <c r="AZ44" s="321"/>
      <c r="BA44" s="322"/>
      <c r="BB44" s="321"/>
      <c r="BC44" s="321"/>
      <c r="BD44" s="321"/>
      <c r="BE44" s="323"/>
      <c r="BF44" s="321"/>
      <c r="BG44" s="321"/>
      <c r="BH44" s="321"/>
      <c r="BI44" s="322"/>
      <c r="BJ44" s="321"/>
      <c r="BK44" s="321"/>
      <c r="BL44" s="321"/>
      <c r="BM44" s="323"/>
      <c r="BN44" s="321"/>
      <c r="BO44" s="321"/>
      <c r="BP44" s="321"/>
      <c r="BQ44" s="322"/>
      <c r="BR44" s="321"/>
      <c r="BS44" s="321"/>
      <c r="BT44" s="321"/>
      <c r="BU44" s="320"/>
      <c r="BV44" s="319"/>
      <c r="BW44" s="319"/>
      <c r="BX44" s="319"/>
      <c r="BY44" s="322"/>
      <c r="BZ44" s="321"/>
      <c r="CA44" s="321"/>
      <c r="CB44" s="321"/>
      <c r="CC44" s="320"/>
      <c r="CD44" s="319"/>
      <c r="CE44" s="319"/>
      <c r="CF44" s="319"/>
      <c r="CG44" s="322"/>
      <c r="CH44" s="321"/>
      <c r="CI44" s="321"/>
      <c r="CJ44" s="321"/>
      <c r="CK44" s="320"/>
      <c r="CL44" s="319"/>
      <c r="CM44" s="319"/>
      <c r="CN44" s="319"/>
      <c r="CO44" s="322"/>
      <c r="CP44" s="321"/>
      <c r="CQ44" s="321"/>
      <c r="CR44" s="321"/>
      <c r="CS44" s="320"/>
      <c r="CT44" s="319"/>
      <c r="CU44" s="319"/>
      <c r="CV44" s="319"/>
      <c r="CW44" s="322"/>
      <c r="CX44" s="321"/>
      <c r="CY44" s="321"/>
      <c r="CZ44" s="321"/>
      <c r="DA44" s="320"/>
      <c r="DB44" s="319"/>
      <c r="DC44" s="319"/>
      <c r="DD44" s="319"/>
      <c r="DE44" s="322"/>
      <c r="DF44" s="321"/>
      <c r="DG44" s="321"/>
      <c r="DH44" s="321"/>
      <c r="DI44" s="320"/>
      <c r="DJ44" s="319"/>
      <c r="DK44" s="319"/>
      <c r="DL44" s="319"/>
      <c r="DM44" s="322"/>
      <c r="DN44" s="321"/>
      <c r="DO44" s="321"/>
      <c r="DP44" s="321"/>
      <c r="DQ44" s="320"/>
      <c r="DR44" s="319"/>
      <c r="DS44" s="319"/>
      <c r="DT44" s="319"/>
      <c r="DU44" s="322"/>
      <c r="DV44" s="321"/>
      <c r="DW44" s="321"/>
      <c r="DX44" s="321"/>
      <c r="DY44" s="320"/>
      <c r="DZ44" s="319"/>
      <c r="EA44" s="319"/>
      <c r="EB44" s="319"/>
    </row>
    <row r="45" spans="1:132" s="318" customFormat="1" ht="41.15" customHeight="1" x14ac:dyDescent="0.35">
      <c r="A45" s="342"/>
      <c r="B45" s="449">
        <v>36</v>
      </c>
      <c r="C45" s="462" t="s">
        <v>1057</v>
      </c>
      <c r="D45" s="339" t="s">
        <v>1058</v>
      </c>
      <c r="E45" s="338" t="s">
        <v>117</v>
      </c>
      <c r="F45" s="337" t="s">
        <v>1012</v>
      </c>
      <c r="G45" s="336">
        <v>45944</v>
      </c>
      <c r="H45" s="348" t="s">
        <v>688</v>
      </c>
      <c r="I45" s="326"/>
      <c r="J45" s="18"/>
      <c r="K45" s="18"/>
      <c r="L45" s="18"/>
      <c r="M45" s="325"/>
      <c r="N45" s="18"/>
      <c r="O45" s="18"/>
      <c r="P45" s="18"/>
      <c r="Q45" s="326"/>
      <c r="R45" s="18"/>
      <c r="S45" s="18"/>
      <c r="T45" s="18"/>
      <c r="U45" s="325"/>
      <c r="V45" s="18"/>
      <c r="W45" s="18"/>
      <c r="X45" s="18"/>
      <c r="Y45" s="326"/>
      <c r="Z45" s="18"/>
      <c r="AA45" s="18"/>
      <c r="AB45" s="18"/>
      <c r="AC45" s="325"/>
      <c r="AD45" s="18"/>
      <c r="AE45" s="18"/>
      <c r="AF45" s="18"/>
      <c r="AG45" s="326"/>
      <c r="AH45" s="18"/>
      <c r="AI45" s="18"/>
      <c r="AJ45" s="18"/>
      <c r="AK45" s="325"/>
      <c r="AL45" s="18"/>
      <c r="AM45" s="18"/>
      <c r="AN45" s="18"/>
      <c r="AO45" s="326"/>
      <c r="AP45" s="18"/>
      <c r="AQ45" s="18"/>
      <c r="AR45" s="18"/>
      <c r="AS45" s="325"/>
      <c r="AT45" s="18"/>
      <c r="AU45" s="324"/>
      <c r="AV45" s="321"/>
      <c r="AW45" s="323"/>
      <c r="AX45" s="321"/>
      <c r="AY45" s="321"/>
      <c r="AZ45" s="321"/>
      <c r="BA45" s="322"/>
      <c r="BB45" s="321"/>
      <c r="BC45" s="321"/>
      <c r="BD45" s="321"/>
      <c r="BE45" s="323"/>
      <c r="BF45" s="321"/>
      <c r="BG45" s="321"/>
      <c r="BH45" s="321"/>
      <c r="BI45" s="322"/>
      <c r="BJ45" s="321"/>
      <c r="BK45" s="321"/>
      <c r="BL45" s="321"/>
      <c r="BM45" s="323"/>
      <c r="BN45" s="321"/>
      <c r="BO45" s="321"/>
      <c r="BP45" s="321"/>
      <c r="BQ45" s="322"/>
      <c r="BR45" s="321"/>
      <c r="BS45" s="321"/>
      <c r="BT45" s="321"/>
      <c r="BU45" s="320"/>
      <c r="BV45" s="319"/>
      <c r="BW45" s="319"/>
      <c r="BX45" s="319"/>
      <c r="BY45" s="322"/>
      <c r="BZ45" s="321"/>
      <c r="CA45" s="321"/>
      <c r="CB45" s="321"/>
      <c r="CC45" s="320"/>
      <c r="CD45" s="319"/>
      <c r="CE45" s="319"/>
      <c r="CF45" s="319"/>
      <c r="CG45" s="322"/>
      <c r="CH45" s="321"/>
      <c r="CI45" s="321"/>
      <c r="CJ45" s="321"/>
      <c r="CK45" s="320"/>
      <c r="CL45" s="319"/>
      <c r="CM45" s="319"/>
      <c r="CN45" s="319"/>
      <c r="CO45" s="322"/>
      <c r="CP45" s="321"/>
      <c r="CQ45" s="321"/>
      <c r="CR45" s="321"/>
      <c r="CS45" s="320"/>
      <c r="CT45" s="319"/>
      <c r="CU45" s="319"/>
      <c r="CV45" s="319"/>
      <c r="CW45" s="322"/>
      <c r="CX45" s="321"/>
      <c r="CY45" s="321"/>
      <c r="CZ45" s="321"/>
      <c r="DA45" s="320"/>
      <c r="DB45" s="319"/>
      <c r="DC45" s="319"/>
      <c r="DD45" s="319"/>
      <c r="DE45" s="322"/>
      <c r="DF45" s="321"/>
      <c r="DG45" s="321"/>
      <c r="DH45" s="321"/>
      <c r="DI45" s="320"/>
      <c r="DJ45" s="319"/>
      <c r="DK45" s="319"/>
      <c r="DL45" s="319"/>
      <c r="DM45" s="322"/>
      <c r="DN45" s="321"/>
      <c r="DO45" s="321"/>
      <c r="DP45" s="321"/>
      <c r="DQ45" s="320"/>
      <c r="DR45" s="319"/>
      <c r="DS45" s="319"/>
      <c r="DT45" s="319"/>
      <c r="DU45" s="322"/>
      <c r="DV45" s="321"/>
      <c r="DW45" s="321"/>
      <c r="DX45" s="321"/>
      <c r="DY45" s="320"/>
      <c r="DZ45" s="319"/>
      <c r="EA45" s="319"/>
      <c r="EB45" s="319"/>
    </row>
    <row r="46" spans="1:132" s="318" customFormat="1" ht="41.15" customHeight="1" x14ac:dyDescent="0.35">
      <c r="A46" s="342"/>
      <c r="B46" s="449">
        <v>37</v>
      </c>
      <c r="C46" s="462" t="s">
        <v>1059</v>
      </c>
      <c r="D46" s="339" t="s">
        <v>1060</v>
      </c>
      <c r="E46" s="338" t="s">
        <v>117</v>
      </c>
      <c r="F46" s="337" t="s">
        <v>988</v>
      </c>
      <c r="G46" s="336">
        <v>45944</v>
      </c>
      <c r="H46" s="348" t="s">
        <v>688</v>
      </c>
      <c r="I46" s="326"/>
      <c r="J46" s="18"/>
      <c r="K46" s="18"/>
      <c r="L46" s="18"/>
      <c r="M46" s="325"/>
      <c r="N46" s="18"/>
      <c r="O46" s="18"/>
      <c r="P46" s="18"/>
      <c r="Q46" s="326"/>
      <c r="R46" s="18"/>
      <c r="S46" s="18"/>
      <c r="T46" s="18"/>
      <c r="U46" s="325"/>
      <c r="V46" s="18"/>
      <c r="W46" s="18"/>
      <c r="X46" s="18"/>
      <c r="Y46" s="326"/>
      <c r="Z46" s="18"/>
      <c r="AA46" s="18"/>
      <c r="AB46" s="18"/>
      <c r="AC46" s="325"/>
      <c r="AD46" s="18"/>
      <c r="AE46" s="18"/>
      <c r="AF46" s="18"/>
      <c r="AG46" s="326"/>
      <c r="AH46" s="18"/>
      <c r="AI46" s="18"/>
      <c r="AJ46" s="18"/>
      <c r="AK46" s="325"/>
      <c r="AL46" s="18"/>
      <c r="AM46" s="18"/>
      <c r="AN46" s="18"/>
      <c r="AO46" s="326"/>
      <c r="AP46" s="18"/>
      <c r="AQ46" s="18"/>
      <c r="AR46" s="18"/>
      <c r="AS46" s="325"/>
      <c r="AT46" s="18"/>
      <c r="AU46" s="324"/>
      <c r="AV46" s="321"/>
      <c r="AW46" s="323"/>
      <c r="AX46" s="321"/>
      <c r="AY46" s="321"/>
      <c r="AZ46" s="321"/>
      <c r="BA46" s="322"/>
      <c r="BB46" s="321"/>
      <c r="BC46" s="321"/>
      <c r="BD46" s="321"/>
      <c r="BE46" s="323"/>
      <c r="BF46" s="321"/>
      <c r="BG46" s="321"/>
      <c r="BH46" s="321"/>
      <c r="BI46" s="322"/>
      <c r="BJ46" s="321"/>
      <c r="BK46" s="321"/>
      <c r="BL46" s="321"/>
      <c r="BM46" s="323"/>
      <c r="BN46" s="321"/>
      <c r="BO46" s="321"/>
      <c r="BP46" s="321"/>
      <c r="BQ46" s="322"/>
      <c r="BR46" s="321"/>
      <c r="BS46" s="321"/>
      <c r="BT46" s="321"/>
      <c r="BU46" s="320"/>
      <c r="BV46" s="319"/>
      <c r="BW46" s="319"/>
      <c r="BX46" s="319"/>
      <c r="BY46" s="322"/>
      <c r="BZ46" s="321"/>
      <c r="CA46" s="321"/>
      <c r="CB46" s="321"/>
      <c r="CC46" s="320"/>
      <c r="CD46" s="319"/>
      <c r="CE46" s="319"/>
      <c r="CF46" s="319"/>
      <c r="CG46" s="322"/>
      <c r="CH46" s="321"/>
      <c r="CI46" s="321"/>
      <c r="CJ46" s="321"/>
      <c r="CK46" s="320"/>
      <c r="CL46" s="319"/>
      <c r="CM46" s="319"/>
      <c r="CN46" s="319"/>
      <c r="CO46" s="322"/>
      <c r="CP46" s="321"/>
      <c r="CQ46" s="321"/>
      <c r="CR46" s="321"/>
      <c r="CS46" s="320"/>
      <c r="CT46" s="319"/>
      <c r="CU46" s="319"/>
      <c r="CV46" s="319"/>
      <c r="CW46" s="322"/>
      <c r="CX46" s="321"/>
      <c r="CY46" s="321"/>
      <c r="CZ46" s="321"/>
      <c r="DA46" s="320"/>
      <c r="DB46" s="319"/>
      <c r="DC46" s="319"/>
      <c r="DD46" s="319"/>
      <c r="DE46" s="322"/>
      <c r="DF46" s="321"/>
      <c r="DG46" s="321"/>
      <c r="DH46" s="321"/>
      <c r="DI46" s="320"/>
      <c r="DJ46" s="319"/>
      <c r="DK46" s="319"/>
      <c r="DL46" s="319"/>
      <c r="DM46" s="322"/>
      <c r="DN46" s="321"/>
      <c r="DO46" s="321"/>
      <c r="DP46" s="321"/>
      <c r="DQ46" s="320"/>
      <c r="DR46" s="319"/>
      <c r="DS46" s="319"/>
      <c r="DT46" s="319"/>
      <c r="DU46" s="322"/>
      <c r="DV46" s="321"/>
      <c r="DW46" s="321"/>
      <c r="DX46" s="321"/>
      <c r="DY46" s="320"/>
      <c r="DZ46" s="319"/>
      <c r="EA46" s="319"/>
      <c r="EB46" s="319"/>
    </row>
    <row r="47" spans="1:132" s="318" customFormat="1" ht="79" customHeight="1" x14ac:dyDescent="0.35">
      <c r="A47" s="342"/>
      <c r="B47" s="449">
        <v>38</v>
      </c>
      <c r="C47" s="462" t="s">
        <v>1061</v>
      </c>
      <c r="D47" s="339" t="s">
        <v>1062</v>
      </c>
      <c r="E47" s="338" t="s">
        <v>123</v>
      </c>
      <c r="F47" s="471" t="s">
        <v>1063</v>
      </c>
      <c r="G47" s="336">
        <v>45946</v>
      </c>
      <c r="H47" s="348" t="s">
        <v>1064</v>
      </c>
      <c r="I47" s="326"/>
      <c r="J47" s="18"/>
      <c r="K47" s="18"/>
      <c r="L47" s="18"/>
      <c r="M47" s="325"/>
      <c r="N47" s="18"/>
      <c r="O47" s="18"/>
      <c r="P47" s="18"/>
      <c r="Q47" s="326"/>
      <c r="R47" s="18"/>
      <c r="S47" s="18"/>
      <c r="T47" s="18"/>
      <c r="U47" s="325"/>
      <c r="V47" s="18"/>
      <c r="W47" s="18"/>
      <c r="X47" s="18"/>
      <c r="Y47" s="326"/>
      <c r="Z47" s="18"/>
      <c r="AA47" s="18"/>
      <c r="AB47" s="18"/>
      <c r="AC47" s="325"/>
      <c r="AD47" s="18"/>
      <c r="AE47" s="18"/>
      <c r="AF47" s="18"/>
      <c r="AG47" s="326"/>
      <c r="AH47" s="18"/>
      <c r="AI47" s="18"/>
      <c r="AJ47" s="18"/>
      <c r="AK47" s="325"/>
      <c r="AL47" s="18"/>
      <c r="AM47" s="18"/>
      <c r="AN47" s="18"/>
      <c r="AO47" s="326"/>
      <c r="AP47" s="18"/>
      <c r="AQ47" s="18"/>
      <c r="AR47" s="18"/>
      <c r="AS47" s="325"/>
      <c r="AT47" s="18"/>
      <c r="AU47" s="324"/>
      <c r="AV47" s="321"/>
      <c r="AW47" s="323"/>
      <c r="AX47" s="321"/>
      <c r="AY47" s="321"/>
      <c r="AZ47" s="321"/>
      <c r="BA47" s="322"/>
      <c r="BB47" s="321"/>
      <c r="BC47" s="321"/>
      <c r="BD47" s="321"/>
      <c r="BE47" s="323"/>
      <c r="BF47" s="321"/>
      <c r="BG47" s="321"/>
      <c r="BH47" s="321"/>
      <c r="BI47" s="322"/>
      <c r="BJ47" s="321"/>
      <c r="BK47" s="321"/>
      <c r="BL47" s="321"/>
      <c r="BM47" s="323"/>
      <c r="BN47" s="321"/>
      <c r="BO47" s="321"/>
      <c r="BP47" s="321"/>
      <c r="BQ47" s="322"/>
      <c r="BR47" s="321"/>
      <c r="BS47" s="321"/>
      <c r="BT47" s="321"/>
      <c r="BU47" s="320"/>
      <c r="BV47" s="319"/>
      <c r="BW47" s="319"/>
      <c r="BX47" s="319"/>
      <c r="BY47" s="322"/>
      <c r="BZ47" s="321"/>
      <c r="CA47" s="321"/>
      <c r="CB47" s="321"/>
      <c r="CC47" s="320"/>
      <c r="CD47" s="319"/>
      <c r="CE47" s="319"/>
      <c r="CF47" s="319"/>
      <c r="CG47" s="322"/>
      <c r="CH47" s="321"/>
      <c r="CI47" s="321"/>
      <c r="CJ47" s="321"/>
      <c r="CK47" s="320"/>
      <c r="CL47" s="319"/>
      <c r="CM47" s="319"/>
      <c r="CN47" s="319"/>
      <c r="CO47" s="322"/>
      <c r="CP47" s="321"/>
      <c r="CQ47" s="321"/>
      <c r="CR47" s="321"/>
      <c r="CS47" s="320"/>
      <c r="CT47" s="319"/>
      <c r="CU47" s="319"/>
      <c r="CV47" s="319"/>
      <c r="CW47" s="322"/>
      <c r="CX47" s="321"/>
      <c r="CY47" s="321"/>
      <c r="CZ47" s="321"/>
      <c r="DA47" s="320"/>
      <c r="DB47" s="319"/>
      <c r="DC47" s="319"/>
      <c r="DD47" s="319"/>
      <c r="DE47" s="322"/>
      <c r="DF47" s="321"/>
      <c r="DG47" s="321"/>
      <c r="DH47" s="321"/>
      <c r="DI47" s="320"/>
      <c r="DJ47" s="319"/>
      <c r="DK47" s="319"/>
      <c r="DL47" s="319"/>
      <c r="DM47" s="322"/>
      <c r="DN47" s="321"/>
      <c r="DO47" s="321"/>
      <c r="DP47" s="321"/>
      <c r="DQ47" s="320"/>
      <c r="DR47" s="319"/>
      <c r="DS47" s="319"/>
      <c r="DT47" s="319"/>
      <c r="DU47" s="322"/>
      <c r="DV47" s="321"/>
      <c r="DW47" s="321"/>
      <c r="DX47" s="321"/>
      <c r="DY47" s="320"/>
      <c r="DZ47" s="319"/>
      <c r="EA47" s="319"/>
      <c r="EB47" s="319"/>
    </row>
    <row r="48" spans="1:132" s="318" customFormat="1" ht="41.15" customHeight="1" x14ac:dyDescent="0.35">
      <c r="A48" s="342"/>
      <c r="B48" s="449">
        <v>39</v>
      </c>
      <c r="C48" s="462" t="s">
        <v>1065</v>
      </c>
      <c r="D48" s="339" t="s">
        <v>1066</v>
      </c>
      <c r="E48" s="338" t="s">
        <v>117</v>
      </c>
      <c r="F48" s="337" t="s">
        <v>1067</v>
      </c>
      <c r="G48" s="336">
        <v>45947</v>
      </c>
      <c r="H48" s="348" t="s">
        <v>688</v>
      </c>
      <c r="I48" s="326"/>
      <c r="J48" s="18"/>
      <c r="K48" s="18"/>
      <c r="L48" s="18"/>
      <c r="M48" s="325"/>
      <c r="N48" s="18"/>
      <c r="O48" s="18"/>
      <c r="P48" s="18"/>
      <c r="Q48" s="326"/>
      <c r="R48" s="18"/>
      <c r="S48" s="18"/>
      <c r="T48" s="18"/>
      <c r="U48" s="325"/>
      <c r="V48" s="18"/>
      <c r="W48" s="18"/>
      <c r="X48" s="18"/>
      <c r="Y48" s="326"/>
      <c r="Z48" s="18"/>
      <c r="AA48" s="18"/>
      <c r="AB48" s="18"/>
      <c r="AC48" s="325"/>
      <c r="AD48" s="18"/>
      <c r="AE48" s="18"/>
      <c r="AF48" s="18"/>
      <c r="AG48" s="326"/>
      <c r="AH48" s="18"/>
      <c r="AI48" s="18"/>
      <c r="AJ48" s="18"/>
      <c r="AK48" s="325"/>
      <c r="AL48" s="18"/>
      <c r="AM48" s="18"/>
      <c r="AN48" s="18"/>
      <c r="AO48" s="326"/>
      <c r="AP48" s="18"/>
      <c r="AQ48" s="18"/>
      <c r="AR48" s="18"/>
      <c r="AS48" s="325"/>
      <c r="AT48" s="18"/>
      <c r="AU48" s="324"/>
      <c r="AV48" s="321"/>
      <c r="AW48" s="323"/>
      <c r="AX48" s="321"/>
      <c r="AY48" s="321"/>
      <c r="AZ48" s="321"/>
      <c r="BA48" s="322"/>
      <c r="BB48" s="321"/>
      <c r="BC48" s="321"/>
      <c r="BD48" s="321"/>
      <c r="BE48" s="323"/>
      <c r="BF48" s="321"/>
      <c r="BG48" s="321"/>
      <c r="BH48" s="321"/>
      <c r="BI48" s="322"/>
      <c r="BJ48" s="321"/>
      <c r="BK48" s="321"/>
      <c r="BL48" s="321"/>
      <c r="BM48" s="323"/>
      <c r="BN48" s="321"/>
      <c r="BO48" s="321"/>
      <c r="BP48" s="321"/>
      <c r="BQ48" s="322"/>
      <c r="BR48" s="321"/>
      <c r="BS48" s="321"/>
      <c r="BT48" s="321"/>
      <c r="BU48" s="320"/>
      <c r="BV48" s="319"/>
      <c r="BW48" s="319"/>
      <c r="BX48" s="319"/>
      <c r="BY48" s="322"/>
      <c r="BZ48" s="321"/>
      <c r="CA48" s="321"/>
      <c r="CB48" s="321"/>
      <c r="CC48" s="320"/>
      <c r="CD48" s="319"/>
      <c r="CE48" s="319"/>
      <c r="CF48" s="319"/>
      <c r="CG48" s="322"/>
      <c r="CH48" s="321"/>
      <c r="CI48" s="321"/>
      <c r="CJ48" s="321"/>
      <c r="CK48" s="320"/>
      <c r="CL48" s="319"/>
      <c r="CM48" s="319"/>
      <c r="CN48" s="319"/>
      <c r="CO48" s="322"/>
      <c r="CP48" s="321"/>
      <c r="CQ48" s="321"/>
      <c r="CR48" s="321"/>
      <c r="CS48" s="320"/>
      <c r="CT48" s="319"/>
      <c r="CU48" s="319"/>
      <c r="CV48" s="319"/>
      <c r="CW48" s="322"/>
      <c r="CX48" s="321"/>
      <c r="CY48" s="321"/>
      <c r="CZ48" s="321"/>
      <c r="DA48" s="320"/>
      <c r="DB48" s="319"/>
      <c r="DC48" s="319"/>
      <c r="DD48" s="319"/>
      <c r="DE48" s="322"/>
      <c r="DF48" s="321"/>
      <c r="DG48" s="321"/>
      <c r="DH48" s="321"/>
      <c r="DI48" s="320"/>
      <c r="DJ48" s="319"/>
      <c r="DK48" s="319"/>
      <c r="DL48" s="319"/>
      <c r="DM48" s="322"/>
      <c r="DN48" s="321"/>
      <c r="DO48" s="321"/>
      <c r="DP48" s="321"/>
      <c r="DQ48" s="320"/>
      <c r="DR48" s="319"/>
      <c r="DS48" s="319"/>
      <c r="DT48" s="319"/>
      <c r="DU48" s="322"/>
      <c r="DV48" s="321"/>
      <c r="DW48" s="321"/>
      <c r="DX48" s="321"/>
      <c r="DY48" s="320"/>
      <c r="DZ48" s="319"/>
      <c r="EA48" s="319"/>
      <c r="EB48" s="319"/>
    </row>
    <row r="49" spans="1:132" s="318" customFormat="1" ht="41.15" customHeight="1" x14ac:dyDescent="0.35">
      <c r="A49" s="342"/>
      <c r="B49" s="449">
        <v>40</v>
      </c>
      <c r="C49" s="462" t="s">
        <v>1068</v>
      </c>
      <c r="D49" s="339" t="s">
        <v>1069</v>
      </c>
      <c r="E49" s="338" t="s">
        <v>117</v>
      </c>
      <c r="F49" s="337" t="s">
        <v>1012</v>
      </c>
      <c r="G49" s="336">
        <v>45950</v>
      </c>
      <c r="H49" s="348" t="s">
        <v>688</v>
      </c>
      <c r="I49" s="326"/>
      <c r="J49" s="18"/>
      <c r="K49" s="18"/>
      <c r="L49" s="18"/>
      <c r="M49" s="325"/>
      <c r="N49" s="18"/>
      <c r="O49" s="18"/>
      <c r="P49" s="18"/>
      <c r="Q49" s="326"/>
      <c r="R49" s="18"/>
      <c r="S49" s="18"/>
      <c r="T49" s="18"/>
      <c r="U49" s="325"/>
      <c r="V49" s="18"/>
      <c r="W49" s="18"/>
      <c r="X49" s="18"/>
      <c r="Y49" s="326"/>
      <c r="Z49" s="18"/>
      <c r="AA49" s="18"/>
      <c r="AB49" s="18"/>
      <c r="AC49" s="325"/>
      <c r="AD49" s="18"/>
      <c r="AE49" s="18"/>
      <c r="AF49" s="18"/>
      <c r="AG49" s="326"/>
      <c r="AH49" s="18"/>
      <c r="AI49" s="18"/>
      <c r="AJ49" s="18"/>
      <c r="AK49" s="325"/>
      <c r="AL49" s="18"/>
      <c r="AM49" s="18"/>
      <c r="AN49" s="18"/>
      <c r="AO49" s="326"/>
      <c r="AP49" s="18"/>
      <c r="AQ49" s="18"/>
      <c r="AR49" s="18"/>
      <c r="AS49" s="325"/>
      <c r="AT49" s="18"/>
      <c r="AU49" s="324"/>
      <c r="AV49" s="321"/>
      <c r="AW49" s="323"/>
      <c r="AX49" s="321"/>
      <c r="AY49" s="321"/>
      <c r="AZ49" s="321"/>
      <c r="BA49" s="322"/>
      <c r="BB49" s="321"/>
      <c r="BC49" s="321"/>
      <c r="BD49" s="321"/>
      <c r="BE49" s="323"/>
      <c r="BF49" s="321"/>
      <c r="BG49" s="321"/>
      <c r="BH49" s="321"/>
      <c r="BI49" s="322"/>
      <c r="BJ49" s="321"/>
      <c r="BK49" s="321"/>
      <c r="BL49" s="321"/>
      <c r="BM49" s="323"/>
      <c r="BN49" s="321"/>
      <c r="BO49" s="321"/>
      <c r="BP49" s="321"/>
      <c r="BQ49" s="322"/>
      <c r="BR49" s="321"/>
      <c r="BS49" s="321"/>
      <c r="BT49" s="321"/>
      <c r="BU49" s="320"/>
      <c r="BV49" s="319"/>
      <c r="BW49" s="319"/>
      <c r="BX49" s="319"/>
      <c r="BY49" s="322"/>
      <c r="BZ49" s="321"/>
      <c r="CA49" s="321"/>
      <c r="CB49" s="321"/>
      <c r="CC49" s="320"/>
      <c r="CD49" s="319"/>
      <c r="CE49" s="319"/>
      <c r="CF49" s="319"/>
      <c r="CG49" s="322"/>
      <c r="CH49" s="321"/>
      <c r="CI49" s="321"/>
      <c r="CJ49" s="321"/>
      <c r="CK49" s="320"/>
      <c r="CL49" s="319"/>
      <c r="CM49" s="319"/>
      <c r="CN49" s="319"/>
      <c r="CO49" s="322"/>
      <c r="CP49" s="321"/>
      <c r="CQ49" s="321"/>
      <c r="CR49" s="321"/>
      <c r="CS49" s="320"/>
      <c r="CT49" s="319"/>
      <c r="CU49" s="319"/>
      <c r="CV49" s="319"/>
      <c r="CW49" s="322"/>
      <c r="CX49" s="321"/>
      <c r="CY49" s="321"/>
      <c r="CZ49" s="321"/>
      <c r="DA49" s="320"/>
      <c r="DB49" s="319"/>
      <c r="DC49" s="319"/>
      <c r="DD49" s="319"/>
      <c r="DE49" s="322"/>
      <c r="DF49" s="321"/>
      <c r="DG49" s="321"/>
      <c r="DH49" s="321"/>
      <c r="DI49" s="320"/>
      <c r="DJ49" s="319"/>
      <c r="DK49" s="319"/>
      <c r="DL49" s="319"/>
      <c r="DM49" s="322"/>
      <c r="DN49" s="321"/>
      <c r="DO49" s="321"/>
      <c r="DP49" s="321"/>
      <c r="DQ49" s="320"/>
      <c r="DR49" s="319"/>
      <c r="DS49" s="319"/>
      <c r="DT49" s="319"/>
      <c r="DU49" s="322"/>
      <c r="DV49" s="321"/>
      <c r="DW49" s="321"/>
      <c r="DX49" s="321"/>
      <c r="DY49" s="320"/>
      <c r="DZ49" s="319"/>
      <c r="EA49" s="319"/>
      <c r="EB49" s="319"/>
    </row>
    <row r="50" spans="1:132" s="318" customFormat="1" ht="41.15" customHeight="1" x14ac:dyDescent="0.35">
      <c r="A50" s="342"/>
      <c r="B50" s="449">
        <v>41</v>
      </c>
      <c r="C50" s="462" t="s">
        <v>1070</v>
      </c>
      <c r="D50" s="339" t="s">
        <v>1071</v>
      </c>
      <c r="E50" s="338" t="s">
        <v>334</v>
      </c>
      <c r="F50" s="337" t="s">
        <v>1072</v>
      </c>
      <c r="G50" s="336">
        <v>45951</v>
      </c>
      <c r="H50" s="348" t="s">
        <v>688</v>
      </c>
      <c r="I50" s="326"/>
      <c r="J50" s="18"/>
      <c r="K50" s="18"/>
      <c r="L50" s="18"/>
      <c r="M50" s="325"/>
      <c r="N50" s="18"/>
      <c r="O50" s="18"/>
      <c r="P50" s="18"/>
      <c r="Q50" s="326"/>
      <c r="R50" s="18"/>
      <c r="S50" s="18"/>
      <c r="T50" s="18"/>
      <c r="U50" s="325"/>
      <c r="V50" s="18"/>
      <c r="W50" s="18"/>
      <c r="X50" s="18"/>
      <c r="Y50" s="326"/>
      <c r="Z50" s="18"/>
      <c r="AA50" s="18"/>
      <c r="AB50" s="18"/>
      <c r="AC50" s="325"/>
      <c r="AD50" s="18"/>
      <c r="AE50" s="18"/>
      <c r="AF50" s="18"/>
      <c r="AG50" s="326"/>
      <c r="AH50" s="18"/>
      <c r="AI50" s="18"/>
      <c r="AJ50" s="18"/>
      <c r="AK50" s="325"/>
      <c r="AL50" s="18"/>
      <c r="AM50" s="18"/>
      <c r="AN50" s="18"/>
      <c r="AO50" s="326"/>
      <c r="AP50" s="18"/>
      <c r="AQ50" s="18"/>
      <c r="AR50" s="18"/>
      <c r="AS50" s="325"/>
      <c r="AT50" s="18"/>
      <c r="AU50" s="324"/>
      <c r="AV50" s="321"/>
      <c r="AW50" s="323"/>
      <c r="AX50" s="321"/>
      <c r="AY50" s="321"/>
      <c r="AZ50" s="321"/>
      <c r="BA50" s="322"/>
      <c r="BB50" s="321"/>
      <c r="BC50" s="321"/>
      <c r="BD50" s="321"/>
      <c r="BE50" s="323"/>
      <c r="BF50" s="321"/>
      <c r="BG50" s="321"/>
      <c r="BH50" s="321"/>
      <c r="BI50" s="322"/>
      <c r="BJ50" s="321"/>
      <c r="BK50" s="321"/>
      <c r="BL50" s="321"/>
      <c r="BM50" s="323"/>
      <c r="BN50" s="321"/>
      <c r="BO50" s="321"/>
      <c r="BP50" s="321"/>
      <c r="BQ50" s="322"/>
      <c r="BR50" s="321"/>
      <c r="BS50" s="321"/>
      <c r="BT50" s="321"/>
      <c r="BU50" s="320"/>
      <c r="BV50" s="319"/>
      <c r="BW50" s="319"/>
      <c r="BX50" s="319"/>
      <c r="BY50" s="322"/>
      <c r="BZ50" s="321"/>
      <c r="CA50" s="321"/>
      <c r="CB50" s="321"/>
      <c r="CC50" s="320"/>
      <c r="CD50" s="319"/>
      <c r="CE50" s="319"/>
      <c r="CF50" s="319"/>
      <c r="CG50" s="322"/>
      <c r="CH50" s="321"/>
      <c r="CI50" s="321"/>
      <c r="CJ50" s="321"/>
      <c r="CK50" s="320"/>
      <c r="CL50" s="319"/>
      <c r="CM50" s="319"/>
      <c r="CN50" s="319"/>
      <c r="CO50" s="322"/>
      <c r="CP50" s="321"/>
      <c r="CQ50" s="321"/>
      <c r="CR50" s="321"/>
      <c r="CS50" s="320"/>
      <c r="CT50" s="319"/>
      <c r="CU50" s="319"/>
      <c r="CV50" s="319"/>
      <c r="CW50" s="322"/>
      <c r="CX50" s="321"/>
      <c r="CY50" s="321"/>
      <c r="CZ50" s="321"/>
      <c r="DA50" s="320"/>
      <c r="DB50" s="319"/>
      <c r="DC50" s="319"/>
      <c r="DD50" s="319"/>
      <c r="DE50" s="322"/>
      <c r="DF50" s="321"/>
      <c r="DG50" s="321"/>
      <c r="DH50" s="321"/>
      <c r="DI50" s="320"/>
      <c r="DJ50" s="319"/>
      <c r="DK50" s="319"/>
      <c r="DL50" s="319"/>
      <c r="DM50" s="322"/>
      <c r="DN50" s="321"/>
      <c r="DO50" s="321"/>
      <c r="DP50" s="321"/>
      <c r="DQ50" s="320"/>
      <c r="DR50" s="319"/>
      <c r="DS50" s="319"/>
      <c r="DT50" s="319"/>
      <c r="DU50" s="322"/>
      <c r="DV50" s="321"/>
      <c r="DW50" s="321"/>
      <c r="DX50" s="321"/>
      <c r="DY50" s="320"/>
      <c r="DZ50" s="319"/>
      <c r="EA50" s="319"/>
      <c r="EB50" s="319"/>
    </row>
    <row r="51" spans="1:132" s="318" customFormat="1" ht="41.15" customHeight="1" x14ac:dyDescent="0.35">
      <c r="A51" s="342"/>
      <c r="B51" s="449">
        <v>42</v>
      </c>
      <c r="C51" s="462" t="s">
        <v>1073</v>
      </c>
      <c r="D51" s="339" t="s">
        <v>1074</v>
      </c>
      <c r="E51" s="338" t="s">
        <v>117</v>
      </c>
      <c r="F51" s="337" t="s">
        <v>1075</v>
      </c>
      <c r="G51" s="336">
        <v>45952</v>
      </c>
      <c r="H51" s="348" t="s">
        <v>1076</v>
      </c>
      <c r="I51" s="326"/>
      <c r="J51" s="18"/>
      <c r="K51" s="18"/>
      <c r="L51" s="18"/>
      <c r="M51" s="325"/>
      <c r="N51" s="18"/>
      <c r="O51" s="18"/>
      <c r="P51" s="18"/>
      <c r="Q51" s="326"/>
      <c r="R51" s="18"/>
      <c r="S51" s="18"/>
      <c r="T51" s="18"/>
      <c r="U51" s="325"/>
      <c r="V51" s="18"/>
      <c r="W51" s="18"/>
      <c r="X51" s="18"/>
      <c r="Y51" s="326"/>
      <c r="Z51" s="18"/>
      <c r="AA51" s="18"/>
      <c r="AB51" s="18"/>
      <c r="AC51" s="325"/>
      <c r="AD51" s="18"/>
      <c r="AE51" s="18"/>
      <c r="AF51" s="18"/>
      <c r="AG51" s="326"/>
      <c r="AH51" s="18"/>
      <c r="AI51" s="18"/>
      <c r="AJ51" s="18"/>
      <c r="AK51" s="325"/>
      <c r="AL51" s="18"/>
      <c r="AM51" s="18"/>
      <c r="AN51" s="18"/>
      <c r="AO51" s="326"/>
      <c r="AP51" s="18"/>
      <c r="AQ51" s="18"/>
      <c r="AR51" s="18"/>
      <c r="AS51" s="325"/>
      <c r="AT51" s="18"/>
      <c r="AU51" s="324"/>
      <c r="AV51" s="321"/>
      <c r="AW51" s="323"/>
      <c r="AX51" s="321"/>
      <c r="AY51" s="321"/>
      <c r="AZ51" s="321"/>
      <c r="BA51" s="322"/>
      <c r="BB51" s="321"/>
      <c r="BC51" s="321"/>
      <c r="BD51" s="321"/>
      <c r="BE51" s="323"/>
      <c r="BF51" s="321"/>
      <c r="BG51" s="321"/>
      <c r="BH51" s="321"/>
      <c r="BI51" s="322"/>
      <c r="BJ51" s="321"/>
      <c r="BK51" s="321"/>
      <c r="BL51" s="321"/>
      <c r="BM51" s="323"/>
      <c r="BN51" s="321"/>
      <c r="BO51" s="321"/>
      <c r="BP51" s="321"/>
      <c r="BQ51" s="322"/>
      <c r="BR51" s="321"/>
      <c r="BS51" s="321"/>
      <c r="BT51" s="321"/>
      <c r="BU51" s="320"/>
      <c r="BV51" s="319"/>
      <c r="BW51" s="319"/>
      <c r="BX51" s="319"/>
      <c r="BY51" s="322"/>
      <c r="BZ51" s="321"/>
      <c r="CA51" s="321"/>
      <c r="CB51" s="321"/>
      <c r="CC51" s="320"/>
      <c r="CD51" s="319"/>
      <c r="CE51" s="319"/>
      <c r="CF51" s="319"/>
      <c r="CG51" s="322"/>
      <c r="CH51" s="321"/>
      <c r="CI51" s="321"/>
      <c r="CJ51" s="321"/>
      <c r="CK51" s="320"/>
      <c r="CL51" s="319"/>
      <c r="CM51" s="319"/>
      <c r="CN51" s="319"/>
      <c r="CO51" s="322"/>
      <c r="CP51" s="321"/>
      <c r="CQ51" s="321"/>
      <c r="CR51" s="321"/>
      <c r="CS51" s="320"/>
      <c r="CT51" s="319"/>
      <c r="CU51" s="319"/>
      <c r="CV51" s="319"/>
      <c r="CW51" s="322"/>
      <c r="CX51" s="321"/>
      <c r="CY51" s="321"/>
      <c r="CZ51" s="321"/>
      <c r="DA51" s="320"/>
      <c r="DB51" s="319"/>
      <c r="DC51" s="319"/>
      <c r="DD51" s="319"/>
      <c r="DE51" s="322"/>
      <c r="DF51" s="321"/>
      <c r="DG51" s="321"/>
      <c r="DH51" s="321"/>
      <c r="DI51" s="320"/>
      <c r="DJ51" s="319"/>
      <c r="DK51" s="319"/>
      <c r="DL51" s="319"/>
      <c r="DM51" s="322"/>
      <c r="DN51" s="321"/>
      <c r="DO51" s="321"/>
      <c r="DP51" s="321"/>
      <c r="DQ51" s="320"/>
      <c r="DR51" s="319"/>
      <c r="DS51" s="319"/>
      <c r="DT51" s="319"/>
      <c r="DU51" s="322"/>
      <c r="DV51" s="321"/>
      <c r="DW51" s="321"/>
      <c r="DX51" s="321"/>
      <c r="DY51" s="320"/>
      <c r="DZ51" s="319"/>
      <c r="EA51" s="319"/>
      <c r="EB51" s="319"/>
    </row>
    <row r="52" spans="1:132" s="318" customFormat="1" ht="69.650000000000006" customHeight="1" x14ac:dyDescent="0.35">
      <c r="A52" s="342"/>
      <c r="B52" s="449">
        <v>43</v>
      </c>
      <c r="C52" s="462" t="s">
        <v>1077</v>
      </c>
      <c r="D52" s="339" t="s">
        <v>1007</v>
      </c>
      <c r="E52" s="338" t="s">
        <v>123</v>
      </c>
      <c r="F52" s="337" t="s">
        <v>993</v>
      </c>
      <c r="G52" s="336">
        <v>45953</v>
      </c>
      <c r="H52" s="348" t="s">
        <v>1040</v>
      </c>
      <c r="I52" s="326"/>
      <c r="J52" s="18"/>
      <c r="K52" s="18"/>
      <c r="L52" s="18"/>
      <c r="M52" s="325"/>
      <c r="N52" s="18"/>
      <c r="O52" s="18"/>
      <c r="P52" s="18"/>
      <c r="Q52" s="326"/>
      <c r="R52" s="18"/>
      <c r="S52" s="18"/>
      <c r="T52" s="18"/>
      <c r="U52" s="325"/>
      <c r="V52" s="18"/>
      <c r="W52" s="18"/>
      <c r="X52" s="18"/>
      <c r="Y52" s="326"/>
      <c r="Z52" s="18"/>
      <c r="AA52" s="18"/>
      <c r="AB52" s="18"/>
      <c r="AC52" s="325"/>
      <c r="AD52" s="18"/>
      <c r="AE52" s="18"/>
      <c r="AF52" s="18"/>
      <c r="AG52" s="326"/>
      <c r="AH52" s="18"/>
      <c r="AI52" s="18"/>
      <c r="AJ52" s="18"/>
      <c r="AK52" s="325"/>
      <c r="AL52" s="18"/>
      <c r="AM52" s="18"/>
      <c r="AN52" s="18"/>
      <c r="AO52" s="326"/>
      <c r="AP52" s="18"/>
      <c r="AQ52" s="18"/>
      <c r="AR52" s="18"/>
      <c r="AS52" s="325"/>
      <c r="AT52" s="18"/>
      <c r="AU52" s="324"/>
      <c r="AV52" s="321"/>
      <c r="AW52" s="323"/>
      <c r="AX52" s="321"/>
      <c r="AY52" s="321"/>
      <c r="AZ52" s="321"/>
      <c r="BA52" s="322"/>
      <c r="BB52" s="321"/>
      <c r="BC52" s="321"/>
      <c r="BD52" s="321"/>
      <c r="BE52" s="323"/>
      <c r="BF52" s="321"/>
      <c r="BG52" s="321"/>
      <c r="BH52" s="321"/>
      <c r="BI52" s="322"/>
      <c r="BJ52" s="321"/>
      <c r="BK52" s="321"/>
      <c r="BL52" s="321"/>
      <c r="BM52" s="323"/>
      <c r="BN52" s="321"/>
      <c r="BO52" s="321"/>
      <c r="BP52" s="321"/>
      <c r="BQ52" s="322"/>
      <c r="BR52" s="321"/>
      <c r="BS52" s="321"/>
      <c r="BT52" s="321"/>
      <c r="BU52" s="320"/>
      <c r="BV52" s="319"/>
      <c r="BW52" s="319"/>
      <c r="BX52" s="319"/>
      <c r="BY52" s="322"/>
      <c r="BZ52" s="321"/>
      <c r="CA52" s="321"/>
      <c r="CB52" s="321"/>
      <c r="CC52" s="320"/>
      <c r="CD52" s="319"/>
      <c r="CE52" s="319"/>
      <c r="CF52" s="319"/>
      <c r="CG52" s="322"/>
      <c r="CH52" s="321"/>
      <c r="CI52" s="321"/>
      <c r="CJ52" s="321"/>
      <c r="CK52" s="320"/>
      <c r="CL52" s="319"/>
      <c r="CM52" s="319"/>
      <c r="CN52" s="319"/>
      <c r="CO52" s="322"/>
      <c r="CP52" s="321"/>
      <c r="CQ52" s="321"/>
      <c r="CR52" s="321"/>
      <c r="CS52" s="320"/>
      <c r="CT52" s="319"/>
      <c r="CU52" s="319"/>
      <c r="CV52" s="319"/>
      <c r="CW52" s="322"/>
      <c r="CX52" s="321"/>
      <c r="CY52" s="321"/>
      <c r="CZ52" s="321"/>
      <c r="DA52" s="320"/>
      <c r="DB52" s="319"/>
      <c r="DC52" s="319"/>
      <c r="DD52" s="319"/>
      <c r="DE52" s="322"/>
      <c r="DF52" s="321"/>
      <c r="DG52" s="321"/>
      <c r="DH52" s="321"/>
      <c r="DI52" s="320"/>
      <c r="DJ52" s="319"/>
      <c r="DK52" s="319"/>
      <c r="DL52" s="319"/>
      <c r="DM52" s="322"/>
      <c r="DN52" s="321"/>
      <c r="DO52" s="321"/>
      <c r="DP52" s="321"/>
      <c r="DQ52" s="320"/>
      <c r="DR52" s="319"/>
      <c r="DS52" s="319"/>
      <c r="DT52" s="319"/>
      <c r="DU52" s="322"/>
      <c r="DV52" s="321"/>
      <c r="DW52" s="321"/>
      <c r="DX52" s="321"/>
      <c r="DY52" s="320"/>
      <c r="DZ52" s="319"/>
      <c r="EA52" s="319"/>
      <c r="EB52" s="319"/>
    </row>
    <row r="53" spans="1:132" s="318" customFormat="1" ht="41.15" customHeight="1" x14ac:dyDescent="0.35">
      <c r="A53" s="342"/>
      <c r="B53" s="449">
        <v>44</v>
      </c>
      <c r="C53" s="462" t="s">
        <v>1078</v>
      </c>
      <c r="D53" s="363" t="s">
        <v>1079</v>
      </c>
      <c r="E53" s="338" t="s">
        <v>117</v>
      </c>
      <c r="F53" s="344" t="s">
        <v>1080</v>
      </c>
      <c r="G53" s="336">
        <v>45957</v>
      </c>
      <c r="H53" s="348" t="s">
        <v>688</v>
      </c>
      <c r="I53" s="326"/>
      <c r="J53" s="18"/>
      <c r="K53" s="18"/>
      <c r="L53" s="18"/>
      <c r="M53" s="325"/>
      <c r="N53" s="18"/>
      <c r="O53" s="18"/>
      <c r="P53" s="18"/>
      <c r="Q53" s="326"/>
      <c r="R53" s="18"/>
      <c r="S53" s="18"/>
      <c r="T53" s="18"/>
      <c r="U53" s="325"/>
      <c r="V53" s="18"/>
      <c r="W53" s="18"/>
      <c r="X53" s="18"/>
      <c r="Y53" s="326"/>
      <c r="Z53" s="18"/>
      <c r="AA53" s="18"/>
      <c r="AB53" s="18"/>
      <c r="AC53" s="325"/>
      <c r="AD53" s="18"/>
      <c r="AE53" s="18"/>
      <c r="AF53" s="18"/>
      <c r="AG53" s="326"/>
      <c r="AH53" s="18"/>
      <c r="AI53" s="18"/>
      <c r="AJ53" s="18"/>
      <c r="AK53" s="325"/>
      <c r="AL53" s="18"/>
      <c r="AM53" s="18"/>
      <c r="AN53" s="18"/>
      <c r="AO53" s="326"/>
      <c r="AP53" s="18"/>
      <c r="AQ53" s="18"/>
      <c r="AR53" s="18"/>
      <c r="AS53" s="325"/>
      <c r="AT53" s="18"/>
      <c r="AU53" s="324"/>
      <c r="AV53" s="321"/>
      <c r="AW53" s="323"/>
      <c r="AX53" s="321"/>
      <c r="AY53" s="321"/>
      <c r="AZ53" s="321"/>
      <c r="BA53" s="322"/>
      <c r="BB53" s="321"/>
      <c r="BC53" s="321"/>
      <c r="BD53" s="321"/>
      <c r="BE53" s="323"/>
      <c r="BF53" s="321"/>
      <c r="BG53" s="321"/>
      <c r="BH53" s="321"/>
      <c r="BI53" s="322"/>
      <c r="BJ53" s="321"/>
      <c r="BK53" s="321"/>
      <c r="BL53" s="321"/>
      <c r="BM53" s="323"/>
      <c r="BN53" s="321"/>
      <c r="BO53" s="321"/>
      <c r="BP53" s="321"/>
      <c r="BQ53" s="322"/>
      <c r="BR53" s="321"/>
      <c r="BS53" s="321"/>
      <c r="BT53" s="321"/>
      <c r="BU53" s="320"/>
      <c r="BV53" s="319"/>
      <c r="BW53" s="319"/>
      <c r="BX53" s="319"/>
      <c r="BY53" s="322"/>
      <c r="BZ53" s="321"/>
      <c r="CA53" s="321"/>
      <c r="CB53" s="321"/>
      <c r="CC53" s="320"/>
      <c r="CD53" s="319"/>
      <c r="CE53" s="319"/>
      <c r="CF53" s="319"/>
      <c r="CG53" s="322"/>
      <c r="CH53" s="321"/>
      <c r="CI53" s="321"/>
      <c r="CJ53" s="321"/>
      <c r="CK53" s="320"/>
      <c r="CL53" s="319"/>
      <c r="CM53" s="319"/>
      <c r="CN53" s="319"/>
      <c r="CO53" s="322"/>
      <c r="CP53" s="321"/>
      <c r="CQ53" s="321"/>
      <c r="CR53" s="321"/>
      <c r="CS53" s="320"/>
      <c r="CT53" s="319"/>
      <c r="CU53" s="319"/>
      <c r="CV53" s="319"/>
      <c r="CW53" s="322"/>
      <c r="CX53" s="321"/>
      <c r="CY53" s="321"/>
      <c r="CZ53" s="321"/>
      <c r="DA53" s="320"/>
      <c r="DB53" s="319"/>
      <c r="DC53" s="319"/>
      <c r="DD53" s="319"/>
      <c r="DE53" s="322"/>
      <c r="DF53" s="321"/>
      <c r="DG53" s="321"/>
      <c r="DH53" s="321"/>
      <c r="DI53" s="320"/>
      <c r="DJ53" s="319"/>
      <c r="DK53" s="319"/>
      <c r="DL53" s="319"/>
      <c r="DM53" s="322"/>
      <c r="DN53" s="321"/>
      <c r="DO53" s="321"/>
      <c r="DP53" s="321"/>
      <c r="DQ53" s="320"/>
      <c r="DR53" s="319"/>
      <c r="DS53" s="319"/>
      <c r="DT53" s="319"/>
      <c r="DU53" s="322"/>
      <c r="DV53" s="321"/>
      <c r="DW53" s="321"/>
      <c r="DX53" s="321"/>
      <c r="DY53" s="320"/>
      <c r="DZ53" s="319"/>
      <c r="EA53" s="319"/>
      <c r="EB53" s="319"/>
    </row>
    <row r="54" spans="1:132" s="318" customFormat="1" ht="41.15" customHeight="1" x14ac:dyDescent="0.35">
      <c r="A54" s="342"/>
      <c r="B54" s="449">
        <v>45</v>
      </c>
      <c r="C54" s="462" t="s">
        <v>1081</v>
      </c>
      <c r="D54" s="340" t="s">
        <v>1082</v>
      </c>
      <c r="E54" s="338" t="s">
        <v>117</v>
      </c>
      <c r="F54" s="344" t="s">
        <v>960</v>
      </c>
      <c r="G54" s="336">
        <v>45957</v>
      </c>
      <c r="H54" s="348" t="s">
        <v>1003</v>
      </c>
      <c r="I54" s="326"/>
      <c r="J54" s="18"/>
      <c r="K54" s="18"/>
      <c r="L54" s="18"/>
      <c r="M54" s="325"/>
      <c r="N54" s="18"/>
      <c r="O54" s="18"/>
      <c r="P54" s="18"/>
      <c r="Q54" s="326"/>
      <c r="R54" s="18"/>
      <c r="S54" s="18"/>
      <c r="T54" s="18"/>
      <c r="U54" s="325"/>
      <c r="V54" s="18"/>
      <c r="W54" s="18"/>
      <c r="X54" s="18"/>
      <c r="Y54" s="326"/>
      <c r="Z54" s="18"/>
      <c r="AA54" s="18"/>
      <c r="AB54" s="18"/>
      <c r="AC54" s="325"/>
      <c r="AD54" s="18"/>
      <c r="AE54" s="18"/>
      <c r="AF54" s="18"/>
      <c r="AG54" s="326"/>
      <c r="AH54" s="18"/>
      <c r="AI54" s="18"/>
      <c r="AJ54" s="18"/>
      <c r="AK54" s="325"/>
      <c r="AL54" s="18"/>
      <c r="AM54" s="18"/>
      <c r="AN54" s="18"/>
      <c r="AO54" s="326"/>
      <c r="AP54" s="18"/>
      <c r="AQ54" s="18"/>
      <c r="AR54" s="18"/>
      <c r="AS54" s="325"/>
      <c r="AT54" s="18"/>
      <c r="AU54" s="324"/>
      <c r="AV54" s="321"/>
      <c r="AW54" s="323"/>
      <c r="AX54" s="321"/>
      <c r="AY54" s="321"/>
      <c r="AZ54" s="321"/>
      <c r="BA54" s="322"/>
      <c r="BB54" s="321"/>
      <c r="BC54" s="321"/>
      <c r="BD54" s="321"/>
      <c r="BE54" s="323"/>
      <c r="BF54" s="321"/>
      <c r="BG54" s="321"/>
      <c r="BH54" s="321"/>
      <c r="BI54" s="322"/>
      <c r="BJ54" s="321"/>
      <c r="BK54" s="321"/>
      <c r="BL54" s="321"/>
      <c r="BM54" s="323"/>
      <c r="BN54" s="321"/>
      <c r="BO54" s="321"/>
      <c r="BP54" s="321"/>
      <c r="BQ54" s="322"/>
      <c r="BR54" s="321"/>
      <c r="BS54" s="321"/>
      <c r="BT54" s="321"/>
      <c r="BU54" s="320"/>
      <c r="BV54" s="319"/>
      <c r="BW54" s="319"/>
      <c r="BX54" s="319"/>
      <c r="BY54" s="322"/>
      <c r="BZ54" s="321"/>
      <c r="CA54" s="321"/>
      <c r="CB54" s="321"/>
      <c r="CC54" s="320"/>
      <c r="CD54" s="319"/>
      <c r="CE54" s="319"/>
      <c r="CF54" s="319"/>
      <c r="CG54" s="322"/>
      <c r="CH54" s="321"/>
      <c r="CI54" s="321"/>
      <c r="CJ54" s="321"/>
      <c r="CK54" s="320"/>
      <c r="CL54" s="319"/>
      <c r="CM54" s="319"/>
      <c r="CN54" s="319"/>
      <c r="CO54" s="322"/>
      <c r="CP54" s="321"/>
      <c r="CQ54" s="321"/>
      <c r="CR54" s="321"/>
      <c r="CS54" s="320"/>
      <c r="CT54" s="319"/>
      <c r="CU54" s="319"/>
      <c r="CV54" s="319"/>
      <c r="CW54" s="322"/>
      <c r="CX54" s="321"/>
      <c r="CY54" s="321"/>
      <c r="CZ54" s="321"/>
      <c r="DA54" s="320"/>
      <c r="DB54" s="319"/>
      <c r="DC54" s="319"/>
      <c r="DD54" s="319"/>
      <c r="DE54" s="322"/>
      <c r="DF54" s="321"/>
      <c r="DG54" s="321"/>
      <c r="DH54" s="321"/>
      <c r="DI54" s="320"/>
      <c r="DJ54" s="319"/>
      <c r="DK54" s="319"/>
      <c r="DL54" s="319"/>
      <c r="DM54" s="322"/>
      <c r="DN54" s="321"/>
      <c r="DO54" s="321"/>
      <c r="DP54" s="321"/>
      <c r="DQ54" s="320"/>
      <c r="DR54" s="319"/>
      <c r="DS54" s="319"/>
      <c r="DT54" s="319"/>
      <c r="DU54" s="322"/>
      <c r="DV54" s="321"/>
      <c r="DW54" s="321"/>
      <c r="DX54" s="321"/>
      <c r="DY54" s="320"/>
      <c r="DZ54" s="319"/>
      <c r="EA54" s="319"/>
      <c r="EB54" s="319"/>
    </row>
    <row r="55" spans="1:132" s="318" customFormat="1" ht="41.15" customHeight="1" x14ac:dyDescent="0.35">
      <c r="A55" s="342"/>
      <c r="B55" s="449">
        <v>46</v>
      </c>
      <c r="C55" s="462" t="s">
        <v>1083</v>
      </c>
      <c r="D55" s="340" t="s">
        <v>1084</v>
      </c>
      <c r="E55" s="338" t="s">
        <v>117</v>
      </c>
      <c r="F55" s="344" t="s">
        <v>1085</v>
      </c>
      <c r="G55" s="336">
        <v>45959</v>
      </c>
      <c r="H55" s="348" t="s">
        <v>1045</v>
      </c>
      <c r="I55" s="326"/>
      <c r="J55" s="18"/>
      <c r="K55" s="18"/>
      <c r="L55" s="18"/>
      <c r="M55" s="325"/>
      <c r="N55" s="18"/>
      <c r="O55" s="18"/>
      <c r="P55" s="18"/>
      <c r="Q55" s="326"/>
      <c r="R55" s="18"/>
      <c r="S55" s="18"/>
      <c r="T55" s="18"/>
      <c r="U55" s="325"/>
      <c r="V55" s="18"/>
      <c r="W55" s="18"/>
      <c r="X55" s="18"/>
      <c r="Y55" s="326"/>
      <c r="Z55" s="18"/>
      <c r="AA55" s="18"/>
      <c r="AB55" s="18"/>
      <c r="AC55" s="325"/>
      <c r="AD55" s="18"/>
      <c r="AE55" s="18"/>
      <c r="AF55" s="18"/>
      <c r="AG55" s="326"/>
      <c r="AH55" s="18"/>
      <c r="AI55" s="18"/>
      <c r="AJ55" s="18"/>
      <c r="AK55" s="325"/>
      <c r="AL55" s="18"/>
      <c r="AM55" s="18"/>
      <c r="AN55" s="18"/>
      <c r="AO55" s="326"/>
      <c r="AP55" s="18"/>
      <c r="AQ55" s="18"/>
      <c r="AR55" s="18"/>
      <c r="AS55" s="325"/>
      <c r="AT55" s="18"/>
      <c r="AU55" s="324"/>
      <c r="AV55" s="321"/>
      <c r="AW55" s="323"/>
      <c r="AX55" s="321"/>
      <c r="AY55" s="321"/>
      <c r="AZ55" s="321"/>
      <c r="BA55" s="322"/>
      <c r="BB55" s="321"/>
      <c r="BC55" s="321"/>
      <c r="BD55" s="321"/>
      <c r="BE55" s="323"/>
      <c r="BF55" s="321"/>
      <c r="BG55" s="321"/>
      <c r="BH55" s="321"/>
      <c r="BI55" s="322"/>
      <c r="BJ55" s="321"/>
      <c r="BK55" s="321"/>
      <c r="BL55" s="321"/>
      <c r="BM55" s="323"/>
      <c r="BN55" s="321"/>
      <c r="BO55" s="321"/>
      <c r="BP55" s="321"/>
      <c r="BQ55" s="322"/>
      <c r="BR55" s="321"/>
      <c r="BS55" s="321"/>
      <c r="BT55" s="321"/>
      <c r="BU55" s="320"/>
      <c r="BV55" s="319"/>
      <c r="BW55" s="319"/>
      <c r="BX55" s="319"/>
      <c r="BY55" s="322"/>
      <c r="BZ55" s="321"/>
      <c r="CA55" s="321"/>
      <c r="CB55" s="321"/>
      <c r="CC55" s="320"/>
      <c r="CD55" s="319"/>
      <c r="CE55" s="319"/>
      <c r="CF55" s="319"/>
      <c r="CG55" s="322"/>
      <c r="CH55" s="321"/>
      <c r="CI55" s="321"/>
      <c r="CJ55" s="321"/>
      <c r="CK55" s="320"/>
      <c r="CL55" s="319"/>
      <c r="CM55" s="319"/>
      <c r="CN55" s="319"/>
      <c r="CO55" s="322"/>
      <c r="CP55" s="321"/>
      <c r="CQ55" s="321"/>
      <c r="CR55" s="321"/>
      <c r="CS55" s="320"/>
      <c r="CT55" s="319"/>
      <c r="CU55" s="319"/>
      <c r="CV55" s="319"/>
      <c r="CW55" s="322"/>
      <c r="CX55" s="321"/>
      <c r="CY55" s="321"/>
      <c r="CZ55" s="321"/>
      <c r="DA55" s="320"/>
      <c r="DB55" s="319"/>
      <c r="DC55" s="319"/>
      <c r="DD55" s="319"/>
      <c r="DE55" s="322"/>
      <c r="DF55" s="321"/>
      <c r="DG55" s="321"/>
      <c r="DH55" s="321"/>
      <c r="DI55" s="320"/>
      <c r="DJ55" s="319"/>
      <c r="DK55" s="319"/>
      <c r="DL55" s="319"/>
      <c r="DM55" s="322"/>
      <c r="DN55" s="321"/>
      <c r="DO55" s="321"/>
      <c r="DP55" s="321"/>
      <c r="DQ55" s="320"/>
      <c r="DR55" s="319"/>
      <c r="DS55" s="319"/>
      <c r="DT55" s="319"/>
      <c r="DU55" s="322"/>
      <c r="DV55" s="321"/>
      <c r="DW55" s="321"/>
      <c r="DX55" s="321"/>
      <c r="DY55" s="320"/>
      <c r="DZ55" s="319"/>
      <c r="EA55" s="319"/>
      <c r="EB55" s="319"/>
    </row>
    <row r="56" spans="1:132" s="318" customFormat="1" ht="41.15" customHeight="1" x14ac:dyDescent="0.35">
      <c r="A56" s="342"/>
      <c r="B56" s="449">
        <v>47</v>
      </c>
      <c r="C56" s="462" t="s">
        <v>1086</v>
      </c>
      <c r="D56" s="362" t="s">
        <v>1087</v>
      </c>
      <c r="E56" s="338" t="s">
        <v>117</v>
      </c>
      <c r="F56" s="344" t="s">
        <v>1088</v>
      </c>
      <c r="G56" s="361">
        <v>45959</v>
      </c>
      <c r="H56" s="348" t="s">
        <v>1089</v>
      </c>
      <c r="I56" s="326"/>
      <c r="J56" s="18"/>
      <c r="K56" s="18"/>
      <c r="L56" s="18"/>
      <c r="M56" s="325"/>
      <c r="N56" s="18"/>
      <c r="O56" s="18"/>
      <c r="P56" s="18"/>
      <c r="Q56" s="326"/>
      <c r="R56" s="18"/>
      <c r="S56" s="18"/>
      <c r="T56" s="18"/>
      <c r="U56" s="325"/>
      <c r="V56" s="18"/>
      <c r="W56" s="18"/>
      <c r="X56" s="18"/>
      <c r="Y56" s="326"/>
      <c r="Z56" s="18"/>
      <c r="AA56" s="18"/>
      <c r="AB56" s="18"/>
      <c r="AC56" s="325"/>
      <c r="AD56" s="18"/>
      <c r="AE56" s="18"/>
      <c r="AF56" s="18"/>
      <c r="AG56" s="326"/>
      <c r="AH56" s="18"/>
      <c r="AI56" s="18"/>
      <c r="AJ56" s="18"/>
      <c r="AK56" s="325"/>
      <c r="AL56" s="18"/>
      <c r="AM56" s="18"/>
      <c r="AN56" s="18"/>
      <c r="AO56" s="326"/>
      <c r="AP56" s="18"/>
      <c r="AQ56" s="18"/>
      <c r="AR56" s="18"/>
      <c r="AS56" s="325"/>
      <c r="AT56" s="18"/>
      <c r="AU56" s="324"/>
      <c r="AV56" s="321"/>
      <c r="AW56" s="323"/>
      <c r="AX56" s="321"/>
      <c r="AY56" s="321"/>
      <c r="AZ56" s="321"/>
      <c r="BA56" s="322"/>
      <c r="BB56" s="321"/>
      <c r="BC56" s="321"/>
      <c r="BD56" s="321"/>
      <c r="BE56" s="323"/>
      <c r="BF56" s="321"/>
      <c r="BG56" s="321"/>
      <c r="BH56" s="321"/>
      <c r="BI56" s="322"/>
      <c r="BJ56" s="321"/>
      <c r="BK56" s="321"/>
      <c r="BL56" s="321"/>
      <c r="BM56" s="323"/>
      <c r="BN56" s="321"/>
      <c r="BO56" s="321"/>
      <c r="BP56" s="321"/>
      <c r="BQ56" s="322"/>
      <c r="BR56" s="321"/>
      <c r="BS56" s="321"/>
      <c r="BT56" s="321"/>
      <c r="BU56" s="320"/>
      <c r="BV56" s="319"/>
      <c r="BW56" s="319"/>
      <c r="BX56" s="319"/>
      <c r="BY56" s="322"/>
      <c r="BZ56" s="321"/>
      <c r="CA56" s="321"/>
      <c r="CB56" s="321"/>
      <c r="CC56" s="320"/>
      <c r="CD56" s="319"/>
      <c r="CE56" s="319"/>
      <c r="CF56" s="319"/>
      <c r="CG56" s="322"/>
      <c r="CH56" s="321"/>
      <c r="CI56" s="321"/>
      <c r="CJ56" s="321"/>
      <c r="CK56" s="320"/>
      <c r="CL56" s="319"/>
      <c r="CM56" s="319"/>
      <c r="CN56" s="319"/>
      <c r="CO56" s="322"/>
      <c r="CP56" s="321"/>
      <c r="CQ56" s="321"/>
      <c r="CR56" s="321"/>
      <c r="CS56" s="320"/>
      <c r="CT56" s="319"/>
      <c r="CU56" s="319"/>
      <c r="CV56" s="319"/>
      <c r="CW56" s="322"/>
      <c r="CX56" s="321"/>
      <c r="CY56" s="321"/>
      <c r="CZ56" s="321"/>
      <c r="DA56" s="320"/>
      <c r="DB56" s="319"/>
      <c r="DC56" s="319"/>
      <c r="DD56" s="319"/>
      <c r="DE56" s="322"/>
      <c r="DF56" s="321"/>
      <c r="DG56" s="321"/>
      <c r="DH56" s="321"/>
      <c r="DI56" s="320"/>
      <c r="DJ56" s="319"/>
      <c r="DK56" s="319"/>
      <c r="DL56" s="319"/>
      <c r="DM56" s="322"/>
      <c r="DN56" s="321"/>
      <c r="DO56" s="321"/>
      <c r="DP56" s="321"/>
      <c r="DQ56" s="320"/>
      <c r="DR56" s="319"/>
      <c r="DS56" s="319"/>
      <c r="DT56" s="319"/>
      <c r="DU56" s="322"/>
      <c r="DV56" s="321"/>
      <c r="DW56" s="321"/>
      <c r="DX56" s="321"/>
      <c r="DY56" s="320"/>
      <c r="DZ56" s="319"/>
      <c r="EA56" s="319"/>
      <c r="EB56" s="319"/>
    </row>
    <row r="57" spans="1:132" s="318" customFormat="1" ht="80.150000000000006" customHeight="1" x14ac:dyDescent="0.35">
      <c r="A57" s="342"/>
      <c r="B57" s="449">
        <v>48</v>
      </c>
      <c r="C57" s="462" t="s">
        <v>1090</v>
      </c>
      <c r="D57" s="340" t="s">
        <v>1091</v>
      </c>
      <c r="E57" s="338" t="s">
        <v>117</v>
      </c>
      <c r="F57" s="344" t="s">
        <v>1092</v>
      </c>
      <c r="G57" s="336">
        <v>45964</v>
      </c>
      <c r="H57" s="348" t="s">
        <v>1093</v>
      </c>
      <c r="I57" s="326"/>
      <c r="J57" s="18"/>
      <c r="K57" s="18"/>
      <c r="L57" s="18"/>
      <c r="M57" s="325"/>
      <c r="N57" s="18"/>
      <c r="O57" s="18"/>
      <c r="P57" s="18"/>
      <c r="Q57" s="326"/>
      <c r="R57" s="18"/>
      <c r="S57" s="18"/>
      <c r="T57" s="18"/>
      <c r="U57" s="325"/>
      <c r="V57" s="18"/>
      <c r="W57" s="18"/>
      <c r="X57" s="18"/>
      <c r="Y57" s="326"/>
      <c r="Z57" s="18"/>
      <c r="AA57" s="18"/>
      <c r="AB57" s="18"/>
      <c r="AC57" s="325"/>
      <c r="AD57" s="18"/>
      <c r="AE57" s="18"/>
      <c r="AF57" s="18"/>
      <c r="AG57" s="326"/>
      <c r="AH57" s="18"/>
      <c r="AI57" s="18"/>
      <c r="AJ57" s="18"/>
      <c r="AK57" s="325"/>
      <c r="AL57" s="18"/>
      <c r="AM57" s="18"/>
      <c r="AN57" s="18"/>
      <c r="AO57" s="326"/>
      <c r="AP57" s="18"/>
      <c r="AQ57" s="18"/>
      <c r="AR57" s="18"/>
      <c r="AS57" s="325"/>
      <c r="AT57" s="18"/>
      <c r="AU57" s="324"/>
      <c r="AV57" s="321"/>
      <c r="AW57" s="323"/>
      <c r="AX57" s="321"/>
      <c r="AY57" s="321"/>
      <c r="AZ57" s="321"/>
      <c r="BA57" s="322"/>
      <c r="BB57" s="321"/>
      <c r="BC57" s="321"/>
      <c r="BD57" s="321"/>
      <c r="BE57" s="323"/>
      <c r="BF57" s="321"/>
      <c r="BG57" s="321"/>
      <c r="BH57" s="321"/>
      <c r="BI57" s="322"/>
      <c r="BJ57" s="321"/>
      <c r="BK57" s="321"/>
      <c r="BL57" s="321"/>
      <c r="BM57" s="323"/>
      <c r="BN57" s="321"/>
      <c r="BO57" s="321"/>
      <c r="BP57" s="321"/>
      <c r="BQ57" s="322"/>
      <c r="BR57" s="321"/>
      <c r="BS57" s="321"/>
      <c r="BT57" s="321"/>
      <c r="BU57" s="320"/>
      <c r="BV57" s="319"/>
      <c r="BW57" s="319"/>
      <c r="BX57" s="319"/>
      <c r="BY57" s="322"/>
      <c r="BZ57" s="321"/>
      <c r="CA57" s="321"/>
      <c r="CB57" s="321"/>
      <c r="CC57" s="320"/>
      <c r="CD57" s="319"/>
      <c r="CE57" s="319"/>
      <c r="CF57" s="319"/>
      <c r="CG57" s="322"/>
      <c r="CH57" s="321"/>
      <c r="CI57" s="321"/>
      <c r="CJ57" s="321"/>
      <c r="CK57" s="320"/>
      <c r="CL57" s="319"/>
      <c r="CM57" s="319"/>
      <c r="CN57" s="319"/>
      <c r="CO57" s="322"/>
      <c r="CP57" s="321"/>
      <c r="CQ57" s="321"/>
      <c r="CR57" s="321"/>
      <c r="CS57" s="320"/>
      <c r="CT57" s="319"/>
      <c r="CU57" s="319"/>
      <c r="CV57" s="319"/>
      <c r="CW57" s="322"/>
      <c r="CX57" s="321"/>
      <c r="CY57" s="321"/>
      <c r="CZ57" s="321"/>
      <c r="DA57" s="320"/>
      <c r="DB57" s="319"/>
      <c r="DC57" s="319"/>
      <c r="DD57" s="319"/>
      <c r="DE57" s="322"/>
      <c r="DF57" s="321"/>
      <c r="DG57" s="321"/>
      <c r="DH57" s="321"/>
      <c r="DI57" s="320"/>
      <c r="DJ57" s="319"/>
      <c r="DK57" s="319"/>
      <c r="DL57" s="319"/>
      <c r="DM57" s="322"/>
      <c r="DN57" s="321"/>
      <c r="DO57" s="321"/>
      <c r="DP57" s="321"/>
      <c r="DQ57" s="320"/>
      <c r="DR57" s="319"/>
      <c r="DS57" s="319"/>
      <c r="DT57" s="319"/>
      <c r="DU57" s="322"/>
      <c r="DV57" s="321"/>
      <c r="DW57" s="321"/>
      <c r="DX57" s="321"/>
      <c r="DY57" s="320"/>
      <c r="DZ57" s="319"/>
      <c r="EA57" s="319"/>
      <c r="EB57" s="319"/>
    </row>
    <row r="58" spans="1:132" s="318" customFormat="1" ht="41.15" customHeight="1" x14ac:dyDescent="0.35">
      <c r="A58" s="342"/>
      <c r="B58" s="449">
        <v>49</v>
      </c>
      <c r="C58" s="462" t="s">
        <v>1094</v>
      </c>
      <c r="D58" s="340" t="s">
        <v>1095</v>
      </c>
      <c r="E58" s="338" t="s">
        <v>117</v>
      </c>
      <c r="F58" s="344" t="s">
        <v>988</v>
      </c>
      <c r="G58" s="336">
        <v>45964</v>
      </c>
      <c r="H58" s="348"/>
      <c r="I58" s="326"/>
      <c r="J58" s="18"/>
      <c r="K58" s="18"/>
      <c r="L58" s="18"/>
      <c r="M58" s="325"/>
      <c r="N58" s="18"/>
      <c r="O58" s="18"/>
      <c r="P58" s="18"/>
      <c r="Q58" s="326"/>
      <c r="R58" s="18"/>
      <c r="S58" s="18"/>
      <c r="T58" s="18"/>
      <c r="U58" s="325"/>
      <c r="V58" s="18"/>
      <c r="W58" s="18"/>
      <c r="X58" s="18"/>
      <c r="Y58" s="326"/>
      <c r="Z58" s="18"/>
      <c r="AA58" s="18"/>
      <c r="AB58" s="18"/>
      <c r="AC58" s="325"/>
      <c r="AD58" s="18"/>
      <c r="AE58" s="18"/>
      <c r="AF58" s="18"/>
      <c r="AG58" s="326"/>
      <c r="AH58" s="18"/>
      <c r="AI58" s="18"/>
      <c r="AJ58" s="18"/>
      <c r="AK58" s="325"/>
      <c r="AL58" s="18"/>
      <c r="AM58" s="18"/>
      <c r="AN58" s="18"/>
      <c r="AO58" s="326"/>
      <c r="AP58" s="18"/>
      <c r="AQ58" s="18"/>
      <c r="AR58" s="18"/>
      <c r="AS58" s="325"/>
      <c r="AT58" s="18"/>
      <c r="AU58" s="324"/>
      <c r="AV58" s="321"/>
      <c r="AW58" s="323"/>
      <c r="AX58" s="321"/>
      <c r="AY58" s="321"/>
      <c r="AZ58" s="321"/>
      <c r="BA58" s="322"/>
      <c r="BB58" s="321"/>
      <c r="BC58" s="321"/>
      <c r="BD58" s="321"/>
      <c r="BE58" s="323"/>
      <c r="BF58" s="321"/>
      <c r="BG58" s="321"/>
      <c r="BH58" s="321"/>
      <c r="BI58" s="322"/>
      <c r="BJ58" s="321"/>
      <c r="BK58" s="321"/>
      <c r="BL58" s="321"/>
      <c r="BM58" s="323"/>
      <c r="BN58" s="321"/>
      <c r="BO58" s="321"/>
      <c r="BP58" s="321"/>
      <c r="BQ58" s="322"/>
      <c r="BR58" s="321"/>
      <c r="BS58" s="321"/>
      <c r="BT58" s="321"/>
      <c r="BU58" s="320"/>
      <c r="BV58" s="319"/>
      <c r="BW58" s="319"/>
      <c r="BX58" s="319"/>
      <c r="BY58" s="322"/>
      <c r="BZ58" s="321"/>
      <c r="CA58" s="321"/>
      <c r="CB58" s="321"/>
      <c r="CC58" s="320"/>
      <c r="CD58" s="319"/>
      <c r="CE58" s="319"/>
      <c r="CF58" s="319"/>
      <c r="CG58" s="322"/>
      <c r="CH58" s="321"/>
      <c r="CI58" s="321"/>
      <c r="CJ58" s="321"/>
      <c r="CK58" s="320"/>
      <c r="CL58" s="319"/>
      <c r="CM58" s="319"/>
      <c r="CN58" s="319"/>
      <c r="CO58" s="322"/>
      <c r="CP58" s="321"/>
      <c r="CQ58" s="321"/>
      <c r="CR58" s="321"/>
      <c r="CS58" s="320"/>
      <c r="CT58" s="319"/>
      <c r="CU58" s="319"/>
      <c r="CV58" s="319"/>
      <c r="CW58" s="322"/>
      <c r="CX58" s="321"/>
      <c r="CY58" s="321"/>
      <c r="CZ58" s="321"/>
      <c r="DA58" s="320"/>
      <c r="DB58" s="319"/>
      <c r="DC58" s="319"/>
      <c r="DD58" s="319"/>
      <c r="DE58" s="322"/>
      <c r="DF58" s="321"/>
      <c r="DG58" s="321"/>
      <c r="DH58" s="321"/>
      <c r="DI58" s="320"/>
      <c r="DJ58" s="319"/>
      <c r="DK58" s="319"/>
      <c r="DL58" s="319"/>
      <c r="DM58" s="322"/>
      <c r="DN58" s="321"/>
      <c r="DO58" s="321"/>
      <c r="DP58" s="321"/>
      <c r="DQ58" s="320"/>
      <c r="DR58" s="319"/>
      <c r="DS58" s="319"/>
      <c r="DT58" s="319"/>
      <c r="DU58" s="322"/>
      <c r="DV58" s="321"/>
      <c r="DW58" s="321"/>
      <c r="DX58" s="321"/>
      <c r="DY58" s="320"/>
      <c r="DZ58" s="319"/>
      <c r="EA58" s="319"/>
      <c r="EB58" s="319"/>
    </row>
    <row r="59" spans="1:132" s="318" customFormat="1" ht="41.15" customHeight="1" x14ac:dyDescent="0.35">
      <c r="A59" s="342"/>
      <c r="B59" s="449">
        <v>50</v>
      </c>
      <c r="C59" s="462" t="s">
        <v>1096</v>
      </c>
      <c r="D59" s="340" t="s">
        <v>1097</v>
      </c>
      <c r="E59" s="338" t="s">
        <v>117</v>
      </c>
      <c r="F59" s="344" t="s">
        <v>960</v>
      </c>
      <c r="G59" s="361">
        <v>45964</v>
      </c>
      <c r="H59" s="348" t="s">
        <v>1089</v>
      </c>
      <c r="I59" s="326"/>
      <c r="J59" s="18"/>
      <c r="K59" s="18"/>
      <c r="L59" s="18"/>
      <c r="M59" s="325"/>
      <c r="N59" s="18"/>
      <c r="O59" s="18"/>
      <c r="P59" s="18"/>
      <c r="Q59" s="326"/>
      <c r="R59" s="18"/>
      <c r="S59" s="18"/>
      <c r="T59" s="18"/>
      <c r="U59" s="325"/>
      <c r="V59" s="18"/>
      <c r="W59" s="18"/>
      <c r="X59" s="18"/>
      <c r="Y59" s="326"/>
      <c r="Z59" s="18"/>
      <c r="AA59" s="18"/>
      <c r="AB59" s="18"/>
      <c r="AC59" s="325"/>
      <c r="AD59" s="18"/>
      <c r="AE59" s="18"/>
      <c r="AF59" s="18"/>
      <c r="AG59" s="326"/>
      <c r="AH59" s="18"/>
      <c r="AI59" s="18"/>
      <c r="AJ59" s="18"/>
      <c r="AK59" s="325"/>
      <c r="AL59" s="18"/>
      <c r="AM59" s="18"/>
      <c r="AN59" s="18"/>
      <c r="AO59" s="326"/>
      <c r="AP59" s="18"/>
      <c r="AQ59" s="18"/>
      <c r="AR59" s="18"/>
      <c r="AS59" s="325"/>
      <c r="AT59" s="18"/>
      <c r="AU59" s="324"/>
      <c r="AV59" s="321"/>
      <c r="AW59" s="323"/>
      <c r="AX59" s="321"/>
      <c r="AY59" s="321"/>
      <c r="AZ59" s="321"/>
      <c r="BA59" s="322"/>
      <c r="BB59" s="321"/>
      <c r="BC59" s="321"/>
      <c r="BD59" s="321"/>
      <c r="BE59" s="323"/>
      <c r="BF59" s="321"/>
      <c r="BG59" s="321"/>
      <c r="BH59" s="321"/>
      <c r="BI59" s="322"/>
      <c r="BJ59" s="321"/>
      <c r="BK59" s="321"/>
      <c r="BL59" s="321"/>
      <c r="BM59" s="323"/>
      <c r="BN59" s="321"/>
      <c r="BO59" s="321"/>
      <c r="BP59" s="321"/>
      <c r="BQ59" s="322"/>
      <c r="BR59" s="321"/>
      <c r="BS59" s="321"/>
      <c r="BT59" s="321"/>
      <c r="BU59" s="320"/>
      <c r="BV59" s="319"/>
      <c r="BW59" s="319"/>
      <c r="BX59" s="319"/>
      <c r="BY59" s="322"/>
      <c r="BZ59" s="321"/>
      <c r="CA59" s="321"/>
      <c r="CB59" s="321"/>
      <c r="CC59" s="320"/>
      <c r="CD59" s="319"/>
      <c r="CE59" s="319"/>
      <c r="CF59" s="319"/>
      <c r="CG59" s="322"/>
      <c r="CH59" s="321"/>
      <c r="CI59" s="321"/>
      <c r="CJ59" s="321"/>
      <c r="CK59" s="320"/>
      <c r="CL59" s="319"/>
      <c r="CM59" s="319"/>
      <c r="CN59" s="319"/>
      <c r="CO59" s="322"/>
      <c r="CP59" s="321"/>
      <c r="CQ59" s="321"/>
      <c r="CR59" s="321"/>
      <c r="CS59" s="320"/>
      <c r="CT59" s="319"/>
      <c r="CU59" s="319"/>
      <c r="CV59" s="319"/>
      <c r="CW59" s="322"/>
      <c r="CX59" s="321"/>
      <c r="CY59" s="321"/>
      <c r="CZ59" s="321"/>
      <c r="DA59" s="320"/>
      <c r="DB59" s="319"/>
      <c r="DC59" s="319"/>
      <c r="DD59" s="319"/>
      <c r="DE59" s="322"/>
      <c r="DF59" s="321"/>
      <c r="DG59" s="321"/>
      <c r="DH59" s="321"/>
      <c r="DI59" s="320"/>
      <c r="DJ59" s="319"/>
      <c r="DK59" s="319"/>
      <c r="DL59" s="319"/>
      <c r="DM59" s="322"/>
      <c r="DN59" s="321"/>
      <c r="DO59" s="321"/>
      <c r="DP59" s="321"/>
      <c r="DQ59" s="320"/>
      <c r="DR59" s="319"/>
      <c r="DS59" s="319"/>
      <c r="DT59" s="319"/>
      <c r="DU59" s="322"/>
      <c r="DV59" s="321"/>
      <c r="DW59" s="321"/>
      <c r="DX59" s="321"/>
      <c r="DY59" s="320"/>
      <c r="DZ59" s="319"/>
      <c r="EA59" s="319"/>
      <c r="EB59" s="319"/>
    </row>
    <row r="60" spans="1:132" s="318" customFormat="1" ht="41.15" customHeight="1" x14ac:dyDescent="0.35">
      <c r="A60" s="342"/>
      <c r="B60" s="449">
        <v>51</v>
      </c>
      <c r="C60" s="462" t="s">
        <v>1098</v>
      </c>
      <c r="D60" s="340" t="s">
        <v>1099</v>
      </c>
      <c r="E60" s="338" t="s">
        <v>117</v>
      </c>
      <c r="F60" s="344" t="s">
        <v>1100</v>
      </c>
      <c r="G60" s="361">
        <v>45965</v>
      </c>
      <c r="H60" s="348" t="s">
        <v>1101</v>
      </c>
      <c r="I60" s="326"/>
      <c r="J60" s="18"/>
      <c r="K60" s="18"/>
      <c r="L60" s="18"/>
      <c r="M60" s="325"/>
      <c r="N60" s="18"/>
      <c r="O60" s="18"/>
      <c r="P60" s="18"/>
      <c r="Q60" s="326"/>
      <c r="R60" s="18"/>
      <c r="S60" s="18"/>
      <c r="T60" s="18"/>
      <c r="U60" s="325"/>
      <c r="V60" s="18"/>
      <c r="W60" s="18"/>
      <c r="X60" s="18"/>
      <c r="Y60" s="326"/>
      <c r="Z60" s="18"/>
      <c r="AA60" s="18"/>
      <c r="AB60" s="18"/>
      <c r="AC60" s="325"/>
      <c r="AD60" s="18"/>
      <c r="AE60" s="18"/>
      <c r="AF60" s="18"/>
      <c r="AG60" s="326"/>
      <c r="AH60" s="18"/>
      <c r="AI60" s="18"/>
      <c r="AJ60" s="18"/>
      <c r="AK60" s="325"/>
      <c r="AL60" s="18"/>
      <c r="AM60" s="18"/>
      <c r="AN60" s="18"/>
      <c r="AO60" s="326"/>
      <c r="AP60" s="18"/>
      <c r="AQ60" s="18"/>
      <c r="AR60" s="18"/>
      <c r="AS60" s="325"/>
      <c r="AT60" s="18"/>
      <c r="AU60" s="324"/>
      <c r="AV60" s="321"/>
      <c r="AW60" s="323"/>
      <c r="AX60" s="321"/>
      <c r="AY60" s="321"/>
      <c r="AZ60" s="321"/>
      <c r="BA60" s="322"/>
      <c r="BB60" s="321"/>
      <c r="BC60" s="321"/>
      <c r="BD60" s="321"/>
      <c r="BE60" s="323"/>
      <c r="BF60" s="321"/>
      <c r="BG60" s="321"/>
      <c r="BH60" s="321"/>
      <c r="BI60" s="322"/>
      <c r="BJ60" s="321"/>
      <c r="BK60" s="321"/>
      <c r="BL60" s="321"/>
      <c r="BM60" s="323"/>
      <c r="BN60" s="321"/>
      <c r="BO60" s="321"/>
      <c r="BP60" s="321"/>
      <c r="BQ60" s="322"/>
      <c r="BR60" s="321"/>
      <c r="BS60" s="321"/>
      <c r="BT60" s="321"/>
      <c r="BU60" s="320"/>
      <c r="BV60" s="319"/>
      <c r="BW60" s="319"/>
      <c r="BX60" s="319"/>
      <c r="BY60" s="322"/>
      <c r="BZ60" s="321"/>
      <c r="CA60" s="321"/>
      <c r="CB60" s="321"/>
      <c r="CC60" s="320"/>
      <c r="CD60" s="319"/>
      <c r="CE60" s="319"/>
      <c r="CF60" s="319"/>
      <c r="CG60" s="322"/>
      <c r="CH60" s="321"/>
      <c r="CI60" s="321"/>
      <c r="CJ60" s="321"/>
      <c r="CK60" s="320"/>
      <c r="CL60" s="319"/>
      <c r="CM60" s="319"/>
      <c r="CN60" s="319"/>
      <c r="CO60" s="322"/>
      <c r="CP60" s="321"/>
      <c r="CQ60" s="321"/>
      <c r="CR60" s="321"/>
      <c r="CS60" s="320"/>
      <c r="CT60" s="319"/>
      <c r="CU60" s="319"/>
      <c r="CV60" s="319"/>
      <c r="CW60" s="322"/>
      <c r="CX60" s="321"/>
      <c r="CY60" s="321"/>
      <c r="CZ60" s="321"/>
      <c r="DA60" s="320"/>
      <c r="DB60" s="319"/>
      <c r="DC60" s="319"/>
      <c r="DD60" s="319"/>
      <c r="DE60" s="322"/>
      <c r="DF60" s="321"/>
      <c r="DG60" s="321"/>
      <c r="DH60" s="321"/>
      <c r="DI60" s="320"/>
      <c r="DJ60" s="319"/>
      <c r="DK60" s="319"/>
      <c r="DL60" s="319"/>
      <c r="DM60" s="322"/>
      <c r="DN60" s="321"/>
      <c r="DO60" s="321"/>
      <c r="DP60" s="321"/>
      <c r="DQ60" s="320"/>
      <c r="DR60" s="319"/>
      <c r="DS60" s="319"/>
      <c r="DT60" s="319"/>
      <c r="DU60" s="322"/>
      <c r="DV60" s="321"/>
      <c r="DW60" s="321"/>
      <c r="DX60" s="321"/>
      <c r="DY60" s="320"/>
      <c r="DZ60" s="319"/>
      <c r="EA60" s="319"/>
      <c r="EB60" s="319"/>
    </row>
    <row r="61" spans="1:132" s="318" customFormat="1" ht="41.15" customHeight="1" x14ac:dyDescent="0.35">
      <c r="A61" s="342"/>
      <c r="B61" s="449">
        <v>52</v>
      </c>
      <c r="C61" s="462" t="s">
        <v>1102</v>
      </c>
      <c r="D61" s="340" t="s">
        <v>1103</v>
      </c>
      <c r="E61" s="338" t="s">
        <v>123</v>
      </c>
      <c r="F61" s="344" t="s">
        <v>1033</v>
      </c>
      <c r="G61" s="336">
        <v>45965</v>
      </c>
      <c r="H61" s="348" t="s">
        <v>1045</v>
      </c>
      <c r="I61" s="326"/>
      <c r="J61" s="18"/>
      <c r="K61" s="18"/>
      <c r="L61" s="18"/>
      <c r="M61" s="325"/>
      <c r="N61" s="18"/>
      <c r="O61" s="18"/>
      <c r="P61" s="18"/>
      <c r="Q61" s="326"/>
      <c r="R61" s="18"/>
      <c r="S61" s="18"/>
      <c r="T61" s="18"/>
      <c r="U61" s="325"/>
      <c r="V61" s="18"/>
      <c r="W61" s="18"/>
      <c r="X61" s="18"/>
      <c r="Y61" s="326"/>
      <c r="Z61" s="18"/>
      <c r="AA61" s="18"/>
      <c r="AB61" s="18"/>
      <c r="AC61" s="325"/>
      <c r="AD61" s="18"/>
      <c r="AE61" s="18"/>
      <c r="AF61" s="18"/>
      <c r="AG61" s="326"/>
      <c r="AH61" s="18"/>
      <c r="AI61" s="18"/>
      <c r="AJ61" s="18"/>
      <c r="AK61" s="325"/>
      <c r="AL61" s="18"/>
      <c r="AM61" s="18"/>
      <c r="AN61" s="18"/>
      <c r="AO61" s="326"/>
      <c r="AP61" s="18"/>
      <c r="AQ61" s="18"/>
      <c r="AR61" s="18"/>
      <c r="AS61" s="325"/>
      <c r="AT61" s="18"/>
      <c r="AU61" s="324"/>
      <c r="AV61" s="321"/>
      <c r="AW61" s="323"/>
      <c r="AX61" s="321"/>
      <c r="AY61" s="321"/>
      <c r="AZ61" s="321"/>
      <c r="BA61" s="322"/>
      <c r="BB61" s="321"/>
      <c r="BC61" s="321"/>
      <c r="BD61" s="321"/>
      <c r="BE61" s="323"/>
      <c r="BF61" s="321"/>
      <c r="BG61" s="321"/>
      <c r="BH61" s="321"/>
      <c r="BI61" s="322"/>
      <c r="BJ61" s="321"/>
      <c r="BK61" s="321"/>
      <c r="BL61" s="321"/>
      <c r="BM61" s="323"/>
      <c r="BN61" s="321"/>
      <c r="BO61" s="321"/>
      <c r="BP61" s="321"/>
      <c r="BQ61" s="322"/>
      <c r="BR61" s="321"/>
      <c r="BS61" s="321"/>
      <c r="BT61" s="321"/>
      <c r="BU61" s="320"/>
      <c r="BV61" s="319"/>
      <c r="BW61" s="319"/>
      <c r="BX61" s="319"/>
      <c r="BY61" s="322"/>
      <c r="BZ61" s="321"/>
      <c r="CA61" s="321"/>
      <c r="CB61" s="321"/>
      <c r="CC61" s="320"/>
      <c r="CD61" s="319"/>
      <c r="CE61" s="319"/>
      <c r="CF61" s="319"/>
      <c r="CG61" s="322"/>
      <c r="CH61" s="321"/>
      <c r="CI61" s="321"/>
      <c r="CJ61" s="321"/>
      <c r="CK61" s="320"/>
      <c r="CL61" s="319"/>
      <c r="CM61" s="319"/>
      <c r="CN61" s="319"/>
      <c r="CO61" s="322"/>
      <c r="CP61" s="321"/>
      <c r="CQ61" s="321"/>
      <c r="CR61" s="321"/>
      <c r="CS61" s="320"/>
      <c r="CT61" s="319"/>
      <c r="CU61" s="319"/>
      <c r="CV61" s="319"/>
      <c r="CW61" s="322"/>
      <c r="CX61" s="321"/>
      <c r="CY61" s="321"/>
      <c r="CZ61" s="321"/>
      <c r="DA61" s="320"/>
      <c r="DB61" s="319"/>
      <c r="DC61" s="319"/>
      <c r="DD61" s="319"/>
      <c r="DE61" s="322"/>
      <c r="DF61" s="321"/>
      <c r="DG61" s="321"/>
      <c r="DH61" s="321"/>
      <c r="DI61" s="320"/>
      <c r="DJ61" s="319"/>
      <c r="DK61" s="319"/>
      <c r="DL61" s="319"/>
      <c r="DM61" s="322"/>
      <c r="DN61" s="321"/>
      <c r="DO61" s="321"/>
      <c r="DP61" s="321"/>
      <c r="DQ61" s="320"/>
      <c r="DR61" s="319"/>
      <c r="DS61" s="319"/>
      <c r="DT61" s="319"/>
      <c r="DU61" s="322"/>
      <c r="DV61" s="321"/>
      <c r="DW61" s="321"/>
      <c r="DX61" s="321"/>
      <c r="DY61" s="320"/>
      <c r="DZ61" s="319"/>
      <c r="EA61" s="319"/>
      <c r="EB61" s="319"/>
    </row>
    <row r="62" spans="1:132" s="318" customFormat="1" ht="41.15" customHeight="1" x14ac:dyDescent="0.35">
      <c r="A62" s="342"/>
      <c r="B62" s="449">
        <v>53</v>
      </c>
      <c r="C62" s="462" t="s">
        <v>1104</v>
      </c>
      <c r="D62" s="340" t="s">
        <v>1105</v>
      </c>
      <c r="E62" s="338" t="s">
        <v>117</v>
      </c>
      <c r="F62" s="344" t="s">
        <v>1106</v>
      </c>
      <c r="G62" s="336">
        <v>45966</v>
      </c>
      <c r="H62" s="348" t="s">
        <v>1107</v>
      </c>
      <c r="I62" s="326"/>
      <c r="J62" s="18"/>
      <c r="K62" s="18"/>
      <c r="L62" s="18"/>
      <c r="M62" s="325"/>
      <c r="N62" s="18"/>
      <c r="O62" s="18"/>
      <c r="P62" s="18"/>
      <c r="Q62" s="326"/>
      <c r="R62" s="18"/>
      <c r="S62" s="18"/>
      <c r="T62" s="18"/>
      <c r="U62" s="325"/>
      <c r="V62" s="18"/>
      <c r="W62" s="18"/>
      <c r="X62" s="18"/>
      <c r="Y62" s="326"/>
      <c r="Z62" s="18"/>
      <c r="AA62" s="18"/>
      <c r="AB62" s="18"/>
      <c r="AC62" s="325"/>
      <c r="AD62" s="18"/>
      <c r="AE62" s="18"/>
      <c r="AF62" s="18"/>
      <c r="AG62" s="326"/>
      <c r="AH62" s="18"/>
      <c r="AI62" s="18"/>
      <c r="AJ62" s="18"/>
      <c r="AK62" s="325"/>
      <c r="AL62" s="18"/>
      <c r="AM62" s="18"/>
      <c r="AN62" s="18"/>
      <c r="AO62" s="326"/>
      <c r="AP62" s="18"/>
      <c r="AQ62" s="18"/>
      <c r="AR62" s="18"/>
      <c r="AS62" s="325"/>
      <c r="AT62" s="18"/>
      <c r="AU62" s="324"/>
      <c r="AV62" s="321"/>
      <c r="AW62" s="323"/>
      <c r="AX62" s="321"/>
      <c r="AY62" s="321"/>
      <c r="AZ62" s="321"/>
      <c r="BA62" s="322"/>
      <c r="BB62" s="321"/>
      <c r="BC62" s="321"/>
      <c r="BD62" s="321"/>
      <c r="BE62" s="323"/>
      <c r="BF62" s="321"/>
      <c r="BG62" s="321"/>
      <c r="BH62" s="321"/>
      <c r="BI62" s="322"/>
      <c r="BJ62" s="321"/>
      <c r="BK62" s="321"/>
      <c r="BL62" s="321"/>
      <c r="BM62" s="323"/>
      <c r="BN62" s="321"/>
      <c r="BO62" s="321"/>
      <c r="BP62" s="321"/>
      <c r="BQ62" s="322"/>
      <c r="BR62" s="321"/>
      <c r="BS62" s="321"/>
      <c r="BT62" s="321"/>
      <c r="BU62" s="320"/>
      <c r="BV62" s="319"/>
      <c r="BW62" s="319"/>
      <c r="BX62" s="319"/>
      <c r="BY62" s="322"/>
      <c r="BZ62" s="321"/>
      <c r="CA62" s="321"/>
      <c r="CB62" s="321"/>
      <c r="CC62" s="320"/>
      <c r="CD62" s="319"/>
      <c r="CE62" s="319"/>
      <c r="CF62" s="319"/>
      <c r="CG62" s="322"/>
      <c r="CH62" s="321"/>
      <c r="CI62" s="321"/>
      <c r="CJ62" s="321"/>
      <c r="CK62" s="320"/>
      <c r="CL62" s="319"/>
      <c r="CM62" s="319"/>
      <c r="CN62" s="319"/>
      <c r="CO62" s="322"/>
      <c r="CP62" s="321"/>
      <c r="CQ62" s="321"/>
      <c r="CR62" s="321"/>
      <c r="CS62" s="320"/>
      <c r="CT62" s="319"/>
      <c r="CU62" s="319"/>
      <c r="CV62" s="319"/>
      <c r="CW62" s="322"/>
      <c r="CX62" s="321"/>
      <c r="CY62" s="321"/>
      <c r="CZ62" s="321"/>
      <c r="DA62" s="320"/>
      <c r="DB62" s="319"/>
      <c r="DC62" s="319"/>
      <c r="DD62" s="319"/>
      <c r="DE62" s="322"/>
      <c r="DF62" s="321"/>
      <c r="DG62" s="321"/>
      <c r="DH62" s="321"/>
      <c r="DI62" s="320"/>
      <c r="DJ62" s="319"/>
      <c r="DK62" s="319"/>
      <c r="DL62" s="319"/>
      <c r="DM62" s="322"/>
      <c r="DN62" s="321"/>
      <c r="DO62" s="321"/>
      <c r="DP62" s="321"/>
      <c r="DQ62" s="320"/>
      <c r="DR62" s="319"/>
      <c r="DS62" s="319"/>
      <c r="DT62" s="319"/>
      <c r="DU62" s="322"/>
      <c r="DV62" s="321"/>
      <c r="DW62" s="321"/>
      <c r="DX62" s="321"/>
      <c r="DY62" s="320"/>
      <c r="DZ62" s="319"/>
      <c r="EA62" s="319"/>
      <c r="EB62" s="319"/>
    </row>
    <row r="63" spans="1:132" s="318" customFormat="1" ht="41.15" customHeight="1" x14ac:dyDescent="0.35">
      <c r="A63" s="342"/>
      <c r="B63" s="449">
        <v>54</v>
      </c>
      <c r="C63" s="462" t="s">
        <v>1108</v>
      </c>
      <c r="D63" s="340" t="s">
        <v>1109</v>
      </c>
      <c r="E63" s="338" t="s">
        <v>117</v>
      </c>
      <c r="F63" s="344" t="s">
        <v>988</v>
      </c>
      <c r="G63" s="336">
        <v>45971</v>
      </c>
      <c r="H63" s="348" t="s">
        <v>1110</v>
      </c>
      <c r="I63" s="326"/>
      <c r="J63" s="18"/>
      <c r="K63" s="18"/>
      <c r="L63" s="18"/>
      <c r="M63" s="325"/>
      <c r="N63" s="18"/>
      <c r="O63" s="18"/>
      <c r="P63" s="18"/>
      <c r="Q63" s="326"/>
      <c r="R63" s="18"/>
      <c r="S63" s="18"/>
      <c r="T63" s="18"/>
      <c r="U63" s="325"/>
      <c r="V63" s="18"/>
      <c r="W63" s="18"/>
      <c r="X63" s="18"/>
      <c r="Y63" s="326"/>
      <c r="Z63" s="18"/>
      <c r="AA63" s="18"/>
      <c r="AB63" s="18"/>
      <c r="AC63" s="325"/>
      <c r="AD63" s="18"/>
      <c r="AE63" s="18"/>
      <c r="AF63" s="18"/>
      <c r="AG63" s="326"/>
      <c r="AH63" s="18"/>
      <c r="AI63" s="18"/>
      <c r="AJ63" s="18"/>
      <c r="AK63" s="325"/>
      <c r="AL63" s="18"/>
      <c r="AM63" s="18"/>
      <c r="AN63" s="18"/>
      <c r="AO63" s="326"/>
      <c r="AP63" s="18"/>
      <c r="AQ63" s="18"/>
      <c r="AR63" s="18"/>
      <c r="AS63" s="325"/>
      <c r="AT63" s="18"/>
      <c r="AU63" s="324"/>
      <c r="AV63" s="321"/>
      <c r="AW63" s="323"/>
      <c r="AX63" s="321"/>
      <c r="AY63" s="321"/>
      <c r="AZ63" s="321"/>
      <c r="BA63" s="322"/>
      <c r="BB63" s="321"/>
      <c r="BC63" s="321"/>
      <c r="BD63" s="321"/>
      <c r="BE63" s="323"/>
      <c r="BF63" s="321"/>
      <c r="BG63" s="321"/>
      <c r="BH63" s="321"/>
      <c r="BI63" s="322"/>
      <c r="BJ63" s="321"/>
      <c r="BK63" s="321"/>
      <c r="BL63" s="321"/>
      <c r="BM63" s="323"/>
      <c r="BN63" s="321"/>
      <c r="BO63" s="321"/>
      <c r="BP63" s="321"/>
      <c r="BQ63" s="322"/>
      <c r="BR63" s="321"/>
      <c r="BS63" s="321"/>
      <c r="BT63" s="321"/>
      <c r="BU63" s="320"/>
      <c r="BV63" s="319"/>
      <c r="BW63" s="319"/>
      <c r="BX63" s="319"/>
      <c r="BY63" s="322"/>
      <c r="BZ63" s="321"/>
      <c r="CA63" s="321"/>
      <c r="CB63" s="321"/>
      <c r="CC63" s="320"/>
      <c r="CD63" s="319"/>
      <c r="CE63" s="319"/>
      <c r="CF63" s="319"/>
      <c r="CG63" s="322"/>
      <c r="CH63" s="321"/>
      <c r="CI63" s="321"/>
      <c r="CJ63" s="321"/>
      <c r="CK63" s="320"/>
      <c r="CL63" s="319"/>
      <c r="CM63" s="319"/>
      <c r="CN63" s="319"/>
      <c r="CO63" s="322"/>
      <c r="CP63" s="321"/>
      <c r="CQ63" s="321"/>
      <c r="CR63" s="321"/>
      <c r="CS63" s="320"/>
      <c r="CT63" s="319"/>
      <c r="CU63" s="319"/>
      <c r="CV63" s="319"/>
      <c r="CW63" s="322"/>
      <c r="CX63" s="321"/>
      <c r="CY63" s="321"/>
      <c r="CZ63" s="321"/>
      <c r="DA63" s="320"/>
      <c r="DB63" s="319"/>
      <c r="DC63" s="319"/>
      <c r="DD63" s="319"/>
      <c r="DE63" s="322"/>
      <c r="DF63" s="321"/>
      <c r="DG63" s="321"/>
      <c r="DH63" s="321"/>
      <c r="DI63" s="320"/>
      <c r="DJ63" s="319"/>
      <c r="DK63" s="319"/>
      <c r="DL63" s="319"/>
      <c r="DM63" s="322"/>
      <c r="DN63" s="321"/>
      <c r="DO63" s="321"/>
      <c r="DP63" s="321"/>
      <c r="DQ63" s="320"/>
      <c r="DR63" s="319"/>
      <c r="DS63" s="319"/>
      <c r="DT63" s="319"/>
      <c r="DU63" s="322"/>
      <c r="DV63" s="321"/>
      <c r="DW63" s="321"/>
      <c r="DX63" s="321"/>
      <c r="DY63" s="320"/>
      <c r="DZ63" s="319"/>
      <c r="EA63" s="319"/>
      <c r="EB63" s="319"/>
    </row>
    <row r="64" spans="1:132" s="318" customFormat="1" ht="41.15" customHeight="1" x14ac:dyDescent="0.35">
      <c r="A64" s="342"/>
      <c r="B64" s="449">
        <v>55</v>
      </c>
      <c r="C64" s="462" t="s">
        <v>1111</v>
      </c>
      <c r="D64" s="495"/>
      <c r="E64" s="338"/>
      <c r="F64" s="344"/>
      <c r="G64" s="336"/>
      <c r="H64" s="348"/>
      <c r="I64" s="326"/>
      <c r="J64" s="18"/>
      <c r="K64" s="18"/>
      <c r="L64" s="18"/>
      <c r="M64" s="325"/>
      <c r="N64" s="18"/>
      <c r="O64" s="18"/>
      <c r="P64" s="18"/>
      <c r="Q64" s="326"/>
      <c r="R64" s="18"/>
      <c r="S64" s="18"/>
      <c r="T64" s="18"/>
      <c r="U64" s="325"/>
      <c r="V64" s="18"/>
      <c r="W64" s="18"/>
      <c r="X64" s="18"/>
      <c r="Y64" s="326"/>
      <c r="Z64" s="18"/>
      <c r="AA64" s="18"/>
      <c r="AB64" s="18"/>
      <c r="AC64" s="325"/>
      <c r="AD64" s="18"/>
      <c r="AE64" s="18"/>
      <c r="AF64" s="18"/>
      <c r="AG64" s="326"/>
      <c r="AH64" s="18"/>
      <c r="AI64" s="18"/>
      <c r="AJ64" s="18"/>
      <c r="AK64" s="325"/>
      <c r="AL64" s="18"/>
      <c r="AM64" s="18"/>
      <c r="AN64" s="18"/>
      <c r="AO64" s="326"/>
      <c r="AP64" s="18"/>
      <c r="AQ64" s="18"/>
      <c r="AR64" s="18"/>
      <c r="AS64" s="325"/>
      <c r="AT64" s="18"/>
      <c r="AU64" s="324"/>
      <c r="AV64" s="321"/>
      <c r="AW64" s="323"/>
      <c r="AX64" s="321"/>
      <c r="AY64" s="321"/>
      <c r="AZ64" s="321"/>
      <c r="BA64" s="322"/>
      <c r="BB64" s="321"/>
      <c r="BC64" s="321"/>
      <c r="BD64" s="321"/>
      <c r="BE64" s="323"/>
      <c r="BF64" s="321"/>
      <c r="BG64" s="321"/>
      <c r="BH64" s="321"/>
      <c r="BI64" s="322"/>
      <c r="BJ64" s="321"/>
      <c r="BK64" s="321"/>
      <c r="BL64" s="321"/>
      <c r="BM64" s="323"/>
      <c r="BN64" s="321"/>
      <c r="BO64" s="321"/>
      <c r="BP64" s="321"/>
      <c r="BQ64" s="322"/>
      <c r="BR64" s="321"/>
      <c r="BS64" s="321"/>
      <c r="BT64" s="321"/>
      <c r="BU64" s="320"/>
      <c r="BV64" s="319"/>
      <c r="BW64" s="319"/>
      <c r="BX64" s="319"/>
      <c r="BY64" s="322"/>
      <c r="BZ64" s="321"/>
      <c r="CA64" s="321"/>
      <c r="CB64" s="321"/>
      <c r="CC64" s="320"/>
      <c r="CD64" s="319"/>
      <c r="CE64" s="319"/>
      <c r="CF64" s="319"/>
      <c r="CG64" s="322"/>
      <c r="CH64" s="321"/>
      <c r="CI64" s="321"/>
      <c r="CJ64" s="321"/>
      <c r="CK64" s="320"/>
      <c r="CL64" s="319"/>
      <c r="CM64" s="319"/>
      <c r="CN64" s="319"/>
      <c r="CO64" s="322"/>
      <c r="CP64" s="321"/>
      <c r="CQ64" s="321"/>
      <c r="CR64" s="321"/>
      <c r="CS64" s="320"/>
      <c r="CT64" s="319"/>
      <c r="CU64" s="319"/>
      <c r="CV64" s="319"/>
      <c r="CW64" s="322"/>
      <c r="CX64" s="321"/>
      <c r="CY64" s="321"/>
      <c r="CZ64" s="321"/>
      <c r="DA64" s="320"/>
      <c r="DB64" s="319"/>
      <c r="DC64" s="319"/>
      <c r="DD64" s="319"/>
      <c r="DE64" s="322"/>
      <c r="DF64" s="321"/>
      <c r="DG64" s="321"/>
      <c r="DH64" s="321"/>
      <c r="DI64" s="320"/>
      <c r="DJ64" s="319"/>
      <c r="DK64" s="319"/>
      <c r="DL64" s="319"/>
      <c r="DM64" s="322"/>
      <c r="DN64" s="321"/>
      <c r="DO64" s="321"/>
      <c r="DP64" s="321"/>
      <c r="DQ64" s="320"/>
      <c r="DR64" s="319"/>
      <c r="DS64" s="319"/>
      <c r="DT64" s="319"/>
      <c r="DU64" s="322"/>
      <c r="DV64" s="321"/>
      <c r="DW64" s="321"/>
      <c r="DX64" s="321"/>
      <c r="DY64" s="320"/>
      <c r="DZ64" s="319"/>
      <c r="EA64" s="319"/>
      <c r="EB64" s="319"/>
    </row>
    <row r="65" spans="1:132" s="318" customFormat="1" ht="41.15" customHeight="1" x14ac:dyDescent="0.35">
      <c r="A65" s="342"/>
      <c r="B65" s="449">
        <v>56</v>
      </c>
      <c r="C65" s="462" t="s">
        <v>1112</v>
      </c>
      <c r="D65" s="495"/>
      <c r="E65" s="338"/>
      <c r="F65" s="344"/>
      <c r="G65" s="336"/>
      <c r="H65" s="348"/>
      <c r="I65" s="326"/>
      <c r="J65" s="18"/>
      <c r="K65" s="18"/>
      <c r="L65" s="18"/>
      <c r="M65" s="325"/>
      <c r="N65" s="18"/>
      <c r="O65" s="18"/>
      <c r="P65" s="18"/>
      <c r="Q65" s="326"/>
      <c r="R65" s="18"/>
      <c r="S65" s="18"/>
      <c r="T65" s="18"/>
      <c r="U65" s="325"/>
      <c r="V65" s="18"/>
      <c r="W65" s="18"/>
      <c r="X65" s="18"/>
      <c r="Y65" s="326"/>
      <c r="Z65" s="18"/>
      <c r="AA65" s="18"/>
      <c r="AB65" s="18"/>
      <c r="AC65" s="325"/>
      <c r="AD65" s="18"/>
      <c r="AE65" s="18"/>
      <c r="AF65" s="18"/>
      <c r="AG65" s="326"/>
      <c r="AH65" s="18"/>
      <c r="AI65" s="18"/>
      <c r="AJ65" s="18"/>
      <c r="AK65" s="325"/>
      <c r="AL65" s="18"/>
      <c r="AM65" s="18"/>
      <c r="AN65" s="18"/>
      <c r="AO65" s="326"/>
      <c r="AP65" s="18"/>
      <c r="AQ65" s="18"/>
      <c r="AR65" s="18"/>
      <c r="AS65" s="325"/>
      <c r="AT65" s="18"/>
      <c r="AU65" s="324"/>
      <c r="AV65" s="321"/>
      <c r="AW65" s="323"/>
      <c r="AX65" s="321"/>
      <c r="AY65" s="321"/>
      <c r="AZ65" s="321"/>
      <c r="BA65" s="322"/>
      <c r="BB65" s="321"/>
      <c r="BC65" s="321"/>
      <c r="BD65" s="321"/>
      <c r="BE65" s="323"/>
      <c r="BF65" s="321"/>
      <c r="BG65" s="321"/>
      <c r="BH65" s="321"/>
      <c r="BI65" s="322"/>
      <c r="BJ65" s="321"/>
      <c r="BK65" s="321"/>
      <c r="BL65" s="321"/>
      <c r="BM65" s="323"/>
      <c r="BN65" s="321"/>
      <c r="BO65" s="321"/>
      <c r="BP65" s="321"/>
      <c r="BQ65" s="322"/>
      <c r="BR65" s="321"/>
      <c r="BS65" s="321"/>
      <c r="BT65" s="321"/>
      <c r="BU65" s="320"/>
      <c r="BV65" s="319"/>
      <c r="BW65" s="319"/>
      <c r="BX65" s="319"/>
      <c r="BY65" s="322"/>
      <c r="BZ65" s="321"/>
      <c r="CA65" s="321"/>
      <c r="CB65" s="321"/>
      <c r="CC65" s="320"/>
      <c r="CD65" s="319"/>
      <c r="CE65" s="319"/>
      <c r="CF65" s="319"/>
      <c r="CG65" s="322"/>
      <c r="CH65" s="321"/>
      <c r="CI65" s="321"/>
      <c r="CJ65" s="321"/>
      <c r="CK65" s="320"/>
      <c r="CL65" s="319"/>
      <c r="CM65" s="319"/>
      <c r="CN65" s="319"/>
      <c r="CO65" s="322"/>
      <c r="CP65" s="321"/>
      <c r="CQ65" s="321"/>
      <c r="CR65" s="321"/>
      <c r="CS65" s="320"/>
      <c r="CT65" s="319"/>
      <c r="CU65" s="319"/>
      <c r="CV65" s="319"/>
      <c r="CW65" s="322"/>
      <c r="CX65" s="321"/>
      <c r="CY65" s="321"/>
      <c r="CZ65" s="321"/>
      <c r="DA65" s="320"/>
      <c r="DB65" s="319"/>
      <c r="DC65" s="319"/>
      <c r="DD65" s="319"/>
      <c r="DE65" s="322"/>
      <c r="DF65" s="321"/>
      <c r="DG65" s="321"/>
      <c r="DH65" s="321"/>
      <c r="DI65" s="320"/>
      <c r="DJ65" s="319"/>
      <c r="DK65" s="319"/>
      <c r="DL65" s="319"/>
      <c r="DM65" s="322"/>
      <c r="DN65" s="321"/>
      <c r="DO65" s="321"/>
      <c r="DP65" s="321"/>
      <c r="DQ65" s="320"/>
      <c r="DR65" s="319"/>
      <c r="DS65" s="319"/>
      <c r="DT65" s="319"/>
      <c r="DU65" s="322"/>
      <c r="DV65" s="321"/>
      <c r="DW65" s="321"/>
      <c r="DX65" s="321"/>
      <c r="DY65" s="320"/>
      <c r="DZ65" s="319"/>
      <c r="EA65" s="319"/>
      <c r="EB65" s="319"/>
    </row>
    <row r="66" spans="1:132" s="318" customFormat="1" ht="41.15" customHeight="1" x14ac:dyDescent="0.35">
      <c r="A66" s="342"/>
      <c r="B66" s="449">
        <v>57</v>
      </c>
      <c r="C66" s="462" t="s">
        <v>1113</v>
      </c>
      <c r="D66" s="495"/>
      <c r="E66" s="338"/>
      <c r="F66" s="344"/>
      <c r="G66" s="336"/>
      <c r="H66" s="348"/>
      <c r="I66" s="326"/>
      <c r="J66" s="18"/>
      <c r="K66" s="18"/>
      <c r="L66" s="18"/>
      <c r="M66" s="325"/>
      <c r="N66" s="18"/>
      <c r="O66" s="18"/>
      <c r="P66" s="18"/>
      <c r="Q66" s="326"/>
      <c r="R66" s="18"/>
      <c r="S66" s="18"/>
      <c r="T66" s="18"/>
      <c r="U66" s="325"/>
      <c r="V66" s="18"/>
      <c r="W66" s="18"/>
      <c r="X66" s="18"/>
      <c r="Y66" s="326"/>
      <c r="Z66" s="18"/>
      <c r="AA66" s="18"/>
      <c r="AB66" s="18"/>
      <c r="AC66" s="325"/>
      <c r="AD66" s="18"/>
      <c r="AE66" s="18"/>
      <c r="AF66" s="18"/>
      <c r="AG66" s="326"/>
      <c r="AH66" s="18"/>
      <c r="AI66" s="18"/>
      <c r="AJ66" s="18"/>
      <c r="AK66" s="325"/>
      <c r="AL66" s="18"/>
      <c r="AM66" s="18"/>
      <c r="AN66" s="18"/>
      <c r="AO66" s="326"/>
      <c r="AP66" s="18"/>
      <c r="AQ66" s="18"/>
      <c r="AR66" s="18"/>
      <c r="AS66" s="325"/>
      <c r="AT66" s="18"/>
      <c r="AU66" s="324"/>
      <c r="AV66" s="321"/>
      <c r="AW66" s="323"/>
      <c r="AX66" s="321"/>
      <c r="AY66" s="321"/>
      <c r="AZ66" s="321"/>
      <c r="BA66" s="322"/>
      <c r="BB66" s="321"/>
      <c r="BC66" s="321"/>
      <c r="BD66" s="321"/>
      <c r="BE66" s="323"/>
      <c r="BF66" s="321"/>
      <c r="BG66" s="321"/>
      <c r="BH66" s="321"/>
      <c r="BI66" s="322"/>
      <c r="BJ66" s="321"/>
      <c r="BK66" s="321"/>
      <c r="BL66" s="321"/>
      <c r="BM66" s="323"/>
      <c r="BN66" s="321"/>
      <c r="BO66" s="321"/>
      <c r="BP66" s="321"/>
      <c r="BQ66" s="322"/>
      <c r="BR66" s="321"/>
      <c r="BS66" s="321"/>
      <c r="BT66" s="321"/>
      <c r="BU66" s="320"/>
      <c r="BV66" s="319"/>
      <c r="BW66" s="319"/>
      <c r="BX66" s="319"/>
      <c r="BY66" s="322"/>
      <c r="BZ66" s="321"/>
      <c r="CA66" s="321"/>
      <c r="CB66" s="321"/>
      <c r="CC66" s="320"/>
      <c r="CD66" s="319"/>
      <c r="CE66" s="319"/>
      <c r="CF66" s="319"/>
      <c r="CG66" s="322"/>
      <c r="CH66" s="321"/>
      <c r="CI66" s="321"/>
      <c r="CJ66" s="321"/>
      <c r="CK66" s="320"/>
      <c r="CL66" s="319"/>
      <c r="CM66" s="319"/>
      <c r="CN66" s="319"/>
      <c r="CO66" s="322"/>
      <c r="CP66" s="321"/>
      <c r="CQ66" s="321"/>
      <c r="CR66" s="321"/>
      <c r="CS66" s="320"/>
      <c r="CT66" s="319"/>
      <c r="CU66" s="319"/>
      <c r="CV66" s="319"/>
      <c r="CW66" s="322"/>
      <c r="CX66" s="321"/>
      <c r="CY66" s="321"/>
      <c r="CZ66" s="321"/>
      <c r="DA66" s="320"/>
      <c r="DB66" s="319"/>
      <c r="DC66" s="319"/>
      <c r="DD66" s="319"/>
      <c r="DE66" s="322"/>
      <c r="DF66" s="321"/>
      <c r="DG66" s="321"/>
      <c r="DH66" s="321"/>
      <c r="DI66" s="320"/>
      <c r="DJ66" s="319"/>
      <c r="DK66" s="319"/>
      <c r="DL66" s="319"/>
      <c r="DM66" s="322"/>
      <c r="DN66" s="321"/>
      <c r="DO66" s="321"/>
      <c r="DP66" s="321"/>
      <c r="DQ66" s="320"/>
      <c r="DR66" s="319"/>
      <c r="DS66" s="319"/>
      <c r="DT66" s="319"/>
      <c r="DU66" s="322"/>
      <c r="DV66" s="321"/>
      <c r="DW66" s="321"/>
      <c r="DX66" s="321"/>
      <c r="DY66" s="320"/>
      <c r="DZ66" s="319"/>
      <c r="EA66" s="319"/>
      <c r="EB66" s="319"/>
    </row>
    <row r="67" spans="1:132" s="318" customFormat="1" ht="41.15" customHeight="1" x14ac:dyDescent="0.35">
      <c r="A67" s="342"/>
      <c r="B67" s="449">
        <v>58</v>
      </c>
      <c r="C67" s="462" t="s">
        <v>1114</v>
      </c>
      <c r="D67" s="495"/>
      <c r="E67" s="338"/>
      <c r="F67" s="344"/>
      <c r="G67" s="336"/>
      <c r="H67" s="348"/>
      <c r="I67" s="326"/>
      <c r="J67" s="18"/>
      <c r="K67" s="18"/>
      <c r="L67" s="18"/>
      <c r="M67" s="325"/>
      <c r="N67" s="18"/>
      <c r="O67" s="18"/>
      <c r="P67" s="18"/>
      <c r="Q67" s="326"/>
      <c r="R67" s="18"/>
      <c r="S67" s="18"/>
      <c r="T67" s="18"/>
      <c r="U67" s="325"/>
      <c r="V67" s="18"/>
      <c r="W67" s="18"/>
      <c r="X67" s="18"/>
      <c r="Y67" s="326"/>
      <c r="Z67" s="18"/>
      <c r="AA67" s="18"/>
      <c r="AB67" s="18"/>
      <c r="AC67" s="325"/>
      <c r="AD67" s="18"/>
      <c r="AE67" s="18"/>
      <c r="AF67" s="18"/>
      <c r="AG67" s="326"/>
      <c r="AH67" s="18"/>
      <c r="AI67" s="18"/>
      <c r="AJ67" s="18"/>
      <c r="AK67" s="325"/>
      <c r="AL67" s="18"/>
      <c r="AM67" s="18"/>
      <c r="AN67" s="18"/>
      <c r="AO67" s="326"/>
      <c r="AP67" s="18"/>
      <c r="AQ67" s="18"/>
      <c r="AR67" s="18"/>
      <c r="AS67" s="325"/>
      <c r="AT67" s="18"/>
      <c r="AU67" s="324"/>
      <c r="AV67" s="321"/>
      <c r="AW67" s="323"/>
      <c r="AX67" s="321"/>
      <c r="AY67" s="321"/>
      <c r="AZ67" s="321"/>
      <c r="BA67" s="322"/>
      <c r="BB67" s="321"/>
      <c r="BC67" s="321"/>
      <c r="BD67" s="321"/>
      <c r="BE67" s="323"/>
      <c r="BF67" s="321"/>
      <c r="BG67" s="321"/>
      <c r="BH67" s="321"/>
      <c r="BI67" s="322"/>
      <c r="BJ67" s="321"/>
      <c r="BK67" s="321"/>
      <c r="BL67" s="321"/>
      <c r="BM67" s="323"/>
      <c r="BN67" s="321"/>
      <c r="BO67" s="321"/>
      <c r="BP67" s="321"/>
      <c r="BQ67" s="322"/>
      <c r="BR67" s="321"/>
      <c r="BS67" s="321"/>
      <c r="BT67" s="321"/>
      <c r="BU67" s="320"/>
      <c r="BV67" s="319"/>
      <c r="BW67" s="319"/>
      <c r="BX67" s="319"/>
      <c r="BY67" s="322"/>
      <c r="BZ67" s="321"/>
      <c r="CA67" s="321"/>
      <c r="CB67" s="321"/>
      <c r="CC67" s="320"/>
      <c r="CD67" s="319"/>
      <c r="CE67" s="319"/>
      <c r="CF67" s="319"/>
      <c r="CG67" s="322"/>
      <c r="CH67" s="321"/>
      <c r="CI67" s="321"/>
      <c r="CJ67" s="321"/>
      <c r="CK67" s="320"/>
      <c r="CL67" s="319"/>
      <c r="CM67" s="319"/>
      <c r="CN67" s="319"/>
      <c r="CO67" s="322"/>
      <c r="CP67" s="321"/>
      <c r="CQ67" s="321"/>
      <c r="CR67" s="321"/>
      <c r="CS67" s="320"/>
      <c r="CT67" s="319"/>
      <c r="CU67" s="319"/>
      <c r="CV67" s="319"/>
      <c r="CW67" s="322"/>
      <c r="CX67" s="321"/>
      <c r="CY67" s="321"/>
      <c r="CZ67" s="321"/>
      <c r="DA67" s="320"/>
      <c r="DB67" s="319"/>
      <c r="DC67" s="319"/>
      <c r="DD67" s="319"/>
      <c r="DE67" s="322"/>
      <c r="DF67" s="321"/>
      <c r="DG67" s="321"/>
      <c r="DH67" s="321"/>
      <c r="DI67" s="320"/>
      <c r="DJ67" s="319"/>
      <c r="DK67" s="319"/>
      <c r="DL67" s="319"/>
      <c r="DM67" s="322"/>
      <c r="DN67" s="321"/>
      <c r="DO67" s="321"/>
      <c r="DP67" s="321"/>
      <c r="DQ67" s="320"/>
      <c r="DR67" s="319"/>
      <c r="DS67" s="319"/>
      <c r="DT67" s="319"/>
      <c r="DU67" s="322"/>
      <c r="DV67" s="321"/>
      <c r="DW67" s="321"/>
      <c r="DX67" s="321"/>
      <c r="DY67" s="320"/>
      <c r="DZ67" s="319"/>
      <c r="EA67" s="319"/>
      <c r="EB67" s="319"/>
    </row>
    <row r="68" spans="1:132" s="318" customFormat="1" ht="41.15" customHeight="1" x14ac:dyDescent="0.35">
      <c r="A68" s="342"/>
      <c r="B68" s="449">
        <v>59</v>
      </c>
      <c r="C68" s="462"/>
      <c r="D68" s="340"/>
      <c r="E68" s="338"/>
      <c r="F68" s="344"/>
      <c r="G68" s="336"/>
      <c r="H68" s="348"/>
      <c r="I68" s="326"/>
      <c r="J68" s="18"/>
      <c r="K68" s="18"/>
      <c r="L68" s="18"/>
      <c r="M68" s="325"/>
      <c r="N68" s="18"/>
      <c r="O68" s="18"/>
      <c r="P68" s="18"/>
      <c r="Q68" s="326"/>
      <c r="R68" s="18"/>
      <c r="S68" s="18"/>
      <c r="T68" s="18"/>
      <c r="U68" s="325"/>
      <c r="V68" s="18"/>
      <c r="W68" s="18"/>
      <c r="X68" s="18"/>
      <c r="Y68" s="326"/>
      <c r="Z68" s="18"/>
      <c r="AA68" s="18"/>
      <c r="AB68" s="18"/>
      <c r="AC68" s="325"/>
      <c r="AD68" s="18"/>
      <c r="AE68" s="18"/>
      <c r="AF68" s="18"/>
      <c r="AG68" s="326"/>
      <c r="AH68" s="18"/>
      <c r="AI68" s="18"/>
      <c r="AJ68" s="18"/>
      <c r="AK68" s="325"/>
      <c r="AL68" s="18"/>
      <c r="AM68" s="18"/>
      <c r="AN68" s="18"/>
      <c r="AO68" s="326"/>
      <c r="AP68" s="18"/>
      <c r="AQ68" s="18"/>
      <c r="AR68" s="18"/>
      <c r="AS68" s="325"/>
      <c r="AT68" s="18"/>
      <c r="AU68" s="324"/>
      <c r="AV68" s="321"/>
      <c r="AW68" s="323"/>
      <c r="AX68" s="321"/>
      <c r="AY68" s="321"/>
      <c r="AZ68" s="321"/>
      <c r="BA68" s="322"/>
      <c r="BB68" s="321"/>
      <c r="BC68" s="321"/>
      <c r="BD68" s="321"/>
      <c r="BE68" s="323"/>
      <c r="BF68" s="321"/>
      <c r="BG68" s="321"/>
      <c r="BH68" s="321"/>
      <c r="BI68" s="322"/>
      <c r="BJ68" s="321"/>
      <c r="BK68" s="321"/>
      <c r="BL68" s="321"/>
      <c r="BM68" s="323"/>
      <c r="BN68" s="321"/>
      <c r="BO68" s="321"/>
      <c r="BP68" s="321"/>
      <c r="BQ68" s="322"/>
      <c r="BR68" s="321"/>
      <c r="BS68" s="321"/>
      <c r="BT68" s="321"/>
      <c r="BU68" s="320"/>
      <c r="BV68" s="319"/>
      <c r="BW68" s="319"/>
      <c r="BX68" s="319"/>
      <c r="BY68" s="322"/>
      <c r="BZ68" s="321"/>
      <c r="CA68" s="321"/>
      <c r="CB68" s="321"/>
      <c r="CC68" s="320"/>
      <c r="CD68" s="319"/>
      <c r="CE68" s="319"/>
      <c r="CF68" s="319"/>
      <c r="CG68" s="322"/>
      <c r="CH68" s="321"/>
      <c r="CI68" s="321"/>
      <c r="CJ68" s="321"/>
      <c r="CK68" s="320"/>
      <c r="CL68" s="319"/>
      <c r="CM68" s="319"/>
      <c r="CN68" s="319"/>
      <c r="CO68" s="322"/>
      <c r="CP68" s="321"/>
      <c r="CQ68" s="321"/>
      <c r="CR68" s="321"/>
      <c r="CS68" s="320"/>
      <c r="CT68" s="319"/>
      <c r="CU68" s="319"/>
      <c r="CV68" s="319"/>
      <c r="CW68" s="322"/>
      <c r="CX68" s="321"/>
      <c r="CY68" s="321"/>
      <c r="CZ68" s="321"/>
      <c r="DA68" s="320"/>
      <c r="DB68" s="319"/>
      <c r="DC68" s="319"/>
      <c r="DD68" s="319"/>
      <c r="DE68" s="322"/>
      <c r="DF68" s="321"/>
      <c r="DG68" s="321"/>
      <c r="DH68" s="321"/>
      <c r="DI68" s="320"/>
      <c r="DJ68" s="319"/>
      <c r="DK68" s="319"/>
      <c r="DL68" s="319"/>
      <c r="DM68" s="322"/>
      <c r="DN68" s="321"/>
      <c r="DO68" s="321"/>
      <c r="DP68" s="321"/>
      <c r="DQ68" s="320"/>
      <c r="DR68" s="319"/>
      <c r="DS68" s="319"/>
      <c r="DT68" s="319"/>
      <c r="DU68" s="322"/>
      <c r="DV68" s="321"/>
      <c r="DW68" s="321"/>
      <c r="DX68" s="321"/>
      <c r="DY68" s="320"/>
      <c r="DZ68" s="319"/>
      <c r="EA68" s="319"/>
      <c r="EB68" s="319"/>
    </row>
    <row r="69" spans="1:132" s="318" customFormat="1" ht="41.15" customHeight="1" x14ac:dyDescent="0.35">
      <c r="A69" s="342"/>
      <c r="B69" s="449">
        <v>60</v>
      </c>
      <c r="C69" s="340"/>
      <c r="D69" s="340"/>
      <c r="E69" s="360"/>
      <c r="F69" s="359"/>
      <c r="G69" s="336"/>
      <c r="H69" s="344"/>
      <c r="I69" s="326"/>
      <c r="J69" s="18"/>
      <c r="K69" s="18"/>
      <c r="L69" s="18"/>
      <c r="M69" s="325"/>
      <c r="N69" s="18"/>
      <c r="O69" s="18"/>
      <c r="P69" s="18"/>
      <c r="Q69" s="326"/>
      <c r="R69" s="18"/>
      <c r="S69" s="18"/>
      <c r="T69" s="18"/>
      <c r="U69" s="325"/>
      <c r="V69" s="18"/>
      <c r="W69" s="18"/>
      <c r="X69" s="18"/>
      <c r="Y69" s="326"/>
      <c r="Z69" s="18"/>
      <c r="AA69" s="18"/>
      <c r="AB69" s="18"/>
      <c r="AC69" s="325"/>
      <c r="AD69" s="18"/>
      <c r="AE69" s="18"/>
      <c r="AF69" s="18"/>
      <c r="AG69" s="326"/>
      <c r="AH69" s="18"/>
      <c r="AI69" s="18"/>
      <c r="AJ69" s="18"/>
      <c r="AK69" s="325"/>
      <c r="AL69" s="18"/>
      <c r="AM69" s="18"/>
      <c r="AN69" s="18"/>
      <c r="AO69" s="326"/>
      <c r="AP69" s="18"/>
      <c r="AQ69" s="18"/>
      <c r="AR69" s="18"/>
      <c r="AS69" s="325"/>
      <c r="AT69" s="18"/>
      <c r="AU69" s="324"/>
      <c r="AV69" s="321"/>
      <c r="AW69" s="323"/>
      <c r="AX69" s="321"/>
      <c r="AY69" s="321"/>
      <c r="AZ69" s="321"/>
      <c r="BA69" s="322"/>
      <c r="BB69" s="321"/>
      <c r="BC69" s="321"/>
      <c r="BD69" s="321"/>
      <c r="BE69" s="323"/>
      <c r="BF69" s="321"/>
      <c r="BG69" s="321"/>
      <c r="BH69" s="321"/>
      <c r="BI69" s="322"/>
      <c r="BJ69" s="321"/>
      <c r="BK69" s="321"/>
      <c r="BL69" s="321"/>
      <c r="BM69" s="323"/>
      <c r="BN69" s="321"/>
      <c r="BO69" s="321"/>
      <c r="BP69" s="321"/>
      <c r="BQ69" s="322"/>
      <c r="BR69" s="321"/>
      <c r="BS69" s="321"/>
      <c r="BT69" s="321"/>
      <c r="BU69" s="320"/>
      <c r="BV69" s="319"/>
      <c r="BW69" s="319"/>
      <c r="BX69" s="319"/>
      <c r="BY69" s="322"/>
      <c r="BZ69" s="321"/>
      <c r="CA69" s="321"/>
      <c r="CB69" s="321"/>
      <c r="CC69" s="320"/>
      <c r="CD69" s="319"/>
      <c r="CE69" s="319"/>
      <c r="CF69" s="319"/>
      <c r="CG69" s="322"/>
      <c r="CH69" s="321"/>
      <c r="CI69" s="321"/>
      <c r="CJ69" s="321"/>
      <c r="CK69" s="320"/>
      <c r="CL69" s="319"/>
      <c r="CM69" s="319"/>
      <c r="CN69" s="319"/>
      <c r="CO69" s="322"/>
      <c r="CP69" s="321"/>
      <c r="CQ69" s="321"/>
      <c r="CR69" s="321"/>
      <c r="CS69" s="320"/>
      <c r="CT69" s="319"/>
      <c r="CU69" s="319"/>
      <c r="CV69" s="319"/>
      <c r="CW69" s="322"/>
      <c r="CX69" s="321"/>
      <c r="CY69" s="321"/>
      <c r="CZ69" s="321"/>
      <c r="DA69" s="320"/>
      <c r="DB69" s="319"/>
      <c r="DC69" s="319"/>
      <c r="DD69" s="319"/>
      <c r="DE69" s="322"/>
      <c r="DF69" s="321"/>
      <c r="DG69" s="321"/>
      <c r="DH69" s="321"/>
      <c r="DI69" s="320"/>
      <c r="DJ69" s="319"/>
      <c r="DK69" s="319"/>
      <c r="DL69" s="319"/>
      <c r="DM69" s="322"/>
      <c r="DN69" s="321"/>
      <c r="DO69" s="321"/>
      <c r="DP69" s="321"/>
      <c r="DQ69" s="320"/>
      <c r="DR69" s="319"/>
      <c r="DS69" s="319"/>
      <c r="DT69" s="319"/>
      <c r="DU69" s="322"/>
      <c r="DV69" s="321"/>
      <c r="DW69" s="321"/>
      <c r="DX69" s="321"/>
      <c r="DY69" s="320"/>
      <c r="DZ69" s="319"/>
      <c r="EA69" s="319"/>
      <c r="EB69" s="319"/>
    </row>
    <row r="70" spans="1:132" s="318" customFormat="1" ht="41.15" customHeight="1" x14ac:dyDescent="0.35">
      <c r="A70" s="342"/>
      <c r="B70" s="449">
        <v>61</v>
      </c>
      <c r="C70" s="340"/>
      <c r="D70" s="340"/>
      <c r="E70" s="338"/>
      <c r="F70" s="344"/>
      <c r="G70" s="336"/>
      <c r="H70" s="348"/>
      <c r="I70" s="326"/>
      <c r="J70" s="18"/>
      <c r="K70" s="18"/>
      <c r="L70" s="18"/>
      <c r="M70" s="325"/>
      <c r="N70" s="18"/>
      <c r="O70" s="18"/>
      <c r="P70" s="18"/>
      <c r="Q70" s="326"/>
      <c r="R70" s="18"/>
      <c r="S70" s="18"/>
      <c r="T70" s="18"/>
      <c r="U70" s="325"/>
      <c r="V70" s="18"/>
      <c r="W70" s="18"/>
      <c r="X70" s="18"/>
      <c r="Y70" s="326"/>
      <c r="Z70" s="18"/>
      <c r="AA70" s="18"/>
      <c r="AB70" s="18"/>
      <c r="AC70" s="325"/>
      <c r="AD70" s="18"/>
      <c r="AE70" s="18"/>
      <c r="AF70" s="18"/>
      <c r="AG70" s="326"/>
      <c r="AH70" s="18"/>
      <c r="AI70" s="18"/>
      <c r="AJ70" s="18"/>
      <c r="AK70" s="325"/>
      <c r="AL70" s="18"/>
      <c r="AM70" s="18"/>
      <c r="AN70" s="18"/>
      <c r="AO70" s="326"/>
      <c r="AP70" s="18"/>
      <c r="AQ70" s="18"/>
      <c r="AR70" s="18"/>
      <c r="AS70" s="325"/>
      <c r="AT70" s="18"/>
      <c r="AU70" s="324"/>
      <c r="AV70" s="321"/>
      <c r="AW70" s="323"/>
      <c r="AX70" s="321"/>
      <c r="AY70" s="321"/>
      <c r="AZ70" s="321"/>
      <c r="BA70" s="322"/>
      <c r="BB70" s="321"/>
      <c r="BC70" s="321"/>
      <c r="BD70" s="321"/>
      <c r="BE70" s="323"/>
      <c r="BF70" s="321"/>
      <c r="BG70" s="321"/>
      <c r="BH70" s="321"/>
      <c r="BI70" s="322"/>
      <c r="BJ70" s="321"/>
      <c r="BK70" s="321"/>
      <c r="BL70" s="321"/>
      <c r="BM70" s="323"/>
      <c r="BN70" s="321"/>
      <c r="BO70" s="321"/>
      <c r="BP70" s="321"/>
      <c r="BQ70" s="322"/>
      <c r="BR70" s="321"/>
      <c r="BS70" s="321"/>
      <c r="BT70" s="321"/>
      <c r="BU70" s="320"/>
      <c r="BV70" s="319"/>
      <c r="BW70" s="319"/>
      <c r="BX70" s="319"/>
      <c r="BY70" s="322"/>
      <c r="BZ70" s="321"/>
      <c r="CA70" s="321"/>
      <c r="CB70" s="321"/>
      <c r="CC70" s="320"/>
      <c r="CD70" s="319"/>
      <c r="CE70" s="319"/>
      <c r="CF70" s="319"/>
      <c r="CG70" s="322"/>
      <c r="CH70" s="321"/>
      <c r="CI70" s="321"/>
      <c r="CJ70" s="321"/>
      <c r="CK70" s="320"/>
      <c r="CL70" s="319"/>
      <c r="CM70" s="319"/>
      <c r="CN70" s="319"/>
      <c r="CO70" s="322"/>
      <c r="CP70" s="321"/>
      <c r="CQ70" s="321"/>
      <c r="CR70" s="321"/>
      <c r="CS70" s="320"/>
      <c r="CT70" s="319"/>
      <c r="CU70" s="319"/>
      <c r="CV70" s="319"/>
      <c r="CW70" s="322"/>
      <c r="CX70" s="321"/>
      <c r="CY70" s="321"/>
      <c r="CZ70" s="321"/>
      <c r="DA70" s="320"/>
      <c r="DB70" s="319"/>
      <c r="DC70" s="319"/>
      <c r="DD70" s="319"/>
      <c r="DE70" s="322"/>
      <c r="DF70" s="321"/>
      <c r="DG70" s="321"/>
      <c r="DH70" s="321"/>
      <c r="DI70" s="320"/>
      <c r="DJ70" s="319"/>
      <c r="DK70" s="319"/>
      <c r="DL70" s="319"/>
      <c r="DM70" s="322"/>
      <c r="DN70" s="321"/>
      <c r="DO70" s="321"/>
      <c r="DP70" s="321"/>
      <c r="DQ70" s="320"/>
      <c r="DR70" s="319"/>
      <c r="DS70" s="319"/>
      <c r="DT70" s="319"/>
      <c r="DU70" s="322"/>
      <c r="DV70" s="321"/>
      <c r="DW70" s="321"/>
      <c r="DX70" s="321"/>
      <c r="DY70" s="320"/>
      <c r="DZ70" s="319"/>
      <c r="EA70" s="319"/>
      <c r="EB70" s="319"/>
    </row>
    <row r="71" spans="1:132" s="318" customFormat="1" ht="41.15" customHeight="1" x14ac:dyDescent="0.35">
      <c r="A71" s="342"/>
      <c r="B71" s="349"/>
      <c r="C71" s="340"/>
      <c r="D71" s="340"/>
      <c r="E71" s="338"/>
      <c r="F71" s="344"/>
      <c r="G71" s="336"/>
      <c r="H71" s="348"/>
      <c r="I71" s="358"/>
      <c r="J71" s="356"/>
      <c r="K71" s="356"/>
      <c r="L71" s="356"/>
      <c r="M71" s="357"/>
      <c r="N71" s="356"/>
      <c r="O71" s="356"/>
      <c r="P71" s="356"/>
      <c r="Q71" s="358"/>
      <c r="R71" s="356"/>
      <c r="S71" s="356"/>
      <c r="T71" s="356"/>
      <c r="U71" s="357"/>
      <c r="V71" s="356"/>
      <c r="W71" s="356"/>
      <c r="X71" s="356"/>
      <c r="Y71" s="358"/>
      <c r="Z71" s="356"/>
      <c r="AA71" s="356"/>
      <c r="AB71" s="356"/>
      <c r="AC71" s="357"/>
      <c r="AD71" s="356"/>
      <c r="AE71" s="356"/>
      <c r="AF71" s="356"/>
      <c r="AG71" s="358"/>
      <c r="AH71" s="356"/>
      <c r="AI71" s="356"/>
      <c r="AJ71" s="356"/>
      <c r="AK71" s="357"/>
      <c r="AL71" s="356"/>
      <c r="AM71" s="356"/>
      <c r="AN71" s="356"/>
      <c r="AO71" s="358"/>
      <c r="AP71" s="356"/>
      <c r="AQ71" s="356"/>
      <c r="AR71" s="356"/>
      <c r="AS71" s="357"/>
      <c r="AT71" s="356"/>
      <c r="AU71" s="355"/>
      <c r="AV71" s="352"/>
      <c r="AW71" s="354"/>
      <c r="AX71" s="352"/>
      <c r="AY71" s="352"/>
      <c r="AZ71" s="352"/>
      <c r="BA71" s="353"/>
      <c r="BB71" s="352"/>
      <c r="BC71" s="352"/>
      <c r="BD71" s="352"/>
      <c r="BE71" s="354"/>
      <c r="BF71" s="352"/>
      <c r="BG71" s="352"/>
      <c r="BH71" s="352"/>
      <c r="BI71" s="353"/>
      <c r="BJ71" s="352"/>
      <c r="BK71" s="352"/>
      <c r="BL71" s="352"/>
      <c r="BM71" s="354"/>
      <c r="BN71" s="352"/>
      <c r="BO71" s="352"/>
      <c r="BP71" s="352"/>
      <c r="BQ71" s="353"/>
      <c r="BR71" s="352"/>
      <c r="BS71" s="352"/>
      <c r="BT71" s="352"/>
      <c r="BU71" s="351"/>
      <c r="BV71" s="350"/>
      <c r="BW71" s="350"/>
      <c r="BX71" s="350"/>
      <c r="BY71" s="353"/>
      <c r="BZ71" s="352"/>
      <c r="CA71" s="352"/>
      <c r="CB71" s="352"/>
      <c r="CC71" s="351"/>
      <c r="CD71" s="350"/>
      <c r="CE71" s="350"/>
      <c r="CF71" s="350"/>
      <c r="CG71" s="353"/>
      <c r="CH71" s="352"/>
      <c r="CI71" s="352"/>
      <c r="CJ71" s="352"/>
      <c r="CK71" s="351"/>
      <c r="CL71" s="350"/>
      <c r="CM71" s="350"/>
      <c r="CN71" s="350"/>
      <c r="CO71" s="353"/>
      <c r="CP71" s="352"/>
      <c r="CQ71" s="352"/>
      <c r="CR71" s="352"/>
      <c r="CS71" s="351"/>
      <c r="CT71" s="350"/>
      <c r="CU71" s="350"/>
      <c r="CV71" s="350"/>
      <c r="CW71" s="353"/>
      <c r="CX71" s="352"/>
      <c r="CY71" s="352"/>
      <c r="CZ71" s="352"/>
      <c r="DA71" s="351"/>
      <c r="DB71" s="350"/>
      <c r="DC71" s="350"/>
      <c r="DD71" s="350"/>
      <c r="DE71" s="353"/>
      <c r="DF71" s="352"/>
      <c r="DG71" s="352"/>
      <c r="DH71" s="352"/>
      <c r="DI71" s="351"/>
      <c r="DJ71" s="350"/>
      <c r="DK71" s="350"/>
      <c r="DL71" s="350"/>
      <c r="DM71" s="353"/>
      <c r="DN71" s="352"/>
      <c r="DO71" s="352"/>
      <c r="DP71" s="352"/>
      <c r="DQ71" s="351"/>
      <c r="DR71" s="350"/>
      <c r="DS71" s="350"/>
      <c r="DT71" s="350"/>
      <c r="DU71" s="353"/>
      <c r="DV71" s="352"/>
      <c r="DW71" s="352"/>
      <c r="DX71" s="352"/>
      <c r="DY71" s="351"/>
      <c r="DZ71" s="350"/>
      <c r="EA71" s="350"/>
      <c r="EB71" s="350"/>
    </row>
    <row r="72" spans="1:132" s="318" customFormat="1" ht="41.15" customHeight="1" x14ac:dyDescent="0.35">
      <c r="A72" s="342"/>
      <c r="B72" s="349"/>
      <c r="C72" s="339"/>
      <c r="D72" s="339"/>
      <c r="E72" s="338"/>
      <c r="F72" s="344"/>
      <c r="G72" s="336"/>
      <c r="H72" s="348"/>
      <c r="I72" s="326"/>
      <c r="J72" s="18"/>
      <c r="K72" s="18"/>
      <c r="L72" s="18"/>
      <c r="M72" s="325"/>
      <c r="N72" s="18"/>
      <c r="O72" s="18"/>
      <c r="P72" s="18"/>
      <c r="Q72" s="326"/>
      <c r="R72" s="18"/>
      <c r="S72" s="18"/>
      <c r="T72" s="18"/>
      <c r="U72" s="325"/>
      <c r="V72" s="18"/>
      <c r="W72" s="18"/>
      <c r="X72" s="18"/>
      <c r="Y72" s="326"/>
      <c r="Z72" s="18"/>
      <c r="AA72" s="18"/>
      <c r="AB72" s="18"/>
      <c r="AC72" s="325"/>
      <c r="AD72" s="18"/>
      <c r="AE72" s="18"/>
      <c r="AF72" s="18"/>
      <c r="AG72" s="326"/>
      <c r="AH72" s="18"/>
      <c r="AI72" s="18"/>
      <c r="AJ72" s="18"/>
      <c r="AK72" s="325"/>
      <c r="AL72" s="18"/>
      <c r="AM72" s="18"/>
      <c r="AN72" s="18"/>
      <c r="AO72" s="326"/>
      <c r="AP72" s="18"/>
      <c r="AQ72" s="18"/>
      <c r="AR72" s="18"/>
      <c r="AS72" s="325"/>
      <c r="AT72" s="18"/>
      <c r="AU72" s="324"/>
      <c r="AV72" s="321"/>
      <c r="AW72" s="323"/>
      <c r="AX72" s="321"/>
      <c r="AY72" s="321"/>
      <c r="AZ72" s="321"/>
      <c r="BA72" s="322"/>
      <c r="BB72" s="321"/>
      <c r="BC72" s="321"/>
      <c r="BD72" s="321"/>
      <c r="BE72" s="323"/>
      <c r="BF72" s="321"/>
      <c r="BG72" s="321"/>
      <c r="BH72" s="321"/>
      <c r="BI72" s="322"/>
      <c r="BJ72" s="321"/>
      <c r="BK72" s="321"/>
      <c r="BL72" s="321"/>
      <c r="BM72" s="323"/>
      <c r="BN72" s="321"/>
      <c r="BO72" s="321"/>
      <c r="BP72" s="321"/>
      <c r="BQ72" s="322"/>
      <c r="BR72" s="321"/>
      <c r="BS72" s="321"/>
      <c r="BT72" s="321"/>
      <c r="BU72" s="320"/>
      <c r="BV72" s="319"/>
      <c r="BW72" s="319"/>
      <c r="BX72" s="319"/>
      <c r="BY72" s="322"/>
      <c r="BZ72" s="321"/>
      <c r="CA72" s="321"/>
      <c r="CB72" s="321"/>
      <c r="CC72" s="320"/>
      <c r="CD72" s="319"/>
      <c r="CE72" s="319"/>
      <c r="CF72" s="319"/>
      <c r="CG72" s="322"/>
      <c r="CH72" s="321"/>
      <c r="CI72" s="321"/>
      <c r="CJ72" s="321"/>
      <c r="CK72" s="320"/>
      <c r="CL72" s="319"/>
      <c r="CM72" s="319"/>
      <c r="CN72" s="319"/>
      <c r="CO72" s="322"/>
      <c r="CP72" s="321"/>
      <c r="CQ72" s="321"/>
      <c r="CR72" s="321"/>
      <c r="CS72" s="320"/>
      <c r="CT72" s="319"/>
      <c r="CU72" s="319"/>
      <c r="CV72" s="319"/>
      <c r="CW72" s="322"/>
      <c r="CX72" s="321"/>
      <c r="CY72" s="321"/>
      <c r="CZ72" s="321"/>
      <c r="DA72" s="320"/>
      <c r="DB72" s="319"/>
      <c r="DC72" s="319"/>
      <c r="DD72" s="319"/>
      <c r="DE72" s="322"/>
      <c r="DF72" s="321"/>
      <c r="DG72" s="321"/>
      <c r="DH72" s="321"/>
      <c r="DI72" s="320"/>
      <c r="DJ72" s="319"/>
      <c r="DK72" s="319"/>
      <c r="DL72" s="319"/>
      <c r="DM72" s="322"/>
      <c r="DN72" s="321"/>
      <c r="DO72" s="321"/>
      <c r="DP72" s="321"/>
      <c r="DQ72" s="320"/>
      <c r="DR72" s="319"/>
      <c r="DS72" s="319"/>
      <c r="DT72" s="319"/>
      <c r="DU72" s="322"/>
      <c r="DV72" s="321"/>
      <c r="DW72" s="321"/>
      <c r="DX72" s="321"/>
      <c r="DY72" s="320"/>
      <c r="DZ72" s="319"/>
      <c r="EA72" s="319"/>
      <c r="EB72" s="319"/>
    </row>
    <row r="73" spans="1:132" s="318" customFormat="1" ht="41.15" customHeight="1" x14ac:dyDescent="0.35">
      <c r="A73" s="342"/>
      <c r="B73" s="349"/>
      <c r="C73" s="340"/>
      <c r="D73" s="339"/>
      <c r="E73" s="347"/>
      <c r="F73" s="344"/>
      <c r="G73" s="336"/>
      <c r="H73" s="348"/>
      <c r="I73" s="326"/>
      <c r="J73" s="18"/>
      <c r="K73" s="18"/>
      <c r="L73" s="18"/>
      <c r="M73" s="325"/>
      <c r="N73" s="18"/>
      <c r="O73" s="18"/>
      <c r="P73" s="18"/>
      <c r="Q73" s="326"/>
      <c r="R73" s="18"/>
      <c r="S73" s="18"/>
      <c r="T73" s="18"/>
      <c r="U73" s="325"/>
      <c r="V73" s="18"/>
      <c r="W73" s="18"/>
      <c r="X73" s="18"/>
      <c r="Y73" s="326"/>
      <c r="Z73" s="18"/>
      <c r="AA73" s="18"/>
      <c r="AB73" s="18"/>
      <c r="AC73" s="325"/>
      <c r="AD73" s="18"/>
      <c r="AE73" s="18"/>
      <c r="AF73" s="18"/>
      <c r="AG73" s="326"/>
      <c r="AH73" s="18"/>
      <c r="AI73" s="18"/>
      <c r="AJ73" s="18"/>
      <c r="AK73" s="325"/>
      <c r="AL73" s="18"/>
      <c r="AM73" s="18"/>
      <c r="AN73" s="18"/>
      <c r="AO73" s="326"/>
      <c r="AP73" s="18"/>
      <c r="AQ73" s="18"/>
      <c r="AR73" s="18"/>
      <c r="AS73" s="325"/>
      <c r="AT73" s="18"/>
      <c r="AU73" s="324"/>
      <c r="AV73" s="321"/>
      <c r="AW73" s="323"/>
      <c r="AX73" s="321"/>
      <c r="AY73" s="321"/>
      <c r="AZ73" s="321"/>
      <c r="BA73" s="322"/>
      <c r="BB73" s="321"/>
      <c r="BC73" s="321"/>
      <c r="BD73" s="321"/>
      <c r="BE73" s="323"/>
      <c r="BF73" s="321"/>
      <c r="BG73" s="321"/>
      <c r="BH73" s="321"/>
      <c r="BI73" s="322"/>
      <c r="BJ73" s="321"/>
      <c r="BK73" s="321"/>
      <c r="BL73" s="321"/>
      <c r="BM73" s="323"/>
      <c r="BN73" s="321"/>
      <c r="BO73" s="321"/>
      <c r="BP73" s="321"/>
      <c r="BQ73" s="322"/>
      <c r="BR73" s="321"/>
      <c r="BS73" s="321"/>
      <c r="BT73" s="321"/>
      <c r="BU73" s="320"/>
      <c r="BV73" s="319"/>
      <c r="BW73" s="319"/>
      <c r="BX73" s="319"/>
      <c r="BY73" s="322"/>
      <c r="BZ73" s="321"/>
      <c r="CA73" s="321"/>
      <c r="CB73" s="321"/>
      <c r="CC73" s="320"/>
      <c r="CD73" s="319"/>
      <c r="CE73" s="319"/>
      <c r="CF73" s="319"/>
      <c r="CG73" s="322"/>
      <c r="CH73" s="321"/>
      <c r="CI73" s="321"/>
      <c r="CJ73" s="321"/>
      <c r="CK73" s="320"/>
      <c r="CL73" s="319"/>
      <c r="CM73" s="319"/>
      <c r="CN73" s="319"/>
      <c r="CO73" s="322"/>
      <c r="CP73" s="321"/>
      <c r="CQ73" s="321"/>
      <c r="CR73" s="321"/>
      <c r="CS73" s="320"/>
      <c r="CT73" s="319"/>
      <c r="CU73" s="319"/>
      <c r="CV73" s="319"/>
      <c r="CW73" s="322"/>
      <c r="CX73" s="321"/>
      <c r="CY73" s="321"/>
      <c r="CZ73" s="321"/>
      <c r="DA73" s="320"/>
      <c r="DB73" s="319"/>
      <c r="DC73" s="319"/>
      <c r="DD73" s="319"/>
      <c r="DE73" s="322"/>
      <c r="DF73" s="321"/>
      <c r="DG73" s="321"/>
      <c r="DH73" s="321"/>
      <c r="DI73" s="320"/>
      <c r="DJ73" s="319"/>
      <c r="DK73" s="319"/>
      <c r="DL73" s="319"/>
      <c r="DM73" s="322"/>
      <c r="DN73" s="321"/>
      <c r="DO73" s="321"/>
      <c r="DP73" s="321"/>
      <c r="DQ73" s="320"/>
      <c r="DR73" s="319"/>
      <c r="DS73" s="319"/>
      <c r="DT73" s="319"/>
      <c r="DU73" s="322"/>
      <c r="DV73" s="321"/>
      <c r="DW73" s="321"/>
      <c r="DX73" s="321"/>
      <c r="DY73" s="320"/>
      <c r="DZ73" s="319"/>
      <c r="EA73" s="319"/>
      <c r="EB73" s="319"/>
    </row>
    <row r="74" spans="1:132" s="318" customFormat="1" ht="41.15" customHeight="1" x14ac:dyDescent="0.35">
      <c r="A74" s="342"/>
      <c r="B74" s="349"/>
      <c r="C74" s="340"/>
      <c r="D74" s="339"/>
      <c r="E74" s="347"/>
      <c r="F74" s="344"/>
      <c r="G74" s="336"/>
      <c r="H74" s="348"/>
      <c r="I74" s="326"/>
      <c r="J74" s="18"/>
      <c r="K74" s="18"/>
      <c r="L74" s="18"/>
      <c r="M74" s="325"/>
      <c r="N74" s="18"/>
      <c r="O74" s="18"/>
      <c r="P74" s="18"/>
      <c r="Q74" s="326"/>
      <c r="R74" s="18"/>
      <c r="S74" s="18"/>
      <c r="T74" s="18"/>
      <c r="U74" s="325"/>
      <c r="V74" s="18"/>
      <c r="W74" s="18"/>
      <c r="X74" s="18"/>
      <c r="Y74" s="326"/>
      <c r="Z74" s="18"/>
      <c r="AA74" s="18"/>
      <c r="AB74" s="18"/>
      <c r="AC74" s="325"/>
      <c r="AD74" s="18"/>
      <c r="AE74" s="18"/>
      <c r="AF74" s="18"/>
      <c r="AG74" s="326"/>
      <c r="AH74" s="18"/>
      <c r="AI74" s="18"/>
      <c r="AJ74" s="18"/>
      <c r="AK74" s="325"/>
      <c r="AL74" s="18"/>
      <c r="AM74" s="18"/>
      <c r="AN74" s="18"/>
      <c r="AO74" s="326"/>
      <c r="AP74" s="18"/>
      <c r="AQ74" s="18"/>
      <c r="AR74" s="18"/>
      <c r="AS74" s="325"/>
      <c r="AT74" s="18"/>
      <c r="AU74" s="324"/>
      <c r="AV74" s="321"/>
      <c r="AW74" s="323"/>
      <c r="AX74" s="321"/>
      <c r="AY74" s="321"/>
      <c r="AZ74" s="321"/>
      <c r="BA74" s="322"/>
      <c r="BB74" s="321"/>
      <c r="BC74" s="321"/>
      <c r="BD74" s="321"/>
      <c r="BE74" s="323"/>
      <c r="BF74" s="321"/>
      <c r="BG74" s="321"/>
      <c r="BH74" s="321"/>
      <c r="BI74" s="322"/>
      <c r="BJ74" s="321"/>
      <c r="BK74" s="321"/>
      <c r="BL74" s="321"/>
      <c r="BM74" s="323"/>
      <c r="BN74" s="321"/>
      <c r="BO74" s="321"/>
      <c r="BP74" s="321"/>
      <c r="BQ74" s="322"/>
      <c r="BR74" s="321"/>
      <c r="BS74" s="321"/>
      <c r="BT74" s="321"/>
      <c r="BU74" s="320"/>
      <c r="BV74" s="319"/>
      <c r="BW74" s="319"/>
      <c r="BX74" s="319"/>
      <c r="BY74" s="322"/>
      <c r="BZ74" s="321"/>
      <c r="CA74" s="321"/>
      <c r="CB74" s="321"/>
      <c r="CC74" s="320"/>
      <c r="CD74" s="319"/>
      <c r="CE74" s="319"/>
      <c r="CF74" s="319"/>
      <c r="CG74" s="322"/>
      <c r="CH74" s="321"/>
      <c r="CI74" s="321"/>
      <c r="CJ74" s="321"/>
      <c r="CK74" s="320"/>
      <c r="CL74" s="319"/>
      <c r="CM74" s="319"/>
      <c r="CN74" s="319"/>
      <c r="CO74" s="322"/>
      <c r="CP74" s="321"/>
      <c r="CQ74" s="321"/>
      <c r="CR74" s="321"/>
      <c r="CS74" s="320"/>
      <c r="CT74" s="319"/>
      <c r="CU74" s="319"/>
      <c r="CV74" s="319"/>
      <c r="CW74" s="322"/>
      <c r="CX74" s="321"/>
      <c r="CY74" s="321"/>
      <c r="CZ74" s="321"/>
      <c r="DA74" s="320"/>
      <c r="DB74" s="319"/>
      <c r="DC74" s="319"/>
      <c r="DD74" s="319"/>
      <c r="DE74" s="322"/>
      <c r="DF74" s="321"/>
      <c r="DG74" s="321"/>
      <c r="DH74" s="321"/>
      <c r="DI74" s="320"/>
      <c r="DJ74" s="319"/>
      <c r="DK74" s="319"/>
      <c r="DL74" s="319"/>
      <c r="DM74" s="322"/>
      <c r="DN74" s="321"/>
      <c r="DO74" s="321"/>
      <c r="DP74" s="321"/>
      <c r="DQ74" s="320"/>
      <c r="DR74" s="319"/>
      <c r="DS74" s="319"/>
      <c r="DT74" s="319"/>
      <c r="DU74" s="322"/>
      <c r="DV74" s="321"/>
      <c r="DW74" s="321"/>
      <c r="DX74" s="321"/>
      <c r="DY74" s="320"/>
      <c r="DZ74" s="319"/>
      <c r="EA74" s="319"/>
      <c r="EB74" s="319"/>
    </row>
    <row r="75" spans="1:132" s="318" customFormat="1" ht="41.15" customHeight="1" x14ac:dyDescent="0.35">
      <c r="A75" s="342"/>
      <c r="B75" s="349"/>
      <c r="C75" s="340"/>
      <c r="D75" s="339"/>
      <c r="E75" s="347"/>
      <c r="F75" s="344"/>
      <c r="G75" s="336"/>
      <c r="H75" s="348"/>
      <c r="I75" s="326"/>
      <c r="J75" s="18"/>
      <c r="K75" s="18"/>
      <c r="L75" s="18"/>
      <c r="M75" s="325"/>
      <c r="N75" s="18"/>
      <c r="O75" s="18"/>
      <c r="P75" s="18"/>
      <c r="Q75" s="326"/>
      <c r="R75" s="18"/>
      <c r="S75" s="18"/>
      <c r="T75" s="18"/>
      <c r="U75" s="325"/>
      <c r="V75" s="18"/>
      <c r="W75" s="18"/>
      <c r="X75" s="18"/>
      <c r="Y75" s="326"/>
      <c r="Z75" s="18"/>
      <c r="AA75" s="18"/>
      <c r="AB75" s="18"/>
      <c r="AC75" s="325"/>
      <c r="AD75" s="18"/>
      <c r="AE75" s="18"/>
      <c r="AF75" s="18"/>
      <c r="AG75" s="326"/>
      <c r="AH75" s="18"/>
      <c r="AI75" s="18"/>
      <c r="AJ75" s="18"/>
      <c r="AK75" s="325"/>
      <c r="AL75" s="18"/>
      <c r="AM75" s="18"/>
      <c r="AN75" s="18"/>
      <c r="AO75" s="326"/>
      <c r="AP75" s="18"/>
      <c r="AQ75" s="18"/>
      <c r="AR75" s="18"/>
      <c r="AS75" s="325"/>
      <c r="AT75" s="18"/>
      <c r="AU75" s="324"/>
      <c r="AV75" s="321"/>
      <c r="AW75" s="323"/>
      <c r="AX75" s="321"/>
      <c r="AY75" s="321"/>
      <c r="AZ75" s="321"/>
      <c r="BA75" s="322"/>
      <c r="BB75" s="321"/>
      <c r="BC75" s="321"/>
      <c r="BD75" s="321"/>
      <c r="BE75" s="323"/>
      <c r="BF75" s="321"/>
      <c r="BG75" s="321"/>
      <c r="BH75" s="321"/>
      <c r="BI75" s="322"/>
      <c r="BJ75" s="321"/>
      <c r="BK75" s="321"/>
      <c r="BL75" s="321"/>
      <c r="BM75" s="323"/>
      <c r="BN75" s="321"/>
      <c r="BO75" s="321"/>
      <c r="BP75" s="321"/>
      <c r="BQ75" s="322"/>
      <c r="BR75" s="321"/>
      <c r="BS75" s="321"/>
      <c r="BT75" s="321"/>
      <c r="BU75" s="320"/>
      <c r="BV75" s="319"/>
      <c r="BW75" s="319"/>
      <c r="BX75" s="319"/>
      <c r="BY75" s="322"/>
      <c r="BZ75" s="321"/>
      <c r="CA75" s="321"/>
      <c r="CB75" s="321"/>
      <c r="CC75" s="320"/>
      <c r="CD75" s="319"/>
      <c r="CE75" s="319"/>
      <c r="CF75" s="319"/>
      <c r="CG75" s="322"/>
      <c r="CH75" s="321"/>
      <c r="CI75" s="321"/>
      <c r="CJ75" s="321"/>
      <c r="CK75" s="320"/>
      <c r="CL75" s="319"/>
      <c r="CM75" s="319"/>
      <c r="CN75" s="319"/>
      <c r="CO75" s="322"/>
      <c r="CP75" s="321"/>
      <c r="CQ75" s="321"/>
      <c r="CR75" s="321"/>
      <c r="CS75" s="320"/>
      <c r="CT75" s="319"/>
      <c r="CU75" s="319"/>
      <c r="CV75" s="319"/>
      <c r="CW75" s="322"/>
      <c r="CX75" s="321"/>
      <c r="CY75" s="321"/>
      <c r="CZ75" s="321"/>
      <c r="DA75" s="320"/>
      <c r="DB75" s="319"/>
      <c r="DC75" s="319"/>
      <c r="DD75" s="319"/>
      <c r="DE75" s="322"/>
      <c r="DF75" s="321"/>
      <c r="DG75" s="321"/>
      <c r="DH75" s="321"/>
      <c r="DI75" s="320"/>
      <c r="DJ75" s="319"/>
      <c r="DK75" s="319"/>
      <c r="DL75" s="319"/>
      <c r="DM75" s="322"/>
      <c r="DN75" s="321"/>
      <c r="DO75" s="321"/>
      <c r="DP75" s="321"/>
      <c r="DQ75" s="320"/>
      <c r="DR75" s="319"/>
      <c r="DS75" s="319"/>
      <c r="DT75" s="319"/>
      <c r="DU75" s="322"/>
      <c r="DV75" s="321"/>
      <c r="DW75" s="321"/>
      <c r="DX75" s="321"/>
      <c r="DY75" s="320"/>
      <c r="DZ75" s="319"/>
      <c r="EA75" s="319"/>
      <c r="EB75" s="319"/>
    </row>
    <row r="76" spans="1:132" s="318" customFormat="1" ht="41.15" customHeight="1" x14ac:dyDescent="0.35">
      <c r="A76" s="342"/>
      <c r="B76" s="349"/>
      <c r="C76" s="340"/>
      <c r="D76" s="339"/>
      <c r="E76" s="347"/>
      <c r="F76" s="344"/>
      <c r="G76" s="336"/>
      <c r="H76" s="348"/>
      <c r="I76" s="326"/>
      <c r="J76" s="18"/>
      <c r="K76" s="18"/>
      <c r="L76" s="18"/>
      <c r="M76" s="325"/>
      <c r="N76" s="18"/>
      <c r="O76" s="18"/>
      <c r="P76" s="18"/>
      <c r="Q76" s="326"/>
      <c r="R76" s="18"/>
      <c r="S76" s="18"/>
      <c r="T76" s="18"/>
      <c r="U76" s="325"/>
      <c r="V76" s="18"/>
      <c r="W76" s="18"/>
      <c r="X76" s="18"/>
      <c r="Y76" s="326"/>
      <c r="Z76" s="18"/>
      <c r="AA76" s="18"/>
      <c r="AB76" s="18"/>
      <c r="AC76" s="325"/>
      <c r="AD76" s="18"/>
      <c r="AE76" s="18"/>
      <c r="AF76" s="18"/>
      <c r="AG76" s="326"/>
      <c r="AH76" s="18"/>
      <c r="AI76" s="18"/>
      <c r="AJ76" s="18"/>
      <c r="AK76" s="325"/>
      <c r="AL76" s="18"/>
      <c r="AM76" s="18"/>
      <c r="AN76" s="18"/>
      <c r="AO76" s="326"/>
      <c r="AP76" s="18"/>
      <c r="AQ76" s="18"/>
      <c r="AR76" s="18"/>
      <c r="AS76" s="325"/>
      <c r="AT76" s="18"/>
      <c r="AU76" s="324"/>
      <c r="AV76" s="321"/>
      <c r="AW76" s="323"/>
      <c r="AX76" s="321"/>
      <c r="AY76" s="321"/>
      <c r="AZ76" s="321"/>
      <c r="BA76" s="322"/>
      <c r="BB76" s="321"/>
      <c r="BC76" s="321"/>
      <c r="BD76" s="321"/>
      <c r="BE76" s="323"/>
      <c r="BF76" s="321"/>
      <c r="BG76" s="321"/>
      <c r="BH76" s="321"/>
      <c r="BI76" s="322"/>
      <c r="BJ76" s="321"/>
      <c r="BK76" s="321"/>
      <c r="BL76" s="321"/>
      <c r="BM76" s="323"/>
      <c r="BN76" s="321"/>
      <c r="BO76" s="321"/>
      <c r="BP76" s="321"/>
      <c r="BQ76" s="322"/>
      <c r="BR76" s="321"/>
      <c r="BS76" s="321"/>
      <c r="BT76" s="321"/>
      <c r="BU76" s="320"/>
      <c r="BV76" s="319"/>
      <c r="BW76" s="319"/>
      <c r="BX76" s="319"/>
      <c r="BY76" s="322"/>
      <c r="BZ76" s="321"/>
      <c r="CA76" s="321"/>
      <c r="CB76" s="321"/>
      <c r="CC76" s="320"/>
      <c r="CD76" s="319"/>
      <c r="CE76" s="319"/>
      <c r="CF76" s="319"/>
      <c r="CG76" s="322"/>
      <c r="CH76" s="321"/>
      <c r="CI76" s="321"/>
      <c r="CJ76" s="321"/>
      <c r="CK76" s="320"/>
      <c r="CL76" s="319"/>
      <c r="CM76" s="319"/>
      <c r="CN76" s="319"/>
      <c r="CO76" s="322"/>
      <c r="CP76" s="321"/>
      <c r="CQ76" s="321"/>
      <c r="CR76" s="321"/>
      <c r="CS76" s="320"/>
      <c r="CT76" s="319"/>
      <c r="CU76" s="319"/>
      <c r="CV76" s="319"/>
      <c r="CW76" s="322"/>
      <c r="CX76" s="321"/>
      <c r="CY76" s="321"/>
      <c r="CZ76" s="321"/>
      <c r="DA76" s="320"/>
      <c r="DB76" s="319"/>
      <c r="DC76" s="319"/>
      <c r="DD76" s="319"/>
      <c r="DE76" s="322"/>
      <c r="DF76" s="321"/>
      <c r="DG76" s="321"/>
      <c r="DH76" s="321"/>
      <c r="DI76" s="320"/>
      <c r="DJ76" s="319"/>
      <c r="DK76" s="319"/>
      <c r="DL76" s="319"/>
      <c r="DM76" s="322"/>
      <c r="DN76" s="321"/>
      <c r="DO76" s="321"/>
      <c r="DP76" s="321"/>
      <c r="DQ76" s="320"/>
      <c r="DR76" s="319"/>
      <c r="DS76" s="319"/>
      <c r="DT76" s="319"/>
      <c r="DU76" s="322"/>
      <c r="DV76" s="321"/>
      <c r="DW76" s="321"/>
      <c r="DX76" s="321"/>
      <c r="DY76" s="320"/>
      <c r="DZ76" s="319"/>
      <c r="EA76" s="319"/>
      <c r="EB76" s="319"/>
    </row>
    <row r="77" spans="1:132" s="318" customFormat="1" ht="41.15" customHeight="1" x14ac:dyDescent="0.35">
      <c r="A77" s="342"/>
      <c r="B77" s="349"/>
      <c r="C77" s="340"/>
      <c r="D77" s="339"/>
      <c r="E77" s="347"/>
      <c r="F77" s="344"/>
      <c r="G77" s="336"/>
      <c r="H77" s="348"/>
      <c r="I77" s="326"/>
      <c r="J77" s="18"/>
      <c r="K77" s="18"/>
      <c r="L77" s="18"/>
      <c r="M77" s="325"/>
      <c r="N77" s="18"/>
      <c r="O77" s="18"/>
      <c r="P77" s="18"/>
      <c r="Q77" s="326"/>
      <c r="R77" s="18"/>
      <c r="S77" s="18"/>
      <c r="T77" s="18"/>
      <c r="U77" s="325"/>
      <c r="V77" s="18"/>
      <c r="W77" s="18"/>
      <c r="X77" s="18"/>
      <c r="Y77" s="326"/>
      <c r="Z77" s="18"/>
      <c r="AA77" s="18"/>
      <c r="AB77" s="18"/>
      <c r="AC77" s="325"/>
      <c r="AD77" s="18"/>
      <c r="AE77" s="18"/>
      <c r="AF77" s="18"/>
      <c r="AG77" s="326"/>
      <c r="AH77" s="18"/>
      <c r="AI77" s="18"/>
      <c r="AJ77" s="18"/>
      <c r="AK77" s="325"/>
      <c r="AL77" s="18"/>
      <c r="AM77" s="18"/>
      <c r="AN77" s="18"/>
      <c r="AO77" s="326"/>
      <c r="AP77" s="18"/>
      <c r="AQ77" s="18"/>
      <c r="AR77" s="18"/>
      <c r="AS77" s="325"/>
      <c r="AT77" s="18"/>
      <c r="AU77" s="324"/>
      <c r="AV77" s="321"/>
      <c r="AW77" s="323"/>
      <c r="AX77" s="321"/>
      <c r="AY77" s="321"/>
      <c r="AZ77" s="321"/>
      <c r="BA77" s="322"/>
      <c r="BB77" s="321"/>
      <c r="BC77" s="321"/>
      <c r="BD77" s="321"/>
      <c r="BE77" s="323"/>
      <c r="BF77" s="321"/>
      <c r="BG77" s="321"/>
      <c r="BH77" s="321"/>
      <c r="BI77" s="322"/>
      <c r="BJ77" s="321"/>
      <c r="BK77" s="321"/>
      <c r="BL77" s="321"/>
      <c r="BM77" s="323"/>
      <c r="BN77" s="321"/>
      <c r="BO77" s="321"/>
      <c r="BP77" s="321"/>
      <c r="BQ77" s="322"/>
      <c r="BR77" s="321"/>
      <c r="BS77" s="321"/>
      <c r="BT77" s="321"/>
      <c r="BU77" s="320"/>
      <c r="BV77" s="319"/>
      <c r="BW77" s="319"/>
      <c r="BX77" s="319"/>
      <c r="BY77" s="322"/>
      <c r="BZ77" s="321"/>
      <c r="CA77" s="321"/>
      <c r="CB77" s="321"/>
      <c r="CC77" s="320"/>
      <c r="CD77" s="319"/>
      <c r="CE77" s="319"/>
      <c r="CF77" s="319"/>
      <c r="CG77" s="322"/>
      <c r="CH77" s="321"/>
      <c r="CI77" s="321"/>
      <c r="CJ77" s="321"/>
      <c r="CK77" s="320"/>
      <c r="CL77" s="319"/>
      <c r="CM77" s="319"/>
      <c r="CN77" s="319"/>
      <c r="CO77" s="322"/>
      <c r="CP77" s="321"/>
      <c r="CQ77" s="321"/>
      <c r="CR77" s="321"/>
      <c r="CS77" s="320"/>
      <c r="CT77" s="319"/>
      <c r="CU77" s="319"/>
      <c r="CV77" s="319"/>
      <c r="CW77" s="322"/>
      <c r="CX77" s="321"/>
      <c r="CY77" s="321"/>
      <c r="CZ77" s="321"/>
      <c r="DA77" s="320"/>
      <c r="DB77" s="319"/>
      <c r="DC77" s="319"/>
      <c r="DD77" s="319"/>
      <c r="DE77" s="322"/>
      <c r="DF77" s="321"/>
      <c r="DG77" s="321"/>
      <c r="DH77" s="321"/>
      <c r="DI77" s="320"/>
      <c r="DJ77" s="319"/>
      <c r="DK77" s="319"/>
      <c r="DL77" s="319"/>
      <c r="DM77" s="322"/>
      <c r="DN77" s="321"/>
      <c r="DO77" s="321"/>
      <c r="DP77" s="321"/>
      <c r="DQ77" s="320"/>
      <c r="DR77" s="319"/>
      <c r="DS77" s="319"/>
      <c r="DT77" s="319"/>
      <c r="DU77" s="322"/>
      <c r="DV77" s="321"/>
      <c r="DW77" s="321"/>
      <c r="DX77" s="321"/>
      <c r="DY77" s="320"/>
      <c r="DZ77" s="319"/>
      <c r="EA77" s="319"/>
      <c r="EB77" s="319"/>
    </row>
    <row r="78" spans="1:132" s="318" customFormat="1" ht="41.15" customHeight="1" x14ac:dyDescent="0.35">
      <c r="A78" s="342"/>
      <c r="B78" s="341"/>
      <c r="C78" s="340"/>
      <c r="D78" s="339"/>
      <c r="E78" s="347"/>
      <c r="F78" s="344"/>
      <c r="G78" s="336"/>
      <c r="H78" s="335"/>
      <c r="I78" s="326"/>
      <c r="J78" s="18"/>
      <c r="K78" s="18"/>
      <c r="L78" s="18"/>
      <c r="M78" s="325"/>
      <c r="N78" s="18"/>
      <c r="O78" s="18"/>
      <c r="P78" s="18"/>
      <c r="Q78" s="326"/>
      <c r="R78" s="18"/>
      <c r="S78" s="18"/>
      <c r="T78" s="18"/>
      <c r="U78" s="325"/>
      <c r="V78" s="18"/>
      <c r="W78" s="18"/>
      <c r="X78" s="18"/>
      <c r="Y78" s="326"/>
      <c r="Z78" s="18"/>
      <c r="AA78" s="18"/>
      <c r="AB78" s="18"/>
      <c r="AC78" s="325"/>
      <c r="AD78" s="18"/>
      <c r="AE78" s="18"/>
      <c r="AF78" s="18"/>
      <c r="AG78" s="326"/>
      <c r="AH78" s="18"/>
      <c r="AI78" s="18"/>
      <c r="AJ78" s="18"/>
      <c r="AK78" s="325"/>
      <c r="AL78" s="18"/>
      <c r="AM78" s="18"/>
      <c r="AN78" s="18"/>
      <c r="AO78" s="326"/>
      <c r="AP78" s="18"/>
      <c r="AQ78" s="18"/>
      <c r="AR78" s="18"/>
      <c r="AS78" s="325"/>
      <c r="AT78" s="18"/>
      <c r="AU78" s="324"/>
      <c r="AV78" s="321"/>
      <c r="AW78" s="323"/>
      <c r="AX78" s="321"/>
      <c r="AY78" s="321"/>
      <c r="AZ78" s="321"/>
      <c r="BA78" s="322"/>
      <c r="BB78" s="321"/>
      <c r="BC78" s="321"/>
      <c r="BD78" s="321"/>
      <c r="BE78" s="323"/>
      <c r="BF78" s="321"/>
      <c r="BG78" s="321"/>
      <c r="BH78" s="321"/>
      <c r="BI78" s="322"/>
      <c r="BJ78" s="321"/>
      <c r="BK78" s="321"/>
      <c r="BL78" s="321"/>
      <c r="BM78" s="323"/>
      <c r="BN78" s="321"/>
      <c r="BO78" s="321"/>
      <c r="BP78" s="321"/>
      <c r="BQ78" s="322"/>
      <c r="BR78" s="321"/>
      <c r="BS78" s="321"/>
      <c r="BT78" s="321"/>
      <c r="BU78" s="320"/>
      <c r="BV78" s="319"/>
      <c r="BW78" s="319"/>
      <c r="BX78" s="319"/>
      <c r="BY78" s="322"/>
      <c r="BZ78" s="321"/>
      <c r="CA78" s="321"/>
      <c r="CB78" s="321"/>
      <c r="CC78" s="320"/>
      <c r="CD78" s="319"/>
      <c r="CE78" s="319"/>
      <c r="CF78" s="319"/>
      <c r="CG78" s="322"/>
      <c r="CH78" s="321"/>
      <c r="CI78" s="321"/>
      <c r="CJ78" s="321"/>
      <c r="CK78" s="320"/>
      <c r="CL78" s="319"/>
      <c r="CM78" s="319"/>
      <c r="CN78" s="319"/>
      <c r="CO78" s="322"/>
      <c r="CP78" s="321"/>
      <c r="CQ78" s="321"/>
      <c r="CR78" s="321"/>
      <c r="CS78" s="320"/>
      <c r="CT78" s="319"/>
      <c r="CU78" s="319"/>
      <c r="CV78" s="319"/>
      <c r="CW78" s="322"/>
      <c r="CX78" s="321"/>
      <c r="CY78" s="321"/>
      <c r="CZ78" s="321"/>
      <c r="DA78" s="320"/>
      <c r="DB78" s="319"/>
      <c r="DC78" s="319"/>
      <c r="DD78" s="319"/>
      <c r="DE78" s="322"/>
      <c r="DF78" s="321"/>
      <c r="DG78" s="321"/>
      <c r="DH78" s="321"/>
      <c r="DI78" s="320"/>
      <c r="DJ78" s="319"/>
      <c r="DK78" s="319"/>
      <c r="DL78" s="319"/>
      <c r="DM78" s="322"/>
      <c r="DN78" s="321"/>
      <c r="DO78" s="321"/>
      <c r="DP78" s="321"/>
      <c r="DQ78" s="320"/>
      <c r="DR78" s="319"/>
      <c r="DS78" s="319"/>
      <c r="DT78" s="319"/>
      <c r="DU78" s="322"/>
      <c r="DV78" s="321"/>
      <c r="DW78" s="321"/>
      <c r="DX78" s="321"/>
      <c r="DY78" s="320"/>
      <c r="DZ78" s="319"/>
      <c r="EA78" s="319"/>
      <c r="EB78" s="319"/>
    </row>
    <row r="79" spans="1:132" s="318" customFormat="1" ht="41.15" customHeight="1" x14ac:dyDescent="0.35">
      <c r="A79" s="342"/>
      <c r="B79" s="341"/>
      <c r="C79" s="340"/>
      <c r="D79" s="339"/>
      <c r="E79" s="347"/>
      <c r="F79" s="344"/>
      <c r="G79" s="336"/>
      <c r="H79" s="335"/>
      <c r="I79" s="326"/>
      <c r="J79" s="18"/>
      <c r="K79" s="18"/>
      <c r="L79" s="18"/>
      <c r="M79" s="325"/>
      <c r="N79" s="18"/>
      <c r="O79" s="18"/>
      <c r="P79" s="18"/>
      <c r="Q79" s="326"/>
      <c r="R79" s="18"/>
      <c r="S79" s="18"/>
      <c r="T79" s="18"/>
      <c r="U79" s="325"/>
      <c r="V79" s="18"/>
      <c r="W79" s="18"/>
      <c r="X79" s="18"/>
      <c r="Y79" s="326"/>
      <c r="Z79" s="18"/>
      <c r="AA79" s="18"/>
      <c r="AB79" s="18"/>
      <c r="AC79" s="325"/>
      <c r="AD79" s="18"/>
      <c r="AE79" s="18"/>
      <c r="AF79" s="18"/>
      <c r="AG79" s="326"/>
      <c r="AH79" s="18"/>
      <c r="AI79" s="18"/>
      <c r="AJ79" s="18"/>
      <c r="AK79" s="325"/>
      <c r="AL79" s="18"/>
      <c r="AM79" s="18"/>
      <c r="AN79" s="18"/>
      <c r="AO79" s="326"/>
      <c r="AP79" s="18"/>
      <c r="AQ79" s="18"/>
      <c r="AR79" s="18"/>
      <c r="AS79" s="325"/>
      <c r="AT79" s="18"/>
      <c r="AU79" s="324"/>
      <c r="AV79" s="321"/>
      <c r="AW79" s="323"/>
      <c r="AX79" s="321"/>
      <c r="AY79" s="321"/>
      <c r="AZ79" s="321"/>
      <c r="BA79" s="322"/>
      <c r="BB79" s="321"/>
      <c r="BC79" s="321"/>
      <c r="BD79" s="321"/>
      <c r="BE79" s="323"/>
      <c r="BF79" s="321"/>
      <c r="BG79" s="321"/>
      <c r="BH79" s="321"/>
      <c r="BI79" s="322"/>
      <c r="BJ79" s="321"/>
      <c r="BK79" s="321"/>
      <c r="BL79" s="321"/>
      <c r="BM79" s="323"/>
      <c r="BN79" s="321"/>
      <c r="BO79" s="321"/>
      <c r="BP79" s="321"/>
      <c r="BQ79" s="322"/>
      <c r="BR79" s="321"/>
      <c r="BS79" s="321"/>
      <c r="BT79" s="321"/>
      <c r="BU79" s="320"/>
      <c r="BV79" s="319"/>
      <c r="BW79" s="319"/>
      <c r="BX79" s="319"/>
      <c r="BY79" s="322"/>
      <c r="BZ79" s="321"/>
      <c r="CA79" s="321"/>
      <c r="CB79" s="321"/>
      <c r="CC79" s="320"/>
      <c r="CD79" s="319"/>
      <c r="CE79" s="319"/>
      <c r="CF79" s="319"/>
      <c r="CG79" s="322"/>
      <c r="CH79" s="321"/>
      <c r="CI79" s="321"/>
      <c r="CJ79" s="321"/>
      <c r="CK79" s="320"/>
      <c r="CL79" s="319"/>
      <c r="CM79" s="319"/>
      <c r="CN79" s="319"/>
      <c r="CO79" s="322"/>
      <c r="CP79" s="321"/>
      <c r="CQ79" s="321"/>
      <c r="CR79" s="321"/>
      <c r="CS79" s="320"/>
      <c r="CT79" s="319"/>
      <c r="CU79" s="319"/>
      <c r="CV79" s="319"/>
      <c r="CW79" s="322"/>
      <c r="CX79" s="321"/>
      <c r="CY79" s="321"/>
      <c r="CZ79" s="321"/>
      <c r="DA79" s="320"/>
      <c r="DB79" s="319"/>
      <c r="DC79" s="319"/>
      <c r="DD79" s="319"/>
      <c r="DE79" s="322"/>
      <c r="DF79" s="321"/>
      <c r="DG79" s="321"/>
      <c r="DH79" s="321"/>
      <c r="DI79" s="320"/>
      <c r="DJ79" s="319"/>
      <c r="DK79" s="319"/>
      <c r="DL79" s="319"/>
      <c r="DM79" s="322"/>
      <c r="DN79" s="321"/>
      <c r="DO79" s="321"/>
      <c r="DP79" s="321"/>
      <c r="DQ79" s="320"/>
      <c r="DR79" s="319"/>
      <c r="DS79" s="319"/>
      <c r="DT79" s="319"/>
      <c r="DU79" s="322"/>
      <c r="DV79" s="321"/>
      <c r="DW79" s="321"/>
      <c r="DX79" s="321"/>
      <c r="DY79" s="320"/>
      <c r="DZ79" s="319"/>
      <c r="EA79" s="319"/>
      <c r="EB79" s="319"/>
    </row>
    <row r="80" spans="1:132" s="318" customFormat="1" ht="41.15" customHeight="1" x14ac:dyDescent="0.35">
      <c r="A80" s="342"/>
      <c r="B80" s="341"/>
      <c r="C80" s="340"/>
      <c r="D80" s="339"/>
      <c r="E80" s="347"/>
      <c r="F80" s="344"/>
      <c r="G80" s="336"/>
      <c r="H80" s="335"/>
      <c r="I80" s="326"/>
      <c r="J80" s="18"/>
      <c r="K80" s="18"/>
      <c r="L80" s="18"/>
      <c r="M80" s="325"/>
      <c r="N80" s="18"/>
      <c r="O80" s="18"/>
      <c r="P80" s="18"/>
      <c r="Q80" s="326"/>
      <c r="R80" s="18"/>
      <c r="S80" s="18"/>
      <c r="T80" s="18"/>
      <c r="U80" s="325"/>
      <c r="V80" s="18"/>
      <c r="W80" s="18"/>
      <c r="X80" s="18"/>
      <c r="Y80" s="326"/>
      <c r="Z80" s="18"/>
      <c r="AA80" s="18"/>
      <c r="AB80" s="18"/>
      <c r="AC80" s="325"/>
      <c r="AD80" s="18"/>
      <c r="AE80" s="18"/>
      <c r="AF80" s="18"/>
      <c r="AG80" s="326"/>
      <c r="AH80" s="18"/>
      <c r="AI80" s="18"/>
      <c r="AJ80" s="18"/>
      <c r="AK80" s="325"/>
      <c r="AL80" s="18"/>
      <c r="AM80" s="18"/>
      <c r="AN80" s="18"/>
      <c r="AO80" s="326"/>
      <c r="AP80" s="18"/>
      <c r="AQ80" s="18"/>
      <c r="AR80" s="18"/>
      <c r="AS80" s="325"/>
      <c r="AT80" s="18"/>
      <c r="AU80" s="324"/>
      <c r="AV80" s="321"/>
      <c r="AW80" s="323"/>
      <c r="AX80" s="321"/>
      <c r="AY80" s="321"/>
      <c r="AZ80" s="321"/>
      <c r="BA80" s="322"/>
      <c r="BB80" s="321"/>
      <c r="BC80" s="321"/>
      <c r="BD80" s="321"/>
      <c r="BE80" s="323"/>
      <c r="BF80" s="321"/>
      <c r="BG80" s="321"/>
      <c r="BH80" s="321"/>
      <c r="BI80" s="322"/>
      <c r="BJ80" s="321"/>
      <c r="BK80" s="321"/>
      <c r="BL80" s="321"/>
      <c r="BM80" s="323"/>
      <c r="BN80" s="321"/>
      <c r="BO80" s="321"/>
      <c r="BP80" s="321"/>
      <c r="BQ80" s="322"/>
      <c r="BR80" s="321"/>
      <c r="BS80" s="321"/>
      <c r="BT80" s="321"/>
      <c r="BU80" s="320"/>
      <c r="BV80" s="319"/>
      <c r="BW80" s="319"/>
      <c r="BX80" s="319"/>
      <c r="BY80" s="322"/>
      <c r="BZ80" s="321"/>
      <c r="CA80" s="321"/>
      <c r="CB80" s="321"/>
      <c r="CC80" s="320"/>
      <c r="CD80" s="319"/>
      <c r="CE80" s="319"/>
      <c r="CF80" s="319"/>
      <c r="CG80" s="322"/>
      <c r="CH80" s="321"/>
      <c r="CI80" s="321"/>
      <c r="CJ80" s="321"/>
      <c r="CK80" s="320"/>
      <c r="CL80" s="319"/>
      <c r="CM80" s="319"/>
      <c r="CN80" s="319"/>
      <c r="CO80" s="322"/>
      <c r="CP80" s="321"/>
      <c r="CQ80" s="321"/>
      <c r="CR80" s="321"/>
      <c r="CS80" s="320"/>
      <c r="CT80" s="319"/>
      <c r="CU80" s="319"/>
      <c r="CV80" s="319"/>
      <c r="CW80" s="322"/>
      <c r="CX80" s="321"/>
      <c r="CY80" s="321"/>
      <c r="CZ80" s="321"/>
      <c r="DA80" s="320"/>
      <c r="DB80" s="319"/>
      <c r="DC80" s="319"/>
      <c r="DD80" s="319"/>
      <c r="DE80" s="322"/>
      <c r="DF80" s="321"/>
      <c r="DG80" s="321"/>
      <c r="DH80" s="321"/>
      <c r="DI80" s="320"/>
      <c r="DJ80" s="319"/>
      <c r="DK80" s="319"/>
      <c r="DL80" s="319"/>
      <c r="DM80" s="322"/>
      <c r="DN80" s="321"/>
      <c r="DO80" s="321"/>
      <c r="DP80" s="321"/>
      <c r="DQ80" s="320"/>
      <c r="DR80" s="319"/>
      <c r="DS80" s="319"/>
      <c r="DT80" s="319"/>
      <c r="DU80" s="322"/>
      <c r="DV80" s="321"/>
      <c r="DW80" s="321"/>
      <c r="DX80" s="321"/>
      <c r="DY80" s="320"/>
      <c r="DZ80" s="319"/>
      <c r="EA80" s="319"/>
      <c r="EB80" s="319"/>
    </row>
    <row r="81" spans="1:132" s="318" customFormat="1" ht="41.15" customHeight="1" x14ac:dyDescent="0.35">
      <c r="A81" s="342"/>
      <c r="B81" s="341"/>
      <c r="C81" s="340"/>
      <c r="D81" s="339"/>
      <c r="E81" s="347"/>
      <c r="F81" s="344"/>
      <c r="G81" s="336"/>
      <c r="H81" s="335"/>
      <c r="I81" s="326"/>
      <c r="J81" s="18"/>
      <c r="K81" s="18"/>
      <c r="L81" s="18"/>
      <c r="M81" s="325"/>
      <c r="N81" s="18"/>
      <c r="O81" s="18"/>
      <c r="P81" s="18"/>
      <c r="Q81" s="326"/>
      <c r="R81" s="18"/>
      <c r="S81" s="18"/>
      <c r="T81" s="18"/>
      <c r="U81" s="325"/>
      <c r="V81" s="18"/>
      <c r="W81" s="18"/>
      <c r="X81" s="18"/>
      <c r="Y81" s="326"/>
      <c r="Z81" s="18"/>
      <c r="AA81" s="18"/>
      <c r="AB81" s="18"/>
      <c r="AC81" s="325"/>
      <c r="AD81" s="18"/>
      <c r="AE81" s="18"/>
      <c r="AF81" s="18"/>
      <c r="AG81" s="326"/>
      <c r="AH81" s="18"/>
      <c r="AI81" s="18"/>
      <c r="AJ81" s="18"/>
      <c r="AK81" s="325"/>
      <c r="AL81" s="18"/>
      <c r="AM81" s="18"/>
      <c r="AN81" s="18"/>
      <c r="AO81" s="326"/>
      <c r="AP81" s="18"/>
      <c r="AQ81" s="18"/>
      <c r="AR81" s="18"/>
      <c r="AS81" s="325"/>
      <c r="AT81" s="18"/>
      <c r="AU81" s="324"/>
      <c r="AV81" s="321"/>
      <c r="AW81" s="323"/>
      <c r="AX81" s="321"/>
      <c r="AY81" s="321"/>
      <c r="AZ81" s="321"/>
      <c r="BA81" s="322"/>
      <c r="BB81" s="321"/>
      <c r="BC81" s="321"/>
      <c r="BD81" s="321"/>
      <c r="BE81" s="323"/>
      <c r="BF81" s="321"/>
      <c r="BG81" s="321"/>
      <c r="BH81" s="321"/>
      <c r="BI81" s="322"/>
      <c r="BJ81" s="321"/>
      <c r="BK81" s="321"/>
      <c r="BL81" s="321"/>
      <c r="BM81" s="323"/>
      <c r="BN81" s="321"/>
      <c r="BO81" s="321"/>
      <c r="BP81" s="321"/>
      <c r="BQ81" s="322"/>
      <c r="BR81" s="321"/>
      <c r="BS81" s="321"/>
      <c r="BT81" s="321"/>
      <c r="BU81" s="320"/>
      <c r="BV81" s="319"/>
      <c r="BW81" s="319"/>
      <c r="BX81" s="319"/>
      <c r="BY81" s="322"/>
      <c r="BZ81" s="321"/>
      <c r="CA81" s="321"/>
      <c r="CB81" s="321"/>
      <c r="CC81" s="320"/>
      <c r="CD81" s="319"/>
      <c r="CE81" s="319"/>
      <c r="CF81" s="319"/>
      <c r="CG81" s="322"/>
      <c r="CH81" s="321"/>
      <c r="CI81" s="321"/>
      <c r="CJ81" s="321"/>
      <c r="CK81" s="320"/>
      <c r="CL81" s="319"/>
      <c r="CM81" s="319"/>
      <c r="CN81" s="319"/>
      <c r="CO81" s="322"/>
      <c r="CP81" s="321"/>
      <c r="CQ81" s="321"/>
      <c r="CR81" s="321"/>
      <c r="CS81" s="320"/>
      <c r="CT81" s="319"/>
      <c r="CU81" s="319"/>
      <c r="CV81" s="319"/>
      <c r="CW81" s="322"/>
      <c r="CX81" s="321"/>
      <c r="CY81" s="321"/>
      <c r="CZ81" s="321"/>
      <c r="DA81" s="320"/>
      <c r="DB81" s="319"/>
      <c r="DC81" s="319"/>
      <c r="DD81" s="319"/>
      <c r="DE81" s="322"/>
      <c r="DF81" s="321"/>
      <c r="DG81" s="321"/>
      <c r="DH81" s="321"/>
      <c r="DI81" s="320"/>
      <c r="DJ81" s="319"/>
      <c r="DK81" s="319"/>
      <c r="DL81" s="319"/>
      <c r="DM81" s="322"/>
      <c r="DN81" s="321"/>
      <c r="DO81" s="321"/>
      <c r="DP81" s="321"/>
      <c r="DQ81" s="320"/>
      <c r="DR81" s="319"/>
      <c r="DS81" s="319"/>
      <c r="DT81" s="319"/>
      <c r="DU81" s="322"/>
      <c r="DV81" s="321"/>
      <c r="DW81" s="321"/>
      <c r="DX81" s="321"/>
      <c r="DY81" s="320"/>
      <c r="DZ81" s="319"/>
      <c r="EA81" s="319"/>
      <c r="EB81" s="319"/>
    </row>
    <row r="82" spans="1:132" s="318" customFormat="1" ht="41.15" customHeight="1" x14ac:dyDescent="0.35">
      <c r="A82" s="342"/>
      <c r="B82" s="346"/>
      <c r="C82" s="340"/>
      <c r="D82" s="339"/>
      <c r="E82" s="338"/>
      <c r="F82" s="337"/>
      <c r="G82" s="336"/>
      <c r="H82" s="335"/>
      <c r="I82" s="326"/>
      <c r="J82" s="18"/>
      <c r="K82" s="18"/>
      <c r="L82" s="18"/>
      <c r="M82" s="325"/>
      <c r="N82" s="18"/>
      <c r="O82" s="18"/>
      <c r="P82" s="18"/>
      <c r="Q82" s="326"/>
      <c r="R82" s="18"/>
      <c r="S82" s="18"/>
      <c r="T82" s="18"/>
      <c r="U82" s="325"/>
      <c r="V82" s="18"/>
      <c r="W82" s="18"/>
      <c r="X82" s="18"/>
      <c r="Y82" s="326"/>
      <c r="Z82" s="18"/>
      <c r="AA82" s="18"/>
      <c r="AB82" s="18"/>
      <c r="AC82" s="325"/>
      <c r="AD82" s="18"/>
      <c r="AE82" s="18"/>
      <c r="AF82" s="18"/>
      <c r="AG82" s="326"/>
      <c r="AH82" s="18"/>
      <c r="AI82" s="18"/>
      <c r="AJ82" s="18"/>
      <c r="AK82" s="325"/>
      <c r="AL82" s="18"/>
      <c r="AM82" s="18"/>
      <c r="AN82" s="18"/>
      <c r="AO82" s="326"/>
      <c r="AP82" s="18"/>
      <c r="AQ82" s="18"/>
      <c r="AR82" s="18"/>
      <c r="AS82" s="325"/>
      <c r="AT82" s="18"/>
      <c r="AU82" s="324"/>
      <c r="AV82" s="321"/>
      <c r="AW82" s="323"/>
      <c r="AX82" s="321"/>
      <c r="AY82" s="321"/>
      <c r="AZ82" s="321"/>
      <c r="BA82" s="322"/>
      <c r="BB82" s="321"/>
      <c r="BC82" s="321"/>
      <c r="BD82" s="321"/>
      <c r="BE82" s="323"/>
      <c r="BF82" s="321"/>
      <c r="BG82" s="321"/>
      <c r="BH82" s="321"/>
      <c r="BI82" s="322"/>
      <c r="BJ82" s="321"/>
      <c r="BK82" s="321"/>
      <c r="BL82" s="321"/>
      <c r="BM82" s="323"/>
      <c r="BN82" s="321"/>
      <c r="BO82" s="321"/>
      <c r="BP82" s="321"/>
      <c r="BQ82" s="322"/>
      <c r="BR82" s="321"/>
      <c r="BS82" s="321"/>
      <c r="BT82" s="321"/>
      <c r="BU82" s="320"/>
      <c r="BV82" s="319"/>
      <c r="BW82" s="319"/>
      <c r="BX82" s="319"/>
      <c r="BY82" s="322"/>
      <c r="BZ82" s="321"/>
      <c r="CA82" s="321"/>
      <c r="CB82" s="321"/>
      <c r="CC82" s="320"/>
      <c r="CD82" s="319"/>
      <c r="CE82" s="319"/>
      <c r="CF82" s="319"/>
      <c r="CG82" s="322"/>
      <c r="CH82" s="321"/>
      <c r="CI82" s="321"/>
      <c r="CJ82" s="321"/>
      <c r="CK82" s="320"/>
      <c r="CL82" s="319"/>
      <c r="CM82" s="319"/>
      <c r="CN82" s="319"/>
      <c r="CO82" s="322"/>
      <c r="CP82" s="321"/>
      <c r="CQ82" s="321"/>
      <c r="CR82" s="321"/>
      <c r="CS82" s="320"/>
      <c r="CT82" s="319"/>
      <c r="CU82" s="319"/>
      <c r="CV82" s="319"/>
      <c r="CW82" s="322"/>
      <c r="CX82" s="321"/>
      <c r="CY82" s="321"/>
      <c r="CZ82" s="321"/>
      <c r="DA82" s="320"/>
      <c r="DB82" s="319"/>
      <c r="DC82" s="319"/>
      <c r="DD82" s="319"/>
      <c r="DE82" s="322"/>
      <c r="DF82" s="321"/>
      <c r="DG82" s="321"/>
      <c r="DH82" s="321"/>
      <c r="DI82" s="320"/>
      <c r="DJ82" s="319"/>
      <c r="DK82" s="319"/>
      <c r="DL82" s="319"/>
      <c r="DM82" s="322"/>
      <c r="DN82" s="321"/>
      <c r="DO82" s="321"/>
      <c r="DP82" s="321"/>
      <c r="DQ82" s="320"/>
      <c r="DR82" s="319"/>
      <c r="DS82" s="319"/>
      <c r="DT82" s="319"/>
      <c r="DU82" s="322"/>
      <c r="DV82" s="321"/>
      <c r="DW82" s="321"/>
      <c r="DX82" s="321"/>
      <c r="DY82" s="320"/>
      <c r="DZ82" s="319"/>
      <c r="EA82" s="319"/>
      <c r="EB82" s="319"/>
    </row>
    <row r="83" spans="1:132" s="318" customFormat="1" ht="41.15" customHeight="1" x14ac:dyDescent="0.35">
      <c r="A83" s="342"/>
      <c r="B83" s="343"/>
      <c r="C83" s="340"/>
      <c r="D83" s="339"/>
      <c r="E83" s="338"/>
      <c r="F83" s="337"/>
      <c r="G83" s="336"/>
      <c r="H83" s="335"/>
      <c r="I83" s="326"/>
      <c r="J83" s="18"/>
      <c r="K83" s="18"/>
      <c r="L83" s="18"/>
      <c r="M83" s="325"/>
      <c r="N83" s="18"/>
      <c r="O83" s="18"/>
      <c r="P83" s="18"/>
      <c r="Q83" s="326"/>
      <c r="R83" s="18"/>
      <c r="S83" s="18"/>
      <c r="T83" s="18"/>
      <c r="U83" s="325"/>
      <c r="V83" s="18"/>
      <c r="W83" s="18"/>
      <c r="X83" s="18"/>
      <c r="Y83" s="326"/>
      <c r="Z83" s="18"/>
      <c r="AA83" s="18"/>
      <c r="AB83" s="18"/>
      <c r="AC83" s="325"/>
      <c r="AD83" s="18"/>
      <c r="AE83" s="18"/>
      <c r="AF83" s="18"/>
      <c r="AG83" s="326"/>
      <c r="AH83" s="18"/>
      <c r="AI83" s="18"/>
      <c r="AJ83" s="18"/>
      <c r="AK83" s="325"/>
      <c r="AL83" s="18"/>
      <c r="AM83" s="18"/>
      <c r="AN83" s="18"/>
      <c r="AO83" s="326"/>
      <c r="AP83" s="18"/>
      <c r="AQ83" s="18"/>
      <c r="AR83" s="18"/>
      <c r="AS83" s="325"/>
      <c r="AT83" s="18"/>
      <c r="AU83" s="324"/>
      <c r="AV83" s="321"/>
      <c r="AW83" s="323"/>
      <c r="AX83" s="321"/>
      <c r="AY83" s="321"/>
      <c r="AZ83" s="321"/>
      <c r="BA83" s="322"/>
      <c r="BB83" s="321"/>
      <c r="BC83" s="321"/>
      <c r="BD83" s="321"/>
      <c r="BE83" s="323"/>
      <c r="BF83" s="321"/>
      <c r="BG83" s="321"/>
      <c r="BH83" s="321"/>
      <c r="BI83" s="322"/>
      <c r="BJ83" s="321"/>
      <c r="BK83" s="321"/>
      <c r="BL83" s="321"/>
      <c r="BM83" s="323"/>
      <c r="BN83" s="321"/>
      <c r="BO83" s="321"/>
      <c r="BP83" s="321"/>
      <c r="BQ83" s="322"/>
      <c r="BR83" s="321"/>
      <c r="BS83" s="321"/>
      <c r="BT83" s="321"/>
      <c r="BU83" s="320"/>
      <c r="BV83" s="319"/>
      <c r="BW83" s="319"/>
      <c r="BX83" s="319"/>
      <c r="BY83" s="322"/>
      <c r="BZ83" s="321"/>
      <c r="CA83" s="321"/>
      <c r="CB83" s="321"/>
      <c r="CC83" s="320"/>
      <c r="CD83" s="319"/>
      <c r="CE83" s="319"/>
      <c r="CF83" s="319"/>
      <c r="CG83" s="322"/>
      <c r="CH83" s="321"/>
      <c r="CI83" s="321"/>
      <c r="CJ83" s="321"/>
      <c r="CK83" s="320"/>
      <c r="CL83" s="319"/>
      <c r="CM83" s="319"/>
      <c r="CN83" s="319"/>
      <c r="CO83" s="322"/>
      <c r="CP83" s="321"/>
      <c r="CQ83" s="321"/>
      <c r="CR83" s="321"/>
      <c r="CS83" s="320"/>
      <c r="CT83" s="319"/>
      <c r="CU83" s="319"/>
      <c r="CV83" s="319"/>
      <c r="CW83" s="322"/>
      <c r="CX83" s="321"/>
      <c r="CY83" s="321"/>
      <c r="CZ83" s="321"/>
      <c r="DA83" s="320"/>
      <c r="DB83" s="319"/>
      <c r="DC83" s="319"/>
      <c r="DD83" s="319"/>
      <c r="DE83" s="322"/>
      <c r="DF83" s="321"/>
      <c r="DG83" s="321"/>
      <c r="DH83" s="321"/>
      <c r="DI83" s="320"/>
      <c r="DJ83" s="319"/>
      <c r="DK83" s="319"/>
      <c r="DL83" s="319"/>
      <c r="DM83" s="322"/>
      <c r="DN83" s="321"/>
      <c r="DO83" s="321"/>
      <c r="DP83" s="321"/>
      <c r="DQ83" s="320"/>
      <c r="DR83" s="319"/>
      <c r="DS83" s="319"/>
      <c r="DT83" s="319"/>
      <c r="DU83" s="322"/>
      <c r="DV83" s="321"/>
      <c r="DW83" s="321"/>
      <c r="DX83" s="321"/>
      <c r="DY83" s="320"/>
      <c r="DZ83" s="319"/>
      <c r="EA83" s="319"/>
      <c r="EB83" s="319"/>
    </row>
    <row r="84" spans="1:132" s="318" customFormat="1" ht="41.15" customHeight="1" x14ac:dyDescent="0.35">
      <c r="A84" s="342"/>
      <c r="B84" s="343"/>
      <c r="C84" s="340"/>
      <c r="D84" s="339"/>
      <c r="E84" s="338"/>
      <c r="F84" s="337"/>
      <c r="G84" s="336"/>
      <c r="H84" s="335"/>
      <c r="I84" s="326"/>
      <c r="J84" s="18"/>
      <c r="K84" s="18"/>
      <c r="L84" s="18"/>
      <c r="M84" s="325"/>
      <c r="N84" s="18"/>
      <c r="O84" s="18"/>
      <c r="P84" s="18"/>
      <c r="Q84" s="326"/>
      <c r="R84" s="18"/>
      <c r="S84" s="18"/>
      <c r="T84" s="18"/>
      <c r="U84" s="325"/>
      <c r="V84" s="18"/>
      <c r="W84" s="18"/>
      <c r="X84" s="18"/>
      <c r="Y84" s="326"/>
      <c r="Z84" s="18"/>
      <c r="AA84" s="18"/>
      <c r="AB84" s="18"/>
      <c r="AC84" s="325"/>
      <c r="AD84" s="18"/>
      <c r="AE84" s="18"/>
      <c r="AF84" s="18"/>
      <c r="AG84" s="326"/>
      <c r="AH84" s="18"/>
      <c r="AI84" s="18"/>
      <c r="AJ84" s="18"/>
      <c r="AK84" s="325"/>
      <c r="AL84" s="18"/>
      <c r="AM84" s="18"/>
      <c r="AN84" s="18"/>
      <c r="AO84" s="326"/>
      <c r="AP84" s="18"/>
      <c r="AQ84" s="18"/>
      <c r="AR84" s="18"/>
      <c r="AS84" s="325"/>
      <c r="AT84" s="18"/>
      <c r="AU84" s="324"/>
      <c r="AV84" s="321"/>
      <c r="AW84" s="323"/>
      <c r="AX84" s="321"/>
      <c r="AY84" s="321"/>
      <c r="AZ84" s="321"/>
      <c r="BA84" s="322"/>
      <c r="BB84" s="321"/>
      <c r="BC84" s="321"/>
      <c r="BD84" s="321"/>
      <c r="BE84" s="323"/>
      <c r="BF84" s="321"/>
      <c r="BG84" s="321"/>
      <c r="BH84" s="321"/>
      <c r="BI84" s="322"/>
      <c r="BJ84" s="321"/>
      <c r="BK84" s="321"/>
      <c r="BL84" s="321"/>
      <c r="BM84" s="323"/>
      <c r="BN84" s="321"/>
      <c r="BO84" s="321"/>
      <c r="BP84" s="321"/>
      <c r="BQ84" s="322"/>
      <c r="BR84" s="321"/>
      <c r="BS84" s="321"/>
      <c r="BT84" s="321"/>
      <c r="BU84" s="320"/>
      <c r="BV84" s="319"/>
      <c r="BW84" s="319"/>
      <c r="BX84" s="319"/>
      <c r="BY84" s="322"/>
      <c r="BZ84" s="321"/>
      <c r="CA84" s="321"/>
      <c r="CB84" s="321"/>
      <c r="CC84" s="320"/>
      <c r="CD84" s="319"/>
      <c r="CE84" s="319"/>
      <c r="CF84" s="319"/>
      <c r="CG84" s="322"/>
      <c r="CH84" s="321"/>
      <c r="CI84" s="321"/>
      <c r="CJ84" s="321"/>
      <c r="CK84" s="320"/>
      <c r="CL84" s="319"/>
      <c r="CM84" s="319"/>
      <c r="CN84" s="319"/>
      <c r="CO84" s="322"/>
      <c r="CP84" s="321"/>
      <c r="CQ84" s="321"/>
      <c r="CR84" s="321"/>
      <c r="CS84" s="320"/>
      <c r="CT84" s="319"/>
      <c r="CU84" s="319"/>
      <c r="CV84" s="319"/>
      <c r="CW84" s="322"/>
      <c r="CX84" s="321"/>
      <c r="CY84" s="321"/>
      <c r="CZ84" s="321"/>
      <c r="DA84" s="320"/>
      <c r="DB84" s="319"/>
      <c r="DC84" s="319"/>
      <c r="DD84" s="319"/>
      <c r="DE84" s="322"/>
      <c r="DF84" s="321"/>
      <c r="DG84" s="321"/>
      <c r="DH84" s="321"/>
      <c r="DI84" s="320"/>
      <c r="DJ84" s="319"/>
      <c r="DK84" s="319"/>
      <c r="DL84" s="319"/>
      <c r="DM84" s="322"/>
      <c r="DN84" s="321"/>
      <c r="DO84" s="321"/>
      <c r="DP84" s="321"/>
      <c r="DQ84" s="320"/>
      <c r="DR84" s="319"/>
      <c r="DS84" s="319"/>
      <c r="DT84" s="319"/>
      <c r="DU84" s="322"/>
      <c r="DV84" s="321"/>
      <c r="DW84" s="321"/>
      <c r="DX84" s="321"/>
      <c r="DY84" s="320"/>
      <c r="DZ84" s="319"/>
      <c r="EA84" s="319"/>
      <c r="EB84" s="319"/>
    </row>
    <row r="85" spans="1:132" s="318" customFormat="1" ht="41.15" customHeight="1" x14ac:dyDescent="0.35">
      <c r="A85" s="342"/>
      <c r="B85" s="343"/>
      <c r="C85" s="340"/>
      <c r="D85" s="339"/>
      <c r="E85" s="338"/>
      <c r="F85" s="337"/>
      <c r="G85" s="336"/>
      <c r="H85" s="335"/>
      <c r="I85" s="326"/>
      <c r="J85" s="18"/>
      <c r="K85" s="18"/>
      <c r="L85" s="18"/>
      <c r="M85" s="325"/>
      <c r="N85" s="18"/>
      <c r="O85" s="18"/>
      <c r="P85" s="18"/>
      <c r="Q85" s="326"/>
      <c r="R85" s="18"/>
      <c r="S85" s="18"/>
      <c r="T85" s="18"/>
      <c r="U85" s="325"/>
      <c r="V85" s="18"/>
      <c r="W85" s="18"/>
      <c r="X85" s="18"/>
      <c r="Y85" s="326"/>
      <c r="Z85" s="18"/>
      <c r="AA85" s="18"/>
      <c r="AB85" s="18"/>
      <c r="AC85" s="325"/>
      <c r="AD85" s="18"/>
      <c r="AE85" s="18"/>
      <c r="AF85" s="18"/>
      <c r="AG85" s="326"/>
      <c r="AH85" s="18"/>
      <c r="AI85" s="18"/>
      <c r="AJ85" s="18"/>
      <c r="AK85" s="325"/>
      <c r="AL85" s="18"/>
      <c r="AM85" s="18"/>
      <c r="AN85" s="18"/>
      <c r="AO85" s="326"/>
      <c r="AP85" s="18"/>
      <c r="AQ85" s="18"/>
      <c r="AR85" s="18"/>
      <c r="AS85" s="325"/>
      <c r="AT85" s="18"/>
      <c r="AU85" s="324"/>
      <c r="AV85" s="321"/>
      <c r="AW85" s="323"/>
      <c r="AX85" s="321"/>
      <c r="AY85" s="321"/>
      <c r="AZ85" s="321"/>
      <c r="BA85" s="322"/>
      <c r="BB85" s="321"/>
      <c r="BC85" s="321"/>
      <c r="BD85" s="321"/>
      <c r="BE85" s="323"/>
      <c r="BF85" s="321"/>
      <c r="BG85" s="321"/>
      <c r="BH85" s="321"/>
      <c r="BI85" s="322"/>
      <c r="BJ85" s="321"/>
      <c r="BK85" s="321"/>
      <c r="BL85" s="321"/>
      <c r="BM85" s="323"/>
      <c r="BN85" s="321"/>
      <c r="BO85" s="321"/>
      <c r="BP85" s="321"/>
      <c r="BQ85" s="322"/>
      <c r="BR85" s="321"/>
      <c r="BS85" s="321"/>
      <c r="BT85" s="321"/>
      <c r="BU85" s="320"/>
      <c r="BV85" s="319"/>
      <c r="BW85" s="319"/>
      <c r="BX85" s="319"/>
      <c r="BY85" s="322"/>
      <c r="BZ85" s="321"/>
      <c r="CA85" s="321"/>
      <c r="CB85" s="321"/>
      <c r="CC85" s="320"/>
      <c r="CD85" s="319"/>
      <c r="CE85" s="319"/>
      <c r="CF85" s="319"/>
      <c r="CG85" s="322"/>
      <c r="CH85" s="321"/>
      <c r="CI85" s="321"/>
      <c r="CJ85" s="321"/>
      <c r="CK85" s="320"/>
      <c r="CL85" s="319"/>
      <c r="CM85" s="319"/>
      <c r="CN85" s="319"/>
      <c r="CO85" s="322"/>
      <c r="CP85" s="321"/>
      <c r="CQ85" s="321"/>
      <c r="CR85" s="321"/>
      <c r="CS85" s="320"/>
      <c r="CT85" s="319"/>
      <c r="CU85" s="319"/>
      <c r="CV85" s="319"/>
      <c r="CW85" s="322"/>
      <c r="CX85" s="321"/>
      <c r="CY85" s="321"/>
      <c r="CZ85" s="321"/>
      <c r="DA85" s="320"/>
      <c r="DB85" s="319"/>
      <c r="DC85" s="319"/>
      <c r="DD85" s="319"/>
      <c r="DE85" s="322"/>
      <c r="DF85" s="321"/>
      <c r="DG85" s="321"/>
      <c r="DH85" s="321"/>
      <c r="DI85" s="320"/>
      <c r="DJ85" s="319"/>
      <c r="DK85" s="319"/>
      <c r="DL85" s="319"/>
      <c r="DM85" s="322"/>
      <c r="DN85" s="321"/>
      <c r="DO85" s="321"/>
      <c r="DP85" s="321"/>
      <c r="DQ85" s="320"/>
      <c r="DR85" s="319"/>
      <c r="DS85" s="319"/>
      <c r="DT85" s="319"/>
      <c r="DU85" s="322"/>
      <c r="DV85" s="321"/>
      <c r="DW85" s="321"/>
      <c r="DX85" s="321"/>
      <c r="DY85" s="320"/>
      <c r="DZ85" s="319"/>
      <c r="EA85" s="319"/>
      <c r="EB85" s="319"/>
    </row>
    <row r="86" spans="1:132" s="318" customFormat="1" ht="41.15" customHeight="1" x14ac:dyDescent="0.35">
      <c r="A86" s="342"/>
      <c r="B86" s="343"/>
      <c r="C86" s="340"/>
      <c r="D86" s="339"/>
      <c r="E86" s="338"/>
      <c r="F86" s="337"/>
      <c r="G86" s="336"/>
      <c r="H86" s="335"/>
      <c r="I86" s="326"/>
      <c r="J86" s="18"/>
      <c r="K86" s="18"/>
      <c r="L86" s="18"/>
      <c r="M86" s="325"/>
      <c r="N86" s="18"/>
      <c r="O86" s="18"/>
      <c r="P86" s="18"/>
      <c r="Q86" s="326"/>
      <c r="R86" s="18"/>
      <c r="S86" s="18"/>
      <c r="T86" s="18"/>
      <c r="U86" s="325"/>
      <c r="V86" s="18"/>
      <c r="W86" s="18"/>
      <c r="X86" s="18"/>
      <c r="Y86" s="326"/>
      <c r="Z86" s="18"/>
      <c r="AA86" s="18"/>
      <c r="AB86" s="18"/>
      <c r="AC86" s="325"/>
      <c r="AD86" s="18"/>
      <c r="AE86" s="18"/>
      <c r="AF86" s="18"/>
      <c r="AG86" s="326"/>
      <c r="AH86" s="18"/>
      <c r="AI86" s="18"/>
      <c r="AJ86" s="18"/>
      <c r="AK86" s="325"/>
      <c r="AL86" s="18"/>
      <c r="AM86" s="18"/>
      <c r="AN86" s="18"/>
      <c r="AO86" s="326"/>
      <c r="AP86" s="18"/>
      <c r="AQ86" s="18"/>
      <c r="AR86" s="18"/>
      <c r="AS86" s="325"/>
      <c r="AT86" s="18"/>
      <c r="AU86" s="324"/>
      <c r="AV86" s="321"/>
      <c r="AW86" s="323"/>
      <c r="AX86" s="321"/>
      <c r="AY86" s="321"/>
      <c r="AZ86" s="321"/>
      <c r="BA86" s="322"/>
      <c r="BB86" s="321"/>
      <c r="BC86" s="321"/>
      <c r="BD86" s="321"/>
      <c r="BE86" s="323"/>
      <c r="BF86" s="321"/>
      <c r="BG86" s="321"/>
      <c r="BH86" s="321"/>
      <c r="BI86" s="322"/>
      <c r="BJ86" s="321"/>
      <c r="BK86" s="321"/>
      <c r="BL86" s="321"/>
      <c r="BM86" s="323"/>
      <c r="BN86" s="321"/>
      <c r="BO86" s="321"/>
      <c r="BP86" s="321"/>
      <c r="BQ86" s="322"/>
      <c r="BR86" s="321"/>
      <c r="BS86" s="321"/>
      <c r="BT86" s="321"/>
      <c r="BU86" s="320"/>
      <c r="BV86" s="319"/>
      <c r="BW86" s="319"/>
      <c r="BX86" s="319"/>
      <c r="BY86" s="322"/>
      <c r="BZ86" s="321"/>
      <c r="CA86" s="321"/>
      <c r="CB86" s="321"/>
      <c r="CC86" s="320"/>
      <c r="CD86" s="319"/>
      <c r="CE86" s="319"/>
      <c r="CF86" s="319"/>
      <c r="CG86" s="322"/>
      <c r="CH86" s="321"/>
      <c r="CI86" s="321"/>
      <c r="CJ86" s="321"/>
      <c r="CK86" s="320"/>
      <c r="CL86" s="319"/>
      <c r="CM86" s="319"/>
      <c r="CN86" s="319"/>
      <c r="CO86" s="322"/>
      <c r="CP86" s="321"/>
      <c r="CQ86" s="321"/>
      <c r="CR86" s="321"/>
      <c r="CS86" s="320"/>
      <c r="CT86" s="319"/>
      <c r="CU86" s="319"/>
      <c r="CV86" s="319"/>
      <c r="CW86" s="322"/>
      <c r="CX86" s="321"/>
      <c r="CY86" s="321"/>
      <c r="CZ86" s="321"/>
      <c r="DA86" s="320"/>
      <c r="DB86" s="319"/>
      <c r="DC86" s="319"/>
      <c r="DD86" s="319"/>
      <c r="DE86" s="322"/>
      <c r="DF86" s="321"/>
      <c r="DG86" s="321"/>
      <c r="DH86" s="321"/>
      <c r="DI86" s="320"/>
      <c r="DJ86" s="319"/>
      <c r="DK86" s="319"/>
      <c r="DL86" s="319"/>
      <c r="DM86" s="322"/>
      <c r="DN86" s="321"/>
      <c r="DO86" s="321"/>
      <c r="DP86" s="321"/>
      <c r="DQ86" s="320"/>
      <c r="DR86" s="319"/>
      <c r="DS86" s="319"/>
      <c r="DT86" s="319"/>
      <c r="DU86" s="322"/>
      <c r="DV86" s="321"/>
      <c r="DW86" s="321"/>
      <c r="DX86" s="321"/>
      <c r="DY86" s="320"/>
      <c r="DZ86" s="319"/>
      <c r="EA86" s="319"/>
      <c r="EB86" s="319"/>
    </row>
    <row r="87" spans="1:132" s="318" customFormat="1" ht="41.15" customHeight="1" x14ac:dyDescent="0.35">
      <c r="A87" s="342"/>
      <c r="B87" s="343"/>
      <c r="C87" s="340"/>
      <c r="D87" s="339"/>
      <c r="E87" s="338"/>
      <c r="F87" s="337"/>
      <c r="G87" s="336"/>
      <c r="H87" s="335"/>
      <c r="I87" s="326"/>
      <c r="J87" s="18"/>
      <c r="K87" s="18"/>
      <c r="L87" s="18"/>
      <c r="M87" s="325"/>
      <c r="N87" s="18"/>
      <c r="O87" s="18"/>
      <c r="P87" s="18"/>
      <c r="Q87" s="326"/>
      <c r="R87" s="18"/>
      <c r="S87" s="18"/>
      <c r="T87" s="18"/>
      <c r="U87" s="325"/>
      <c r="V87" s="18"/>
      <c r="W87" s="18"/>
      <c r="X87" s="18"/>
      <c r="Y87" s="326"/>
      <c r="Z87" s="18"/>
      <c r="AA87" s="18"/>
      <c r="AB87" s="18"/>
      <c r="AC87" s="325"/>
      <c r="AD87" s="18"/>
      <c r="AE87" s="18"/>
      <c r="AF87" s="18"/>
      <c r="AG87" s="326"/>
      <c r="AH87" s="18"/>
      <c r="AI87" s="18"/>
      <c r="AJ87" s="18"/>
      <c r="AK87" s="325"/>
      <c r="AL87" s="18"/>
      <c r="AM87" s="18"/>
      <c r="AN87" s="18"/>
      <c r="AO87" s="326"/>
      <c r="AP87" s="18"/>
      <c r="AQ87" s="18"/>
      <c r="AR87" s="18"/>
      <c r="AS87" s="325"/>
      <c r="AT87" s="18"/>
      <c r="AU87" s="324"/>
      <c r="AV87" s="321"/>
      <c r="AW87" s="323"/>
      <c r="AX87" s="321"/>
      <c r="AY87" s="321"/>
      <c r="AZ87" s="321"/>
      <c r="BA87" s="322"/>
      <c r="BB87" s="321"/>
      <c r="BC87" s="321"/>
      <c r="BD87" s="321"/>
      <c r="BE87" s="323"/>
      <c r="BF87" s="321"/>
      <c r="BG87" s="321"/>
      <c r="BH87" s="321"/>
      <c r="BI87" s="322"/>
      <c r="BJ87" s="321"/>
      <c r="BK87" s="321"/>
      <c r="BL87" s="321"/>
      <c r="BM87" s="323"/>
      <c r="BN87" s="321"/>
      <c r="BO87" s="321"/>
      <c r="BP87" s="321"/>
      <c r="BQ87" s="322"/>
      <c r="BR87" s="321"/>
      <c r="BS87" s="321"/>
      <c r="BT87" s="321"/>
      <c r="BU87" s="320"/>
      <c r="BV87" s="319"/>
      <c r="BW87" s="319"/>
      <c r="BX87" s="319"/>
      <c r="BY87" s="322"/>
      <c r="BZ87" s="321"/>
      <c r="CA87" s="321"/>
      <c r="CB87" s="321"/>
      <c r="CC87" s="320"/>
      <c r="CD87" s="319"/>
      <c r="CE87" s="319"/>
      <c r="CF87" s="319"/>
      <c r="CG87" s="322"/>
      <c r="CH87" s="321"/>
      <c r="CI87" s="321"/>
      <c r="CJ87" s="321"/>
      <c r="CK87" s="320"/>
      <c r="CL87" s="319"/>
      <c r="CM87" s="319"/>
      <c r="CN87" s="319"/>
      <c r="CO87" s="322"/>
      <c r="CP87" s="321"/>
      <c r="CQ87" s="321"/>
      <c r="CR87" s="321"/>
      <c r="CS87" s="320"/>
      <c r="CT87" s="319"/>
      <c r="CU87" s="319"/>
      <c r="CV87" s="319"/>
      <c r="CW87" s="322"/>
      <c r="CX87" s="321"/>
      <c r="CY87" s="321"/>
      <c r="CZ87" s="321"/>
      <c r="DA87" s="320"/>
      <c r="DB87" s="319"/>
      <c r="DC87" s="319"/>
      <c r="DD87" s="319"/>
      <c r="DE87" s="322"/>
      <c r="DF87" s="321"/>
      <c r="DG87" s="321"/>
      <c r="DH87" s="321"/>
      <c r="DI87" s="320"/>
      <c r="DJ87" s="319"/>
      <c r="DK87" s="319"/>
      <c r="DL87" s="319"/>
      <c r="DM87" s="322"/>
      <c r="DN87" s="321"/>
      <c r="DO87" s="321"/>
      <c r="DP87" s="321"/>
      <c r="DQ87" s="320"/>
      <c r="DR87" s="319"/>
      <c r="DS87" s="319"/>
      <c r="DT87" s="319"/>
      <c r="DU87" s="322"/>
      <c r="DV87" s="321"/>
      <c r="DW87" s="321"/>
      <c r="DX87" s="321"/>
      <c r="DY87" s="320"/>
      <c r="DZ87" s="319"/>
      <c r="EA87" s="319"/>
      <c r="EB87" s="319"/>
    </row>
    <row r="88" spans="1:132" s="318" customFormat="1" ht="41.15" customHeight="1" x14ac:dyDescent="0.35">
      <c r="A88" s="342"/>
      <c r="B88" s="343"/>
      <c r="C88" s="340"/>
      <c r="D88" s="339"/>
      <c r="E88" s="338"/>
      <c r="F88" s="337"/>
      <c r="G88" s="336"/>
      <c r="H88" s="335"/>
      <c r="I88" s="326"/>
      <c r="J88" s="18"/>
      <c r="K88" s="18"/>
      <c r="L88" s="18"/>
      <c r="M88" s="325"/>
      <c r="N88" s="18"/>
      <c r="O88" s="18"/>
      <c r="P88" s="18"/>
      <c r="Q88" s="326"/>
      <c r="R88" s="18"/>
      <c r="S88" s="18"/>
      <c r="T88" s="18"/>
      <c r="U88" s="325"/>
      <c r="V88" s="18"/>
      <c r="W88" s="18"/>
      <c r="X88" s="18"/>
      <c r="Y88" s="326"/>
      <c r="Z88" s="18"/>
      <c r="AA88" s="18"/>
      <c r="AB88" s="18"/>
      <c r="AC88" s="325"/>
      <c r="AD88" s="18"/>
      <c r="AE88" s="18"/>
      <c r="AF88" s="18"/>
      <c r="AG88" s="326"/>
      <c r="AH88" s="18"/>
      <c r="AI88" s="18"/>
      <c r="AJ88" s="18"/>
      <c r="AK88" s="325"/>
      <c r="AL88" s="18"/>
      <c r="AM88" s="18"/>
      <c r="AN88" s="18"/>
      <c r="AO88" s="326"/>
      <c r="AP88" s="18"/>
      <c r="AQ88" s="18"/>
      <c r="AR88" s="18"/>
      <c r="AS88" s="325"/>
      <c r="AT88" s="18"/>
      <c r="AU88" s="324"/>
      <c r="AV88" s="321"/>
      <c r="AW88" s="323"/>
      <c r="AX88" s="321"/>
      <c r="AY88" s="321"/>
      <c r="AZ88" s="321"/>
      <c r="BA88" s="322"/>
      <c r="BB88" s="321"/>
      <c r="BC88" s="321"/>
      <c r="BD88" s="321"/>
      <c r="BE88" s="323"/>
      <c r="BF88" s="321"/>
      <c r="BG88" s="321"/>
      <c r="BH88" s="321"/>
      <c r="BI88" s="322"/>
      <c r="BJ88" s="321"/>
      <c r="BK88" s="321"/>
      <c r="BL88" s="321"/>
      <c r="BM88" s="323"/>
      <c r="BN88" s="321"/>
      <c r="BO88" s="321"/>
      <c r="BP88" s="321"/>
      <c r="BQ88" s="322"/>
      <c r="BR88" s="321"/>
      <c r="BS88" s="321"/>
      <c r="BT88" s="321"/>
      <c r="BU88" s="320"/>
      <c r="BV88" s="319"/>
      <c r="BW88" s="319"/>
      <c r="BX88" s="319"/>
      <c r="BY88" s="322"/>
      <c r="BZ88" s="321"/>
      <c r="CA88" s="321"/>
      <c r="CB88" s="321"/>
      <c r="CC88" s="320"/>
      <c r="CD88" s="319"/>
      <c r="CE88" s="319"/>
      <c r="CF88" s="319"/>
      <c r="CG88" s="322"/>
      <c r="CH88" s="321"/>
      <c r="CI88" s="321"/>
      <c r="CJ88" s="321"/>
      <c r="CK88" s="320"/>
      <c r="CL88" s="319"/>
      <c r="CM88" s="319"/>
      <c r="CN88" s="319"/>
      <c r="CO88" s="322"/>
      <c r="CP88" s="321"/>
      <c r="CQ88" s="321"/>
      <c r="CR88" s="321"/>
      <c r="CS88" s="320"/>
      <c r="CT88" s="319"/>
      <c r="CU88" s="319"/>
      <c r="CV88" s="319"/>
      <c r="CW88" s="322"/>
      <c r="CX88" s="321"/>
      <c r="CY88" s="321"/>
      <c r="CZ88" s="321"/>
      <c r="DA88" s="320"/>
      <c r="DB88" s="319"/>
      <c r="DC88" s="319"/>
      <c r="DD88" s="319"/>
      <c r="DE88" s="322"/>
      <c r="DF88" s="321"/>
      <c r="DG88" s="321"/>
      <c r="DH88" s="321"/>
      <c r="DI88" s="320"/>
      <c r="DJ88" s="319"/>
      <c r="DK88" s="319"/>
      <c r="DL88" s="319"/>
      <c r="DM88" s="322"/>
      <c r="DN88" s="321"/>
      <c r="DO88" s="321"/>
      <c r="DP88" s="321"/>
      <c r="DQ88" s="320"/>
      <c r="DR88" s="319"/>
      <c r="DS88" s="319"/>
      <c r="DT88" s="319"/>
      <c r="DU88" s="322"/>
      <c r="DV88" s="321"/>
      <c r="DW88" s="321"/>
      <c r="DX88" s="321"/>
      <c r="DY88" s="320"/>
      <c r="DZ88" s="319"/>
      <c r="EA88" s="319"/>
      <c r="EB88" s="319"/>
    </row>
    <row r="89" spans="1:132" s="318" customFormat="1" ht="41.15" customHeight="1" x14ac:dyDescent="0.35">
      <c r="A89" s="342"/>
      <c r="B89" s="343"/>
      <c r="C89" s="340"/>
      <c r="D89" s="339"/>
      <c r="E89" s="338"/>
      <c r="F89" s="337"/>
      <c r="G89" s="336"/>
      <c r="H89" s="335"/>
      <c r="I89" s="326"/>
      <c r="J89" s="18"/>
      <c r="K89" s="18"/>
      <c r="L89" s="18"/>
      <c r="M89" s="325"/>
      <c r="N89" s="18"/>
      <c r="O89" s="18"/>
      <c r="P89" s="18"/>
      <c r="Q89" s="326"/>
      <c r="R89" s="18"/>
      <c r="S89" s="18"/>
      <c r="T89" s="18"/>
      <c r="U89" s="325"/>
      <c r="V89" s="18"/>
      <c r="W89" s="18"/>
      <c r="X89" s="18"/>
      <c r="Y89" s="326"/>
      <c r="Z89" s="18"/>
      <c r="AA89" s="18"/>
      <c r="AB89" s="18"/>
      <c r="AC89" s="325"/>
      <c r="AD89" s="18"/>
      <c r="AE89" s="18"/>
      <c r="AF89" s="18"/>
      <c r="AG89" s="326"/>
      <c r="AH89" s="18"/>
      <c r="AI89" s="18"/>
      <c r="AJ89" s="18"/>
      <c r="AK89" s="325"/>
      <c r="AL89" s="18"/>
      <c r="AM89" s="18"/>
      <c r="AN89" s="18"/>
      <c r="AO89" s="326"/>
      <c r="AP89" s="18"/>
      <c r="AQ89" s="18"/>
      <c r="AR89" s="18"/>
      <c r="AS89" s="325"/>
      <c r="AT89" s="18"/>
      <c r="AU89" s="324"/>
      <c r="AV89" s="321"/>
      <c r="AW89" s="323"/>
      <c r="AX89" s="321"/>
      <c r="AY89" s="321"/>
      <c r="AZ89" s="321"/>
      <c r="BA89" s="322"/>
      <c r="BB89" s="321"/>
      <c r="BC89" s="321"/>
      <c r="BD89" s="321"/>
      <c r="BE89" s="323"/>
      <c r="BF89" s="321"/>
      <c r="BG89" s="321"/>
      <c r="BH89" s="321"/>
      <c r="BI89" s="322"/>
      <c r="BJ89" s="321"/>
      <c r="BK89" s="321"/>
      <c r="BL89" s="321"/>
      <c r="BM89" s="323"/>
      <c r="BN89" s="321"/>
      <c r="BO89" s="321"/>
      <c r="BP89" s="321"/>
      <c r="BQ89" s="322"/>
      <c r="BR89" s="321"/>
      <c r="BS89" s="321"/>
      <c r="BT89" s="321"/>
      <c r="BU89" s="320"/>
      <c r="BV89" s="319"/>
      <c r="BW89" s="319"/>
      <c r="BX89" s="319"/>
      <c r="BY89" s="322"/>
      <c r="BZ89" s="321"/>
      <c r="CA89" s="321"/>
      <c r="CB89" s="321"/>
      <c r="CC89" s="320"/>
      <c r="CD89" s="319"/>
      <c r="CE89" s="319"/>
      <c r="CF89" s="319"/>
      <c r="CG89" s="322"/>
      <c r="CH89" s="321"/>
      <c r="CI89" s="321"/>
      <c r="CJ89" s="321"/>
      <c r="CK89" s="320"/>
      <c r="CL89" s="319"/>
      <c r="CM89" s="319"/>
      <c r="CN89" s="319"/>
      <c r="CO89" s="322"/>
      <c r="CP89" s="321"/>
      <c r="CQ89" s="321"/>
      <c r="CR89" s="321"/>
      <c r="CS89" s="320"/>
      <c r="CT89" s="319"/>
      <c r="CU89" s="319"/>
      <c r="CV89" s="319"/>
      <c r="CW89" s="322"/>
      <c r="CX89" s="321"/>
      <c r="CY89" s="321"/>
      <c r="CZ89" s="321"/>
      <c r="DA89" s="320"/>
      <c r="DB89" s="319"/>
      <c r="DC89" s="319"/>
      <c r="DD89" s="319"/>
      <c r="DE89" s="322"/>
      <c r="DF89" s="321"/>
      <c r="DG89" s="321"/>
      <c r="DH89" s="321"/>
      <c r="DI89" s="320"/>
      <c r="DJ89" s="319"/>
      <c r="DK89" s="319"/>
      <c r="DL89" s="319"/>
      <c r="DM89" s="322"/>
      <c r="DN89" s="321"/>
      <c r="DO89" s="321"/>
      <c r="DP89" s="321"/>
      <c r="DQ89" s="320"/>
      <c r="DR89" s="319"/>
      <c r="DS89" s="319"/>
      <c r="DT89" s="319"/>
      <c r="DU89" s="322"/>
      <c r="DV89" s="321"/>
      <c r="DW89" s="321"/>
      <c r="DX89" s="321"/>
      <c r="DY89" s="320"/>
      <c r="DZ89" s="319"/>
      <c r="EA89" s="319"/>
      <c r="EB89" s="319"/>
    </row>
    <row r="90" spans="1:132" s="318" customFormat="1" ht="41.15" customHeight="1" x14ac:dyDescent="0.35">
      <c r="A90" s="345"/>
      <c r="B90" s="341"/>
      <c r="C90" s="340"/>
      <c r="D90" s="339"/>
      <c r="E90" s="338"/>
      <c r="F90" s="344"/>
      <c r="G90" s="336"/>
      <c r="H90" s="335"/>
      <c r="I90" s="326"/>
      <c r="J90" s="18"/>
      <c r="K90" s="18"/>
      <c r="L90" s="18"/>
      <c r="M90" s="325"/>
      <c r="N90" s="18"/>
      <c r="O90" s="18"/>
      <c r="P90" s="18"/>
      <c r="Q90" s="326"/>
      <c r="R90" s="18"/>
      <c r="S90" s="18"/>
      <c r="T90" s="18"/>
      <c r="U90" s="325"/>
      <c r="V90" s="18"/>
      <c r="W90" s="18"/>
      <c r="X90" s="18"/>
      <c r="Y90" s="326"/>
      <c r="Z90" s="18"/>
      <c r="AA90" s="18"/>
      <c r="AB90" s="18"/>
      <c r="AC90" s="325"/>
      <c r="AD90" s="18"/>
      <c r="AE90" s="18"/>
      <c r="AF90" s="18"/>
      <c r="AG90" s="326"/>
      <c r="AH90" s="18"/>
      <c r="AI90" s="18"/>
      <c r="AJ90" s="18"/>
      <c r="AK90" s="325"/>
      <c r="AL90" s="18"/>
      <c r="AM90" s="18"/>
      <c r="AN90" s="18"/>
      <c r="AO90" s="326"/>
      <c r="AP90" s="18"/>
      <c r="AQ90" s="18"/>
      <c r="AR90" s="18"/>
      <c r="AS90" s="325"/>
      <c r="AT90" s="18"/>
      <c r="AU90" s="324"/>
      <c r="AV90" s="321"/>
      <c r="AW90" s="323"/>
      <c r="AX90" s="321"/>
      <c r="AY90" s="321"/>
      <c r="AZ90" s="321"/>
      <c r="BA90" s="322"/>
      <c r="BB90" s="321"/>
      <c r="BC90" s="321"/>
      <c r="BD90" s="321"/>
      <c r="BE90" s="323"/>
      <c r="BF90" s="321"/>
      <c r="BG90" s="321"/>
      <c r="BH90" s="321"/>
      <c r="BI90" s="322"/>
      <c r="BJ90" s="321"/>
      <c r="BK90" s="321"/>
      <c r="BL90" s="321"/>
      <c r="BM90" s="323"/>
      <c r="BN90" s="321"/>
      <c r="BO90" s="321"/>
      <c r="BP90" s="321"/>
      <c r="BQ90" s="322"/>
      <c r="BR90" s="321"/>
      <c r="BS90" s="321"/>
      <c r="BT90" s="321"/>
      <c r="BU90" s="320"/>
      <c r="BV90" s="319"/>
      <c r="BW90" s="319"/>
      <c r="BX90" s="319"/>
      <c r="BY90" s="322"/>
      <c r="BZ90" s="321"/>
      <c r="CA90" s="321"/>
      <c r="CB90" s="321"/>
      <c r="CC90" s="320"/>
      <c r="CD90" s="319"/>
      <c r="CE90" s="319"/>
      <c r="CF90" s="319"/>
      <c r="CG90" s="322"/>
      <c r="CH90" s="321"/>
      <c r="CI90" s="321"/>
      <c r="CJ90" s="321"/>
      <c r="CK90" s="320"/>
      <c r="CL90" s="319"/>
      <c r="CM90" s="319"/>
      <c r="CN90" s="319"/>
      <c r="CO90" s="322"/>
      <c r="CP90" s="321"/>
      <c r="CQ90" s="321"/>
      <c r="CR90" s="321"/>
      <c r="CS90" s="320"/>
      <c r="CT90" s="319"/>
      <c r="CU90" s="319"/>
      <c r="CV90" s="319"/>
      <c r="CW90" s="322"/>
      <c r="CX90" s="321"/>
      <c r="CY90" s="321"/>
      <c r="CZ90" s="321"/>
      <c r="DA90" s="320"/>
      <c r="DB90" s="319"/>
      <c r="DC90" s="319"/>
      <c r="DD90" s="319"/>
      <c r="DE90" s="322"/>
      <c r="DF90" s="321"/>
      <c r="DG90" s="321"/>
      <c r="DH90" s="321"/>
      <c r="DI90" s="320"/>
      <c r="DJ90" s="319"/>
      <c r="DK90" s="319"/>
      <c r="DL90" s="319"/>
      <c r="DM90" s="322"/>
      <c r="DN90" s="321"/>
      <c r="DO90" s="321"/>
      <c r="DP90" s="321"/>
      <c r="DQ90" s="320"/>
      <c r="DR90" s="319"/>
      <c r="DS90" s="319"/>
      <c r="DT90" s="319"/>
      <c r="DU90" s="322"/>
      <c r="DV90" s="321"/>
      <c r="DW90" s="321"/>
      <c r="DX90" s="321"/>
      <c r="DY90" s="320"/>
      <c r="DZ90" s="319"/>
      <c r="EA90" s="319"/>
      <c r="EB90" s="319"/>
    </row>
    <row r="91" spans="1:132" s="318" customFormat="1" ht="41.15" customHeight="1" x14ac:dyDescent="0.35">
      <c r="A91" s="342"/>
      <c r="B91" s="343"/>
      <c r="C91" s="340"/>
      <c r="D91" s="339"/>
      <c r="E91" s="338"/>
      <c r="F91" s="337"/>
      <c r="G91" s="336"/>
      <c r="H91" s="335"/>
      <c r="I91" s="326"/>
      <c r="J91" s="18"/>
      <c r="K91" s="18"/>
      <c r="L91" s="18"/>
      <c r="M91" s="325"/>
      <c r="N91" s="18"/>
      <c r="O91" s="18"/>
      <c r="P91" s="18"/>
      <c r="Q91" s="326"/>
      <c r="R91" s="18"/>
      <c r="S91" s="18"/>
      <c r="T91" s="18"/>
      <c r="U91" s="325"/>
      <c r="V91" s="18"/>
      <c r="W91" s="18"/>
      <c r="X91" s="18"/>
      <c r="Y91" s="326"/>
      <c r="Z91" s="18"/>
      <c r="AA91" s="18"/>
      <c r="AB91" s="18"/>
      <c r="AC91" s="325"/>
      <c r="AD91" s="18"/>
      <c r="AE91" s="18"/>
      <c r="AF91" s="18"/>
      <c r="AG91" s="326"/>
      <c r="AH91" s="18"/>
      <c r="AI91" s="18"/>
      <c r="AJ91" s="18"/>
      <c r="AK91" s="325"/>
      <c r="AL91" s="18"/>
      <c r="AM91" s="18"/>
      <c r="AN91" s="18"/>
      <c r="AO91" s="326"/>
      <c r="AP91" s="18"/>
      <c r="AQ91" s="18"/>
      <c r="AR91" s="18"/>
      <c r="AS91" s="325"/>
      <c r="AT91" s="18"/>
      <c r="AU91" s="324"/>
      <c r="AV91" s="321"/>
      <c r="AW91" s="323"/>
      <c r="AX91" s="321"/>
      <c r="AY91" s="321"/>
      <c r="AZ91" s="321"/>
      <c r="BA91" s="322"/>
      <c r="BB91" s="321"/>
      <c r="BC91" s="321"/>
      <c r="BD91" s="321"/>
      <c r="BE91" s="323"/>
      <c r="BF91" s="321"/>
      <c r="BG91" s="321"/>
      <c r="BH91" s="321"/>
      <c r="BI91" s="322"/>
      <c r="BJ91" s="321"/>
      <c r="BK91" s="321"/>
      <c r="BL91" s="321"/>
      <c r="BM91" s="323"/>
      <c r="BN91" s="321"/>
      <c r="BO91" s="321"/>
      <c r="BP91" s="321"/>
      <c r="BQ91" s="322"/>
      <c r="BR91" s="321"/>
      <c r="BS91" s="321"/>
      <c r="BT91" s="321"/>
      <c r="BU91" s="320"/>
      <c r="BV91" s="319"/>
      <c r="BW91" s="319"/>
      <c r="BX91" s="319"/>
      <c r="BY91" s="322"/>
      <c r="BZ91" s="321"/>
      <c r="CA91" s="321"/>
      <c r="CB91" s="321"/>
      <c r="CC91" s="320"/>
      <c r="CD91" s="319"/>
      <c r="CE91" s="319"/>
      <c r="CF91" s="319"/>
      <c r="CG91" s="322"/>
      <c r="CH91" s="321"/>
      <c r="CI91" s="321"/>
      <c r="CJ91" s="321"/>
      <c r="CK91" s="320"/>
      <c r="CL91" s="319"/>
      <c r="CM91" s="319"/>
      <c r="CN91" s="319"/>
      <c r="CO91" s="322"/>
      <c r="CP91" s="321"/>
      <c r="CQ91" s="321"/>
      <c r="CR91" s="321"/>
      <c r="CS91" s="320"/>
      <c r="CT91" s="319"/>
      <c r="CU91" s="319"/>
      <c r="CV91" s="319"/>
      <c r="CW91" s="322"/>
      <c r="CX91" s="321"/>
      <c r="CY91" s="321"/>
      <c r="CZ91" s="321"/>
      <c r="DA91" s="320"/>
      <c r="DB91" s="319"/>
      <c r="DC91" s="319"/>
      <c r="DD91" s="319"/>
      <c r="DE91" s="322"/>
      <c r="DF91" s="321"/>
      <c r="DG91" s="321"/>
      <c r="DH91" s="321"/>
      <c r="DI91" s="320"/>
      <c r="DJ91" s="319"/>
      <c r="DK91" s="319"/>
      <c r="DL91" s="319"/>
      <c r="DM91" s="322"/>
      <c r="DN91" s="321"/>
      <c r="DO91" s="321"/>
      <c r="DP91" s="321"/>
      <c r="DQ91" s="320"/>
      <c r="DR91" s="319"/>
      <c r="DS91" s="319"/>
      <c r="DT91" s="319"/>
      <c r="DU91" s="322"/>
      <c r="DV91" s="321"/>
      <c r="DW91" s="321"/>
      <c r="DX91" s="321"/>
      <c r="DY91" s="320"/>
      <c r="DZ91" s="319"/>
      <c r="EA91" s="319"/>
      <c r="EB91" s="319"/>
    </row>
    <row r="92" spans="1:132" s="318" customFormat="1" ht="41.15" customHeight="1" x14ac:dyDescent="0.35">
      <c r="A92" s="342"/>
      <c r="B92" s="341"/>
      <c r="C92" s="340"/>
      <c r="D92" s="339"/>
      <c r="E92" s="338"/>
      <c r="F92" s="337"/>
      <c r="G92" s="336"/>
      <c r="H92" s="335"/>
      <c r="I92" s="326"/>
      <c r="J92" s="18"/>
      <c r="K92" s="18"/>
      <c r="L92" s="18"/>
      <c r="M92" s="325"/>
      <c r="N92" s="18"/>
      <c r="O92" s="18"/>
      <c r="P92" s="18"/>
      <c r="Q92" s="326"/>
      <c r="R92" s="18"/>
      <c r="S92" s="18"/>
      <c r="T92" s="18"/>
      <c r="U92" s="325"/>
      <c r="V92" s="18"/>
      <c r="W92" s="18"/>
      <c r="X92" s="18"/>
      <c r="Y92" s="326"/>
      <c r="Z92" s="18"/>
      <c r="AA92" s="18"/>
      <c r="AB92" s="18"/>
      <c r="AC92" s="325"/>
      <c r="AD92" s="18"/>
      <c r="AE92" s="18"/>
      <c r="AF92" s="18"/>
      <c r="AG92" s="326"/>
      <c r="AH92" s="18"/>
      <c r="AI92" s="18"/>
      <c r="AJ92" s="18"/>
      <c r="AK92" s="325"/>
      <c r="AL92" s="18"/>
      <c r="AM92" s="18"/>
      <c r="AN92" s="18"/>
      <c r="AO92" s="326"/>
      <c r="AP92" s="18"/>
      <c r="AQ92" s="18"/>
      <c r="AR92" s="18"/>
      <c r="AS92" s="325"/>
      <c r="AT92" s="18"/>
      <c r="AU92" s="324"/>
      <c r="AV92" s="321"/>
      <c r="AW92" s="323"/>
      <c r="AX92" s="321"/>
      <c r="AY92" s="321"/>
      <c r="AZ92" s="321"/>
      <c r="BA92" s="322"/>
      <c r="BB92" s="321"/>
      <c r="BC92" s="321"/>
      <c r="BD92" s="321"/>
      <c r="BE92" s="323"/>
      <c r="BF92" s="321"/>
      <c r="BG92" s="321"/>
      <c r="BH92" s="321"/>
      <c r="BI92" s="322"/>
      <c r="BJ92" s="321"/>
      <c r="BK92" s="321"/>
      <c r="BL92" s="321"/>
      <c r="BM92" s="323"/>
      <c r="BN92" s="321"/>
      <c r="BO92" s="321"/>
      <c r="BP92" s="321"/>
      <c r="BQ92" s="322"/>
      <c r="BR92" s="321"/>
      <c r="BS92" s="321"/>
      <c r="BT92" s="321"/>
      <c r="BU92" s="320"/>
      <c r="BV92" s="319"/>
      <c r="BW92" s="319"/>
      <c r="BX92" s="319"/>
      <c r="BY92" s="322"/>
      <c r="BZ92" s="321"/>
      <c r="CA92" s="321"/>
      <c r="CB92" s="321"/>
      <c r="CC92" s="320"/>
      <c r="CD92" s="319"/>
      <c r="CE92" s="319"/>
      <c r="CF92" s="319"/>
      <c r="CG92" s="322"/>
      <c r="CH92" s="321"/>
      <c r="CI92" s="321"/>
      <c r="CJ92" s="321"/>
      <c r="CK92" s="320"/>
      <c r="CL92" s="319"/>
      <c r="CM92" s="319"/>
      <c r="CN92" s="319"/>
      <c r="CO92" s="322"/>
      <c r="CP92" s="321"/>
      <c r="CQ92" s="321"/>
      <c r="CR92" s="321"/>
      <c r="CS92" s="320"/>
      <c r="CT92" s="319"/>
      <c r="CU92" s="319"/>
      <c r="CV92" s="319"/>
      <c r="CW92" s="322"/>
      <c r="CX92" s="321"/>
      <c r="CY92" s="321"/>
      <c r="CZ92" s="321"/>
      <c r="DA92" s="320"/>
      <c r="DB92" s="319"/>
      <c r="DC92" s="319"/>
      <c r="DD92" s="319"/>
      <c r="DE92" s="322"/>
      <c r="DF92" s="321"/>
      <c r="DG92" s="321"/>
      <c r="DH92" s="321"/>
      <c r="DI92" s="320"/>
      <c r="DJ92" s="319"/>
      <c r="DK92" s="319"/>
      <c r="DL92" s="319"/>
      <c r="DM92" s="322"/>
      <c r="DN92" s="321"/>
      <c r="DO92" s="321"/>
      <c r="DP92" s="321"/>
      <c r="DQ92" s="320"/>
      <c r="DR92" s="319"/>
      <c r="DS92" s="319"/>
      <c r="DT92" s="319"/>
      <c r="DU92" s="322"/>
      <c r="DV92" s="321"/>
      <c r="DW92" s="321"/>
      <c r="DX92" s="321"/>
      <c r="DY92" s="320"/>
      <c r="DZ92" s="319"/>
      <c r="EA92" s="319"/>
      <c r="EB92" s="319"/>
    </row>
    <row r="93" spans="1:132" s="318" customFormat="1" ht="41.15" customHeight="1" x14ac:dyDescent="0.35">
      <c r="A93" s="342"/>
      <c r="B93" s="341"/>
      <c r="C93" s="340"/>
      <c r="D93" s="339"/>
      <c r="E93" s="338"/>
      <c r="F93" s="337"/>
      <c r="G93" s="336"/>
      <c r="H93" s="335"/>
      <c r="I93" s="326"/>
      <c r="J93" s="18"/>
      <c r="K93" s="18"/>
      <c r="L93" s="18"/>
      <c r="M93" s="325"/>
      <c r="N93" s="18"/>
      <c r="O93" s="18"/>
      <c r="P93" s="18"/>
      <c r="Q93" s="326"/>
      <c r="R93" s="18"/>
      <c r="S93" s="18"/>
      <c r="T93" s="18"/>
      <c r="U93" s="325"/>
      <c r="V93" s="18"/>
      <c r="W93" s="18"/>
      <c r="X93" s="18"/>
      <c r="Y93" s="326"/>
      <c r="Z93" s="18"/>
      <c r="AA93" s="18"/>
      <c r="AB93" s="18"/>
      <c r="AC93" s="325"/>
      <c r="AD93" s="18"/>
      <c r="AE93" s="18"/>
      <c r="AF93" s="18"/>
      <c r="AG93" s="326"/>
      <c r="AH93" s="18"/>
      <c r="AI93" s="18"/>
      <c r="AJ93" s="18"/>
      <c r="AK93" s="325"/>
      <c r="AL93" s="18"/>
      <c r="AM93" s="18"/>
      <c r="AN93" s="18"/>
      <c r="AO93" s="326"/>
      <c r="AP93" s="18"/>
      <c r="AQ93" s="18"/>
      <c r="AR93" s="18"/>
      <c r="AS93" s="325"/>
      <c r="AT93" s="18"/>
      <c r="AU93" s="324"/>
      <c r="AV93" s="321"/>
      <c r="AW93" s="323"/>
      <c r="AX93" s="321"/>
      <c r="AY93" s="321"/>
      <c r="AZ93" s="321"/>
      <c r="BA93" s="322"/>
      <c r="BB93" s="321"/>
      <c r="BC93" s="321"/>
      <c r="BD93" s="321"/>
      <c r="BE93" s="323"/>
      <c r="BF93" s="321"/>
      <c r="BG93" s="321"/>
      <c r="BH93" s="321"/>
      <c r="BI93" s="322"/>
      <c r="BJ93" s="321"/>
      <c r="BK93" s="321"/>
      <c r="BL93" s="321"/>
      <c r="BM93" s="323"/>
      <c r="BN93" s="321"/>
      <c r="BO93" s="321"/>
      <c r="BP93" s="321"/>
      <c r="BQ93" s="322"/>
      <c r="BR93" s="321"/>
      <c r="BS93" s="321"/>
      <c r="BT93" s="321"/>
      <c r="BU93" s="320"/>
      <c r="BV93" s="319"/>
      <c r="BW93" s="319"/>
      <c r="BX93" s="319"/>
      <c r="BY93" s="322"/>
      <c r="BZ93" s="321"/>
      <c r="CA93" s="321"/>
      <c r="CB93" s="321"/>
      <c r="CC93" s="320"/>
      <c r="CD93" s="319"/>
      <c r="CE93" s="319"/>
      <c r="CF93" s="319"/>
      <c r="CG93" s="322"/>
      <c r="CH93" s="321"/>
      <c r="CI93" s="321"/>
      <c r="CJ93" s="321"/>
      <c r="CK93" s="320"/>
      <c r="CL93" s="319"/>
      <c r="CM93" s="319"/>
      <c r="CN93" s="319"/>
      <c r="CO93" s="322"/>
      <c r="CP93" s="321"/>
      <c r="CQ93" s="321"/>
      <c r="CR93" s="321"/>
      <c r="CS93" s="320"/>
      <c r="CT93" s="319"/>
      <c r="CU93" s="319"/>
      <c r="CV93" s="319"/>
      <c r="CW93" s="322"/>
      <c r="CX93" s="321"/>
      <c r="CY93" s="321"/>
      <c r="CZ93" s="321"/>
      <c r="DA93" s="320"/>
      <c r="DB93" s="319"/>
      <c r="DC93" s="319"/>
      <c r="DD93" s="319"/>
      <c r="DE93" s="322"/>
      <c r="DF93" s="321"/>
      <c r="DG93" s="321"/>
      <c r="DH93" s="321"/>
      <c r="DI93" s="320"/>
      <c r="DJ93" s="319"/>
      <c r="DK93" s="319"/>
      <c r="DL93" s="319"/>
      <c r="DM93" s="322"/>
      <c r="DN93" s="321"/>
      <c r="DO93" s="321"/>
      <c r="DP93" s="321"/>
      <c r="DQ93" s="320"/>
      <c r="DR93" s="319"/>
      <c r="DS93" s="319"/>
      <c r="DT93" s="319"/>
      <c r="DU93" s="322"/>
      <c r="DV93" s="321"/>
      <c r="DW93" s="321"/>
      <c r="DX93" s="321"/>
      <c r="DY93" s="320"/>
      <c r="DZ93" s="319"/>
      <c r="EA93" s="319"/>
      <c r="EB93" s="319"/>
    </row>
    <row r="94" spans="1:132" s="318" customFormat="1" ht="41.15" customHeight="1" x14ac:dyDescent="0.35">
      <c r="A94" s="342"/>
      <c r="B94" s="341"/>
      <c r="C94" s="340"/>
      <c r="D94" s="339"/>
      <c r="E94" s="338"/>
      <c r="F94" s="337"/>
      <c r="G94" s="336"/>
      <c r="H94" s="335"/>
      <c r="I94" s="326"/>
      <c r="J94" s="18"/>
      <c r="K94" s="18"/>
      <c r="L94" s="18"/>
      <c r="M94" s="325"/>
      <c r="N94" s="18"/>
      <c r="O94" s="18"/>
      <c r="P94" s="18"/>
      <c r="Q94" s="326"/>
      <c r="R94" s="18"/>
      <c r="S94" s="18"/>
      <c r="T94" s="18"/>
      <c r="U94" s="325"/>
      <c r="V94" s="18"/>
      <c r="W94" s="18"/>
      <c r="X94" s="18"/>
      <c r="Y94" s="326"/>
      <c r="Z94" s="18"/>
      <c r="AA94" s="18"/>
      <c r="AB94" s="18"/>
      <c r="AC94" s="325"/>
      <c r="AD94" s="18"/>
      <c r="AE94" s="18"/>
      <c r="AF94" s="18"/>
      <c r="AG94" s="326"/>
      <c r="AH94" s="18"/>
      <c r="AI94" s="18"/>
      <c r="AJ94" s="18"/>
      <c r="AK94" s="325"/>
      <c r="AL94" s="18"/>
      <c r="AM94" s="18"/>
      <c r="AN94" s="18"/>
      <c r="AO94" s="326"/>
      <c r="AP94" s="18"/>
      <c r="AQ94" s="18"/>
      <c r="AR94" s="18"/>
      <c r="AS94" s="325"/>
      <c r="AT94" s="18"/>
      <c r="AU94" s="324"/>
      <c r="AV94" s="321"/>
      <c r="AW94" s="323"/>
      <c r="AX94" s="321"/>
      <c r="AY94" s="321"/>
      <c r="AZ94" s="321"/>
      <c r="BA94" s="322"/>
      <c r="BB94" s="321"/>
      <c r="BC94" s="321"/>
      <c r="BD94" s="321"/>
      <c r="BE94" s="323"/>
      <c r="BF94" s="321"/>
      <c r="BG94" s="321"/>
      <c r="BH94" s="321"/>
      <c r="BI94" s="322"/>
      <c r="BJ94" s="321"/>
      <c r="BK94" s="321"/>
      <c r="BL94" s="321"/>
      <c r="BM94" s="323"/>
      <c r="BN94" s="321"/>
      <c r="BO94" s="321"/>
      <c r="BP94" s="321"/>
      <c r="BQ94" s="322"/>
      <c r="BR94" s="321"/>
      <c r="BS94" s="321"/>
      <c r="BT94" s="321"/>
      <c r="BU94" s="320"/>
      <c r="BV94" s="319"/>
      <c r="BW94" s="319"/>
      <c r="BX94" s="319"/>
      <c r="BY94" s="322"/>
      <c r="BZ94" s="321"/>
      <c r="CA94" s="321"/>
      <c r="CB94" s="321"/>
      <c r="CC94" s="320"/>
      <c r="CD94" s="319"/>
      <c r="CE94" s="319"/>
      <c r="CF94" s="319"/>
      <c r="CG94" s="322"/>
      <c r="CH94" s="321"/>
      <c r="CI94" s="321"/>
      <c r="CJ94" s="321"/>
      <c r="CK94" s="320"/>
      <c r="CL94" s="319"/>
      <c r="CM94" s="319"/>
      <c r="CN94" s="319"/>
      <c r="CO94" s="322"/>
      <c r="CP94" s="321"/>
      <c r="CQ94" s="321"/>
      <c r="CR94" s="321"/>
      <c r="CS94" s="320"/>
      <c r="CT94" s="319"/>
      <c r="CU94" s="319"/>
      <c r="CV94" s="319"/>
      <c r="CW94" s="322"/>
      <c r="CX94" s="321"/>
      <c r="CY94" s="321"/>
      <c r="CZ94" s="321"/>
      <c r="DA94" s="320"/>
      <c r="DB94" s="319"/>
      <c r="DC94" s="319"/>
      <c r="DD94" s="319"/>
      <c r="DE94" s="322"/>
      <c r="DF94" s="321"/>
      <c r="DG94" s="321"/>
      <c r="DH94" s="321"/>
      <c r="DI94" s="320"/>
      <c r="DJ94" s="319"/>
      <c r="DK94" s="319"/>
      <c r="DL94" s="319"/>
      <c r="DM94" s="322"/>
      <c r="DN94" s="321"/>
      <c r="DO94" s="321"/>
      <c r="DP94" s="321"/>
      <c r="DQ94" s="320"/>
      <c r="DR94" s="319"/>
      <c r="DS94" s="319"/>
      <c r="DT94" s="319"/>
      <c r="DU94" s="322"/>
      <c r="DV94" s="321"/>
      <c r="DW94" s="321"/>
      <c r="DX94" s="321"/>
      <c r="DY94" s="320"/>
      <c r="DZ94" s="319"/>
      <c r="EA94" s="319"/>
      <c r="EB94" s="319"/>
    </row>
    <row r="95" spans="1:132" s="318" customFormat="1" ht="41.15" customHeight="1" thickBot="1" x14ac:dyDescent="0.4">
      <c r="A95" s="334"/>
      <c r="B95" s="333"/>
      <c r="C95" s="332"/>
      <c r="D95" s="331"/>
      <c r="E95" s="330"/>
      <c r="F95" s="329"/>
      <c r="G95" s="328"/>
      <c r="H95" s="327"/>
      <c r="I95" s="326"/>
      <c r="J95" s="18"/>
      <c r="K95" s="18"/>
      <c r="L95" s="18"/>
      <c r="M95" s="325"/>
      <c r="N95" s="18"/>
      <c r="O95" s="18"/>
      <c r="P95" s="18"/>
      <c r="Q95" s="326"/>
      <c r="R95" s="18"/>
      <c r="S95" s="18"/>
      <c r="T95" s="18"/>
      <c r="U95" s="325"/>
      <c r="V95" s="18"/>
      <c r="W95" s="18"/>
      <c r="X95" s="18"/>
      <c r="Y95" s="326"/>
      <c r="Z95" s="18"/>
      <c r="AA95" s="18"/>
      <c r="AB95" s="18"/>
      <c r="AC95" s="325"/>
      <c r="AD95" s="18"/>
      <c r="AE95" s="18"/>
      <c r="AF95" s="18"/>
      <c r="AG95" s="326"/>
      <c r="AH95" s="18"/>
      <c r="AI95" s="18"/>
      <c r="AJ95" s="18"/>
      <c r="AK95" s="325"/>
      <c r="AL95" s="18"/>
      <c r="AM95" s="18"/>
      <c r="AN95" s="18"/>
      <c r="AO95" s="326"/>
      <c r="AP95" s="18"/>
      <c r="AQ95" s="18"/>
      <c r="AR95" s="18"/>
      <c r="AS95" s="325"/>
      <c r="AT95" s="18"/>
      <c r="AU95" s="324"/>
      <c r="AV95" s="321"/>
      <c r="AW95" s="323"/>
      <c r="AX95" s="321"/>
      <c r="AY95" s="321"/>
      <c r="AZ95" s="321"/>
      <c r="BA95" s="322"/>
      <c r="BB95" s="321"/>
      <c r="BC95" s="321"/>
      <c r="BD95" s="321"/>
      <c r="BE95" s="323"/>
      <c r="BF95" s="321"/>
      <c r="BG95" s="321"/>
      <c r="BH95" s="321"/>
      <c r="BI95" s="322"/>
      <c r="BJ95" s="321"/>
      <c r="BK95" s="321"/>
      <c r="BL95" s="321"/>
      <c r="BM95" s="323"/>
      <c r="BN95" s="321"/>
      <c r="BO95" s="321"/>
      <c r="BP95" s="321"/>
      <c r="BQ95" s="322"/>
      <c r="BR95" s="321"/>
      <c r="BS95" s="321"/>
      <c r="BT95" s="321"/>
      <c r="BU95" s="320"/>
      <c r="BV95" s="319"/>
      <c r="BW95" s="319"/>
      <c r="BX95" s="319"/>
      <c r="BY95" s="322"/>
      <c r="BZ95" s="321"/>
      <c r="CA95" s="321"/>
      <c r="CB95" s="321"/>
      <c r="CC95" s="320"/>
      <c r="CD95" s="319"/>
      <c r="CE95" s="319"/>
      <c r="CF95" s="319"/>
      <c r="CG95" s="322"/>
      <c r="CH95" s="321"/>
      <c r="CI95" s="321"/>
      <c r="CJ95" s="321"/>
      <c r="CK95" s="320"/>
      <c r="CL95" s="319"/>
      <c r="CM95" s="319"/>
      <c r="CN95" s="319"/>
      <c r="CO95" s="322"/>
      <c r="CP95" s="321"/>
      <c r="CQ95" s="321"/>
      <c r="CR95" s="321"/>
      <c r="CS95" s="320"/>
      <c r="CT95" s="319"/>
      <c r="CU95" s="319"/>
      <c r="CV95" s="319"/>
      <c r="CW95" s="322"/>
      <c r="CX95" s="321"/>
      <c r="CY95" s="321"/>
      <c r="CZ95" s="321"/>
      <c r="DA95" s="320"/>
      <c r="DB95" s="319"/>
      <c r="DC95" s="319"/>
      <c r="DD95" s="319"/>
      <c r="DE95" s="322"/>
      <c r="DF95" s="321"/>
      <c r="DG95" s="321"/>
      <c r="DH95" s="321"/>
      <c r="DI95" s="320"/>
      <c r="DJ95" s="319"/>
      <c r="DK95" s="319"/>
      <c r="DL95" s="319"/>
      <c r="DM95" s="322"/>
      <c r="DN95" s="321"/>
      <c r="DO95" s="321"/>
      <c r="DP95" s="321"/>
      <c r="DQ95" s="320"/>
      <c r="DR95" s="319"/>
      <c r="DS95" s="319"/>
      <c r="DT95" s="319"/>
      <c r="DU95" s="322"/>
      <c r="DV95" s="321"/>
      <c r="DW95" s="321"/>
      <c r="DX95" s="321"/>
      <c r="DY95" s="320"/>
      <c r="DZ95" s="319"/>
      <c r="EA95" s="319"/>
      <c r="EB95" s="319"/>
    </row>
    <row r="96" spans="1:132" ht="58.5" customHeight="1" x14ac:dyDescent="0.35"/>
  </sheetData>
  <mergeCells count="3">
    <mergeCell ref="C5:E5"/>
    <mergeCell ref="B8:E8"/>
    <mergeCell ref="F8:H8"/>
  </mergeCells>
  <phoneticPr fontId="11" type="noConversion"/>
  <conditionalFormatting sqref="C96:C65211 C2:C7">
    <cfRule type="duplicateValues" dxfId="6" priority="109"/>
  </conditionalFormatting>
  <conditionalFormatting sqref="C96:C65211">
    <cfRule type="duplicateValues" dxfId="5" priority="111"/>
  </conditionalFormatting>
  <printOptions horizontalCentered="1"/>
  <pageMargins left="0.98425196850393704" right="0.59055118110236227" top="0.59055118110236227" bottom="0.78740157480314965" header="1.299212598425197" footer="0.51181102362204722"/>
  <pageSetup paperSize="8" scale="10" fitToHeight="0" orientation="landscape" horizontalDpi="300" verticalDpi="300" r:id="rId1"/>
  <headerFooter alignWithMargins="0">
    <oddHeader>&amp;R&amp;P de &amp;N
&amp;D</oddHeader>
    <oddFooter>&amp;C&amp;6Este documento es propiedad de Pares&amp;&amp;Alvarez.  No podrá ser copiado, emitido o utilizado con otro propósito que no sea el estipulado en el contrato con el Cliente.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0D9D-0D95-4315-923B-2FB613DD96D8}">
  <dimension ref="A1:GS131"/>
  <sheetViews>
    <sheetView showGridLines="0" view="pageBreakPreview" topLeftCell="A8" zoomScale="10" zoomScaleNormal="90" zoomScaleSheetLayoutView="10" workbookViewId="0">
      <pane xSplit="17" ySplit="2" topLeftCell="R10" activePane="bottomRight" state="frozen"/>
      <selection pane="topRight" activeCell="P8" sqref="P8"/>
      <selection pane="bottomLeft" activeCell="A10" sqref="A10"/>
      <selection pane="bottomRight" activeCell="E22" sqref="E22"/>
    </sheetView>
  </sheetViews>
  <sheetFormatPr baseColWidth="10" defaultColWidth="8.453125" defaultRowHeight="40.4" customHeight="1" x14ac:dyDescent="0.35"/>
  <cols>
    <col min="1" max="1" width="3.1796875" style="17" customWidth="1"/>
    <col min="2" max="2" width="51.81640625" style="65" customWidth="1"/>
    <col min="3" max="3" width="192.81640625" style="16" customWidth="1"/>
    <col min="4" max="4" width="254.453125" style="19" customWidth="1"/>
    <col min="5" max="5" width="221.1796875" style="19" customWidth="1"/>
    <col min="6" max="6" width="221.81640625" style="16" customWidth="1"/>
    <col min="7" max="7" width="255.1796875" style="17" customWidth="1"/>
    <col min="8" max="8" width="144.453125" style="18" customWidth="1"/>
    <col min="9" max="9" width="55.81640625" style="18" customWidth="1"/>
    <col min="10" max="10" width="79.81640625" style="19" customWidth="1"/>
    <col min="11" max="11" width="49.81640625" style="16" customWidth="1"/>
    <col min="12" max="12" width="94.453125" style="20" customWidth="1"/>
    <col min="13" max="13" width="79.81640625" style="20" customWidth="1"/>
    <col min="14" max="14" width="116.54296875" style="20" customWidth="1"/>
    <col min="15" max="15" width="74.453125" style="20" customWidth="1"/>
    <col min="16" max="16" width="74.81640625" style="20" customWidth="1"/>
    <col min="17" max="17" width="59.81640625" style="16" customWidth="1"/>
    <col min="18" max="20" width="114.1796875" style="16" customWidth="1"/>
    <col min="21" max="21" width="114.1796875" style="30" customWidth="1"/>
    <col min="22" max="22" width="70.81640625" style="17" customWidth="1"/>
    <col min="23" max="23" width="102.1796875" style="17" customWidth="1"/>
    <col min="24" max="24" width="118.54296875" style="17" customWidth="1"/>
    <col min="25" max="25" width="103.81640625" style="17" customWidth="1"/>
    <col min="26" max="26" width="21.81640625" style="17" customWidth="1"/>
    <col min="27" max="27" width="45.54296875" style="17" customWidth="1"/>
    <col min="28" max="28" width="71.81640625" style="17" customWidth="1"/>
    <col min="29" max="29" width="151.81640625" style="17" customWidth="1"/>
    <col min="30" max="30" width="29.1796875" style="17" customWidth="1"/>
    <col min="31" max="31" width="114.81640625" style="17" customWidth="1"/>
    <col min="32" max="32" width="57.54296875" style="17" customWidth="1"/>
    <col min="33" max="33" width="66.1796875" style="17" customWidth="1"/>
    <col min="34" max="34" width="45.1796875" style="17" customWidth="1"/>
    <col min="35" max="35" width="76.54296875" style="17" customWidth="1"/>
    <col min="36" max="36" width="80.453125" style="17" customWidth="1"/>
    <col min="37" max="37" width="95.54296875" style="21" customWidth="1"/>
    <col min="38" max="41" width="132.453125" style="17" customWidth="1"/>
    <col min="42" max="42" width="32.453125" style="17" customWidth="1"/>
    <col min="43" max="43" width="63.81640625" style="17" bestFit="1" customWidth="1"/>
    <col min="44" max="44" width="69.1796875" style="17" customWidth="1"/>
    <col min="45" max="45" width="104.54296875" style="22" customWidth="1"/>
    <col min="46" max="46" width="37.54296875" style="17" customWidth="1"/>
    <col min="47" max="47" width="88.453125" style="17" customWidth="1"/>
    <col min="48" max="48" width="32.1796875" style="17" customWidth="1"/>
    <col min="49" max="49" width="73.54296875" style="17" customWidth="1"/>
    <col min="50" max="52" width="68.453125" style="17" customWidth="1"/>
    <col min="53" max="53" width="86.1796875" style="17" customWidth="1"/>
    <col min="54" max="57" width="86.54296875" style="17" customWidth="1"/>
    <col min="58" max="60" width="28.453125" style="17" customWidth="1"/>
    <col min="61" max="61" width="96.1796875" style="17" customWidth="1"/>
    <col min="62" max="65" width="113.81640625" style="17" customWidth="1"/>
    <col min="66" max="66" width="45.81640625" style="17" customWidth="1"/>
    <col min="67" max="83" width="83" style="17" customWidth="1"/>
    <col min="84" max="152" width="14.81640625" style="17" customWidth="1"/>
    <col min="153" max="254" width="40.81640625" style="17" customWidth="1"/>
    <col min="255" max="260" width="14.81640625" style="17" customWidth="1"/>
    <col min="261" max="16384" width="8.453125" style="17"/>
  </cols>
  <sheetData>
    <row r="1" spans="1:201" s="16" customFormat="1" ht="40.4" customHeight="1" x14ac:dyDescent="0.35">
      <c r="B1" s="65"/>
      <c r="D1" s="61"/>
      <c r="E1" s="61"/>
      <c r="G1" s="17"/>
      <c r="H1" s="18"/>
      <c r="I1" s="18"/>
      <c r="J1" s="19"/>
      <c r="L1" s="20"/>
      <c r="M1" s="20"/>
      <c r="N1" s="20"/>
      <c r="O1" s="20"/>
      <c r="P1" s="20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21"/>
      <c r="AL1" s="17"/>
      <c r="AM1" s="17"/>
      <c r="AN1" s="17"/>
      <c r="AO1" s="17"/>
      <c r="AP1" s="17"/>
      <c r="AQ1" s="17"/>
      <c r="AR1" s="17"/>
      <c r="AS1" s="22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</row>
    <row r="2" spans="1:201" s="16" customFormat="1" ht="40.4" customHeight="1" x14ac:dyDescent="0.35">
      <c r="B2" s="65"/>
      <c r="D2" s="19"/>
      <c r="E2" s="19"/>
      <c r="G2" s="17"/>
      <c r="H2" s="18"/>
      <c r="I2" s="18"/>
      <c r="J2" s="19"/>
      <c r="L2" s="20"/>
      <c r="M2" s="20"/>
      <c r="N2" s="20"/>
      <c r="O2" s="20"/>
      <c r="P2" s="20"/>
      <c r="U2" s="58"/>
      <c r="V2" s="58"/>
      <c r="W2" s="17"/>
      <c r="X2" s="17"/>
      <c r="Y2" s="58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1"/>
      <c r="AL2" s="17"/>
      <c r="AM2" s="17"/>
      <c r="AN2" s="17"/>
      <c r="AO2" s="17"/>
      <c r="AP2" s="17"/>
      <c r="AQ2" s="17"/>
      <c r="AR2" s="17"/>
      <c r="AS2" s="22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</row>
    <row r="3" spans="1:201" s="16" customFormat="1" ht="40.4" customHeight="1" x14ac:dyDescent="0.35">
      <c r="B3" s="65"/>
      <c r="D3" s="19"/>
      <c r="E3" s="19"/>
      <c r="G3" s="17"/>
      <c r="H3" s="18"/>
      <c r="I3" s="18"/>
      <c r="J3" s="19"/>
      <c r="L3" s="20"/>
      <c r="M3" s="58" t="s">
        <v>1115</v>
      </c>
      <c r="N3" s="897" t="s">
        <v>792</v>
      </c>
      <c r="O3" s="897"/>
      <c r="P3" s="897"/>
      <c r="Q3" s="897"/>
      <c r="U3" s="58"/>
      <c r="V3" s="58"/>
      <c r="W3" s="17"/>
      <c r="X3" s="17"/>
      <c r="Y3" s="58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21"/>
      <c r="AL3" s="17"/>
      <c r="AM3" s="17"/>
      <c r="AN3" s="17"/>
      <c r="AO3" s="17"/>
      <c r="AP3" s="17"/>
      <c r="AQ3" s="17"/>
      <c r="AR3" s="17"/>
      <c r="AS3" s="22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</row>
    <row r="4" spans="1:201" s="16" customFormat="1" ht="40.4" customHeight="1" x14ac:dyDescent="0.35">
      <c r="B4" s="65"/>
      <c r="D4" s="19"/>
      <c r="E4" s="19"/>
      <c r="G4" s="17"/>
      <c r="H4" s="18"/>
      <c r="I4" s="18"/>
      <c r="J4" s="19"/>
      <c r="L4" s="20"/>
      <c r="M4" s="58" t="s">
        <v>1116</v>
      </c>
      <c r="N4" s="897" t="s">
        <v>793</v>
      </c>
      <c r="O4" s="897"/>
      <c r="P4" s="897"/>
      <c r="Q4" s="897"/>
      <c r="U4" s="58"/>
      <c r="V4" s="58"/>
      <c r="W4" s="17"/>
      <c r="X4" s="17"/>
      <c r="Y4" s="58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21"/>
      <c r="AL4" s="17"/>
      <c r="AM4" s="17"/>
      <c r="AN4" s="17"/>
      <c r="AO4" s="17"/>
      <c r="AP4" s="17"/>
      <c r="AQ4" s="17"/>
      <c r="AR4" s="17"/>
      <c r="AS4" s="22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</row>
    <row r="5" spans="1:201" s="16" customFormat="1" ht="40.4" customHeight="1" x14ac:dyDescent="0.35">
      <c r="B5" s="65"/>
      <c r="D5" s="887"/>
      <c r="E5" s="887"/>
      <c r="F5" s="887"/>
      <c r="G5" s="898"/>
      <c r="H5" s="887"/>
      <c r="I5" s="888"/>
      <c r="J5" s="23"/>
      <c r="K5" s="24"/>
      <c r="L5" s="25"/>
      <c r="M5" s="58" t="s">
        <v>1117</v>
      </c>
      <c r="N5" s="897" t="s">
        <v>794</v>
      </c>
      <c r="O5" s="897"/>
      <c r="P5" s="897"/>
      <c r="Q5" s="897"/>
      <c r="R5" s="24"/>
      <c r="S5" s="24"/>
      <c r="T5" s="24"/>
      <c r="U5" s="58"/>
      <c r="V5" s="58"/>
      <c r="W5" s="60"/>
      <c r="X5" s="60"/>
      <c r="Y5" s="58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26"/>
      <c r="AL5" s="60"/>
      <c r="AM5" s="60"/>
      <c r="AN5" s="60"/>
      <c r="AO5" s="60"/>
      <c r="AP5" s="60"/>
      <c r="AQ5" s="60"/>
      <c r="AR5" s="60"/>
      <c r="AS5" s="27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</row>
    <row r="6" spans="1:201" s="16" customFormat="1" ht="40.4" customHeight="1" x14ac:dyDescent="0.35">
      <c r="B6" s="65"/>
      <c r="D6" s="23"/>
      <c r="E6" s="23"/>
      <c r="F6" s="24"/>
      <c r="G6" s="60"/>
      <c r="H6" s="59"/>
      <c r="I6" s="59"/>
      <c r="J6" s="59"/>
      <c r="K6" s="59"/>
      <c r="L6" s="59"/>
      <c r="M6" s="58" t="s">
        <v>1118</v>
      </c>
      <c r="N6" s="897" t="s">
        <v>63</v>
      </c>
      <c r="O6" s="897"/>
      <c r="P6" s="897"/>
      <c r="Q6" s="897"/>
      <c r="R6" s="23"/>
      <c r="S6" s="23"/>
      <c r="T6" s="23"/>
      <c r="U6" s="58"/>
      <c r="V6" s="58"/>
      <c r="W6" s="59"/>
      <c r="X6" s="59"/>
      <c r="Y6" s="58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28"/>
      <c r="AL6" s="59"/>
      <c r="AM6" s="59"/>
      <c r="AN6" s="59"/>
      <c r="AO6" s="59"/>
      <c r="AP6" s="59"/>
      <c r="AQ6" s="59"/>
      <c r="AR6" s="59"/>
      <c r="AS6" s="2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</row>
    <row r="7" spans="1:201" s="16" customFormat="1" ht="40.4" customHeight="1" thickBot="1" x14ac:dyDescent="0.4">
      <c r="B7" s="65"/>
      <c r="D7" s="23"/>
      <c r="E7" s="23"/>
      <c r="F7" s="24"/>
      <c r="G7" s="60"/>
      <c r="H7" s="59"/>
      <c r="I7" s="59"/>
      <c r="J7" s="19"/>
      <c r="L7" s="20"/>
      <c r="M7" s="58" t="s">
        <v>0</v>
      </c>
      <c r="N7" s="899">
        <f ca="1">TODAY()</f>
        <v>46130</v>
      </c>
      <c r="O7" s="899"/>
      <c r="P7" s="899"/>
      <c r="Q7" s="899"/>
      <c r="R7" s="23"/>
      <c r="S7" s="23"/>
      <c r="T7" s="23"/>
      <c r="U7" s="58"/>
      <c r="V7" s="31"/>
      <c r="W7" s="59"/>
      <c r="X7" s="59"/>
      <c r="Y7" s="31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28"/>
      <c r="AL7" s="59"/>
      <c r="AM7" s="59"/>
      <c r="AN7" s="59"/>
      <c r="AO7" s="59"/>
      <c r="AP7" s="59"/>
      <c r="AQ7" s="59"/>
      <c r="AR7" s="59"/>
      <c r="AS7" s="2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</row>
    <row r="8" spans="1:201" s="394" customFormat="1" ht="221.5" customHeight="1" thickBot="1" x14ac:dyDescent="0.4">
      <c r="B8" s="895" t="s">
        <v>1119</v>
      </c>
      <c r="C8" s="896"/>
      <c r="D8" s="240" t="s">
        <v>1</v>
      </c>
      <c r="E8" s="240"/>
      <c r="F8" s="395"/>
      <c r="G8" s="396">
        <f>SUBTOTAL(3,G10:G2019)</f>
        <v>4</v>
      </c>
      <c r="H8" s="397"/>
      <c r="I8" s="397"/>
      <c r="J8" s="398" t="s">
        <v>2</v>
      </c>
      <c r="K8" s="399"/>
      <c r="L8" s="400"/>
      <c r="M8" s="400"/>
      <c r="N8" s="400"/>
      <c r="O8" s="400"/>
      <c r="P8" s="400"/>
      <c r="Q8" s="401"/>
      <c r="R8" s="402" t="s">
        <v>3</v>
      </c>
      <c r="S8" s="403"/>
      <c r="T8" s="403"/>
      <c r="U8" s="404"/>
      <c r="V8" s="405" t="s">
        <v>4</v>
      </c>
      <c r="W8" s="406"/>
      <c r="X8" s="406"/>
      <c r="Y8" s="407"/>
      <c r="Z8" s="402" t="s">
        <v>5</v>
      </c>
      <c r="AA8" s="403"/>
      <c r="AB8" s="403"/>
      <c r="AC8" s="404"/>
      <c r="AD8" s="405" t="s">
        <v>4</v>
      </c>
      <c r="AE8" s="406"/>
      <c r="AF8" s="406"/>
      <c r="AG8" s="407"/>
      <c r="AH8" s="402" t="s">
        <v>6</v>
      </c>
      <c r="AI8" s="403"/>
      <c r="AJ8" s="403"/>
      <c r="AK8" s="404"/>
      <c r="AL8" s="405" t="s">
        <v>4</v>
      </c>
      <c r="AM8" s="406"/>
      <c r="AN8" s="406"/>
      <c r="AO8" s="407"/>
      <c r="AP8" s="402" t="s">
        <v>7</v>
      </c>
      <c r="AQ8" s="403"/>
      <c r="AR8" s="403"/>
      <c r="AS8" s="404"/>
      <c r="AT8" s="405" t="s">
        <v>4</v>
      </c>
      <c r="AU8" s="406"/>
      <c r="AV8" s="406"/>
      <c r="AW8" s="407"/>
      <c r="AX8" s="402" t="s">
        <v>8</v>
      </c>
      <c r="AY8" s="403"/>
      <c r="AZ8" s="403"/>
      <c r="BA8" s="404"/>
      <c r="BB8" s="405" t="s">
        <v>4</v>
      </c>
      <c r="BC8" s="406"/>
      <c r="BD8" s="406"/>
      <c r="BE8" s="407"/>
      <c r="BF8" s="402" t="s">
        <v>9</v>
      </c>
      <c r="BG8" s="403"/>
      <c r="BH8" s="403"/>
      <c r="BI8" s="404"/>
      <c r="BJ8" s="405" t="s">
        <v>4</v>
      </c>
      <c r="BK8" s="406"/>
      <c r="BL8" s="406"/>
      <c r="BM8" s="407"/>
      <c r="BN8" s="402" t="s">
        <v>10</v>
      </c>
      <c r="BO8" s="403"/>
      <c r="BP8" s="403"/>
      <c r="BQ8" s="404"/>
      <c r="BR8" s="405" t="s">
        <v>4</v>
      </c>
      <c r="BS8" s="406"/>
      <c r="BT8" s="406"/>
      <c r="BU8" s="407"/>
      <c r="BV8" s="402" t="s">
        <v>11</v>
      </c>
      <c r="BW8" s="403"/>
      <c r="BX8" s="403"/>
      <c r="BY8" s="404"/>
      <c r="BZ8" s="405" t="s">
        <v>4</v>
      </c>
      <c r="CA8" s="406"/>
      <c r="CB8" s="406"/>
      <c r="CC8" s="407"/>
      <c r="CD8" s="402" t="s">
        <v>12</v>
      </c>
      <c r="CE8" s="403"/>
      <c r="CF8" s="403"/>
      <c r="CG8" s="404"/>
      <c r="CH8" s="405" t="s">
        <v>4</v>
      </c>
      <c r="CI8" s="406"/>
      <c r="CJ8" s="406"/>
      <c r="CK8" s="407"/>
      <c r="CL8" s="402" t="s">
        <v>13</v>
      </c>
      <c r="CM8" s="403"/>
      <c r="CN8" s="403"/>
      <c r="CO8" s="404"/>
      <c r="CP8" s="405" t="s">
        <v>4</v>
      </c>
      <c r="CQ8" s="406"/>
      <c r="CR8" s="406"/>
      <c r="CS8" s="407"/>
      <c r="CT8" s="402" t="s">
        <v>14</v>
      </c>
      <c r="CU8" s="403"/>
      <c r="CV8" s="403"/>
      <c r="CW8" s="404"/>
      <c r="CX8" s="405" t="s">
        <v>4</v>
      </c>
      <c r="CY8" s="406"/>
      <c r="CZ8" s="406"/>
      <c r="DA8" s="407"/>
      <c r="DB8" s="402" t="s">
        <v>14</v>
      </c>
      <c r="DC8" s="403"/>
      <c r="DD8" s="403"/>
      <c r="DE8" s="404"/>
      <c r="DF8" s="405" t="s">
        <v>4</v>
      </c>
      <c r="DG8" s="406"/>
      <c r="DH8" s="406"/>
      <c r="DI8" s="407"/>
      <c r="DJ8" s="402" t="s">
        <v>14</v>
      </c>
      <c r="DK8" s="403"/>
      <c r="DL8" s="403"/>
      <c r="DM8" s="404"/>
      <c r="DN8" s="405" t="s">
        <v>4</v>
      </c>
      <c r="DO8" s="406"/>
      <c r="DP8" s="406"/>
      <c r="DQ8" s="407"/>
      <c r="DR8" s="402" t="s">
        <v>14</v>
      </c>
      <c r="DS8" s="403"/>
      <c r="DT8" s="403"/>
      <c r="DU8" s="404"/>
      <c r="DV8" s="405" t="s">
        <v>4</v>
      </c>
      <c r="DW8" s="406"/>
      <c r="DX8" s="406"/>
      <c r="DY8" s="407"/>
      <c r="DZ8" s="402" t="s">
        <v>14</v>
      </c>
      <c r="EA8" s="403"/>
      <c r="EB8" s="403"/>
      <c r="EC8" s="404"/>
      <c r="ED8" s="405" t="s">
        <v>4</v>
      </c>
      <c r="EE8" s="406"/>
      <c r="EF8" s="406"/>
      <c r="EG8" s="407"/>
      <c r="EH8" s="402" t="s">
        <v>14</v>
      </c>
      <c r="EI8" s="403"/>
      <c r="EJ8" s="403"/>
      <c r="EK8" s="404"/>
      <c r="EL8" s="405" t="s">
        <v>4</v>
      </c>
      <c r="EM8" s="406"/>
      <c r="EN8" s="406"/>
      <c r="EO8" s="407"/>
      <c r="EP8" s="402" t="s">
        <v>14</v>
      </c>
      <c r="EQ8" s="403"/>
      <c r="ER8" s="403"/>
      <c r="ES8" s="404"/>
      <c r="ET8" s="405" t="s">
        <v>4</v>
      </c>
      <c r="EU8" s="406"/>
      <c r="EV8" s="406"/>
      <c r="EW8" s="407"/>
      <c r="EX8" s="402" t="s">
        <v>14</v>
      </c>
      <c r="EY8" s="403"/>
      <c r="EZ8" s="403"/>
      <c r="FA8" s="404"/>
      <c r="FB8" s="405" t="s">
        <v>4</v>
      </c>
      <c r="FC8" s="406"/>
      <c r="FD8" s="406"/>
      <c r="FE8" s="407"/>
      <c r="FF8" s="402" t="s">
        <v>14</v>
      </c>
      <c r="FG8" s="403"/>
      <c r="FH8" s="403"/>
      <c r="FI8" s="404"/>
      <c r="FJ8" s="405" t="s">
        <v>4</v>
      </c>
      <c r="FK8" s="406"/>
      <c r="FL8" s="406"/>
      <c r="FM8" s="407"/>
      <c r="FN8" s="402" t="s">
        <v>14</v>
      </c>
      <c r="FO8" s="403"/>
      <c r="FP8" s="403"/>
      <c r="FQ8" s="404"/>
      <c r="FR8" s="405" t="s">
        <v>4</v>
      </c>
      <c r="FS8" s="406"/>
      <c r="FT8" s="406"/>
      <c r="FU8" s="407"/>
      <c r="FV8" s="402" t="s">
        <v>14</v>
      </c>
      <c r="FW8" s="403"/>
      <c r="FX8" s="403"/>
      <c r="FY8" s="404"/>
      <c r="FZ8" s="405" t="s">
        <v>4</v>
      </c>
      <c r="GA8" s="406"/>
      <c r="GB8" s="406"/>
      <c r="GC8" s="407"/>
      <c r="GD8" s="402" t="s">
        <v>14</v>
      </c>
      <c r="GE8" s="403"/>
      <c r="GF8" s="403"/>
      <c r="GG8" s="404"/>
      <c r="GH8" s="405" t="s">
        <v>4</v>
      </c>
      <c r="GI8" s="406"/>
      <c r="GJ8" s="406"/>
      <c r="GK8" s="407"/>
      <c r="GL8" s="402" t="s">
        <v>14</v>
      </c>
      <c r="GM8" s="403"/>
      <c r="GN8" s="403"/>
      <c r="GO8" s="404"/>
      <c r="GP8" s="405" t="s">
        <v>4</v>
      </c>
      <c r="GQ8" s="406"/>
      <c r="GR8" s="406"/>
      <c r="GS8" s="407"/>
    </row>
    <row r="9" spans="1:201" s="239" customFormat="1" ht="409.6" customHeight="1" x14ac:dyDescent="0.35">
      <c r="B9" s="237" t="s">
        <v>15</v>
      </c>
      <c r="C9" s="237" t="s">
        <v>17</v>
      </c>
      <c r="D9" s="237" t="s">
        <v>18</v>
      </c>
      <c r="E9" s="237" t="s">
        <v>19</v>
      </c>
      <c r="F9" s="237" t="s">
        <v>20</v>
      </c>
      <c r="G9" s="238" t="s">
        <v>21</v>
      </c>
      <c r="H9" s="237" t="s">
        <v>1120</v>
      </c>
      <c r="I9" s="87" t="s">
        <v>807</v>
      </c>
      <c r="J9" s="241" t="s">
        <v>27</v>
      </c>
      <c r="K9" s="241" t="s">
        <v>28</v>
      </c>
      <c r="L9" s="242" t="s">
        <v>29</v>
      </c>
      <c r="M9" s="242" t="s">
        <v>30</v>
      </c>
      <c r="N9" s="243" t="s">
        <v>31</v>
      </c>
      <c r="O9" s="243" t="s">
        <v>1121</v>
      </c>
      <c r="P9" s="243" t="s">
        <v>33</v>
      </c>
      <c r="Q9" s="244" t="s">
        <v>34</v>
      </c>
      <c r="R9" s="88" t="s">
        <v>35</v>
      </c>
      <c r="S9" s="87" t="s">
        <v>36</v>
      </c>
      <c r="T9" s="89" t="s">
        <v>37</v>
      </c>
      <c r="U9" s="90" t="s">
        <v>38</v>
      </c>
      <c r="V9" s="88" t="s">
        <v>39</v>
      </c>
      <c r="W9" s="87" t="s">
        <v>40</v>
      </c>
      <c r="X9" s="89" t="s">
        <v>37</v>
      </c>
      <c r="Y9" s="90" t="s">
        <v>41</v>
      </c>
      <c r="Z9" s="88" t="s">
        <v>35</v>
      </c>
      <c r="AA9" s="87" t="s">
        <v>36</v>
      </c>
      <c r="AB9" s="89" t="s">
        <v>37</v>
      </c>
      <c r="AC9" s="90" t="s">
        <v>40</v>
      </c>
      <c r="AD9" s="88" t="s">
        <v>39</v>
      </c>
      <c r="AE9" s="87" t="s">
        <v>40</v>
      </c>
      <c r="AF9" s="89" t="s">
        <v>37</v>
      </c>
      <c r="AG9" s="90" t="s">
        <v>41</v>
      </c>
      <c r="AH9" s="88" t="s">
        <v>35</v>
      </c>
      <c r="AI9" s="87" t="s">
        <v>36</v>
      </c>
      <c r="AJ9" s="89" t="s">
        <v>37</v>
      </c>
      <c r="AK9" s="90" t="s">
        <v>40</v>
      </c>
      <c r="AL9" s="88" t="s">
        <v>39</v>
      </c>
      <c r="AM9" s="87" t="s">
        <v>40</v>
      </c>
      <c r="AN9" s="89" t="s">
        <v>37</v>
      </c>
      <c r="AO9" s="90" t="s">
        <v>41</v>
      </c>
      <c r="AP9" s="88" t="s">
        <v>35</v>
      </c>
      <c r="AQ9" s="87" t="s">
        <v>36</v>
      </c>
      <c r="AR9" s="89" t="s">
        <v>37</v>
      </c>
      <c r="AS9" s="90" t="s">
        <v>40</v>
      </c>
      <c r="AT9" s="88" t="s">
        <v>39</v>
      </c>
      <c r="AU9" s="87" t="s">
        <v>40</v>
      </c>
      <c r="AV9" s="89" t="s">
        <v>37</v>
      </c>
      <c r="AW9" s="90" t="s">
        <v>41</v>
      </c>
      <c r="AX9" s="88" t="s">
        <v>35</v>
      </c>
      <c r="AY9" s="87" t="s">
        <v>36</v>
      </c>
      <c r="AZ9" s="89" t="s">
        <v>37</v>
      </c>
      <c r="BA9" s="90" t="s">
        <v>40</v>
      </c>
      <c r="BB9" s="88" t="s">
        <v>39</v>
      </c>
      <c r="BC9" s="87" t="s">
        <v>40</v>
      </c>
      <c r="BD9" s="89" t="s">
        <v>37</v>
      </c>
      <c r="BE9" s="90" t="s">
        <v>41</v>
      </c>
      <c r="BF9" s="88" t="s">
        <v>35</v>
      </c>
      <c r="BG9" s="87" t="s">
        <v>36</v>
      </c>
      <c r="BH9" s="89" t="s">
        <v>37</v>
      </c>
      <c r="BI9" s="90" t="s">
        <v>40</v>
      </c>
      <c r="BJ9" s="88" t="s">
        <v>39</v>
      </c>
      <c r="BK9" s="87" t="s">
        <v>40</v>
      </c>
      <c r="BL9" s="89" t="s">
        <v>37</v>
      </c>
      <c r="BM9" s="90" t="s">
        <v>41</v>
      </c>
      <c r="BN9" s="88" t="s">
        <v>35</v>
      </c>
      <c r="BO9" s="87" t="s">
        <v>36</v>
      </c>
      <c r="BP9" s="89" t="s">
        <v>37</v>
      </c>
      <c r="BQ9" s="90" t="s">
        <v>40</v>
      </c>
      <c r="BR9" s="88" t="s">
        <v>39</v>
      </c>
      <c r="BS9" s="87" t="s">
        <v>40</v>
      </c>
      <c r="BT9" s="89" t="s">
        <v>37</v>
      </c>
      <c r="BU9" s="90" t="s">
        <v>41</v>
      </c>
      <c r="BV9" s="88" t="s">
        <v>35</v>
      </c>
      <c r="BW9" s="87" t="s">
        <v>36</v>
      </c>
      <c r="BX9" s="89" t="s">
        <v>37</v>
      </c>
      <c r="BY9" s="90" t="s">
        <v>40</v>
      </c>
      <c r="BZ9" s="88" t="s">
        <v>39</v>
      </c>
      <c r="CA9" s="87" t="s">
        <v>40</v>
      </c>
      <c r="CB9" s="89" t="s">
        <v>37</v>
      </c>
      <c r="CC9" s="90" t="s">
        <v>41</v>
      </c>
      <c r="CD9" s="88" t="s">
        <v>35</v>
      </c>
      <c r="CE9" s="87" t="s">
        <v>36</v>
      </c>
      <c r="CF9" s="89" t="s">
        <v>37</v>
      </c>
      <c r="CG9" s="90" t="s">
        <v>40</v>
      </c>
      <c r="CH9" s="88" t="s">
        <v>39</v>
      </c>
      <c r="CI9" s="87" t="s">
        <v>40</v>
      </c>
      <c r="CJ9" s="89" t="s">
        <v>37</v>
      </c>
      <c r="CK9" s="90" t="s">
        <v>41</v>
      </c>
      <c r="CL9" s="88" t="s">
        <v>35</v>
      </c>
      <c r="CM9" s="87" t="s">
        <v>36</v>
      </c>
      <c r="CN9" s="89" t="s">
        <v>37</v>
      </c>
      <c r="CO9" s="90" t="s">
        <v>40</v>
      </c>
      <c r="CP9" s="88" t="s">
        <v>43</v>
      </c>
      <c r="CQ9" s="87" t="s">
        <v>40</v>
      </c>
      <c r="CR9" s="89" t="s">
        <v>37</v>
      </c>
      <c r="CS9" s="90" t="s">
        <v>41</v>
      </c>
      <c r="CT9" s="88" t="s">
        <v>35</v>
      </c>
      <c r="CU9" s="87" t="s">
        <v>36</v>
      </c>
      <c r="CV9" s="89" t="s">
        <v>37</v>
      </c>
      <c r="CW9" s="90" t="s">
        <v>40</v>
      </c>
      <c r="CX9" s="88" t="s">
        <v>43</v>
      </c>
      <c r="CY9" s="87" t="s">
        <v>40</v>
      </c>
      <c r="CZ9" s="89" t="s">
        <v>37</v>
      </c>
      <c r="DA9" s="90" t="s">
        <v>41</v>
      </c>
      <c r="DB9" s="88" t="s">
        <v>35</v>
      </c>
      <c r="DC9" s="87" t="s">
        <v>36</v>
      </c>
      <c r="DD9" s="89" t="s">
        <v>37</v>
      </c>
      <c r="DE9" s="90" t="s">
        <v>40</v>
      </c>
      <c r="DF9" s="88" t="s">
        <v>43</v>
      </c>
      <c r="DG9" s="87" t="s">
        <v>40</v>
      </c>
      <c r="DH9" s="89" t="s">
        <v>37</v>
      </c>
      <c r="DI9" s="90" t="s">
        <v>41</v>
      </c>
      <c r="DJ9" s="88" t="s">
        <v>35</v>
      </c>
      <c r="DK9" s="87" t="s">
        <v>36</v>
      </c>
      <c r="DL9" s="89" t="s">
        <v>37</v>
      </c>
      <c r="DM9" s="90" t="s">
        <v>40</v>
      </c>
      <c r="DN9" s="88" t="s">
        <v>43</v>
      </c>
      <c r="DO9" s="87" t="s">
        <v>40</v>
      </c>
      <c r="DP9" s="89" t="s">
        <v>37</v>
      </c>
      <c r="DQ9" s="90" t="s">
        <v>41</v>
      </c>
      <c r="DR9" s="88" t="s">
        <v>35</v>
      </c>
      <c r="DS9" s="87" t="s">
        <v>36</v>
      </c>
      <c r="DT9" s="89" t="s">
        <v>37</v>
      </c>
      <c r="DU9" s="90" t="s">
        <v>40</v>
      </c>
      <c r="DV9" s="88" t="s">
        <v>43</v>
      </c>
      <c r="DW9" s="87" t="s">
        <v>40</v>
      </c>
      <c r="DX9" s="89" t="s">
        <v>37</v>
      </c>
      <c r="DY9" s="90" t="s">
        <v>41</v>
      </c>
      <c r="DZ9" s="88" t="s">
        <v>35</v>
      </c>
      <c r="EA9" s="87" t="s">
        <v>36</v>
      </c>
      <c r="EB9" s="89" t="s">
        <v>37</v>
      </c>
      <c r="EC9" s="90" t="s">
        <v>40</v>
      </c>
      <c r="ED9" s="88" t="s">
        <v>43</v>
      </c>
      <c r="EE9" s="87" t="s">
        <v>40</v>
      </c>
      <c r="EF9" s="89" t="s">
        <v>37</v>
      </c>
      <c r="EG9" s="90" t="s">
        <v>41</v>
      </c>
      <c r="EH9" s="88" t="s">
        <v>35</v>
      </c>
      <c r="EI9" s="87" t="s">
        <v>36</v>
      </c>
      <c r="EJ9" s="89" t="s">
        <v>37</v>
      </c>
      <c r="EK9" s="90" t="s">
        <v>40</v>
      </c>
      <c r="EL9" s="88" t="s">
        <v>43</v>
      </c>
      <c r="EM9" s="87" t="s">
        <v>40</v>
      </c>
      <c r="EN9" s="89" t="s">
        <v>37</v>
      </c>
      <c r="EO9" s="90" t="s">
        <v>41</v>
      </c>
      <c r="EP9" s="88" t="s">
        <v>35</v>
      </c>
      <c r="EQ9" s="87" t="s">
        <v>36</v>
      </c>
      <c r="ER9" s="89" t="s">
        <v>37</v>
      </c>
      <c r="ES9" s="90" t="s">
        <v>40</v>
      </c>
      <c r="ET9" s="88" t="s">
        <v>43</v>
      </c>
      <c r="EU9" s="87" t="s">
        <v>40</v>
      </c>
      <c r="EV9" s="89" t="s">
        <v>37</v>
      </c>
      <c r="EW9" s="90" t="s">
        <v>41</v>
      </c>
      <c r="EX9" s="88" t="s">
        <v>35</v>
      </c>
      <c r="EY9" s="87" t="s">
        <v>36</v>
      </c>
      <c r="EZ9" s="89" t="s">
        <v>37</v>
      </c>
      <c r="FA9" s="90" t="s">
        <v>40</v>
      </c>
      <c r="FB9" s="88" t="s">
        <v>43</v>
      </c>
      <c r="FC9" s="87" t="s">
        <v>40</v>
      </c>
      <c r="FD9" s="89" t="s">
        <v>37</v>
      </c>
      <c r="FE9" s="90" t="s">
        <v>41</v>
      </c>
      <c r="FF9" s="88" t="s">
        <v>35</v>
      </c>
      <c r="FG9" s="87" t="s">
        <v>36</v>
      </c>
      <c r="FH9" s="89" t="s">
        <v>37</v>
      </c>
      <c r="FI9" s="90" t="s">
        <v>40</v>
      </c>
      <c r="FJ9" s="88" t="s">
        <v>43</v>
      </c>
      <c r="FK9" s="87" t="s">
        <v>40</v>
      </c>
      <c r="FL9" s="89" t="s">
        <v>37</v>
      </c>
      <c r="FM9" s="90" t="s">
        <v>41</v>
      </c>
      <c r="FN9" s="88" t="s">
        <v>35</v>
      </c>
      <c r="FO9" s="87" t="s">
        <v>36</v>
      </c>
      <c r="FP9" s="89" t="s">
        <v>37</v>
      </c>
      <c r="FQ9" s="90" t="s">
        <v>40</v>
      </c>
      <c r="FR9" s="88" t="s">
        <v>43</v>
      </c>
      <c r="FS9" s="87" t="s">
        <v>40</v>
      </c>
      <c r="FT9" s="89" t="s">
        <v>37</v>
      </c>
      <c r="FU9" s="90" t="s">
        <v>41</v>
      </c>
      <c r="FV9" s="88" t="s">
        <v>35</v>
      </c>
      <c r="FW9" s="87" t="s">
        <v>36</v>
      </c>
      <c r="FX9" s="89" t="s">
        <v>37</v>
      </c>
      <c r="FY9" s="90" t="s">
        <v>40</v>
      </c>
      <c r="FZ9" s="88" t="s">
        <v>43</v>
      </c>
      <c r="GA9" s="87" t="s">
        <v>40</v>
      </c>
      <c r="GB9" s="89" t="s">
        <v>37</v>
      </c>
      <c r="GC9" s="90" t="s">
        <v>41</v>
      </c>
      <c r="GD9" s="88" t="s">
        <v>35</v>
      </c>
      <c r="GE9" s="87" t="s">
        <v>36</v>
      </c>
      <c r="GF9" s="89" t="s">
        <v>37</v>
      </c>
      <c r="GG9" s="90" t="s">
        <v>40</v>
      </c>
      <c r="GH9" s="88" t="s">
        <v>43</v>
      </c>
      <c r="GI9" s="87" t="s">
        <v>40</v>
      </c>
      <c r="GJ9" s="89" t="s">
        <v>37</v>
      </c>
      <c r="GK9" s="90" t="s">
        <v>41</v>
      </c>
      <c r="GL9" s="88" t="s">
        <v>35</v>
      </c>
      <c r="GM9" s="87" t="s">
        <v>36</v>
      </c>
      <c r="GN9" s="89" t="s">
        <v>37</v>
      </c>
      <c r="GO9" s="90" t="s">
        <v>40</v>
      </c>
      <c r="GP9" s="88" t="s">
        <v>43</v>
      </c>
      <c r="GQ9" s="87" t="s">
        <v>40</v>
      </c>
      <c r="GR9" s="89" t="s">
        <v>37</v>
      </c>
      <c r="GS9" s="90" t="s">
        <v>41</v>
      </c>
    </row>
    <row r="10" spans="1:201" s="264" customFormat="1" ht="238.5" customHeight="1" x14ac:dyDescent="0.35">
      <c r="A10" s="218"/>
      <c r="B10" s="245">
        <v>1</v>
      </c>
      <c r="C10" s="195" t="s">
        <v>44</v>
      </c>
      <c r="D10" s="195" t="s">
        <v>1122</v>
      </c>
      <c r="E10" s="246" t="s">
        <v>46</v>
      </c>
      <c r="F10" s="246" t="s">
        <v>46</v>
      </c>
      <c r="G10" s="450" t="s">
        <v>1123</v>
      </c>
      <c r="H10" s="408" t="s">
        <v>1124</v>
      </c>
      <c r="I10" s="198" t="s">
        <v>132</v>
      </c>
      <c r="J10" s="199" t="s">
        <v>1125</v>
      </c>
      <c r="K10" s="200">
        <v>1</v>
      </c>
      <c r="L10" s="201">
        <v>45889</v>
      </c>
      <c r="M10" s="201"/>
      <c r="N10" s="248" t="s">
        <v>1126</v>
      </c>
      <c r="O10" s="203">
        <f ca="1">IF(N10="Aprobado con comentarios / Emitir Rev.0",TODAY()-M10,0)</f>
        <v>0</v>
      </c>
      <c r="P10" s="203">
        <f t="shared" ref="P10:P31" ca="1" si="0">IF(N10="Revisión INN",TODAY()-L10,0)</f>
        <v>0</v>
      </c>
      <c r="Q10" s="204">
        <f>ROUNDUP(((COUNTA(R10:GS10)/4)/2),0)</f>
        <v>0</v>
      </c>
      <c r="R10" s="205"/>
      <c r="S10" s="206"/>
      <c r="T10" s="206"/>
      <c r="U10" s="207"/>
      <c r="V10" s="208"/>
      <c r="W10" s="209"/>
      <c r="X10" s="210"/>
      <c r="Y10" s="209"/>
      <c r="Z10" s="211"/>
      <c r="AA10" s="213"/>
      <c r="AB10" s="213"/>
      <c r="AC10" s="214"/>
      <c r="AD10" s="215"/>
      <c r="AE10" s="209"/>
      <c r="AF10" s="210"/>
      <c r="AG10" s="209"/>
      <c r="AH10" s="211"/>
      <c r="AI10" s="212"/>
      <c r="AJ10" s="213"/>
      <c r="AK10" s="214"/>
      <c r="AL10" s="215"/>
      <c r="AM10" s="209"/>
      <c r="AN10" s="210"/>
      <c r="AO10" s="209"/>
      <c r="AP10" s="216"/>
      <c r="AQ10" s="213"/>
      <c r="AR10" s="213"/>
      <c r="AS10" s="214"/>
      <c r="AT10" s="208"/>
      <c r="AU10" s="209"/>
      <c r="AV10" s="210"/>
      <c r="AW10" s="209"/>
      <c r="AX10" s="211"/>
      <c r="AY10" s="213"/>
      <c r="AZ10" s="213"/>
      <c r="BA10" s="214"/>
      <c r="BB10" s="208"/>
      <c r="BC10" s="209"/>
      <c r="BD10" s="210"/>
      <c r="BE10" s="217"/>
      <c r="BF10" s="211"/>
      <c r="BG10" s="213"/>
      <c r="BH10" s="213"/>
      <c r="BI10" s="213"/>
      <c r="BJ10" s="208"/>
      <c r="BK10" s="217"/>
      <c r="BL10" s="210"/>
      <c r="BM10" s="217"/>
      <c r="BN10" s="211"/>
      <c r="BO10" s="213"/>
      <c r="BP10" s="213"/>
      <c r="BQ10" s="213"/>
      <c r="BR10" s="208"/>
      <c r="BS10" s="217"/>
      <c r="BT10" s="210"/>
      <c r="BU10" s="217"/>
      <c r="BV10" s="211"/>
      <c r="BW10" s="213"/>
      <c r="BX10" s="213"/>
      <c r="BY10" s="213"/>
      <c r="BZ10" s="208"/>
      <c r="CA10" s="217"/>
      <c r="CB10" s="217"/>
      <c r="CC10" s="217"/>
      <c r="CD10" s="211"/>
      <c r="CE10" s="213"/>
      <c r="CF10" s="213"/>
      <c r="CG10" s="213"/>
      <c r="CH10" s="208"/>
      <c r="CI10" s="217"/>
      <c r="CJ10" s="217"/>
      <c r="CK10" s="217"/>
      <c r="CL10" s="211"/>
      <c r="CM10" s="213"/>
      <c r="CN10" s="213"/>
      <c r="CO10" s="213"/>
      <c r="CP10" s="208"/>
      <c r="CQ10" s="217"/>
      <c r="CR10" s="217"/>
      <c r="CS10" s="217"/>
      <c r="CT10" s="211"/>
      <c r="CU10" s="213"/>
      <c r="CV10" s="213"/>
      <c r="CW10" s="213"/>
      <c r="CX10" s="208"/>
      <c r="CY10" s="217"/>
      <c r="CZ10" s="217"/>
      <c r="DA10" s="217"/>
      <c r="DB10" s="211"/>
      <c r="DC10" s="213"/>
      <c r="DD10" s="213"/>
      <c r="DE10" s="213"/>
      <c r="DF10" s="208"/>
      <c r="DG10" s="217"/>
      <c r="DH10" s="217"/>
      <c r="DI10" s="217"/>
      <c r="DJ10" s="211"/>
      <c r="DK10" s="213"/>
      <c r="DL10" s="213"/>
      <c r="DM10" s="213"/>
      <c r="DN10" s="208"/>
      <c r="DO10" s="217"/>
      <c r="DP10" s="217"/>
      <c r="DQ10" s="217"/>
      <c r="DR10" s="211"/>
      <c r="DS10" s="213"/>
      <c r="DT10" s="213"/>
      <c r="DU10" s="213"/>
      <c r="DV10" s="208"/>
      <c r="DW10" s="217"/>
      <c r="DX10" s="217"/>
      <c r="DY10" s="217"/>
      <c r="DZ10" s="211"/>
      <c r="EA10" s="213"/>
      <c r="EB10" s="213"/>
      <c r="EC10" s="213"/>
      <c r="ED10" s="208"/>
      <c r="EE10" s="217"/>
      <c r="EF10" s="217"/>
      <c r="EG10" s="217"/>
      <c r="EH10" s="211"/>
      <c r="EI10" s="213"/>
      <c r="EJ10" s="213"/>
      <c r="EK10" s="213"/>
      <c r="EL10" s="208"/>
      <c r="EM10" s="217"/>
      <c r="EN10" s="217"/>
      <c r="EO10" s="217"/>
      <c r="EP10" s="211"/>
      <c r="EQ10" s="213"/>
      <c r="ER10" s="213"/>
      <c r="ES10" s="213"/>
      <c r="ET10" s="208"/>
      <c r="EU10" s="217"/>
      <c r="EV10" s="217"/>
      <c r="EW10" s="217"/>
      <c r="EX10" s="211"/>
      <c r="EY10" s="213"/>
      <c r="EZ10" s="213"/>
      <c r="FA10" s="213"/>
      <c r="FB10" s="208"/>
      <c r="FC10" s="217"/>
      <c r="FD10" s="217"/>
      <c r="FE10" s="217"/>
      <c r="FF10" s="211"/>
      <c r="FG10" s="213"/>
      <c r="FH10" s="213"/>
      <c r="FI10" s="213"/>
      <c r="FJ10" s="208"/>
      <c r="FK10" s="217"/>
      <c r="FL10" s="217"/>
      <c r="FM10" s="217"/>
      <c r="FN10" s="211"/>
      <c r="FO10" s="213"/>
      <c r="FP10" s="213"/>
      <c r="FQ10" s="213"/>
      <c r="FR10" s="208"/>
      <c r="FS10" s="217"/>
      <c r="FT10" s="217"/>
      <c r="FU10" s="217"/>
      <c r="FV10" s="211"/>
      <c r="FW10" s="213"/>
      <c r="FX10" s="213"/>
      <c r="FY10" s="213"/>
      <c r="FZ10" s="208"/>
      <c r="GA10" s="217"/>
      <c r="GB10" s="217"/>
      <c r="GC10" s="217"/>
      <c r="GD10" s="211"/>
      <c r="GE10" s="213"/>
      <c r="GF10" s="213"/>
      <c r="GG10" s="213"/>
      <c r="GH10" s="208"/>
      <c r="GI10" s="217"/>
      <c r="GJ10" s="217"/>
      <c r="GK10" s="217"/>
      <c r="GL10" s="211"/>
      <c r="GM10" s="213"/>
      <c r="GN10" s="213"/>
      <c r="GO10" s="213"/>
      <c r="GP10" s="208"/>
      <c r="GQ10" s="217"/>
      <c r="GR10" s="217"/>
      <c r="GS10" s="217"/>
    </row>
    <row r="11" spans="1:201" s="218" customFormat="1" ht="238.5" customHeight="1" x14ac:dyDescent="0.35">
      <c r="B11" s="245">
        <v>2</v>
      </c>
      <c r="C11" s="195" t="s">
        <v>44</v>
      </c>
      <c r="D11" s="195" t="s">
        <v>622</v>
      </c>
      <c r="E11" s="246" t="s">
        <v>623</v>
      </c>
      <c r="F11" s="246" t="s">
        <v>46</v>
      </c>
      <c r="G11" s="450" t="s">
        <v>1127</v>
      </c>
      <c r="H11" s="408" t="s">
        <v>1124</v>
      </c>
      <c r="I11" s="198" t="s">
        <v>132</v>
      </c>
      <c r="J11" s="199">
        <v>0</v>
      </c>
      <c r="K11" s="200">
        <v>1</v>
      </c>
      <c r="L11" s="201">
        <v>45889</v>
      </c>
      <c r="M11" s="201"/>
      <c r="N11" s="248" t="s">
        <v>1126</v>
      </c>
      <c r="O11" s="203">
        <f ca="1">IF(N11="Aprobado con comentarios / Emitir Rev.0",TODAY()-M11,0)</f>
        <v>0</v>
      </c>
      <c r="P11" s="203">
        <f t="shared" ca="1" si="0"/>
        <v>0</v>
      </c>
      <c r="Q11" s="204">
        <f>ROUNDUP(((COUNTA(R11:GS11)/4)/2),0)</f>
        <v>0</v>
      </c>
      <c r="R11" s="205"/>
      <c r="S11" s="206"/>
      <c r="T11" s="206"/>
      <c r="U11" s="207"/>
      <c r="V11" s="208"/>
      <c r="W11" s="209"/>
      <c r="X11" s="210"/>
      <c r="Y11" s="209"/>
      <c r="Z11" s="211"/>
      <c r="AA11" s="212"/>
      <c r="AB11" s="213"/>
      <c r="AC11" s="214"/>
      <c r="AD11" s="208"/>
      <c r="AE11" s="209"/>
      <c r="AF11" s="210"/>
      <c r="AG11" s="209"/>
      <c r="AH11" s="205"/>
      <c r="AI11" s="206"/>
      <c r="AJ11" s="206"/>
      <c r="AK11" s="207"/>
      <c r="AL11" s="215"/>
      <c r="AM11" s="209"/>
      <c r="AN11" s="210"/>
      <c r="AO11" s="209"/>
      <c r="AP11" s="216"/>
      <c r="AQ11" s="212"/>
      <c r="AR11" s="213"/>
      <c r="AS11" s="214"/>
      <c r="AT11" s="208"/>
      <c r="AU11" s="209"/>
      <c r="AV11" s="210"/>
      <c r="AW11" s="217"/>
      <c r="AX11" s="211"/>
      <c r="AY11" s="213"/>
      <c r="AZ11" s="213"/>
      <c r="BA11" s="213"/>
      <c r="BB11" s="208"/>
      <c r="BC11" s="217"/>
      <c r="BD11" s="210"/>
      <c r="BE11" s="217"/>
      <c r="BF11" s="211"/>
      <c r="BG11" s="213"/>
      <c r="BH11" s="213"/>
      <c r="BI11" s="213"/>
      <c r="BJ11" s="208"/>
      <c r="BK11" s="217"/>
      <c r="BL11" s="210"/>
      <c r="BM11" s="217"/>
      <c r="BN11" s="211"/>
      <c r="BO11" s="213"/>
      <c r="BP11" s="213"/>
      <c r="BQ11" s="213"/>
      <c r="BR11" s="208"/>
      <c r="BS11" s="217"/>
      <c r="BT11" s="210"/>
      <c r="BU11" s="217"/>
      <c r="BV11" s="211"/>
      <c r="BW11" s="213"/>
      <c r="BX11" s="213"/>
      <c r="BY11" s="213"/>
      <c r="BZ11" s="208"/>
      <c r="CA11" s="217"/>
      <c r="CB11" s="217"/>
      <c r="CC11" s="217"/>
      <c r="CD11" s="211"/>
      <c r="CE11" s="213"/>
      <c r="CF11" s="213"/>
      <c r="CG11" s="213"/>
      <c r="CH11" s="208"/>
      <c r="CI11" s="217"/>
      <c r="CJ11" s="217"/>
      <c r="CK11" s="217"/>
      <c r="CL11" s="211"/>
      <c r="CM11" s="213"/>
      <c r="CN11" s="213"/>
      <c r="CO11" s="213"/>
      <c r="CP11" s="208"/>
      <c r="CQ11" s="217"/>
      <c r="CR11" s="217"/>
      <c r="CS11" s="217"/>
      <c r="CT11" s="211"/>
      <c r="CU11" s="213"/>
      <c r="CV11" s="213"/>
      <c r="CW11" s="213"/>
      <c r="CX11" s="208"/>
      <c r="CY11" s="217"/>
      <c r="CZ11" s="217"/>
      <c r="DA11" s="217"/>
      <c r="DB11" s="211"/>
      <c r="DC11" s="213"/>
      <c r="DD11" s="213"/>
      <c r="DE11" s="213"/>
      <c r="DF11" s="208"/>
      <c r="DG11" s="217"/>
      <c r="DH11" s="217"/>
      <c r="DI11" s="217"/>
      <c r="DJ11" s="211"/>
      <c r="DK11" s="213"/>
      <c r="DL11" s="213"/>
      <c r="DM11" s="213"/>
      <c r="DN11" s="208"/>
      <c r="DO11" s="217"/>
      <c r="DP11" s="217"/>
      <c r="DQ11" s="217"/>
      <c r="DR11" s="211"/>
      <c r="DS11" s="213"/>
      <c r="DT11" s="213"/>
      <c r="DU11" s="213"/>
      <c r="DV11" s="208"/>
      <c r="DW11" s="217"/>
      <c r="DX11" s="217"/>
      <c r="DY11" s="217"/>
      <c r="DZ11" s="211"/>
      <c r="EA11" s="213"/>
      <c r="EB11" s="213"/>
      <c r="EC11" s="213"/>
      <c r="ED11" s="208"/>
      <c r="EE11" s="217"/>
      <c r="EF11" s="217"/>
      <c r="EG11" s="217"/>
      <c r="EH11" s="211"/>
      <c r="EI11" s="213"/>
      <c r="EJ11" s="213"/>
      <c r="EK11" s="213"/>
      <c r="EL11" s="208"/>
      <c r="EM11" s="217"/>
      <c r="EN11" s="217"/>
      <c r="EO11" s="217"/>
      <c r="EP11" s="211"/>
      <c r="EQ11" s="213"/>
      <c r="ER11" s="213"/>
      <c r="ES11" s="213"/>
      <c r="ET11" s="208"/>
      <c r="EU11" s="217"/>
      <c r="EV11" s="217"/>
      <c r="EW11" s="217"/>
      <c r="EX11" s="211"/>
      <c r="EY11" s="213"/>
      <c r="EZ11" s="213"/>
      <c r="FA11" s="213"/>
      <c r="FB11" s="208"/>
      <c r="FC11" s="217"/>
      <c r="FD11" s="217"/>
      <c r="FE11" s="217"/>
      <c r="FF11" s="211"/>
      <c r="FG11" s="213"/>
      <c r="FH11" s="213"/>
      <c r="FI11" s="213"/>
      <c r="FJ11" s="208"/>
      <c r="FK11" s="217"/>
      <c r="FL11" s="217"/>
      <c r="FM11" s="217"/>
      <c r="FN11" s="211"/>
      <c r="FO11" s="213"/>
      <c r="FP11" s="213"/>
      <c r="FQ11" s="213"/>
      <c r="FR11" s="208"/>
      <c r="FS11" s="217"/>
      <c r="FT11" s="217"/>
      <c r="FU11" s="217"/>
      <c r="FV11" s="211"/>
      <c r="FW11" s="213"/>
      <c r="FX11" s="213"/>
      <c r="FY11" s="213"/>
      <c r="FZ11" s="208"/>
      <c r="GA11" s="217"/>
      <c r="GB11" s="217"/>
      <c r="GC11" s="217"/>
      <c r="GD11" s="211"/>
      <c r="GE11" s="213"/>
      <c r="GF11" s="213"/>
      <c r="GG11" s="213"/>
      <c r="GH11" s="208"/>
      <c r="GI11" s="217"/>
      <c r="GJ11" s="217"/>
      <c r="GK11" s="217"/>
      <c r="GL11" s="211"/>
      <c r="GM11" s="213"/>
      <c r="GN11" s="213"/>
      <c r="GO11" s="213"/>
      <c r="GP11" s="208"/>
      <c r="GQ11" s="217"/>
      <c r="GR11" s="217"/>
      <c r="GS11" s="217"/>
    </row>
    <row r="12" spans="1:201" s="218" customFormat="1" ht="205" customHeight="1" x14ac:dyDescent="0.35">
      <c r="B12" s="245">
        <v>3</v>
      </c>
      <c r="C12" s="195" t="s">
        <v>44</v>
      </c>
      <c r="D12" s="195" t="s">
        <v>1128</v>
      </c>
      <c r="E12" s="246" t="s">
        <v>46</v>
      </c>
      <c r="F12" s="246" t="s">
        <v>46</v>
      </c>
      <c r="G12" s="247" t="s">
        <v>1129</v>
      </c>
      <c r="H12" s="408" t="s">
        <v>1124</v>
      </c>
      <c r="I12" s="198" t="s">
        <v>132</v>
      </c>
      <c r="J12" s="199" t="s">
        <v>125</v>
      </c>
      <c r="K12" s="200">
        <v>1</v>
      </c>
      <c r="L12" s="201">
        <v>45889</v>
      </c>
      <c r="M12" s="201"/>
      <c r="N12" s="248" t="s">
        <v>1126</v>
      </c>
      <c r="O12" s="203">
        <f ca="1">IF(N12="Aprobado con comentarios / Emitir Rev.0",TODAY()-M12,0)</f>
        <v>0</v>
      </c>
      <c r="P12" s="203">
        <f t="shared" ca="1" si="0"/>
        <v>0</v>
      </c>
      <c r="Q12" s="204">
        <f>ROUNDUP(((COUNTA(R12:GS12)/4)/2),0)</f>
        <v>0</v>
      </c>
      <c r="R12" s="205"/>
      <c r="S12" s="206"/>
      <c r="T12" s="206"/>
      <c r="U12" s="207"/>
      <c r="V12" s="208"/>
      <c r="W12" s="209"/>
      <c r="X12" s="210"/>
      <c r="Y12" s="209"/>
      <c r="Z12" s="211"/>
      <c r="AA12" s="213"/>
      <c r="AB12" s="213"/>
      <c r="AC12" s="214"/>
      <c r="AD12" s="208"/>
      <c r="AE12" s="209"/>
      <c r="AF12" s="210"/>
      <c r="AG12" s="209"/>
      <c r="AH12" s="211"/>
      <c r="AI12" s="213"/>
      <c r="AJ12" s="213"/>
      <c r="AK12" s="214"/>
      <c r="AL12" s="208"/>
      <c r="AM12" s="209"/>
      <c r="AN12" s="210"/>
      <c r="AO12" s="217"/>
      <c r="AP12" s="211"/>
      <c r="AQ12" s="213"/>
      <c r="AR12" s="213"/>
      <c r="AS12" s="214"/>
      <c r="AT12" s="208"/>
      <c r="AU12" s="217"/>
      <c r="AV12" s="210"/>
      <c r="AW12" s="217"/>
      <c r="AX12" s="211"/>
      <c r="AY12" s="213"/>
      <c r="AZ12" s="213"/>
      <c r="BA12" s="213"/>
      <c r="BB12" s="208"/>
      <c r="BC12" s="217"/>
      <c r="BD12" s="210"/>
      <c r="BE12" s="217"/>
      <c r="BF12" s="211"/>
      <c r="BG12" s="213"/>
      <c r="BH12" s="213"/>
      <c r="BI12" s="213"/>
      <c r="BJ12" s="208"/>
      <c r="BK12" s="217"/>
      <c r="BL12" s="210"/>
      <c r="BM12" s="217"/>
      <c r="BN12" s="211"/>
      <c r="BO12" s="213"/>
      <c r="BP12" s="213"/>
      <c r="BQ12" s="213"/>
      <c r="BR12" s="208"/>
      <c r="BS12" s="217"/>
      <c r="BT12" s="210"/>
      <c r="BU12" s="217"/>
      <c r="BV12" s="211"/>
      <c r="BW12" s="213"/>
      <c r="BX12" s="213"/>
      <c r="BY12" s="213"/>
      <c r="BZ12" s="208"/>
      <c r="CA12" s="217"/>
      <c r="CB12" s="217"/>
      <c r="CC12" s="217"/>
      <c r="CD12" s="211"/>
      <c r="CE12" s="213"/>
      <c r="CF12" s="213"/>
      <c r="CG12" s="213"/>
      <c r="CH12" s="208"/>
      <c r="CI12" s="217"/>
      <c r="CJ12" s="217"/>
      <c r="CK12" s="217"/>
      <c r="CL12" s="211"/>
      <c r="CM12" s="213"/>
      <c r="CN12" s="213"/>
      <c r="CO12" s="213"/>
      <c r="CP12" s="208"/>
      <c r="CQ12" s="217"/>
      <c r="CR12" s="217"/>
      <c r="CS12" s="217"/>
      <c r="CT12" s="211"/>
      <c r="CU12" s="213"/>
      <c r="CV12" s="213"/>
      <c r="CW12" s="213"/>
      <c r="CX12" s="208"/>
      <c r="CY12" s="217"/>
      <c r="CZ12" s="217"/>
      <c r="DA12" s="217"/>
      <c r="DB12" s="211"/>
      <c r="DC12" s="213"/>
      <c r="DD12" s="213"/>
      <c r="DE12" s="213"/>
      <c r="DF12" s="208"/>
      <c r="DG12" s="217"/>
      <c r="DH12" s="217"/>
      <c r="DI12" s="217"/>
      <c r="DJ12" s="211"/>
      <c r="DK12" s="213"/>
      <c r="DL12" s="213"/>
      <c r="DM12" s="213"/>
      <c r="DN12" s="208"/>
      <c r="DO12" s="217"/>
      <c r="DP12" s="217"/>
      <c r="DQ12" s="217"/>
      <c r="DR12" s="211"/>
      <c r="DS12" s="213"/>
      <c r="DT12" s="213"/>
      <c r="DU12" s="213"/>
      <c r="DV12" s="208"/>
      <c r="DW12" s="217"/>
      <c r="DX12" s="217"/>
      <c r="DY12" s="217"/>
      <c r="DZ12" s="211"/>
      <c r="EA12" s="213"/>
      <c r="EB12" s="213"/>
      <c r="EC12" s="213"/>
      <c r="ED12" s="208"/>
      <c r="EE12" s="217"/>
      <c r="EF12" s="217"/>
      <c r="EG12" s="217"/>
      <c r="EH12" s="211"/>
      <c r="EI12" s="213"/>
      <c r="EJ12" s="213"/>
      <c r="EK12" s="213"/>
      <c r="EL12" s="208"/>
      <c r="EM12" s="217"/>
      <c r="EN12" s="217"/>
      <c r="EO12" s="217"/>
      <c r="EP12" s="211"/>
      <c r="EQ12" s="213"/>
      <c r="ER12" s="213"/>
      <c r="ES12" s="213"/>
      <c r="ET12" s="208"/>
      <c r="EU12" s="217"/>
      <c r="EV12" s="217"/>
      <c r="EW12" s="217"/>
      <c r="EX12" s="211"/>
      <c r="EY12" s="213"/>
      <c r="EZ12" s="213"/>
      <c r="FA12" s="213"/>
      <c r="FB12" s="208"/>
      <c r="FC12" s="217"/>
      <c r="FD12" s="217"/>
      <c r="FE12" s="217"/>
      <c r="FF12" s="211"/>
      <c r="FG12" s="213"/>
      <c r="FH12" s="213"/>
      <c r="FI12" s="213"/>
      <c r="FJ12" s="208"/>
      <c r="FK12" s="217"/>
      <c r="FL12" s="217"/>
      <c r="FM12" s="217"/>
      <c r="FN12" s="211"/>
      <c r="FO12" s="213"/>
      <c r="FP12" s="213"/>
      <c r="FQ12" s="213"/>
      <c r="FR12" s="208"/>
      <c r="FS12" s="217"/>
      <c r="FT12" s="217"/>
      <c r="FU12" s="217"/>
      <c r="FV12" s="211"/>
      <c r="FW12" s="213"/>
      <c r="FX12" s="213"/>
      <c r="FY12" s="213"/>
      <c r="FZ12" s="208"/>
      <c r="GA12" s="217"/>
      <c r="GB12" s="217"/>
      <c r="GC12" s="217"/>
      <c r="GD12" s="211"/>
      <c r="GE12" s="213"/>
      <c r="GF12" s="213"/>
      <c r="GG12" s="213"/>
      <c r="GH12" s="208"/>
      <c r="GI12" s="217"/>
      <c r="GJ12" s="217"/>
      <c r="GK12" s="217"/>
      <c r="GL12" s="211"/>
      <c r="GM12" s="213"/>
      <c r="GN12" s="213"/>
      <c r="GO12" s="213"/>
      <c r="GP12" s="208"/>
      <c r="GQ12" s="217"/>
      <c r="GR12" s="217"/>
      <c r="GS12" s="217"/>
    </row>
    <row r="13" spans="1:201" s="218" customFormat="1" ht="409.6" customHeight="1" x14ac:dyDescent="0.35">
      <c r="B13" s="245">
        <v>4</v>
      </c>
      <c r="C13" s="194" t="s">
        <v>44</v>
      </c>
      <c r="D13" s="195" t="s">
        <v>46</v>
      </c>
      <c r="E13" s="246" t="s">
        <v>46</v>
      </c>
      <c r="F13" s="246" t="s">
        <v>46</v>
      </c>
      <c r="G13" s="450" t="s">
        <v>1130</v>
      </c>
      <c r="H13" s="454" t="s">
        <v>1131</v>
      </c>
      <c r="I13" s="198" t="s">
        <v>132</v>
      </c>
      <c r="J13" s="199" t="s">
        <v>62</v>
      </c>
      <c r="K13" s="268" t="s">
        <v>1132</v>
      </c>
      <c r="L13" s="201">
        <v>45910</v>
      </c>
      <c r="M13" s="201"/>
      <c r="N13" s="202" t="s">
        <v>1126</v>
      </c>
      <c r="O13" s="203">
        <f ca="1">IF(N13="Aprobado / Emitir Rev.0",TODAY()-M13,0)</f>
        <v>0</v>
      </c>
      <c r="P13" s="203">
        <f t="shared" ca="1" si="0"/>
        <v>0</v>
      </c>
      <c r="Q13" s="204">
        <f>ROUNDUP(((COUNTA(R13:GS13)/4)/2),0)</f>
        <v>0</v>
      </c>
      <c r="R13" s="205"/>
      <c r="S13" s="206"/>
      <c r="T13" s="206"/>
      <c r="U13" s="207"/>
      <c r="V13" s="208"/>
      <c r="W13" s="209"/>
      <c r="X13" s="210"/>
      <c r="Y13" s="209"/>
      <c r="Z13" s="211"/>
      <c r="AA13" s="212"/>
      <c r="AB13" s="213"/>
      <c r="AC13" s="207"/>
      <c r="AD13" s="208"/>
      <c r="AE13" s="209"/>
      <c r="AF13" s="210"/>
      <c r="AG13" s="209"/>
      <c r="AH13" s="211"/>
      <c r="AI13" s="212"/>
      <c r="AJ13" s="213"/>
      <c r="AK13" s="214"/>
      <c r="AL13" s="215"/>
      <c r="AM13" s="209"/>
      <c r="AN13" s="210"/>
      <c r="AO13" s="209"/>
      <c r="AP13" s="216"/>
      <c r="AQ13" s="212"/>
      <c r="AR13" s="213"/>
      <c r="AS13" s="214"/>
      <c r="AT13" s="208"/>
      <c r="AU13" s="209"/>
      <c r="AV13" s="210"/>
      <c r="AW13" s="217"/>
      <c r="AX13" s="211"/>
      <c r="AY13" s="213"/>
      <c r="AZ13" s="213"/>
      <c r="BA13" s="213"/>
      <c r="BB13" s="208"/>
      <c r="BC13" s="217"/>
      <c r="BD13" s="210"/>
      <c r="BE13" s="217"/>
      <c r="BF13" s="211"/>
      <c r="BG13" s="213"/>
      <c r="BH13" s="213"/>
      <c r="BI13" s="213"/>
      <c r="BJ13" s="208"/>
      <c r="BK13" s="217"/>
      <c r="BL13" s="210"/>
      <c r="BM13" s="217"/>
      <c r="BN13" s="211"/>
      <c r="BO13" s="213"/>
      <c r="BP13" s="213"/>
      <c r="BQ13" s="213"/>
      <c r="BR13" s="208"/>
      <c r="BS13" s="217"/>
      <c r="BT13" s="210"/>
      <c r="BU13" s="217"/>
      <c r="BV13" s="211"/>
      <c r="BW13" s="213"/>
      <c r="BX13" s="213"/>
      <c r="BY13" s="213"/>
      <c r="BZ13" s="208"/>
      <c r="CA13" s="217"/>
      <c r="CB13" s="217"/>
      <c r="CC13" s="217"/>
      <c r="CD13" s="211"/>
      <c r="CE13" s="213"/>
      <c r="CF13" s="213"/>
      <c r="CG13" s="213"/>
      <c r="CH13" s="208"/>
      <c r="CI13" s="217"/>
      <c r="CJ13" s="217"/>
      <c r="CK13" s="217"/>
      <c r="CL13" s="211"/>
      <c r="CM13" s="213"/>
      <c r="CN13" s="213"/>
      <c r="CO13" s="213"/>
      <c r="CP13" s="208"/>
      <c r="CQ13" s="217"/>
      <c r="CR13" s="217"/>
      <c r="CS13" s="217"/>
      <c r="CT13" s="211"/>
      <c r="CU13" s="213"/>
      <c r="CV13" s="213"/>
      <c r="CW13" s="213"/>
      <c r="CX13" s="208"/>
      <c r="CY13" s="217"/>
      <c r="CZ13" s="217"/>
      <c r="DA13" s="217"/>
      <c r="DB13" s="211"/>
      <c r="DC13" s="213"/>
      <c r="DD13" s="213"/>
      <c r="DE13" s="213"/>
      <c r="DF13" s="208"/>
      <c r="DG13" s="217"/>
      <c r="DH13" s="217"/>
      <c r="DI13" s="217"/>
      <c r="DJ13" s="211"/>
      <c r="DK13" s="213"/>
      <c r="DL13" s="213"/>
      <c r="DM13" s="213"/>
      <c r="DN13" s="208"/>
      <c r="DO13" s="217"/>
      <c r="DP13" s="217"/>
      <c r="DQ13" s="217"/>
      <c r="DR13" s="211"/>
      <c r="DS13" s="213"/>
      <c r="DT13" s="213"/>
      <c r="DU13" s="213"/>
      <c r="DV13" s="208"/>
      <c r="DW13" s="217"/>
      <c r="DX13" s="217"/>
      <c r="DY13" s="217"/>
      <c r="DZ13" s="211"/>
      <c r="EA13" s="213"/>
      <c r="EB13" s="213"/>
      <c r="EC13" s="213"/>
      <c r="ED13" s="208"/>
      <c r="EE13" s="217"/>
      <c r="EF13" s="217"/>
      <c r="EG13" s="217"/>
      <c r="EH13" s="211"/>
      <c r="EI13" s="213"/>
      <c r="EJ13" s="213"/>
      <c r="EK13" s="213"/>
      <c r="EL13" s="208"/>
      <c r="EM13" s="217"/>
      <c r="EN13" s="217"/>
      <c r="EO13" s="217"/>
      <c r="EP13" s="211"/>
      <c r="EQ13" s="213"/>
      <c r="ER13" s="213"/>
      <c r="ES13" s="213"/>
      <c r="ET13" s="208"/>
      <c r="EU13" s="217"/>
      <c r="EV13" s="217"/>
      <c r="EW13" s="217"/>
      <c r="EX13" s="211"/>
      <c r="EY13" s="213"/>
      <c r="EZ13" s="213"/>
      <c r="FA13" s="213"/>
      <c r="FB13" s="208"/>
      <c r="FC13" s="217"/>
      <c r="FD13" s="217"/>
      <c r="FE13" s="217"/>
      <c r="FF13" s="211"/>
      <c r="FG13" s="213"/>
      <c r="FH13" s="213"/>
      <c r="FI13" s="213"/>
      <c r="FJ13" s="208"/>
      <c r="FK13" s="217"/>
      <c r="FL13" s="217"/>
      <c r="FM13" s="217"/>
      <c r="FN13" s="211"/>
      <c r="FO13" s="213"/>
      <c r="FP13" s="213"/>
      <c r="FQ13" s="213"/>
      <c r="FR13" s="208"/>
      <c r="FS13" s="217"/>
      <c r="FT13" s="217"/>
      <c r="FU13" s="217"/>
      <c r="FV13" s="211"/>
      <c r="FW13" s="213"/>
      <c r="FX13" s="213"/>
      <c r="FY13" s="213"/>
      <c r="FZ13" s="208"/>
      <c r="GA13" s="217"/>
      <c r="GB13" s="217"/>
      <c r="GC13" s="217"/>
      <c r="GD13" s="211"/>
      <c r="GE13" s="213"/>
      <c r="GF13" s="213"/>
      <c r="GG13" s="213"/>
      <c r="GH13" s="208"/>
      <c r="GI13" s="217"/>
      <c r="GJ13" s="217"/>
      <c r="GK13" s="217"/>
      <c r="GL13" s="211"/>
      <c r="GM13" s="213"/>
      <c r="GN13" s="213"/>
      <c r="GO13" s="213"/>
      <c r="GP13" s="208"/>
      <c r="GQ13" s="217"/>
      <c r="GR13" s="217"/>
      <c r="GS13" s="217"/>
    </row>
    <row r="14" spans="1:201" s="218" customFormat="1" ht="400" customHeight="1" x14ac:dyDescent="0.35">
      <c r="B14" s="245">
        <v>5</v>
      </c>
      <c r="C14" s="195"/>
      <c r="D14" s="195"/>
      <c r="E14" s="246"/>
      <c r="F14" s="246"/>
      <c r="G14" s="196"/>
      <c r="H14" s="278"/>
      <c r="I14" s="198"/>
      <c r="J14" s="199"/>
      <c r="K14" s="200"/>
      <c r="L14" s="201"/>
      <c r="M14" s="201"/>
      <c r="N14" s="202"/>
      <c r="O14" s="203">
        <f ca="1">IF(N14="Aprobado con comentarios / Emitir Rev.0",TODAY()-M14,0)</f>
        <v>0</v>
      </c>
      <c r="P14" s="203">
        <f t="shared" ca="1" si="0"/>
        <v>0</v>
      </c>
      <c r="Q14" s="204">
        <v>0</v>
      </c>
      <c r="R14" s="205"/>
      <c r="S14" s="206"/>
      <c r="T14" s="206"/>
      <c r="U14" s="207"/>
      <c r="V14" s="208"/>
      <c r="W14" s="209"/>
      <c r="X14" s="210"/>
      <c r="Y14" s="209"/>
      <c r="Z14" s="211"/>
      <c r="AA14" s="212"/>
      <c r="AB14" s="213"/>
      <c r="AC14" s="214"/>
      <c r="AD14" s="208"/>
      <c r="AE14" s="209"/>
      <c r="AF14" s="210"/>
      <c r="AG14" s="209"/>
      <c r="AH14" s="205"/>
      <c r="AI14" s="206"/>
      <c r="AJ14" s="206"/>
      <c r="AK14" s="207"/>
      <c r="AL14" s="215"/>
      <c r="AM14" s="209"/>
      <c r="AN14" s="210"/>
      <c r="AO14" s="209"/>
      <c r="AP14" s="216"/>
      <c r="AQ14" s="212"/>
      <c r="AR14" s="213"/>
      <c r="AS14" s="214"/>
      <c r="AT14" s="208"/>
      <c r="AU14" s="209"/>
      <c r="AV14" s="210"/>
      <c r="AW14" s="217"/>
      <c r="AX14" s="211"/>
      <c r="AY14" s="213"/>
      <c r="AZ14" s="213"/>
      <c r="BA14" s="213"/>
      <c r="BB14" s="208"/>
      <c r="BC14" s="217"/>
      <c r="BD14" s="210"/>
      <c r="BE14" s="217"/>
      <c r="BF14" s="211"/>
      <c r="BG14" s="213"/>
      <c r="BH14" s="213"/>
      <c r="BI14" s="213"/>
      <c r="BJ14" s="208"/>
      <c r="BK14" s="217"/>
      <c r="BL14" s="210"/>
      <c r="BM14" s="217"/>
      <c r="BN14" s="211"/>
      <c r="BO14" s="213"/>
      <c r="BP14" s="213"/>
      <c r="BQ14" s="213"/>
      <c r="BR14" s="208"/>
      <c r="BS14" s="217"/>
      <c r="BT14" s="210"/>
      <c r="BU14" s="217"/>
      <c r="BV14" s="211"/>
      <c r="BW14" s="213"/>
      <c r="BX14" s="213"/>
      <c r="BY14" s="213"/>
      <c r="BZ14" s="208"/>
      <c r="CA14" s="217"/>
      <c r="CB14" s="217"/>
      <c r="CC14" s="217"/>
      <c r="CD14" s="211"/>
      <c r="CE14" s="213"/>
      <c r="CF14" s="213"/>
      <c r="CG14" s="213"/>
      <c r="CH14" s="208"/>
      <c r="CI14" s="217"/>
      <c r="CJ14" s="217"/>
      <c r="CK14" s="217"/>
      <c r="CL14" s="211"/>
      <c r="CM14" s="213"/>
      <c r="CN14" s="213"/>
      <c r="CO14" s="213"/>
      <c r="CP14" s="208"/>
      <c r="CQ14" s="217"/>
      <c r="CR14" s="217"/>
      <c r="CS14" s="217"/>
      <c r="CT14" s="211"/>
      <c r="CU14" s="213"/>
      <c r="CV14" s="213"/>
      <c r="CW14" s="213"/>
      <c r="CX14" s="208"/>
      <c r="CY14" s="217"/>
      <c r="CZ14" s="217"/>
      <c r="DA14" s="217"/>
      <c r="DB14" s="211"/>
      <c r="DC14" s="213"/>
      <c r="DD14" s="213"/>
      <c r="DE14" s="213"/>
      <c r="DF14" s="208"/>
      <c r="DG14" s="217"/>
      <c r="DH14" s="217"/>
      <c r="DI14" s="217"/>
      <c r="DJ14" s="211"/>
      <c r="DK14" s="213"/>
      <c r="DL14" s="213"/>
      <c r="DM14" s="213"/>
      <c r="DN14" s="208"/>
      <c r="DO14" s="217"/>
      <c r="DP14" s="217"/>
      <c r="DQ14" s="217"/>
      <c r="DR14" s="211"/>
      <c r="DS14" s="213"/>
      <c r="DT14" s="213"/>
      <c r="DU14" s="213"/>
      <c r="DV14" s="208"/>
      <c r="DW14" s="217"/>
      <c r="DX14" s="217"/>
      <c r="DY14" s="217"/>
      <c r="DZ14" s="211"/>
      <c r="EA14" s="213"/>
      <c r="EB14" s="213"/>
      <c r="EC14" s="213"/>
      <c r="ED14" s="208"/>
      <c r="EE14" s="217"/>
      <c r="EF14" s="217"/>
      <c r="EG14" s="217"/>
      <c r="EH14" s="211"/>
      <c r="EI14" s="213"/>
      <c r="EJ14" s="213"/>
      <c r="EK14" s="213"/>
      <c r="EL14" s="208"/>
      <c r="EM14" s="217"/>
      <c r="EN14" s="217"/>
      <c r="EO14" s="217"/>
      <c r="EP14" s="211"/>
      <c r="EQ14" s="213"/>
      <c r="ER14" s="213"/>
      <c r="ES14" s="213"/>
      <c r="ET14" s="208"/>
      <c r="EU14" s="217"/>
      <c r="EV14" s="217"/>
      <c r="EW14" s="217"/>
      <c r="EX14" s="211"/>
      <c r="EY14" s="213"/>
      <c r="EZ14" s="213"/>
      <c r="FA14" s="213"/>
      <c r="FB14" s="208"/>
      <c r="FC14" s="217"/>
      <c r="FD14" s="217"/>
      <c r="FE14" s="217"/>
      <c r="FF14" s="211"/>
      <c r="FG14" s="213"/>
      <c r="FH14" s="213"/>
      <c r="FI14" s="213"/>
      <c r="FJ14" s="208"/>
      <c r="FK14" s="217"/>
      <c r="FL14" s="217"/>
      <c r="FM14" s="217"/>
      <c r="FN14" s="211"/>
      <c r="FO14" s="213"/>
      <c r="FP14" s="213"/>
      <c r="FQ14" s="213"/>
      <c r="FR14" s="208"/>
      <c r="FS14" s="217"/>
      <c r="FT14" s="217"/>
      <c r="FU14" s="217"/>
      <c r="FV14" s="211"/>
      <c r="FW14" s="213"/>
      <c r="FX14" s="213"/>
      <c r="FY14" s="213"/>
      <c r="FZ14" s="208"/>
      <c r="GA14" s="217"/>
      <c r="GB14" s="217"/>
      <c r="GC14" s="217"/>
      <c r="GD14" s="211"/>
      <c r="GE14" s="213"/>
      <c r="GF14" s="213"/>
      <c r="GG14" s="213"/>
      <c r="GH14" s="208"/>
      <c r="GI14" s="217"/>
      <c r="GJ14" s="217"/>
      <c r="GK14" s="217"/>
      <c r="GL14" s="211"/>
      <c r="GM14" s="213"/>
      <c r="GN14" s="213"/>
      <c r="GO14" s="213"/>
      <c r="GP14" s="208"/>
      <c r="GQ14" s="217"/>
      <c r="GR14" s="217"/>
      <c r="GS14" s="217"/>
    </row>
    <row r="15" spans="1:201" s="294" customFormat="1" ht="205" customHeight="1" x14ac:dyDescent="0.35">
      <c r="B15" s="245">
        <v>6</v>
      </c>
      <c r="C15" s="270"/>
      <c r="D15" s="270"/>
      <c r="E15" s="271"/>
      <c r="F15" s="271"/>
      <c r="G15" s="272"/>
      <c r="H15" s="279"/>
      <c r="I15" s="295"/>
      <c r="J15" s="296"/>
      <c r="K15" s="297"/>
      <c r="L15" s="298"/>
      <c r="M15" s="298"/>
      <c r="N15" s="299"/>
      <c r="O15" s="300">
        <f ca="1">IF(N15="Aprobado con comentarios / Emitir Rev.0",TODAY()-M15,0)</f>
        <v>0</v>
      </c>
      <c r="P15" s="300">
        <f t="shared" ca="1" si="0"/>
        <v>0</v>
      </c>
      <c r="Q15" s="301">
        <v>0</v>
      </c>
      <c r="R15" s="302"/>
      <c r="S15" s="303"/>
      <c r="T15" s="303"/>
      <c r="U15" s="304"/>
      <c r="V15" s="305"/>
      <c r="W15" s="306"/>
      <c r="X15" s="307"/>
      <c r="Y15" s="306"/>
      <c r="Z15" s="308"/>
      <c r="AA15" s="309"/>
      <c r="AB15" s="310"/>
      <c r="AC15" s="311"/>
      <c r="AD15" s="305"/>
      <c r="AE15" s="306"/>
      <c r="AF15" s="307"/>
      <c r="AG15" s="306"/>
      <c r="AH15" s="302"/>
      <c r="AI15" s="303"/>
      <c r="AJ15" s="303"/>
      <c r="AK15" s="304"/>
      <c r="AL15" s="312"/>
      <c r="AM15" s="306"/>
      <c r="AN15" s="307"/>
      <c r="AO15" s="306"/>
      <c r="AP15" s="313"/>
      <c r="AQ15" s="309"/>
      <c r="AR15" s="310"/>
      <c r="AS15" s="311"/>
      <c r="AT15" s="305"/>
      <c r="AU15" s="306"/>
      <c r="AV15" s="307"/>
      <c r="AW15" s="314"/>
      <c r="AX15" s="308"/>
      <c r="AY15" s="310"/>
      <c r="AZ15" s="310"/>
      <c r="BA15" s="310"/>
      <c r="BB15" s="305"/>
      <c r="BC15" s="314"/>
      <c r="BD15" s="307"/>
      <c r="BE15" s="314"/>
      <c r="BF15" s="308"/>
      <c r="BG15" s="310"/>
      <c r="BH15" s="310"/>
      <c r="BI15" s="310"/>
      <c r="BJ15" s="305"/>
      <c r="BK15" s="314"/>
      <c r="BL15" s="307"/>
      <c r="BM15" s="314"/>
      <c r="BN15" s="308"/>
      <c r="BO15" s="310"/>
      <c r="BP15" s="310"/>
      <c r="BQ15" s="310"/>
      <c r="BR15" s="305"/>
      <c r="BS15" s="314"/>
      <c r="BT15" s="307"/>
      <c r="BU15" s="314"/>
      <c r="BV15" s="308"/>
      <c r="BW15" s="310"/>
      <c r="BX15" s="310"/>
      <c r="BY15" s="310"/>
      <c r="BZ15" s="305"/>
      <c r="CA15" s="314"/>
      <c r="CB15" s="314"/>
      <c r="CC15" s="314"/>
      <c r="CD15" s="308"/>
      <c r="CE15" s="310"/>
      <c r="CF15" s="310"/>
      <c r="CG15" s="310"/>
      <c r="CH15" s="305"/>
      <c r="CI15" s="314"/>
      <c r="CJ15" s="314"/>
      <c r="CK15" s="314"/>
      <c r="CL15" s="308"/>
      <c r="CM15" s="310"/>
      <c r="CN15" s="310"/>
      <c r="CO15" s="310"/>
      <c r="CP15" s="305"/>
      <c r="CQ15" s="314"/>
      <c r="CR15" s="314"/>
      <c r="CS15" s="314"/>
      <c r="CT15" s="308"/>
      <c r="CU15" s="310"/>
      <c r="CV15" s="310"/>
      <c r="CW15" s="310"/>
      <c r="CX15" s="305"/>
      <c r="CY15" s="314"/>
      <c r="CZ15" s="314"/>
      <c r="DA15" s="314"/>
      <c r="DB15" s="308"/>
      <c r="DC15" s="310"/>
      <c r="DD15" s="310"/>
      <c r="DE15" s="310"/>
      <c r="DF15" s="305"/>
      <c r="DG15" s="314"/>
      <c r="DH15" s="314"/>
      <c r="DI15" s="314"/>
      <c r="DJ15" s="308"/>
      <c r="DK15" s="310"/>
      <c r="DL15" s="310"/>
      <c r="DM15" s="310"/>
      <c r="DN15" s="305"/>
      <c r="DO15" s="314"/>
      <c r="DP15" s="314"/>
      <c r="DQ15" s="314"/>
      <c r="DR15" s="308"/>
      <c r="DS15" s="310"/>
      <c r="DT15" s="310"/>
      <c r="DU15" s="310"/>
      <c r="DV15" s="305"/>
      <c r="DW15" s="314"/>
      <c r="DX15" s="314"/>
      <c r="DY15" s="314"/>
      <c r="DZ15" s="308"/>
      <c r="EA15" s="310"/>
      <c r="EB15" s="310"/>
      <c r="EC15" s="310"/>
      <c r="ED15" s="305"/>
      <c r="EE15" s="314"/>
      <c r="EF15" s="314"/>
      <c r="EG15" s="314"/>
      <c r="EH15" s="308"/>
      <c r="EI15" s="310"/>
      <c r="EJ15" s="310"/>
      <c r="EK15" s="310"/>
      <c r="EL15" s="305"/>
      <c r="EM15" s="314"/>
      <c r="EN15" s="314"/>
      <c r="EO15" s="314"/>
      <c r="EP15" s="308"/>
      <c r="EQ15" s="310"/>
      <c r="ER15" s="310"/>
      <c r="ES15" s="310"/>
      <c r="ET15" s="305"/>
      <c r="EU15" s="314"/>
      <c r="EV15" s="314"/>
      <c r="EW15" s="314"/>
      <c r="EX15" s="308"/>
      <c r="EY15" s="310"/>
      <c r="EZ15" s="310"/>
      <c r="FA15" s="310"/>
      <c r="FB15" s="305"/>
      <c r="FC15" s="314"/>
      <c r="FD15" s="314"/>
      <c r="FE15" s="314"/>
      <c r="FF15" s="308"/>
      <c r="FG15" s="310"/>
      <c r="FH15" s="310"/>
      <c r="FI15" s="310"/>
      <c r="FJ15" s="305"/>
      <c r="FK15" s="314"/>
      <c r="FL15" s="314"/>
      <c r="FM15" s="314"/>
      <c r="FN15" s="308"/>
      <c r="FO15" s="310"/>
      <c r="FP15" s="310"/>
      <c r="FQ15" s="310"/>
      <c r="FR15" s="305"/>
      <c r="FS15" s="314"/>
      <c r="FT15" s="314"/>
      <c r="FU15" s="314"/>
      <c r="FV15" s="308"/>
      <c r="FW15" s="310"/>
      <c r="FX15" s="310"/>
      <c r="FY15" s="310"/>
      <c r="FZ15" s="305"/>
      <c r="GA15" s="314"/>
      <c r="GB15" s="314"/>
      <c r="GC15" s="314"/>
      <c r="GD15" s="308"/>
      <c r="GE15" s="310"/>
      <c r="GF15" s="310"/>
      <c r="GG15" s="310"/>
      <c r="GH15" s="305"/>
      <c r="GI15" s="314"/>
      <c r="GJ15" s="314"/>
      <c r="GK15" s="314"/>
      <c r="GL15" s="308"/>
      <c r="GM15" s="310"/>
      <c r="GN15" s="310"/>
      <c r="GO15" s="310"/>
      <c r="GP15" s="305"/>
      <c r="GQ15" s="314"/>
      <c r="GR15" s="314"/>
      <c r="GS15" s="314"/>
    </row>
    <row r="16" spans="1:201" s="218" customFormat="1" ht="205" customHeight="1" x14ac:dyDescent="0.35">
      <c r="B16" s="245">
        <v>7</v>
      </c>
      <c r="C16" s="195"/>
      <c r="D16" s="195"/>
      <c r="E16" s="246"/>
      <c r="F16" s="246"/>
      <c r="G16" s="196"/>
      <c r="H16" s="279"/>
      <c r="I16" s="198"/>
      <c r="J16" s="199"/>
      <c r="K16" s="268"/>
      <c r="L16" s="201"/>
      <c r="M16" s="281"/>
      <c r="N16" s="202"/>
      <c r="O16" s="203">
        <f ca="1">IF(N16="Aprobado con comentarios / Emitir Rev.0",TODAY()-M16,0)</f>
        <v>0</v>
      </c>
      <c r="P16" s="203">
        <f t="shared" ca="1" si="0"/>
        <v>0</v>
      </c>
      <c r="Q16" s="204">
        <f t="shared" ref="Q16:Q32" si="1">ROUNDUP(((COUNTA(R16:GS16)/4)/2),0)</f>
        <v>0</v>
      </c>
      <c r="R16" s="205"/>
      <c r="S16" s="206"/>
      <c r="T16" s="206"/>
      <c r="U16" s="207"/>
      <c r="V16" s="208"/>
      <c r="W16" s="209"/>
      <c r="X16" s="210"/>
      <c r="Y16" s="209"/>
      <c r="Z16" s="211"/>
      <c r="AA16" s="212"/>
      <c r="AB16" s="213"/>
      <c r="AC16" s="214"/>
      <c r="AD16" s="208"/>
      <c r="AE16" s="209"/>
      <c r="AF16" s="210"/>
      <c r="AG16" s="209"/>
      <c r="AH16" s="211"/>
      <c r="AI16" s="212"/>
      <c r="AJ16" s="213"/>
      <c r="AK16" s="214"/>
      <c r="AL16" s="208"/>
      <c r="AM16" s="209"/>
      <c r="AN16" s="210"/>
      <c r="AO16" s="209"/>
      <c r="AP16" s="216"/>
      <c r="AQ16" s="212"/>
      <c r="AR16" s="213"/>
      <c r="AS16" s="214"/>
      <c r="AT16" s="208"/>
      <c r="AU16" s="209"/>
      <c r="AV16" s="210"/>
      <c r="AW16" s="217"/>
      <c r="AX16" s="211"/>
      <c r="AY16" s="213"/>
      <c r="AZ16" s="213"/>
      <c r="BA16" s="213"/>
      <c r="BB16" s="208"/>
      <c r="BC16" s="217"/>
      <c r="BD16" s="210"/>
      <c r="BE16" s="217"/>
      <c r="BF16" s="211"/>
      <c r="BG16" s="213"/>
      <c r="BH16" s="213"/>
      <c r="BI16" s="213"/>
      <c r="BJ16" s="208"/>
      <c r="BK16" s="217"/>
      <c r="BL16" s="210"/>
      <c r="BM16" s="217"/>
      <c r="BN16" s="211"/>
      <c r="BO16" s="213"/>
      <c r="BP16" s="213"/>
      <c r="BQ16" s="213"/>
      <c r="BR16" s="208"/>
      <c r="BS16" s="217"/>
      <c r="BT16" s="210"/>
      <c r="BU16" s="217"/>
      <c r="BV16" s="211"/>
      <c r="BW16" s="213"/>
      <c r="BX16" s="213"/>
      <c r="BY16" s="213"/>
      <c r="BZ16" s="208"/>
      <c r="CA16" s="217"/>
      <c r="CB16" s="217"/>
      <c r="CC16" s="217"/>
      <c r="CD16" s="211"/>
      <c r="CE16" s="213"/>
      <c r="CF16" s="213"/>
      <c r="CG16" s="213"/>
      <c r="CH16" s="208"/>
      <c r="CI16" s="217"/>
      <c r="CJ16" s="217"/>
      <c r="CK16" s="217"/>
      <c r="CL16" s="211"/>
      <c r="CM16" s="213"/>
      <c r="CN16" s="213"/>
      <c r="CO16" s="213"/>
      <c r="CP16" s="208"/>
      <c r="CQ16" s="217"/>
      <c r="CR16" s="217"/>
      <c r="CS16" s="217"/>
      <c r="CT16" s="211"/>
      <c r="CU16" s="213"/>
      <c r="CV16" s="213"/>
      <c r="CW16" s="213"/>
      <c r="CX16" s="208"/>
      <c r="CY16" s="217"/>
      <c r="CZ16" s="217"/>
      <c r="DA16" s="217"/>
      <c r="DB16" s="211"/>
      <c r="DC16" s="213"/>
      <c r="DD16" s="213"/>
      <c r="DE16" s="213"/>
      <c r="DF16" s="208"/>
      <c r="DG16" s="217"/>
      <c r="DH16" s="217"/>
      <c r="DI16" s="217"/>
      <c r="DJ16" s="211"/>
      <c r="DK16" s="213"/>
      <c r="DL16" s="213"/>
      <c r="DM16" s="213"/>
      <c r="DN16" s="208"/>
      <c r="DO16" s="217"/>
      <c r="DP16" s="217"/>
      <c r="DQ16" s="217"/>
      <c r="DR16" s="211"/>
      <c r="DS16" s="213"/>
      <c r="DT16" s="213"/>
      <c r="DU16" s="213"/>
      <c r="DV16" s="208"/>
      <c r="DW16" s="217"/>
      <c r="DX16" s="217"/>
      <c r="DY16" s="217"/>
      <c r="DZ16" s="211"/>
      <c r="EA16" s="213"/>
      <c r="EB16" s="213"/>
      <c r="EC16" s="213"/>
      <c r="ED16" s="208"/>
      <c r="EE16" s="217"/>
      <c r="EF16" s="217"/>
      <c r="EG16" s="217"/>
      <c r="EH16" s="211"/>
      <c r="EI16" s="213"/>
      <c r="EJ16" s="213"/>
      <c r="EK16" s="213"/>
      <c r="EL16" s="208"/>
      <c r="EM16" s="217"/>
      <c r="EN16" s="217"/>
      <c r="EO16" s="217"/>
      <c r="EP16" s="211"/>
      <c r="EQ16" s="213"/>
      <c r="ER16" s="213"/>
      <c r="ES16" s="213"/>
      <c r="ET16" s="208"/>
      <c r="EU16" s="217"/>
      <c r="EV16" s="217"/>
      <c r="EW16" s="217"/>
      <c r="EX16" s="211"/>
      <c r="EY16" s="213"/>
      <c r="EZ16" s="213"/>
      <c r="FA16" s="213"/>
      <c r="FB16" s="208"/>
      <c r="FC16" s="217"/>
      <c r="FD16" s="217"/>
      <c r="FE16" s="217"/>
      <c r="FF16" s="211"/>
      <c r="FG16" s="213"/>
      <c r="FH16" s="213"/>
      <c r="FI16" s="213"/>
      <c r="FJ16" s="208"/>
      <c r="FK16" s="217"/>
      <c r="FL16" s="217"/>
      <c r="FM16" s="217"/>
      <c r="FN16" s="211"/>
      <c r="FO16" s="213"/>
      <c r="FP16" s="213"/>
      <c r="FQ16" s="213"/>
      <c r="FR16" s="208"/>
      <c r="FS16" s="217"/>
      <c r="FT16" s="217"/>
      <c r="FU16" s="217"/>
      <c r="FV16" s="211"/>
      <c r="FW16" s="213"/>
      <c r="FX16" s="213"/>
      <c r="FY16" s="213"/>
      <c r="FZ16" s="208"/>
      <c r="GA16" s="217"/>
      <c r="GB16" s="217"/>
      <c r="GC16" s="217"/>
      <c r="GD16" s="211"/>
      <c r="GE16" s="213"/>
      <c r="GF16" s="213"/>
      <c r="GG16" s="213"/>
      <c r="GH16" s="208"/>
      <c r="GI16" s="217"/>
      <c r="GJ16" s="217"/>
      <c r="GK16" s="217"/>
      <c r="GL16" s="211"/>
      <c r="GM16" s="213"/>
      <c r="GN16" s="213"/>
      <c r="GO16" s="213"/>
      <c r="GP16" s="208"/>
      <c r="GQ16" s="217"/>
      <c r="GR16" s="217"/>
      <c r="GS16" s="217"/>
    </row>
    <row r="17" spans="2:201" s="218" customFormat="1" ht="205" customHeight="1" x14ac:dyDescent="0.35">
      <c r="B17" s="245">
        <v>8</v>
      </c>
      <c r="C17" s="195"/>
      <c r="D17" s="195"/>
      <c r="E17" s="195"/>
      <c r="F17" s="195"/>
      <c r="G17" s="196"/>
      <c r="H17" s="277"/>
      <c r="I17" s="198"/>
      <c r="J17" s="282"/>
      <c r="K17" s="268"/>
      <c r="L17" s="201"/>
      <c r="M17" s="201"/>
      <c r="N17" s="202"/>
      <c r="O17" s="203">
        <f ca="1">IF(N17="Aprobado / Emitir Rev.B",TODAY()-M17,0)</f>
        <v>0</v>
      </c>
      <c r="P17" s="269">
        <f t="shared" ca="1" si="0"/>
        <v>0</v>
      </c>
      <c r="Q17" s="204">
        <f t="shared" si="1"/>
        <v>0</v>
      </c>
      <c r="R17" s="205"/>
      <c r="S17" s="206"/>
      <c r="T17" s="206"/>
      <c r="U17" s="207"/>
      <c r="V17" s="208"/>
      <c r="W17" s="209"/>
      <c r="X17" s="210"/>
      <c r="Y17" s="209"/>
      <c r="Z17" s="211"/>
      <c r="AA17" s="212"/>
      <c r="AB17" s="213"/>
      <c r="AC17" s="214"/>
      <c r="AD17" s="208"/>
      <c r="AE17" s="209"/>
      <c r="AF17" s="210"/>
      <c r="AG17" s="209"/>
      <c r="AH17" s="205"/>
      <c r="AI17" s="206"/>
      <c r="AJ17" s="206"/>
      <c r="AK17" s="207"/>
      <c r="AL17" s="215"/>
      <c r="AM17" s="209"/>
      <c r="AN17" s="210"/>
      <c r="AO17" s="209"/>
      <c r="AP17" s="216"/>
      <c r="AQ17" s="212"/>
      <c r="AR17" s="213"/>
      <c r="AS17" s="214"/>
      <c r="AT17" s="208"/>
      <c r="AU17" s="209"/>
      <c r="AV17" s="210"/>
      <c r="AW17" s="217"/>
      <c r="AX17" s="211"/>
      <c r="AY17" s="213"/>
      <c r="AZ17" s="213"/>
      <c r="BA17" s="214"/>
      <c r="BB17" s="208"/>
      <c r="BC17" s="209"/>
      <c r="BD17" s="210"/>
      <c r="BE17" s="209"/>
      <c r="BF17" s="211"/>
      <c r="BG17" s="212"/>
      <c r="BH17" s="213"/>
      <c r="BI17" s="214"/>
      <c r="BJ17" s="208"/>
      <c r="BK17" s="209"/>
      <c r="BL17" s="210"/>
      <c r="BM17" s="217"/>
      <c r="BN17" s="211"/>
      <c r="BO17" s="213"/>
      <c r="BP17" s="213"/>
      <c r="BQ17" s="214"/>
      <c r="BR17" s="208"/>
      <c r="BS17" s="209"/>
      <c r="BT17" s="210"/>
      <c r="BU17" s="209"/>
      <c r="BV17" s="211"/>
      <c r="BW17" s="213"/>
      <c r="BX17" s="213"/>
      <c r="BY17" s="213"/>
      <c r="BZ17" s="208"/>
      <c r="CA17" s="217"/>
      <c r="CB17" s="217"/>
      <c r="CC17" s="217"/>
      <c r="CD17" s="211"/>
      <c r="CE17" s="213"/>
      <c r="CF17" s="213"/>
      <c r="CG17" s="213"/>
      <c r="CH17" s="208"/>
      <c r="CI17" s="217"/>
      <c r="CJ17" s="217"/>
      <c r="CK17" s="217"/>
      <c r="CL17" s="211"/>
      <c r="CM17" s="213"/>
      <c r="CN17" s="213"/>
      <c r="CO17" s="213"/>
      <c r="CP17" s="208"/>
      <c r="CQ17" s="217"/>
      <c r="CR17" s="217"/>
      <c r="CS17" s="217"/>
      <c r="CT17" s="211"/>
      <c r="CU17" s="213"/>
      <c r="CV17" s="213"/>
      <c r="CW17" s="213"/>
      <c r="CX17" s="208"/>
      <c r="CY17" s="217"/>
      <c r="CZ17" s="217"/>
      <c r="DA17" s="217"/>
      <c r="DB17" s="211"/>
      <c r="DC17" s="213"/>
      <c r="DD17" s="213"/>
      <c r="DE17" s="213"/>
      <c r="DF17" s="208"/>
      <c r="DG17" s="217"/>
      <c r="DH17" s="217"/>
      <c r="DI17" s="217"/>
      <c r="DJ17" s="211"/>
      <c r="DK17" s="213"/>
      <c r="DL17" s="213"/>
      <c r="DM17" s="213"/>
      <c r="DN17" s="208"/>
      <c r="DO17" s="217"/>
      <c r="DP17" s="217"/>
      <c r="DQ17" s="217"/>
      <c r="DR17" s="211"/>
      <c r="DS17" s="213"/>
      <c r="DT17" s="213"/>
      <c r="DU17" s="213"/>
      <c r="DV17" s="208"/>
      <c r="DW17" s="217"/>
      <c r="DX17" s="217"/>
      <c r="DY17" s="217"/>
      <c r="DZ17" s="211"/>
      <c r="EA17" s="213"/>
      <c r="EB17" s="213"/>
      <c r="EC17" s="213"/>
      <c r="ED17" s="208"/>
      <c r="EE17" s="217"/>
      <c r="EF17" s="217"/>
      <c r="EG17" s="217"/>
      <c r="EH17" s="211"/>
      <c r="EI17" s="213"/>
      <c r="EJ17" s="213"/>
      <c r="EK17" s="213"/>
      <c r="EL17" s="208"/>
      <c r="EM17" s="217"/>
      <c r="EN17" s="217"/>
      <c r="EO17" s="217"/>
      <c r="EP17" s="211"/>
      <c r="EQ17" s="213"/>
      <c r="ER17" s="213"/>
      <c r="ES17" s="213"/>
      <c r="ET17" s="208"/>
      <c r="EU17" s="217"/>
      <c r="EV17" s="217"/>
      <c r="EW17" s="217"/>
      <c r="EX17" s="211"/>
      <c r="EY17" s="213"/>
      <c r="EZ17" s="213"/>
      <c r="FA17" s="213"/>
      <c r="FB17" s="208"/>
      <c r="FC17" s="217"/>
      <c r="FD17" s="217"/>
      <c r="FE17" s="217"/>
      <c r="FF17" s="211"/>
      <c r="FG17" s="213"/>
      <c r="FH17" s="213"/>
      <c r="FI17" s="213"/>
      <c r="FJ17" s="208"/>
      <c r="FK17" s="217"/>
      <c r="FL17" s="217"/>
      <c r="FM17" s="217"/>
      <c r="FN17" s="211"/>
      <c r="FO17" s="213"/>
      <c r="FP17" s="213"/>
      <c r="FQ17" s="213"/>
      <c r="FR17" s="208"/>
      <c r="FS17" s="217"/>
      <c r="FT17" s="217"/>
      <c r="FU17" s="217"/>
      <c r="FV17" s="211"/>
      <c r="FW17" s="213"/>
      <c r="FX17" s="213"/>
      <c r="FY17" s="213"/>
      <c r="FZ17" s="208"/>
      <c r="GA17" s="217"/>
      <c r="GB17" s="217"/>
      <c r="GC17" s="217"/>
      <c r="GD17" s="211"/>
      <c r="GE17" s="213"/>
      <c r="GF17" s="213"/>
      <c r="GG17" s="213"/>
      <c r="GH17" s="208"/>
      <c r="GI17" s="217"/>
      <c r="GJ17" s="217"/>
      <c r="GK17" s="217"/>
      <c r="GL17" s="211"/>
      <c r="GM17" s="213"/>
      <c r="GN17" s="213"/>
      <c r="GO17" s="213"/>
      <c r="GP17" s="208"/>
      <c r="GQ17" s="217"/>
      <c r="GR17" s="217"/>
      <c r="GS17" s="217"/>
    </row>
    <row r="18" spans="2:201" s="218" customFormat="1" ht="205" customHeight="1" x14ac:dyDescent="0.35">
      <c r="B18" s="245">
        <v>9</v>
      </c>
      <c r="C18" s="194"/>
      <c r="D18" s="270"/>
      <c r="E18" s="271"/>
      <c r="F18" s="271"/>
      <c r="G18" s="272"/>
      <c r="H18" s="316"/>
      <c r="I18" s="198"/>
      <c r="J18" s="199"/>
      <c r="K18" s="268"/>
      <c r="L18" s="201"/>
      <c r="M18" s="281"/>
      <c r="N18" s="202"/>
      <c r="O18" s="203">
        <f ca="1">IF(N18="Aprobado con comentarios / Emitir Rev.B",TODAY()-M18,0)</f>
        <v>0</v>
      </c>
      <c r="P18" s="203">
        <f t="shared" ca="1" si="0"/>
        <v>0</v>
      </c>
      <c r="Q18" s="204">
        <f t="shared" si="1"/>
        <v>0</v>
      </c>
      <c r="R18" s="205"/>
      <c r="S18" s="206"/>
      <c r="T18" s="206"/>
      <c r="U18" s="207"/>
      <c r="V18" s="208"/>
      <c r="W18" s="209"/>
      <c r="X18" s="210"/>
      <c r="Y18" s="209"/>
      <c r="Z18" s="211"/>
      <c r="AA18" s="212"/>
      <c r="AB18" s="213"/>
      <c r="AC18" s="214"/>
      <c r="AD18" s="208"/>
      <c r="AE18" s="209"/>
      <c r="AF18" s="210"/>
      <c r="AG18" s="209"/>
      <c r="AH18" s="211"/>
      <c r="AI18" s="212"/>
      <c r="AJ18" s="213"/>
      <c r="AK18" s="214"/>
      <c r="AL18" s="215"/>
      <c r="AM18" s="209"/>
      <c r="AN18" s="210"/>
      <c r="AO18" s="209"/>
      <c r="AP18" s="216"/>
      <c r="AQ18" s="212"/>
      <c r="AR18" s="213"/>
      <c r="AS18" s="214"/>
      <c r="AT18" s="208"/>
      <c r="AU18" s="209"/>
      <c r="AV18" s="210"/>
      <c r="AW18" s="217"/>
      <c r="AX18" s="211"/>
      <c r="AY18" s="213"/>
      <c r="AZ18" s="213"/>
      <c r="BA18" s="213"/>
      <c r="BB18" s="208"/>
      <c r="BC18" s="217"/>
      <c r="BD18" s="210"/>
      <c r="BE18" s="217"/>
      <c r="BF18" s="211"/>
      <c r="BG18" s="213"/>
      <c r="BH18" s="213"/>
      <c r="BI18" s="213"/>
      <c r="BJ18" s="208"/>
      <c r="BK18" s="217"/>
      <c r="BL18" s="210"/>
      <c r="BM18" s="217"/>
      <c r="BN18" s="211"/>
      <c r="BO18" s="213"/>
      <c r="BP18" s="213"/>
      <c r="BQ18" s="213"/>
      <c r="BR18" s="208"/>
      <c r="BS18" s="217"/>
      <c r="BT18" s="210"/>
      <c r="BU18" s="217"/>
      <c r="BV18" s="211"/>
      <c r="BW18" s="213"/>
      <c r="BX18" s="213"/>
      <c r="BY18" s="213"/>
      <c r="BZ18" s="208"/>
      <c r="CA18" s="217"/>
      <c r="CB18" s="217"/>
      <c r="CC18" s="217"/>
      <c r="CD18" s="211"/>
      <c r="CE18" s="213"/>
      <c r="CF18" s="213"/>
      <c r="CG18" s="213"/>
      <c r="CH18" s="208"/>
      <c r="CI18" s="217"/>
      <c r="CJ18" s="217"/>
      <c r="CK18" s="217"/>
      <c r="CL18" s="211"/>
      <c r="CM18" s="213"/>
      <c r="CN18" s="213"/>
      <c r="CO18" s="213"/>
      <c r="CP18" s="208"/>
      <c r="CQ18" s="217"/>
      <c r="CR18" s="217"/>
      <c r="CS18" s="217"/>
      <c r="CT18" s="211"/>
      <c r="CU18" s="213"/>
      <c r="CV18" s="213"/>
      <c r="CW18" s="213"/>
      <c r="CX18" s="208"/>
      <c r="CY18" s="217"/>
      <c r="CZ18" s="217"/>
      <c r="DA18" s="217"/>
      <c r="DB18" s="211"/>
      <c r="DC18" s="213"/>
      <c r="DD18" s="213"/>
      <c r="DE18" s="213"/>
      <c r="DF18" s="208"/>
      <c r="DG18" s="217"/>
      <c r="DH18" s="217"/>
      <c r="DI18" s="217"/>
      <c r="DJ18" s="211"/>
      <c r="DK18" s="213"/>
      <c r="DL18" s="213"/>
      <c r="DM18" s="213"/>
      <c r="DN18" s="208"/>
      <c r="DO18" s="217"/>
      <c r="DP18" s="217"/>
      <c r="DQ18" s="217"/>
      <c r="DR18" s="211"/>
      <c r="DS18" s="213"/>
      <c r="DT18" s="213"/>
      <c r="DU18" s="213"/>
      <c r="DV18" s="208"/>
      <c r="DW18" s="217"/>
      <c r="DX18" s="217"/>
      <c r="DY18" s="217"/>
      <c r="DZ18" s="211"/>
      <c r="EA18" s="213"/>
      <c r="EB18" s="213"/>
      <c r="EC18" s="213"/>
      <c r="ED18" s="208"/>
      <c r="EE18" s="217"/>
      <c r="EF18" s="217"/>
      <c r="EG18" s="217"/>
      <c r="EH18" s="211"/>
      <c r="EI18" s="213"/>
      <c r="EJ18" s="213"/>
      <c r="EK18" s="213"/>
      <c r="EL18" s="208"/>
      <c r="EM18" s="217"/>
      <c r="EN18" s="217"/>
      <c r="EO18" s="217"/>
      <c r="EP18" s="211"/>
      <c r="EQ18" s="213"/>
      <c r="ER18" s="213"/>
      <c r="ES18" s="213"/>
      <c r="ET18" s="208"/>
      <c r="EU18" s="217"/>
      <c r="EV18" s="217"/>
      <c r="EW18" s="217"/>
      <c r="EX18" s="211"/>
      <c r="EY18" s="213"/>
      <c r="EZ18" s="213"/>
      <c r="FA18" s="213"/>
      <c r="FB18" s="208"/>
      <c r="FC18" s="217"/>
      <c r="FD18" s="217"/>
      <c r="FE18" s="217"/>
      <c r="FF18" s="211"/>
      <c r="FG18" s="213"/>
      <c r="FH18" s="213"/>
      <c r="FI18" s="213"/>
      <c r="FJ18" s="208"/>
      <c r="FK18" s="217"/>
      <c r="FL18" s="217"/>
      <c r="FM18" s="217"/>
      <c r="FN18" s="211"/>
      <c r="FO18" s="213"/>
      <c r="FP18" s="213"/>
      <c r="FQ18" s="213"/>
      <c r="FR18" s="208"/>
      <c r="FS18" s="217"/>
      <c r="FT18" s="217"/>
      <c r="FU18" s="217"/>
      <c r="FV18" s="211"/>
      <c r="FW18" s="213"/>
      <c r="FX18" s="213"/>
      <c r="FY18" s="213"/>
      <c r="FZ18" s="208"/>
      <c r="GA18" s="217"/>
      <c r="GB18" s="217"/>
      <c r="GC18" s="217"/>
      <c r="GD18" s="211"/>
      <c r="GE18" s="213"/>
      <c r="GF18" s="213"/>
      <c r="GG18" s="213"/>
      <c r="GH18" s="208"/>
      <c r="GI18" s="217"/>
      <c r="GJ18" s="217"/>
      <c r="GK18" s="217"/>
      <c r="GL18" s="211"/>
      <c r="GM18" s="213"/>
      <c r="GN18" s="213"/>
      <c r="GO18" s="213"/>
      <c r="GP18" s="208"/>
      <c r="GQ18" s="217"/>
      <c r="GR18" s="217"/>
      <c r="GS18" s="217"/>
    </row>
    <row r="19" spans="2:201" s="218" customFormat="1" ht="205" customHeight="1" x14ac:dyDescent="0.35">
      <c r="B19" s="245">
        <v>10</v>
      </c>
      <c r="C19" s="195"/>
      <c r="D19" s="195"/>
      <c r="E19" s="246"/>
      <c r="F19" s="246"/>
      <c r="G19" s="196"/>
      <c r="H19" s="279"/>
      <c r="I19" s="198"/>
      <c r="J19" s="199"/>
      <c r="K19" s="268"/>
      <c r="L19" s="201"/>
      <c r="M19" s="281"/>
      <c r="N19" s="202"/>
      <c r="O19" s="203">
        <f ca="1">IF(N19="Aprobado con comentarios / Emitir Rev.0",TODAY()-M19,0)</f>
        <v>0</v>
      </c>
      <c r="P19" s="203">
        <f t="shared" ca="1" si="0"/>
        <v>0</v>
      </c>
      <c r="Q19" s="204">
        <f t="shared" si="1"/>
        <v>0</v>
      </c>
      <c r="R19" s="205"/>
      <c r="S19" s="206"/>
      <c r="T19" s="206"/>
      <c r="U19" s="207"/>
      <c r="V19" s="208"/>
      <c r="W19" s="209"/>
      <c r="X19" s="210"/>
      <c r="Y19" s="209"/>
      <c r="Z19" s="211"/>
      <c r="AA19" s="212"/>
      <c r="AB19" s="213"/>
      <c r="AC19" s="214"/>
      <c r="AD19" s="208"/>
      <c r="AE19" s="209"/>
      <c r="AF19" s="210"/>
      <c r="AG19" s="209"/>
      <c r="AH19" s="211"/>
      <c r="AI19" s="212"/>
      <c r="AJ19" s="213"/>
      <c r="AK19" s="214"/>
      <c r="AL19" s="208"/>
      <c r="AM19" s="209"/>
      <c r="AN19" s="210"/>
      <c r="AO19" s="209"/>
      <c r="AP19" s="216"/>
      <c r="AQ19" s="212"/>
      <c r="AR19" s="213"/>
      <c r="AS19" s="214"/>
      <c r="AT19" s="208"/>
      <c r="AU19" s="209"/>
      <c r="AV19" s="210"/>
      <c r="AW19" s="217"/>
      <c r="AX19" s="211"/>
      <c r="AY19" s="213"/>
      <c r="AZ19" s="213"/>
      <c r="BA19" s="213"/>
      <c r="BB19" s="208"/>
      <c r="BC19" s="217"/>
      <c r="BD19" s="210"/>
      <c r="BE19" s="217"/>
      <c r="BF19" s="211"/>
      <c r="BG19" s="213"/>
      <c r="BH19" s="213"/>
      <c r="BI19" s="213"/>
      <c r="BJ19" s="208"/>
      <c r="BK19" s="217"/>
      <c r="BL19" s="210"/>
      <c r="BM19" s="217"/>
      <c r="BN19" s="211"/>
      <c r="BO19" s="213"/>
      <c r="BP19" s="213"/>
      <c r="BQ19" s="213"/>
      <c r="BR19" s="208"/>
      <c r="BS19" s="217"/>
      <c r="BT19" s="210"/>
      <c r="BU19" s="217"/>
      <c r="BV19" s="211"/>
      <c r="BW19" s="213"/>
      <c r="BX19" s="213"/>
      <c r="BY19" s="213"/>
      <c r="BZ19" s="208"/>
      <c r="CA19" s="217"/>
      <c r="CB19" s="217"/>
      <c r="CC19" s="217"/>
      <c r="CD19" s="211"/>
      <c r="CE19" s="213"/>
      <c r="CF19" s="213"/>
      <c r="CG19" s="213"/>
      <c r="CH19" s="208"/>
      <c r="CI19" s="217"/>
      <c r="CJ19" s="217"/>
      <c r="CK19" s="217"/>
      <c r="CL19" s="211"/>
      <c r="CM19" s="213"/>
      <c r="CN19" s="213"/>
      <c r="CO19" s="213"/>
      <c r="CP19" s="208"/>
      <c r="CQ19" s="217"/>
      <c r="CR19" s="217"/>
      <c r="CS19" s="217"/>
      <c r="CT19" s="211"/>
      <c r="CU19" s="213"/>
      <c r="CV19" s="213"/>
      <c r="CW19" s="213"/>
      <c r="CX19" s="208"/>
      <c r="CY19" s="217"/>
      <c r="CZ19" s="217"/>
      <c r="DA19" s="217"/>
      <c r="DB19" s="211"/>
      <c r="DC19" s="213"/>
      <c r="DD19" s="213"/>
      <c r="DE19" s="213"/>
      <c r="DF19" s="208"/>
      <c r="DG19" s="217"/>
      <c r="DH19" s="217"/>
      <c r="DI19" s="217"/>
      <c r="DJ19" s="211"/>
      <c r="DK19" s="213"/>
      <c r="DL19" s="213"/>
      <c r="DM19" s="213"/>
      <c r="DN19" s="208"/>
      <c r="DO19" s="217"/>
      <c r="DP19" s="217"/>
      <c r="DQ19" s="217"/>
      <c r="DR19" s="211"/>
      <c r="DS19" s="213"/>
      <c r="DT19" s="213"/>
      <c r="DU19" s="213"/>
      <c r="DV19" s="208"/>
      <c r="DW19" s="217"/>
      <c r="DX19" s="217"/>
      <c r="DY19" s="217"/>
      <c r="DZ19" s="211"/>
      <c r="EA19" s="213"/>
      <c r="EB19" s="213"/>
      <c r="EC19" s="213"/>
      <c r="ED19" s="208"/>
      <c r="EE19" s="217"/>
      <c r="EF19" s="217"/>
      <c r="EG19" s="217"/>
      <c r="EH19" s="211"/>
      <c r="EI19" s="213"/>
      <c r="EJ19" s="213"/>
      <c r="EK19" s="213"/>
      <c r="EL19" s="208"/>
      <c r="EM19" s="217"/>
      <c r="EN19" s="217"/>
      <c r="EO19" s="217"/>
      <c r="EP19" s="211"/>
      <c r="EQ19" s="213"/>
      <c r="ER19" s="213"/>
      <c r="ES19" s="213"/>
      <c r="ET19" s="208"/>
      <c r="EU19" s="217"/>
      <c r="EV19" s="217"/>
      <c r="EW19" s="217"/>
      <c r="EX19" s="211"/>
      <c r="EY19" s="213"/>
      <c r="EZ19" s="213"/>
      <c r="FA19" s="213"/>
      <c r="FB19" s="208"/>
      <c r="FC19" s="217"/>
      <c r="FD19" s="217"/>
      <c r="FE19" s="217"/>
      <c r="FF19" s="211"/>
      <c r="FG19" s="213"/>
      <c r="FH19" s="213"/>
      <c r="FI19" s="213"/>
      <c r="FJ19" s="208"/>
      <c r="FK19" s="217"/>
      <c r="FL19" s="217"/>
      <c r="FM19" s="217"/>
      <c r="FN19" s="211"/>
      <c r="FO19" s="213"/>
      <c r="FP19" s="213"/>
      <c r="FQ19" s="213"/>
      <c r="FR19" s="208"/>
      <c r="FS19" s="217"/>
      <c r="FT19" s="217"/>
      <c r="FU19" s="217"/>
      <c r="FV19" s="211"/>
      <c r="FW19" s="213"/>
      <c r="FX19" s="213"/>
      <c r="FY19" s="213"/>
      <c r="FZ19" s="208"/>
      <c r="GA19" s="217"/>
      <c r="GB19" s="217"/>
      <c r="GC19" s="217"/>
      <c r="GD19" s="211"/>
      <c r="GE19" s="213"/>
      <c r="GF19" s="213"/>
      <c r="GG19" s="213"/>
      <c r="GH19" s="208"/>
      <c r="GI19" s="217"/>
      <c r="GJ19" s="217"/>
      <c r="GK19" s="217"/>
      <c r="GL19" s="211"/>
      <c r="GM19" s="213"/>
      <c r="GN19" s="213"/>
      <c r="GO19" s="213"/>
      <c r="GP19" s="208"/>
      <c r="GQ19" s="217"/>
      <c r="GR19" s="217"/>
      <c r="GS19" s="217"/>
    </row>
    <row r="20" spans="2:201" s="294" customFormat="1" ht="205" customHeight="1" x14ac:dyDescent="0.35">
      <c r="B20" s="245">
        <v>11</v>
      </c>
      <c r="C20" s="270"/>
      <c r="D20" s="270"/>
      <c r="E20" s="271"/>
      <c r="F20" s="271"/>
      <c r="G20" s="272"/>
      <c r="H20" s="315"/>
      <c r="I20" s="295"/>
      <c r="J20" s="296"/>
      <c r="K20" s="297"/>
      <c r="L20" s="298"/>
      <c r="M20" s="298"/>
      <c r="N20" s="299"/>
      <c r="O20" s="300">
        <f ca="1">IF(N20="Rechazado / Reemitir Rev.1",TODAY()-M20,0)</f>
        <v>0</v>
      </c>
      <c r="P20" s="300">
        <f t="shared" ca="1" si="0"/>
        <v>0</v>
      </c>
      <c r="Q20" s="301">
        <f t="shared" si="1"/>
        <v>0</v>
      </c>
      <c r="R20" s="302"/>
      <c r="S20" s="303"/>
      <c r="T20" s="303"/>
      <c r="U20" s="304"/>
      <c r="V20" s="305"/>
      <c r="W20" s="306"/>
      <c r="X20" s="307"/>
      <c r="Y20" s="306"/>
      <c r="Z20" s="308"/>
      <c r="AA20" s="309"/>
      <c r="AB20" s="310"/>
      <c r="AC20" s="311"/>
      <c r="AD20" s="305"/>
      <c r="AE20" s="306"/>
      <c r="AF20" s="307"/>
      <c r="AG20" s="306"/>
      <c r="AH20" s="308"/>
      <c r="AI20" s="309"/>
      <c r="AJ20" s="310"/>
      <c r="AK20" s="311"/>
      <c r="AL20" s="312"/>
      <c r="AM20" s="306"/>
      <c r="AN20" s="307"/>
      <c r="AO20" s="306"/>
      <c r="AP20" s="313"/>
      <c r="AQ20" s="309"/>
      <c r="AR20" s="309"/>
      <c r="AS20" s="311"/>
      <c r="AT20" s="305"/>
      <c r="AU20" s="306"/>
      <c r="AV20" s="307"/>
      <c r="AW20" s="314"/>
      <c r="AX20" s="308"/>
      <c r="AY20" s="310"/>
      <c r="AZ20" s="310"/>
      <c r="BA20" s="310"/>
      <c r="BB20" s="305"/>
      <c r="BC20" s="314"/>
      <c r="BD20" s="307"/>
      <c r="BE20" s="314"/>
      <c r="BF20" s="308"/>
      <c r="BG20" s="310"/>
      <c r="BH20" s="310"/>
      <c r="BI20" s="310"/>
      <c r="BJ20" s="305"/>
      <c r="BK20" s="314"/>
      <c r="BL20" s="307"/>
      <c r="BM20" s="314"/>
      <c r="BN20" s="308"/>
      <c r="BO20" s="310"/>
      <c r="BP20" s="310"/>
      <c r="BQ20" s="310"/>
      <c r="BR20" s="305"/>
      <c r="BS20" s="314"/>
      <c r="BT20" s="307"/>
      <c r="BU20" s="314"/>
      <c r="BV20" s="308"/>
      <c r="BW20" s="310"/>
      <c r="BX20" s="310"/>
      <c r="BY20" s="310"/>
      <c r="BZ20" s="305"/>
      <c r="CA20" s="314"/>
      <c r="CB20" s="314"/>
      <c r="CC20" s="314"/>
      <c r="CD20" s="308"/>
      <c r="CE20" s="310"/>
      <c r="CF20" s="310"/>
      <c r="CG20" s="310"/>
      <c r="CH20" s="305"/>
      <c r="CI20" s="314"/>
      <c r="CJ20" s="314"/>
      <c r="CK20" s="314"/>
      <c r="CL20" s="308"/>
      <c r="CM20" s="310"/>
      <c r="CN20" s="310"/>
      <c r="CO20" s="310"/>
      <c r="CP20" s="305"/>
      <c r="CQ20" s="314"/>
      <c r="CR20" s="314"/>
      <c r="CS20" s="314"/>
      <c r="CT20" s="308"/>
      <c r="CU20" s="310"/>
      <c r="CV20" s="310"/>
      <c r="CW20" s="310"/>
      <c r="CX20" s="305"/>
      <c r="CY20" s="314"/>
      <c r="CZ20" s="314"/>
      <c r="DA20" s="314"/>
      <c r="DB20" s="308"/>
      <c r="DC20" s="310"/>
      <c r="DD20" s="310"/>
      <c r="DE20" s="310"/>
      <c r="DF20" s="305"/>
      <c r="DG20" s="314"/>
      <c r="DH20" s="314"/>
      <c r="DI20" s="314"/>
      <c r="DJ20" s="308"/>
      <c r="DK20" s="310"/>
      <c r="DL20" s="310"/>
      <c r="DM20" s="310"/>
      <c r="DN20" s="305"/>
      <c r="DO20" s="314"/>
      <c r="DP20" s="314"/>
      <c r="DQ20" s="314"/>
      <c r="DR20" s="308"/>
      <c r="DS20" s="310"/>
      <c r="DT20" s="310"/>
      <c r="DU20" s="310"/>
      <c r="DV20" s="305"/>
      <c r="DW20" s="314"/>
      <c r="DX20" s="314"/>
      <c r="DY20" s="314"/>
      <c r="DZ20" s="308"/>
      <c r="EA20" s="310"/>
      <c r="EB20" s="310"/>
      <c r="EC20" s="310"/>
      <c r="ED20" s="305"/>
      <c r="EE20" s="314"/>
      <c r="EF20" s="314"/>
      <c r="EG20" s="314"/>
      <c r="EH20" s="308"/>
      <c r="EI20" s="310"/>
      <c r="EJ20" s="310"/>
      <c r="EK20" s="310"/>
      <c r="EL20" s="305"/>
      <c r="EM20" s="314"/>
      <c r="EN20" s="314"/>
      <c r="EO20" s="314"/>
      <c r="EP20" s="308"/>
      <c r="EQ20" s="310"/>
      <c r="ER20" s="310"/>
      <c r="ES20" s="310"/>
      <c r="ET20" s="305"/>
      <c r="EU20" s="314"/>
      <c r="EV20" s="314"/>
      <c r="EW20" s="314"/>
      <c r="EX20" s="308"/>
      <c r="EY20" s="310"/>
      <c r="EZ20" s="310"/>
      <c r="FA20" s="310"/>
      <c r="FB20" s="305"/>
      <c r="FC20" s="314"/>
      <c r="FD20" s="314"/>
      <c r="FE20" s="314"/>
      <c r="FF20" s="308"/>
      <c r="FG20" s="310"/>
      <c r="FH20" s="310"/>
      <c r="FI20" s="310"/>
      <c r="FJ20" s="305"/>
      <c r="FK20" s="314"/>
      <c r="FL20" s="314"/>
      <c r="FM20" s="314"/>
      <c r="FN20" s="308"/>
      <c r="FO20" s="310"/>
      <c r="FP20" s="310"/>
      <c r="FQ20" s="310"/>
      <c r="FR20" s="305"/>
      <c r="FS20" s="314"/>
      <c r="FT20" s="314"/>
      <c r="FU20" s="314"/>
      <c r="FV20" s="308"/>
      <c r="FW20" s="310"/>
      <c r="FX20" s="310"/>
      <c r="FY20" s="310"/>
      <c r="FZ20" s="305"/>
      <c r="GA20" s="314"/>
      <c r="GB20" s="314"/>
      <c r="GC20" s="314"/>
      <c r="GD20" s="308"/>
      <c r="GE20" s="310"/>
      <c r="GF20" s="310"/>
      <c r="GG20" s="310"/>
      <c r="GH20" s="305"/>
      <c r="GI20" s="314"/>
      <c r="GJ20" s="314"/>
      <c r="GK20" s="314"/>
      <c r="GL20" s="308"/>
      <c r="GM20" s="310"/>
      <c r="GN20" s="310"/>
      <c r="GO20" s="310"/>
      <c r="GP20" s="305"/>
      <c r="GQ20" s="314"/>
      <c r="GR20" s="314"/>
      <c r="GS20" s="314"/>
    </row>
    <row r="21" spans="2:201" s="218" customFormat="1" ht="205" customHeight="1" x14ac:dyDescent="0.35">
      <c r="B21" s="245">
        <v>12</v>
      </c>
      <c r="C21" s="195"/>
      <c r="D21" s="195"/>
      <c r="E21" s="246"/>
      <c r="F21" s="246"/>
      <c r="G21" s="196"/>
      <c r="H21" s="285"/>
      <c r="I21" s="198"/>
      <c r="J21" s="199"/>
      <c r="K21" s="200"/>
      <c r="L21" s="201"/>
      <c r="M21" s="202"/>
      <c r="N21" s="202"/>
      <c r="O21" s="203">
        <f ca="1">IF(N21="Aprobado con comentarios / Emitir Rev.0",TODAY()-M21,0)</f>
        <v>0</v>
      </c>
      <c r="P21" s="203">
        <f t="shared" ca="1" si="0"/>
        <v>0</v>
      </c>
      <c r="Q21" s="204">
        <f t="shared" si="1"/>
        <v>0</v>
      </c>
      <c r="R21" s="205"/>
      <c r="S21" s="206"/>
      <c r="T21" s="206"/>
      <c r="U21" s="207"/>
      <c r="V21" s="208"/>
      <c r="W21" s="209"/>
      <c r="X21" s="210"/>
      <c r="Y21" s="209"/>
      <c r="Z21" s="211"/>
      <c r="AA21" s="212"/>
      <c r="AB21" s="213"/>
      <c r="AC21" s="214"/>
      <c r="AD21" s="208"/>
      <c r="AE21" s="209"/>
      <c r="AF21" s="210"/>
      <c r="AG21" s="209"/>
      <c r="AH21" s="211"/>
      <c r="AI21" s="212"/>
      <c r="AJ21" s="214"/>
      <c r="AK21" s="214"/>
      <c r="AL21" s="215"/>
      <c r="AM21" s="209"/>
      <c r="AN21" s="210"/>
      <c r="AO21" s="209"/>
      <c r="AP21" s="216"/>
      <c r="AQ21" s="212"/>
      <c r="AR21" s="213"/>
      <c r="AS21" s="214"/>
      <c r="AT21" s="208"/>
      <c r="AU21" s="209"/>
      <c r="AV21" s="210"/>
      <c r="AW21" s="217"/>
      <c r="AX21" s="211"/>
      <c r="AY21" s="213"/>
      <c r="AZ21" s="213"/>
      <c r="BA21" s="213"/>
      <c r="BB21" s="208"/>
      <c r="BC21" s="217"/>
      <c r="BD21" s="210"/>
      <c r="BE21" s="217"/>
      <c r="BF21" s="211"/>
      <c r="BG21" s="213"/>
      <c r="BH21" s="213"/>
      <c r="BI21" s="213"/>
      <c r="BJ21" s="208"/>
      <c r="BK21" s="217"/>
      <c r="BL21" s="210"/>
      <c r="BM21" s="217"/>
      <c r="BN21" s="211"/>
      <c r="BO21" s="213"/>
      <c r="BP21" s="213"/>
      <c r="BQ21" s="213"/>
      <c r="BR21" s="208"/>
      <c r="BS21" s="217"/>
      <c r="BT21" s="210"/>
      <c r="BU21" s="217"/>
      <c r="BV21" s="211"/>
      <c r="BW21" s="213"/>
      <c r="BX21" s="213"/>
      <c r="BY21" s="213"/>
      <c r="BZ21" s="208"/>
      <c r="CA21" s="217"/>
      <c r="CB21" s="217"/>
      <c r="CC21" s="217"/>
      <c r="CD21" s="211"/>
      <c r="CE21" s="213"/>
      <c r="CF21" s="213"/>
      <c r="CG21" s="213"/>
      <c r="CH21" s="208"/>
      <c r="CI21" s="217"/>
      <c r="CJ21" s="217"/>
      <c r="CK21" s="217"/>
      <c r="CL21" s="211"/>
      <c r="CM21" s="213"/>
      <c r="CN21" s="213"/>
      <c r="CO21" s="213"/>
      <c r="CP21" s="208"/>
      <c r="CQ21" s="217"/>
      <c r="CR21" s="217"/>
      <c r="CS21" s="217"/>
      <c r="CT21" s="211"/>
      <c r="CU21" s="213"/>
      <c r="CV21" s="213"/>
      <c r="CW21" s="213"/>
      <c r="CX21" s="208"/>
      <c r="CY21" s="217"/>
      <c r="CZ21" s="217"/>
      <c r="DA21" s="217"/>
      <c r="DB21" s="211"/>
      <c r="DC21" s="213"/>
      <c r="DD21" s="213"/>
      <c r="DE21" s="213"/>
      <c r="DF21" s="208"/>
      <c r="DG21" s="217"/>
      <c r="DH21" s="217"/>
      <c r="DI21" s="217"/>
      <c r="DJ21" s="211"/>
      <c r="DK21" s="213"/>
      <c r="DL21" s="213"/>
      <c r="DM21" s="213"/>
      <c r="DN21" s="208"/>
      <c r="DO21" s="217"/>
      <c r="DP21" s="217"/>
      <c r="DQ21" s="217"/>
      <c r="DR21" s="211"/>
      <c r="DS21" s="213"/>
      <c r="DT21" s="213"/>
      <c r="DU21" s="213"/>
      <c r="DV21" s="208"/>
      <c r="DW21" s="217"/>
      <c r="DX21" s="217"/>
      <c r="DY21" s="217"/>
      <c r="DZ21" s="211"/>
      <c r="EA21" s="213"/>
      <c r="EB21" s="213"/>
      <c r="EC21" s="213"/>
      <c r="ED21" s="208"/>
      <c r="EE21" s="217"/>
      <c r="EF21" s="217"/>
      <c r="EG21" s="217"/>
      <c r="EH21" s="211"/>
      <c r="EI21" s="213"/>
      <c r="EJ21" s="213"/>
      <c r="EK21" s="213"/>
      <c r="EL21" s="208"/>
      <c r="EM21" s="217"/>
      <c r="EN21" s="217"/>
      <c r="EO21" s="217"/>
      <c r="EP21" s="211"/>
      <c r="EQ21" s="213"/>
      <c r="ER21" s="213"/>
      <c r="ES21" s="213"/>
      <c r="ET21" s="208"/>
      <c r="EU21" s="217"/>
      <c r="EV21" s="217"/>
      <c r="EW21" s="217"/>
      <c r="EX21" s="211"/>
      <c r="EY21" s="213"/>
      <c r="EZ21" s="213"/>
      <c r="FA21" s="213"/>
      <c r="FB21" s="208"/>
      <c r="FC21" s="217"/>
      <c r="FD21" s="217"/>
      <c r="FE21" s="217"/>
      <c r="FF21" s="211"/>
      <c r="FG21" s="213"/>
      <c r="FH21" s="213"/>
      <c r="FI21" s="213"/>
      <c r="FJ21" s="208"/>
      <c r="FK21" s="217"/>
      <c r="FL21" s="217"/>
      <c r="FM21" s="217"/>
      <c r="FN21" s="211"/>
      <c r="FO21" s="213"/>
      <c r="FP21" s="213"/>
      <c r="FQ21" s="213"/>
      <c r="FR21" s="208"/>
      <c r="FS21" s="217"/>
      <c r="FT21" s="217"/>
      <c r="FU21" s="217"/>
      <c r="FV21" s="211"/>
      <c r="FW21" s="213"/>
      <c r="FX21" s="213"/>
      <c r="FY21" s="213"/>
      <c r="FZ21" s="208"/>
      <c r="GA21" s="217"/>
      <c r="GB21" s="217"/>
      <c r="GC21" s="217"/>
      <c r="GD21" s="211"/>
      <c r="GE21" s="213"/>
      <c r="GF21" s="213"/>
      <c r="GG21" s="213"/>
      <c r="GH21" s="208"/>
      <c r="GI21" s="217"/>
      <c r="GJ21" s="217"/>
      <c r="GK21" s="217"/>
      <c r="GL21" s="211"/>
      <c r="GM21" s="213"/>
      <c r="GN21" s="213"/>
      <c r="GO21" s="213"/>
      <c r="GP21" s="208"/>
      <c r="GQ21" s="217"/>
      <c r="GR21" s="217"/>
      <c r="GS21" s="217"/>
    </row>
    <row r="22" spans="2:201" s="218" customFormat="1" ht="205" customHeight="1" x14ac:dyDescent="0.35">
      <c r="B22" s="245">
        <v>13</v>
      </c>
      <c r="C22" s="194"/>
      <c r="D22" s="195"/>
      <c r="E22" s="246"/>
      <c r="F22" s="246"/>
      <c r="G22" s="196"/>
      <c r="H22" s="286"/>
      <c r="I22" s="198"/>
      <c r="J22" s="199"/>
      <c r="K22" s="200"/>
      <c r="L22" s="201"/>
      <c r="M22" s="201"/>
      <c r="N22" s="202"/>
      <c r="O22" s="203">
        <f ca="1">IF(N22="Aprobado con comentarios / Emitir Rev.0",TODAY()-M22,0)</f>
        <v>0</v>
      </c>
      <c r="P22" s="203">
        <f t="shared" ca="1" si="0"/>
        <v>0</v>
      </c>
      <c r="Q22" s="204">
        <f t="shared" si="1"/>
        <v>0</v>
      </c>
      <c r="R22" s="205"/>
      <c r="S22" s="206"/>
      <c r="T22" s="206"/>
      <c r="U22" s="207"/>
      <c r="V22" s="208"/>
      <c r="W22" s="209"/>
      <c r="X22" s="210"/>
      <c r="Y22" s="209"/>
      <c r="Z22" s="211"/>
      <c r="AA22" s="212"/>
      <c r="AB22" s="213"/>
      <c r="AC22" s="214"/>
      <c r="AD22" s="208"/>
      <c r="AE22" s="209"/>
      <c r="AF22" s="210"/>
      <c r="AG22" s="209"/>
      <c r="AH22" s="211"/>
      <c r="AI22" s="212"/>
      <c r="AJ22" s="213"/>
      <c r="AK22" s="214"/>
      <c r="AL22" s="215"/>
      <c r="AM22" s="209"/>
      <c r="AN22" s="210"/>
      <c r="AO22" s="209"/>
      <c r="AP22" s="216"/>
      <c r="AQ22" s="212"/>
      <c r="AR22" s="213"/>
      <c r="AS22" s="214"/>
      <c r="AT22" s="208"/>
      <c r="AU22" s="209"/>
      <c r="AV22" s="210"/>
      <c r="AW22" s="217"/>
      <c r="AX22" s="211"/>
      <c r="AY22" s="213"/>
      <c r="AZ22" s="213"/>
      <c r="BA22" s="213"/>
      <c r="BB22" s="208"/>
      <c r="BC22" s="217"/>
      <c r="BD22" s="210"/>
      <c r="BE22" s="217"/>
      <c r="BF22" s="211"/>
      <c r="BG22" s="213"/>
      <c r="BH22" s="213"/>
      <c r="BI22" s="213"/>
      <c r="BJ22" s="208"/>
      <c r="BK22" s="217"/>
      <c r="BL22" s="210"/>
      <c r="BM22" s="217"/>
      <c r="BN22" s="211"/>
      <c r="BO22" s="213"/>
      <c r="BP22" s="213"/>
      <c r="BQ22" s="213"/>
      <c r="BR22" s="208"/>
      <c r="BS22" s="217"/>
      <c r="BT22" s="210"/>
      <c r="BU22" s="217"/>
      <c r="BV22" s="211"/>
      <c r="BW22" s="213"/>
      <c r="BX22" s="213"/>
      <c r="BY22" s="213"/>
      <c r="BZ22" s="208"/>
      <c r="CA22" s="217"/>
      <c r="CB22" s="217"/>
      <c r="CC22" s="217"/>
      <c r="CD22" s="211"/>
      <c r="CE22" s="213"/>
      <c r="CF22" s="213"/>
      <c r="CG22" s="213"/>
      <c r="CH22" s="208"/>
      <c r="CI22" s="217"/>
      <c r="CJ22" s="217"/>
      <c r="CK22" s="217"/>
      <c r="CL22" s="211"/>
      <c r="CM22" s="213"/>
      <c r="CN22" s="213"/>
      <c r="CO22" s="213"/>
      <c r="CP22" s="208"/>
      <c r="CQ22" s="217"/>
      <c r="CR22" s="217"/>
      <c r="CS22" s="217"/>
      <c r="CT22" s="211"/>
      <c r="CU22" s="213"/>
      <c r="CV22" s="213"/>
      <c r="CW22" s="213"/>
      <c r="CX22" s="208"/>
      <c r="CY22" s="217"/>
      <c r="CZ22" s="217"/>
      <c r="DA22" s="217"/>
      <c r="DB22" s="211"/>
      <c r="DC22" s="213"/>
      <c r="DD22" s="213"/>
      <c r="DE22" s="213"/>
      <c r="DF22" s="208"/>
      <c r="DG22" s="217"/>
      <c r="DH22" s="217"/>
      <c r="DI22" s="217"/>
      <c r="DJ22" s="211"/>
      <c r="DK22" s="213"/>
      <c r="DL22" s="213"/>
      <c r="DM22" s="213"/>
      <c r="DN22" s="208"/>
      <c r="DO22" s="217"/>
      <c r="DP22" s="217"/>
      <c r="DQ22" s="217"/>
      <c r="DR22" s="211"/>
      <c r="DS22" s="213"/>
      <c r="DT22" s="213"/>
      <c r="DU22" s="213"/>
      <c r="DV22" s="208"/>
      <c r="DW22" s="217"/>
      <c r="DX22" s="217"/>
      <c r="DY22" s="217"/>
      <c r="DZ22" s="211"/>
      <c r="EA22" s="213"/>
      <c r="EB22" s="213"/>
      <c r="EC22" s="213"/>
      <c r="ED22" s="208"/>
      <c r="EE22" s="217"/>
      <c r="EF22" s="217"/>
      <c r="EG22" s="217"/>
      <c r="EH22" s="211"/>
      <c r="EI22" s="213"/>
      <c r="EJ22" s="213"/>
      <c r="EK22" s="213"/>
      <c r="EL22" s="208"/>
      <c r="EM22" s="217"/>
      <c r="EN22" s="217"/>
      <c r="EO22" s="217"/>
      <c r="EP22" s="211"/>
      <c r="EQ22" s="213"/>
      <c r="ER22" s="213"/>
      <c r="ES22" s="213"/>
      <c r="ET22" s="208"/>
      <c r="EU22" s="217"/>
      <c r="EV22" s="217"/>
      <c r="EW22" s="217"/>
      <c r="EX22" s="211"/>
      <c r="EY22" s="213"/>
      <c r="EZ22" s="213"/>
      <c r="FA22" s="213"/>
      <c r="FB22" s="208"/>
      <c r="FC22" s="217"/>
      <c r="FD22" s="217"/>
      <c r="FE22" s="217"/>
      <c r="FF22" s="211"/>
      <c r="FG22" s="213"/>
      <c r="FH22" s="213"/>
      <c r="FI22" s="213"/>
      <c r="FJ22" s="208"/>
      <c r="FK22" s="217"/>
      <c r="FL22" s="217"/>
      <c r="FM22" s="217"/>
      <c r="FN22" s="211"/>
      <c r="FO22" s="213"/>
      <c r="FP22" s="213"/>
      <c r="FQ22" s="213"/>
      <c r="FR22" s="208"/>
      <c r="FS22" s="217"/>
      <c r="FT22" s="217"/>
      <c r="FU22" s="217"/>
      <c r="FV22" s="211"/>
      <c r="FW22" s="213"/>
      <c r="FX22" s="213"/>
      <c r="FY22" s="213"/>
      <c r="FZ22" s="208"/>
      <c r="GA22" s="217"/>
      <c r="GB22" s="217"/>
      <c r="GC22" s="217"/>
      <c r="GD22" s="211"/>
      <c r="GE22" s="213"/>
      <c r="GF22" s="213"/>
      <c r="GG22" s="213"/>
      <c r="GH22" s="208"/>
      <c r="GI22" s="217"/>
      <c r="GJ22" s="217"/>
      <c r="GK22" s="217"/>
      <c r="GL22" s="211"/>
      <c r="GM22" s="213"/>
      <c r="GN22" s="213"/>
      <c r="GO22" s="213"/>
      <c r="GP22" s="208"/>
      <c r="GQ22" s="217"/>
      <c r="GR22" s="217"/>
      <c r="GS22" s="217"/>
    </row>
    <row r="23" spans="2:201" s="218" customFormat="1" ht="205" customHeight="1" x14ac:dyDescent="0.35">
      <c r="B23" s="245">
        <v>14</v>
      </c>
      <c r="C23" s="195"/>
      <c r="D23" s="195"/>
      <c r="E23" s="246"/>
      <c r="F23" s="246"/>
      <c r="G23" s="196"/>
      <c r="H23" s="220"/>
      <c r="I23" s="198"/>
      <c r="J23" s="199"/>
      <c r="K23" s="268"/>
      <c r="L23" s="201"/>
      <c r="M23" s="201"/>
      <c r="N23" s="202"/>
      <c r="O23" s="203">
        <f ca="1">IF(N23="Rechazado / Emitir Rev.B",TODAY()-M23,0)</f>
        <v>0</v>
      </c>
      <c r="P23" s="203">
        <f t="shared" ca="1" si="0"/>
        <v>0</v>
      </c>
      <c r="Q23" s="204">
        <f t="shared" si="1"/>
        <v>0</v>
      </c>
      <c r="R23" s="205"/>
      <c r="S23" s="206"/>
      <c r="T23" s="206"/>
      <c r="U23" s="207"/>
      <c r="V23" s="208"/>
      <c r="W23" s="209"/>
      <c r="X23" s="210"/>
      <c r="Y23" s="209"/>
      <c r="Z23" s="211"/>
      <c r="AA23" s="212"/>
      <c r="AB23" s="213"/>
      <c r="AC23" s="214"/>
      <c r="AD23" s="208"/>
      <c r="AE23" s="209"/>
      <c r="AF23" s="210"/>
      <c r="AG23" s="209"/>
      <c r="AH23" s="211"/>
      <c r="AI23" s="212"/>
      <c r="AJ23" s="213"/>
      <c r="AK23" s="214"/>
      <c r="AL23" s="215"/>
      <c r="AM23" s="209"/>
      <c r="AN23" s="210"/>
      <c r="AO23" s="209"/>
      <c r="AP23" s="216"/>
      <c r="AQ23" s="212"/>
      <c r="AR23" s="212"/>
      <c r="AS23" s="214"/>
      <c r="AT23" s="208"/>
      <c r="AU23" s="209"/>
      <c r="AV23" s="210"/>
      <c r="AW23" s="217"/>
      <c r="AX23" s="211"/>
      <c r="AY23" s="213"/>
      <c r="AZ23" s="213"/>
      <c r="BA23" s="213"/>
      <c r="BB23" s="208"/>
      <c r="BC23" s="217"/>
      <c r="BD23" s="210"/>
      <c r="BE23" s="217"/>
      <c r="BF23" s="211"/>
      <c r="BG23" s="213"/>
      <c r="BH23" s="213"/>
      <c r="BI23" s="213"/>
      <c r="BJ23" s="208"/>
      <c r="BK23" s="217"/>
      <c r="BL23" s="210"/>
      <c r="BM23" s="217"/>
      <c r="BN23" s="211"/>
      <c r="BO23" s="213"/>
      <c r="BP23" s="213"/>
      <c r="BQ23" s="213"/>
      <c r="BR23" s="208"/>
      <c r="BS23" s="217"/>
      <c r="BT23" s="210"/>
      <c r="BU23" s="217"/>
      <c r="BV23" s="211"/>
      <c r="BW23" s="213"/>
      <c r="BX23" s="213"/>
      <c r="BY23" s="213"/>
      <c r="BZ23" s="208"/>
      <c r="CA23" s="217"/>
      <c r="CB23" s="217"/>
      <c r="CC23" s="217"/>
      <c r="CD23" s="211"/>
      <c r="CE23" s="213"/>
      <c r="CF23" s="213"/>
      <c r="CG23" s="213"/>
      <c r="CH23" s="208"/>
      <c r="CI23" s="217"/>
      <c r="CJ23" s="217"/>
      <c r="CK23" s="217"/>
      <c r="CL23" s="211"/>
      <c r="CM23" s="213"/>
      <c r="CN23" s="213"/>
      <c r="CO23" s="213"/>
      <c r="CP23" s="208"/>
      <c r="CQ23" s="217"/>
      <c r="CR23" s="217"/>
      <c r="CS23" s="217"/>
      <c r="CT23" s="211"/>
      <c r="CU23" s="213"/>
      <c r="CV23" s="213"/>
      <c r="CW23" s="213"/>
      <c r="CX23" s="208"/>
      <c r="CY23" s="217"/>
      <c r="CZ23" s="217"/>
      <c r="DA23" s="217"/>
      <c r="DB23" s="211"/>
      <c r="DC23" s="213"/>
      <c r="DD23" s="213"/>
      <c r="DE23" s="213"/>
      <c r="DF23" s="208"/>
      <c r="DG23" s="217"/>
      <c r="DH23" s="217"/>
      <c r="DI23" s="217"/>
      <c r="DJ23" s="211"/>
      <c r="DK23" s="213"/>
      <c r="DL23" s="213"/>
      <c r="DM23" s="213"/>
      <c r="DN23" s="208"/>
      <c r="DO23" s="217"/>
      <c r="DP23" s="217"/>
      <c r="DQ23" s="217"/>
      <c r="DR23" s="211"/>
      <c r="DS23" s="213"/>
      <c r="DT23" s="213"/>
      <c r="DU23" s="213"/>
      <c r="DV23" s="208"/>
      <c r="DW23" s="217"/>
      <c r="DX23" s="217"/>
      <c r="DY23" s="217"/>
      <c r="DZ23" s="211"/>
      <c r="EA23" s="213"/>
      <c r="EB23" s="213"/>
      <c r="EC23" s="213"/>
      <c r="ED23" s="208"/>
      <c r="EE23" s="217"/>
      <c r="EF23" s="217"/>
      <c r="EG23" s="217"/>
      <c r="EH23" s="211"/>
      <c r="EI23" s="213"/>
      <c r="EJ23" s="213"/>
      <c r="EK23" s="213"/>
      <c r="EL23" s="208"/>
      <c r="EM23" s="217"/>
      <c r="EN23" s="217"/>
      <c r="EO23" s="217"/>
      <c r="EP23" s="211"/>
      <c r="EQ23" s="213"/>
      <c r="ER23" s="213"/>
      <c r="ES23" s="213"/>
      <c r="ET23" s="208"/>
      <c r="EU23" s="217"/>
      <c r="EV23" s="217"/>
      <c r="EW23" s="217"/>
      <c r="EX23" s="211"/>
      <c r="EY23" s="213"/>
      <c r="EZ23" s="213"/>
      <c r="FA23" s="213"/>
      <c r="FB23" s="208"/>
      <c r="FC23" s="217"/>
      <c r="FD23" s="217"/>
      <c r="FE23" s="217"/>
      <c r="FF23" s="211"/>
      <c r="FG23" s="213"/>
      <c r="FH23" s="213"/>
      <c r="FI23" s="213"/>
      <c r="FJ23" s="208"/>
      <c r="FK23" s="217"/>
      <c r="FL23" s="217"/>
      <c r="FM23" s="217"/>
      <c r="FN23" s="211"/>
      <c r="FO23" s="213"/>
      <c r="FP23" s="213"/>
      <c r="FQ23" s="213"/>
      <c r="FR23" s="208"/>
      <c r="FS23" s="217"/>
      <c r="FT23" s="217"/>
      <c r="FU23" s="217"/>
      <c r="FV23" s="211"/>
      <c r="FW23" s="213"/>
      <c r="FX23" s="213"/>
      <c r="FY23" s="213"/>
      <c r="FZ23" s="208"/>
      <c r="GA23" s="217"/>
      <c r="GB23" s="217"/>
      <c r="GC23" s="217"/>
      <c r="GD23" s="211"/>
      <c r="GE23" s="213"/>
      <c r="GF23" s="213"/>
      <c r="GG23" s="213"/>
      <c r="GH23" s="208"/>
      <c r="GI23" s="217"/>
      <c r="GJ23" s="217"/>
      <c r="GK23" s="217"/>
      <c r="GL23" s="211"/>
      <c r="GM23" s="213"/>
      <c r="GN23" s="213"/>
      <c r="GO23" s="213"/>
      <c r="GP23" s="208"/>
      <c r="GQ23" s="217"/>
      <c r="GR23" s="217"/>
      <c r="GS23" s="217"/>
    </row>
    <row r="24" spans="2:201" s="218" customFormat="1" ht="205" customHeight="1" x14ac:dyDescent="0.35">
      <c r="B24" s="245">
        <v>15</v>
      </c>
      <c r="C24" s="195"/>
      <c r="D24" s="195"/>
      <c r="E24" s="246"/>
      <c r="F24" s="246"/>
      <c r="G24" s="196"/>
      <c r="H24" s="287"/>
      <c r="I24" s="198"/>
      <c r="J24" s="199"/>
      <c r="K24" s="200"/>
      <c r="L24" s="201"/>
      <c r="M24" s="201"/>
      <c r="N24" s="202"/>
      <c r="O24" s="203">
        <f ca="1">IF(N24="Aprobado con comentarios / Emitir Rev.0",TODAY()-M24,0)</f>
        <v>0</v>
      </c>
      <c r="P24" s="203">
        <f t="shared" ca="1" si="0"/>
        <v>0</v>
      </c>
      <c r="Q24" s="204">
        <f t="shared" si="1"/>
        <v>0</v>
      </c>
      <c r="R24" s="205"/>
      <c r="S24" s="206"/>
      <c r="T24" s="206"/>
      <c r="U24" s="207"/>
      <c r="V24" s="208"/>
      <c r="W24" s="209"/>
      <c r="X24" s="210"/>
      <c r="Y24" s="209"/>
      <c r="Z24" s="211"/>
      <c r="AA24" s="213"/>
      <c r="AB24" s="213"/>
      <c r="AC24" s="214"/>
      <c r="AD24" s="208"/>
      <c r="AE24" s="209"/>
      <c r="AF24" s="210"/>
      <c r="AG24" s="209"/>
      <c r="AH24" s="211"/>
      <c r="AI24" s="212"/>
      <c r="AJ24" s="213"/>
      <c r="AK24" s="214"/>
      <c r="AL24" s="225"/>
      <c r="AM24" s="209"/>
      <c r="AN24" s="210"/>
      <c r="AO24" s="209"/>
      <c r="AP24" s="226"/>
      <c r="AQ24" s="214"/>
      <c r="AR24" s="213"/>
      <c r="AS24" s="214"/>
      <c r="AT24" s="208"/>
      <c r="AU24" s="217"/>
      <c r="AV24" s="210"/>
      <c r="AW24" s="217"/>
      <c r="AX24" s="211"/>
      <c r="AY24" s="213"/>
      <c r="AZ24" s="213"/>
      <c r="BA24" s="213"/>
      <c r="BB24" s="208"/>
      <c r="BC24" s="217"/>
      <c r="BD24" s="210"/>
      <c r="BE24" s="217"/>
      <c r="BF24" s="211"/>
      <c r="BG24" s="213"/>
      <c r="BH24" s="213"/>
      <c r="BI24" s="213"/>
      <c r="BJ24" s="208"/>
      <c r="BK24" s="217"/>
      <c r="BL24" s="210"/>
      <c r="BM24" s="217"/>
      <c r="BN24" s="211"/>
      <c r="BO24" s="213"/>
      <c r="BP24" s="213"/>
      <c r="BQ24" s="213"/>
      <c r="BR24" s="208"/>
      <c r="BS24" s="217"/>
      <c r="BT24" s="210"/>
      <c r="BU24" s="217"/>
      <c r="BV24" s="211"/>
      <c r="BW24" s="213"/>
      <c r="BX24" s="213"/>
      <c r="BY24" s="213"/>
      <c r="BZ24" s="208"/>
      <c r="CA24" s="217"/>
      <c r="CB24" s="217"/>
      <c r="CC24" s="217"/>
      <c r="CD24" s="211"/>
      <c r="CE24" s="213"/>
      <c r="CF24" s="213"/>
      <c r="CG24" s="213"/>
      <c r="CH24" s="208"/>
      <c r="CI24" s="217"/>
      <c r="CJ24" s="217"/>
      <c r="CK24" s="217"/>
      <c r="CL24" s="211"/>
      <c r="CM24" s="213"/>
      <c r="CN24" s="213"/>
      <c r="CO24" s="213"/>
      <c r="CP24" s="208"/>
      <c r="CQ24" s="217"/>
      <c r="CR24" s="217"/>
      <c r="CS24" s="217"/>
      <c r="CT24" s="211"/>
      <c r="CU24" s="213"/>
      <c r="CV24" s="213"/>
      <c r="CW24" s="213"/>
      <c r="CX24" s="208"/>
      <c r="CY24" s="217"/>
      <c r="CZ24" s="217"/>
      <c r="DA24" s="217"/>
      <c r="DB24" s="211"/>
      <c r="DC24" s="213"/>
      <c r="DD24" s="213"/>
      <c r="DE24" s="213"/>
      <c r="DF24" s="208"/>
      <c r="DG24" s="217"/>
      <c r="DH24" s="217"/>
      <c r="DI24" s="217"/>
      <c r="DJ24" s="211"/>
      <c r="DK24" s="213"/>
      <c r="DL24" s="213"/>
      <c r="DM24" s="213"/>
      <c r="DN24" s="208"/>
      <c r="DO24" s="217"/>
      <c r="DP24" s="217"/>
      <c r="DQ24" s="217"/>
      <c r="DR24" s="211"/>
      <c r="DS24" s="213"/>
      <c r="DT24" s="213"/>
      <c r="DU24" s="213"/>
      <c r="DV24" s="208"/>
      <c r="DW24" s="217"/>
      <c r="DX24" s="217"/>
      <c r="DY24" s="217"/>
      <c r="DZ24" s="211"/>
      <c r="EA24" s="213"/>
      <c r="EB24" s="213"/>
      <c r="EC24" s="213"/>
      <c r="ED24" s="208"/>
      <c r="EE24" s="217"/>
      <c r="EF24" s="217"/>
      <c r="EG24" s="217"/>
      <c r="EH24" s="211"/>
      <c r="EI24" s="213"/>
      <c r="EJ24" s="213"/>
      <c r="EK24" s="213"/>
      <c r="EL24" s="208"/>
      <c r="EM24" s="217"/>
      <c r="EN24" s="217"/>
      <c r="EO24" s="217"/>
      <c r="EP24" s="211"/>
      <c r="EQ24" s="213"/>
      <c r="ER24" s="213"/>
      <c r="ES24" s="213"/>
      <c r="ET24" s="208"/>
      <c r="EU24" s="217"/>
      <c r="EV24" s="217"/>
      <c r="EW24" s="217"/>
      <c r="EX24" s="211"/>
      <c r="EY24" s="213"/>
      <c r="EZ24" s="213"/>
      <c r="FA24" s="213"/>
      <c r="FB24" s="208"/>
      <c r="FC24" s="217"/>
      <c r="FD24" s="217"/>
      <c r="FE24" s="217"/>
      <c r="FF24" s="211"/>
      <c r="FG24" s="213"/>
      <c r="FH24" s="213"/>
      <c r="FI24" s="213"/>
      <c r="FJ24" s="208"/>
      <c r="FK24" s="217"/>
      <c r="FL24" s="217"/>
      <c r="FM24" s="217"/>
      <c r="FN24" s="211"/>
      <c r="FO24" s="213"/>
      <c r="FP24" s="213"/>
      <c r="FQ24" s="213"/>
      <c r="FR24" s="208"/>
      <c r="FS24" s="217"/>
      <c r="FT24" s="217"/>
      <c r="FU24" s="217"/>
      <c r="FV24" s="211"/>
      <c r="FW24" s="213"/>
      <c r="FX24" s="213"/>
      <c r="FY24" s="213"/>
      <c r="FZ24" s="208"/>
      <c r="GA24" s="217"/>
      <c r="GB24" s="217"/>
      <c r="GC24" s="217"/>
      <c r="GD24" s="211"/>
      <c r="GE24" s="213"/>
      <c r="GF24" s="213"/>
      <c r="GG24" s="213"/>
      <c r="GH24" s="208"/>
      <c r="GI24" s="217"/>
      <c r="GJ24" s="217"/>
      <c r="GK24" s="217"/>
      <c r="GL24" s="211"/>
      <c r="GM24" s="213"/>
      <c r="GN24" s="213"/>
      <c r="GO24" s="213"/>
      <c r="GP24" s="208"/>
      <c r="GQ24" s="217"/>
      <c r="GR24" s="217"/>
      <c r="GS24" s="217"/>
    </row>
    <row r="25" spans="2:201" s="218" customFormat="1" ht="205" customHeight="1" x14ac:dyDescent="0.35">
      <c r="B25" s="245">
        <v>16</v>
      </c>
      <c r="C25" s="194"/>
      <c r="D25" s="270"/>
      <c r="E25" s="271"/>
      <c r="F25" s="271"/>
      <c r="G25" s="272"/>
      <c r="H25" s="316"/>
      <c r="I25" s="198"/>
      <c r="J25" s="199"/>
      <c r="K25" s="268"/>
      <c r="L25" s="201"/>
      <c r="M25" s="281"/>
      <c r="N25" s="202"/>
      <c r="O25" s="203">
        <f ca="1">IF(N25="Aprobado con comentarios / Emitir Rev.B",TODAY()-M25,0)</f>
        <v>0</v>
      </c>
      <c r="P25" s="203">
        <f t="shared" ca="1" si="0"/>
        <v>0</v>
      </c>
      <c r="Q25" s="204">
        <f t="shared" si="1"/>
        <v>0</v>
      </c>
      <c r="R25" s="205"/>
      <c r="S25" s="206"/>
      <c r="T25" s="206"/>
      <c r="U25" s="207"/>
      <c r="V25" s="208"/>
      <c r="W25" s="209"/>
      <c r="X25" s="210"/>
      <c r="Y25" s="209"/>
      <c r="Z25" s="211"/>
      <c r="AA25" s="212"/>
      <c r="AB25" s="213"/>
      <c r="AC25" s="214"/>
      <c r="AD25" s="208"/>
      <c r="AE25" s="209"/>
      <c r="AF25" s="210"/>
      <c r="AG25" s="227"/>
      <c r="AH25" s="211"/>
      <c r="AI25" s="212"/>
      <c r="AJ25" s="213"/>
      <c r="AK25" s="214"/>
      <c r="AL25" s="208"/>
      <c r="AM25" s="209"/>
      <c r="AN25" s="210"/>
      <c r="AO25" s="209"/>
      <c r="AP25" s="216"/>
      <c r="AQ25" s="212"/>
      <c r="AR25" s="214"/>
      <c r="AS25" s="214"/>
      <c r="AT25" s="215"/>
      <c r="AU25" s="209"/>
      <c r="AV25" s="210"/>
      <c r="AW25" s="209"/>
      <c r="AX25" s="211"/>
      <c r="AY25" s="213"/>
      <c r="AZ25" s="213"/>
      <c r="BA25" s="214"/>
      <c r="BB25" s="208"/>
      <c r="BC25" s="209"/>
      <c r="BD25" s="210"/>
      <c r="BE25" s="217"/>
      <c r="BF25" s="211"/>
      <c r="BG25" s="213"/>
      <c r="BH25" s="213"/>
      <c r="BI25" s="214"/>
      <c r="BJ25" s="208"/>
      <c r="BK25" s="209"/>
      <c r="BL25" s="210"/>
      <c r="BM25" s="217"/>
      <c r="BN25" s="211"/>
      <c r="BO25" s="213"/>
      <c r="BP25" s="213"/>
      <c r="BQ25" s="213"/>
      <c r="BR25" s="208"/>
      <c r="BS25" s="217"/>
      <c r="BT25" s="210"/>
      <c r="BU25" s="217"/>
      <c r="BV25" s="211"/>
      <c r="BW25" s="213"/>
      <c r="BX25" s="213"/>
      <c r="BY25" s="213"/>
      <c r="BZ25" s="208"/>
      <c r="CA25" s="217"/>
      <c r="CB25" s="217"/>
      <c r="CC25" s="217"/>
      <c r="CD25" s="211"/>
      <c r="CE25" s="213"/>
      <c r="CF25" s="213"/>
      <c r="CG25" s="213"/>
      <c r="CH25" s="208"/>
      <c r="CI25" s="217"/>
      <c r="CJ25" s="217"/>
      <c r="CK25" s="217"/>
      <c r="CL25" s="211"/>
      <c r="CM25" s="213"/>
      <c r="CN25" s="213"/>
      <c r="CO25" s="213"/>
      <c r="CP25" s="208"/>
      <c r="CQ25" s="217"/>
      <c r="CR25" s="217"/>
      <c r="CS25" s="217"/>
      <c r="CT25" s="211"/>
      <c r="CU25" s="213"/>
      <c r="CV25" s="213"/>
      <c r="CW25" s="213"/>
      <c r="CX25" s="208"/>
      <c r="CY25" s="217"/>
      <c r="CZ25" s="217"/>
      <c r="DA25" s="217"/>
      <c r="DB25" s="211"/>
      <c r="DC25" s="213"/>
      <c r="DD25" s="213"/>
      <c r="DE25" s="213"/>
      <c r="DF25" s="208"/>
      <c r="DG25" s="217"/>
      <c r="DH25" s="217"/>
      <c r="DI25" s="217"/>
      <c r="DJ25" s="211"/>
      <c r="DK25" s="213"/>
      <c r="DL25" s="213"/>
      <c r="DM25" s="213"/>
      <c r="DN25" s="208"/>
      <c r="DO25" s="217"/>
      <c r="DP25" s="217"/>
      <c r="DQ25" s="217"/>
      <c r="DR25" s="211"/>
      <c r="DS25" s="213"/>
      <c r="DT25" s="213"/>
      <c r="DU25" s="213"/>
      <c r="DV25" s="208"/>
      <c r="DW25" s="217"/>
      <c r="DX25" s="217"/>
      <c r="DY25" s="217"/>
      <c r="DZ25" s="211"/>
      <c r="EA25" s="213"/>
      <c r="EB25" s="213"/>
      <c r="EC25" s="213"/>
      <c r="ED25" s="208"/>
      <c r="EE25" s="217"/>
      <c r="EF25" s="217"/>
      <c r="EG25" s="217"/>
      <c r="EH25" s="211"/>
      <c r="EI25" s="213"/>
      <c r="EJ25" s="213"/>
      <c r="EK25" s="213"/>
      <c r="EL25" s="208"/>
      <c r="EM25" s="217"/>
      <c r="EN25" s="217"/>
      <c r="EO25" s="217"/>
      <c r="EP25" s="211"/>
      <c r="EQ25" s="213"/>
      <c r="ER25" s="213"/>
      <c r="ES25" s="213"/>
      <c r="ET25" s="208"/>
      <c r="EU25" s="217"/>
      <c r="EV25" s="217"/>
      <c r="EW25" s="217"/>
      <c r="EX25" s="211"/>
      <c r="EY25" s="213"/>
      <c r="EZ25" s="213"/>
      <c r="FA25" s="213"/>
      <c r="FB25" s="208"/>
      <c r="FC25" s="217"/>
      <c r="FD25" s="217"/>
      <c r="FE25" s="217"/>
      <c r="FF25" s="211"/>
      <c r="FG25" s="213"/>
      <c r="FH25" s="213"/>
      <c r="FI25" s="213"/>
      <c r="FJ25" s="208"/>
      <c r="FK25" s="217"/>
      <c r="FL25" s="217"/>
      <c r="FM25" s="217"/>
      <c r="FN25" s="211"/>
      <c r="FO25" s="213"/>
      <c r="FP25" s="213"/>
      <c r="FQ25" s="213"/>
      <c r="FR25" s="208"/>
      <c r="FS25" s="217"/>
      <c r="FT25" s="217"/>
      <c r="FU25" s="217"/>
      <c r="FV25" s="211"/>
      <c r="FW25" s="213"/>
      <c r="FX25" s="213"/>
      <c r="FY25" s="213"/>
      <c r="FZ25" s="208"/>
      <c r="GA25" s="217"/>
      <c r="GB25" s="217"/>
      <c r="GC25" s="217"/>
      <c r="GD25" s="211"/>
      <c r="GE25" s="213"/>
      <c r="GF25" s="213"/>
      <c r="GG25" s="213"/>
      <c r="GH25" s="208"/>
      <c r="GI25" s="217"/>
      <c r="GJ25" s="217"/>
      <c r="GK25" s="217"/>
      <c r="GL25" s="211"/>
      <c r="GM25" s="213"/>
      <c r="GN25" s="213"/>
      <c r="GO25" s="213"/>
      <c r="GP25" s="208"/>
      <c r="GQ25" s="217"/>
      <c r="GR25" s="217"/>
      <c r="GS25" s="217"/>
    </row>
    <row r="26" spans="2:201" s="218" customFormat="1" ht="205" customHeight="1" x14ac:dyDescent="0.35">
      <c r="B26" s="245">
        <v>17</v>
      </c>
      <c r="C26" s="195"/>
      <c r="D26" s="270"/>
      <c r="E26" s="271"/>
      <c r="F26" s="271"/>
      <c r="G26" s="272"/>
      <c r="H26" s="316"/>
      <c r="I26" s="198"/>
      <c r="J26" s="199"/>
      <c r="K26" s="268"/>
      <c r="L26" s="201"/>
      <c r="M26" s="281"/>
      <c r="N26" s="202"/>
      <c r="O26" s="203">
        <f ca="1">IF(N26="Aprobado con comentarios / Emitir Rev.B",TODAY()-M26,0)</f>
        <v>0</v>
      </c>
      <c r="P26" s="203">
        <f t="shared" ca="1" si="0"/>
        <v>0</v>
      </c>
      <c r="Q26" s="204">
        <f t="shared" si="1"/>
        <v>0</v>
      </c>
      <c r="R26" s="205"/>
      <c r="S26" s="206"/>
      <c r="T26" s="206"/>
      <c r="U26" s="207"/>
      <c r="V26" s="208"/>
      <c r="W26" s="209"/>
      <c r="X26" s="210"/>
      <c r="Y26" s="209"/>
      <c r="Z26" s="211"/>
      <c r="AA26" s="212"/>
      <c r="AB26" s="213"/>
      <c r="AC26" s="214"/>
      <c r="AD26" s="215"/>
      <c r="AE26" s="209"/>
      <c r="AF26" s="210"/>
      <c r="AG26" s="209"/>
      <c r="AH26" s="211"/>
      <c r="AI26" s="212"/>
      <c r="AJ26" s="213"/>
      <c r="AK26" s="214"/>
      <c r="AL26" s="225"/>
      <c r="AM26" s="209"/>
      <c r="AN26" s="210"/>
      <c r="AO26" s="209"/>
      <c r="AP26" s="226"/>
      <c r="AQ26" s="214"/>
      <c r="AR26" s="213"/>
      <c r="AS26" s="214"/>
      <c r="AT26" s="208"/>
      <c r="AU26" s="217"/>
      <c r="AV26" s="210"/>
      <c r="AW26" s="217"/>
      <c r="AX26" s="211"/>
      <c r="AY26" s="213"/>
      <c r="AZ26" s="213"/>
      <c r="BA26" s="213"/>
      <c r="BB26" s="208"/>
      <c r="BC26" s="217"/>
      <c r="BD26" s="210"/>
      <c r="BE26" s="217"/>
      <c r="BF26" s="211"/>
      <c r="BG26" s="213"/>
      <c r="BH26" s="213"/>
      <c r="BI26" s="213"/>
      <c r="BJ26" s="208"/>
      <c r="BK26" s="217"/>
      <c r="BL26" s="210"/>
      <c r="BM26" s="217"/>
      <c r="BN26" s="211"/>
      <c r="BO26" s="213"/>
      <c r="BP26" s="213"/>
      <c r="BQ26" s="213"/>
      <c r="BR26" s="208"/>
      <c r="BS26" s="217"/>
      <c r="BT26" s="210"/>
      <c r="BU26" s="217"/>
      <c r="BV26" s="211"/>
      <c r="BW26" s="213"/>
      <c r="BX26" s="213"/>
      <c r="BY26" s="213"/>
      <c r="BZ26" s="208"/>
      <c r="CA26" s="217"/>
      <c r="CB26" s="217"/>
      <c r="CC26" s="217"/>
      <c r="CD26" s="211"/>
      <c r="CE26" s="213"/>
      <c r="CF26" s="213"/>
      <c r="CG26" s="213"/>
      <c r="CH26" s="208"/>
      <c r="CI26" s="217"/>
      <c r="CJ26" s="217"/>
      <c r="CK26" s="217"/>
      <c r="CL26" s="211"/>
      <c r="CM26" s="213"/>
      <c r="CN26" s="213"/>
      <c r="CO26" s="213"/>
      <c r="CP26" s="208"/>
      <c r="CQ26" s="217"/>
      <c r="CR26" s="217"/>
      <c r="CS26" s="217"/>
      <c r="CT26" s="211"/>
      <c r="CU26" s="213"/>
      <c r="CV26" s="213"/>
      <c r="CW26" s="213"/>
      <c r="CX26" s="208"/>
      <c r="CY26" s="217"/>
      <c r="CZ26" s="217"/>
      <c r="DA26" s="217"/>
      <c r="DB26" s="211"/>
      <c r="DC26" s="213"/>
      <c r="DD26" s="213"/>
      <c r="DE26" s="213"/>
      <c r="DF26" s="208"/>
      <c r="DG26" s="217"/>
      <c r="DH26" s="217"/>
      <c r="DI26" s="217"/>
      <c r="DJ26" s="211"/>
      <c r="DK26" s="213"/>
      <c r="DL26" s="213"/>
      <c r="DM26" s="213"/>
      <c r="DN26" s="208"/>
      <c r="DO26" s="217"/>
      <c r="DP26" s="217"/>
      <c r="DQ26" s="217"/>
      <c r="DR26" s="211"/>
      <c r="DS26" s="213"/>
      <c r="DT26" s="213"/>
      <c r="DU26" s="213"/>
      <c r="DV26" s="208"/>
      <c r="DW26" s="217"/>
      <c r="DX26" s="217"/>
      <c r="DY26" s="217"/>
      <c r="DZ26" s="211"/>
      <c r="EA26" s="213"/>
      <c r="EB26" s="213"/>
      <c r="EC26" s="213"/>
      <c r="ED26" s="208"/>
      <c r="EE26" s="217"/>
      <c r="EF26" s="217"/>
      <c r="EG26" s="217"/>
      <c r="EH26" s="211"/>
      <c r="EI26" s="213"/>
      <c r="EJ26" s="213"/>
      <c r="EK26" s="213"/>
      <c r="EL26" s="208"/>
      <c r="EM26" s="217"/>
      <c r="EN26" s="217"/>
      <c r="EO26" s="217"/>
      <c r="EP26" s="211"/>
      <c r="EQ26" s="213"/>
      <c r="ER26" s="213"/>
      <c r="ES26" s="213"/>
      <c r="ET26" s="208"/>
      <c r="EU26" s="217"/>
      <c r="EV26" s="217"/>
      <c r="EW26" s="217"/>
      <c r="EX26" s="211"/>
      <c r="EY26" s="213"/>
      <c r="EZ26" s="213"/>
      <c r="FA26" s="213"/>
      <c r="FB26" s="208"/>
      <c r="FC26" s="217"/>
      <c r="FD26" s="217"/>
      <c r="FE26" s="217"/>
      <c r="FF26" s="211"/>
      <c r="FG26" s="213"/>
      <c r="FH26" s="213"/>
      <c r="FI26" s="213"/>
      <c r="FJ26" s="208"/>
      <c r="FK26" s="217"/>
      <c r="FL26" s="217"/>
      <c r="FM26" s="217"/>
      <c r="FN26" s="211"/>
      <c r="FO26" s="213"/>
      <c r="FP26" s="213"/>
      <c r="FQ26" s="213"/>
      <c r="FR26" s="208"/>
      <c r="FS26" s="217"/>
      <c r="FT26" s="217"/>
      <c r="FU26" s="217"/>
      <c r="FV26" s="211"/>
      <c r="FW26" s="213"/>
      <c r="FX26" s="213"/>
      <c r="FY26" s="213"/>
      <c r="FZ26" s="208"/>
      <c r="GA26" s="217"/>
      <c r="GB26" s="217"/>
      <c r="GC26" s="217"/>
      <c r="GD26" s="211"/>
      <c r="GE26" s="213"/>
      <c r="GF26" s="213"/>
      <c r="GG26" s="213"/>
      <c r="GH26" s="208"/>
      <c r="GI26" s="217"/>
      <c r="GJ26" s="217"/>
      <c r="GK26" s="217"/>
      <c r="GL26" s="211"/>
      <c r="GM26" s="213"/>
      <c r="GN26" s="213"/>
      <c r="GO26" s="213"/>
      <c r="GP26" s="208"/>
      <c r="GQ26" s="217"/>
      <c r="GR26" s="217"/>
      <c r="GS26" s="217"/>
    </row>
    <row r="27" spans="2:201" s="218" customFormat="1" ht="205" customHeight="1" x14ac:dyDescent="0.35">
      <c r="B27" s="245">
        <v>18</v>
      </c>
      <c r="C27" s="194"/>
      <c r="D27" s="270"/>
      <c r="E27" s="271"/>
      <c r="F27" s="271"/>
      <c r="G27" s="272"/>
      <c r="H27" s="316"/>
      <c r="I27" s="198"/>
      <c r="J27" s="199"/>
      <c r="K27" s="268"/>
      <c r="L27" s="201"/>
      <c r="M27" s="281"/>
      <c r="N27" s="202"/>
      <c r="O27" s="203">
        <f ca="1">IF(N27="Aprobado con comentarios / Emitir Rev.B",TODAY()-M27,0)</f>
        <v>0</v>
      </c>
      <c r="P27" s="203">
        <f t="shared" ca="1" si="0"/>
        <v>0</v>
      </c>
      <c r="Q27" s="204">
        <f t="shared" si="1"/>
        <v>0</v>
      </c>
      <c r="R27" s="205"/>
      <c r="S27" s="206"/>
      <c r="T27" s="206"/>
      <c r="U27" s="207"/>
      <c r="V27" s="208"/>
      <c r="W27" s="209"/>
      <c r="X27" s="210"/>
      <c r="Y27" s="209"/>
      <c r="Z27" s="211"/>
      <c r="AA27" s="212"/>
      <c r="AB27" s="213"/>
      <c r="AC27" s="214"/>
      <c r="AD27" s="208"/>
      <c r="AE27" s="209"/>
      <c r="AF27" s="210"/>
      <c r="AG27" s="227"/>
      <c r="AH27" s="211"/>
      <c r="AI27" s="212"/>
      <c r="AJ27" s="213"/>
      <c r="AK27" s="214"/>
      <c r="AL27" s="208"/>
      <c r="AM27" s="209"/>
      <c r="AN27" s="210"/>
      <c r="AO27" s="209"/>
      <c r="AP27" s="216"/>
      <c r="AQ27" s="213"/>
      <c r="AR27" s="214"/>
      <c r="AS27" s="214"/>
      <c r="AT27" s="208"/>
      <c r="AU27" s="209"/>
      <c r="AV27" s="210"/>
      <c r="AW27" s="217"/>
      <c r="AX27" s="211"/>
      <c r="AY27" s="213"/>
      <c r="AZ27" s="213"/>
      <c r="BA27" s="214"/>
      <c r="BB27" s="208"/>
      <c r="BC27" s="209"/>
      <c r="BD27" s="210"/>
      <c r="BE27" s="217"/>
      <c r="BF27" s="211"/>
      <c r="BG27" s="213"/>
      <c r="BH27" s="213"/>
      <c r="BI27" s="214"/>
      <c r="BJ27" s="208"/>
      <c r="BK27" s="209"/>
      <c r="BL27" s="210"/>
      <c r="BM27" s="217"/>
      <c r="BN27" s="211"/>
      <c r="BO27" s="213"/>
      <c r="BP27" s="213"/>
      <c r="BQ27" s="213"/>
      <c r="BR27" s="208"/>
      <c r="BS27" s="217"/>
      <c r="BT27" s="210"/>
      <c r="BU27" s="217"/>
      <c r="BV27" s="211"/>
      <c r="BW27" s="213"/>
      <c r="BX27" s="213"/>
      <c r="BY27" s="213"/>
      <c r="BZ27" s="208"/>
      <c r="CA27" s="217"/>
      <c r="CB27" s="217"/>
      <c r="CC27" s="217"/>
      <c r="CD27" s="211"/>
      <c r="CE27" s="213"/>
      <c r="CF27" s="213"/>
      <c r="CG27" s="213"/>
      <c r="CH27" s="208"/>
      <c r="CI27" s="217"/>
      <c r="CJ27" s="217"/>
      <c r="CK27" s="217"/>
      <c r="CL27" s="211"/>
      <c r="CM27" s="213"/>
      <c r="CN27" s="213"/>
      <c r="CO27" s="213"/>
      <c r="CP27" s="208"/>
      <c r="CQ27" s="217"/>
      <c r="CR27" s="217"/>
      <c r="CS27" s="217"/>
      <c r="CT27" s="211"/>
      <c r="CU27" s="213"/>
      <c r="CV27" s="213"/>
      <c r="CW27" s="213"/>
      <c r="CX27" s="208"/>
      <c r="CY27" s="217"/>
      <c r="CZ27" s="217"/>
      <c r="DA27" s="217"/>
      <c r="DB27" s="211"/>
      <c r="DC27" s="213"/>
      <c r="DD27" s="213"/>
      <c r="DE27" s="213"/>
      <c r="DF27" s="208"/>
      <c r="DG27" s="217"/>
      <c r="DH27" s="217"/>
      <c r="DI27" s="217"/>
      <c r="DJ27" s="211"/>
      <c r="DK27" s="213"/>
      <c r="DL27" s="213"/>
      <c r="DM27" s="213"/>
      <c r="DN27" s="208"/>
      <c r="DO27" s="217"/>
      <c r="DP27" s="217"/>
      <c r="DQ27" s="217"/>
      <c r="DR27" s="211"/>
      <c r="DS27" s="213"/>
      <c r="DT27" s="213"/>
      <c r="DU27" s="213"/>
      <c r="DV27" s="208"/>
      <c r="DW27" s="217"/>
      <c r="DX27" s="217"/>
      <c r="DY27" s="217"/>
      <c r="DZ27" s="211"/>
      <c r="EA27" s="213"/>
      <c r="EB27" s="213"/>
      <c r="EC27" s="213"/>
      <c r="ED27" s="208"/>
      <c r="EE27" s="217"/>
      <c r="EF27" s="217"/>
      <c r="EG27" s="217"/>
      <c r="EH27" s="211"/>
      <c r="EI27" s="213"/>
      <c r="EJ27" s="213"/>
      <c r="EK27" s="213"/>
      <c r="EL27" s="208"/>
      <c r="EM27" s="217"/>
      <c r="EN27" s="217"/>
      <c r="EO27" s="217"/>
      <c r="EP27" s="211"/>
      <c r="EQ27" s="213"/>
      <c r="ER27" s="213"/>
      <c r="ES27" s="213"/>
      <c r="ET27" s="208"/>
      <c r="EU27" s="217"/>
      <c r="EV27" s="217"/>
      <c r="EW27" s="217"/>
      <c r="EX27" s="211"/>
      <c r="EY27" s="213"/>
      <c r="EZ27" s="213"/>
      <c r="FA27" s="213"/>
      <c r="FB27" s="208"/>
      <c r="FC27" s="217"/>
      <c r="FD27" s="217"/>
      <c r="FE27" s="217"/>
      <c r="FF27" s="211"/>
      <c r="FG27" s="213"/>
      <c r="FH27" s="213"/>
      <c r="FI27" s="213"/>
      <c r="FJ27" s="208"/>
      <c r="FK27" s="217"/>
      <c r="FL27" s="217"/>
      <c r="FM27" s="217"/>
      <c r="FN27" s="211"/>
      <c r="FO27" s="213"/>
      <c r="FP27" s="213"/>
      <c r="FQ27" s="213"/>
      <c r="FR27" s="208"/>
      <c r="FS27" s="217"/>
      <c r="FT27" s="217"/>
      <c r="FU27" s="217"/>
      <c r="FV27" s="211"/>
      <c r="FW27" s="213"/>
      <c r="FX27" s="213"/>
      <c r="FY27" s="213"/>
      <c r="FZ27" s="208"/>
      <c r="GA27" s="217"/>
      <c r="GB27" s="217"/>
      <c r="GC27" s="217"/>
      <c r="GD27" s="211"/>
      <c r="GE27" s="213"/>
      <c r="GF27" s="213"/>
      <c r="GG27" s="213"/>
      <c r="GH27" s="208"/>
      <c r="GI27" s="217"/>
      <c r="GJ27" s="217"/>
      <c r="GK27" s="217"/>
      <c r="GL27" s="211"/>
      <c r="GM27" s="213"/>
      <c r="GN27" s="213"/>
      <c r="GO27" s="213"/>
      <c r="GP27" s="208"/>
      <c r="GQ27" s="217"/>
      <c r="GR27" s="217"/>
      <c r="GS27" s="217"/>
    </row>
    <row r="28" spans="2:201" s="218" customFormat="1" ht="205" customHeight="1" x14ac:dyDescent="0.35">
      <c r="B28" s="245">
        <v>19</v>
      </c>
      <c r="C28" s="195"/>
      <c r="D28" s="195"/>
      <c r="E28" s="246"/>
      <c r="F28" s="246"/>
      <c r="G28" s="196"/>
      <c r="H28" s="288"/>
      <c r="I28" s="198"/>
      <c r="J28" s="199"/>
      <c r="K28" s="219"/>
      <c r="L28" s="201"/>
      <c r="M28" s="201"/>
      <c r="N28" s="202"/>
      <c r="O28" s="203">
        <f ca="1">IF(N28="Aprobado con comentarios / Emitir Rev.0",TODAY()-M28,0)</f>
        <v>0</v>
      </c>
      <c r="P28" s="203">
        <f t="shared" ca="1" si="0"/>
        <v>0</v>
      </c>
      <c r="Q28" s="204">
        <f t="shared" si="1"/>
        <v>0</v>
      </c>
      <c r="R28" s="205"/>
      <c r="S28" s="206"/>
      <c r="T28" s="206"/>
      <c r="U28" s="207"/>
      <c r="V28" s="208"/>
      <c r="W28" s="209"/>
      <c r="X28" s="210"/>
      <c r="Y28" s="209"/>
      <c r="Z28" s="211"/>
      <c r="AA28" s="212"/>
      <c r="AB28" s="213"/>
      <c r="AC28" s="214"/>
      <c r="AD28" s="210"/>
      <c r="AE28" s="209"/>
      <c r="AF28" s="210"/>
      <c r="AG28" s="202"/>
      <c r="AH28" s="211"/>
      <c r="AI28" s="212"/>
      <c r="AJ28" s="213"/>
      <c r="AK28" s="214"/>
      <c r="AL28" s="215"/>
      <c r="AM28" s="209"/>
      <c r="AN28" s="210"/>
      <c r="AO28" s="209"/>
      <c r="AP28" s="216"/>
      <c r="AQ28" s="212"/>
      <c r="AR28" s="213"/>
      <c r="AS28" s="214"/>
      <c r="AT28" s="208"/>
      <c r="AU28" s="209"/>
      <c r="AV28" s="210"/>
      <c r="AW28" s="217"/>
      <c r="AX28" s="211"/>
      <c r="AY28" s="213"/>
      <c r="AZ28" s="213"/>
      <c r="BA28" s="213"/>
      <c r="BB28" s="208"/>
      <c r="BC28" s="217"/>
      <c r="BD28" s="210"/>
      <c r="BE28" s="217"/>
      <c r="BF28" s="211"/>
      <c r="BG28" s="213"/>
      <c r="BH28" s="213"/>
      <c r="BI28" s="213"/>
      <c r="BJ28" s="208"/>
      <c r="BK28" s="217"/>
      <c r="BL28" s="210"/>
      <c r="BM28" s="217"/>
      <c r="BN28" s="211"/>
      <c r="BO28" s="213"/>
      <c r="BP28" s="213"/>
      <c r="BQ28" s="213"/>
      <c r="BR28" s="208"/>
      <c r="BS28" s="217"/>
      <c r="BT28" s="210"/>
      <c r="BU28" s="217"/>
      <c r="BV28" s="211"/>
      <c r="BW28" s="213"/>
      <c r="BX28" s="213"/>
      <c r="BY28" s="213"/>
      <c r="BZ28" s="208"/>
      <c r="CA28" s="217"/>
      <c r="CB28" s="217"/>
      <c r="CC28" s="217"/>
      <c r="CD28" s="211"/>
      <c r="CE28" s="213"/>
      <c r="CF28" s="213"/>
      <c r="CG28" s="213"/>
      <c r="CH28" s="208"/>
      <c r="CI28" s="217"/>
      <c r="CJ28" s="217"/>
      <c r="CK28" s="217"/>
      <c r="CL28" s="211"/>
      <c r="CM28" s="213"/>
      <c r="CN28" s="213"/>
      <c r="CO28" s="213"/>
      <c r="CP28" s="208"/>
      <c r="CQ28" s="217"/>
      <c r="CR28" s="217"/>
      <c r="CS28" s="217"/>
      <c r="CT28" s="211"/>
      <c r="CU28" s="213"/>
      <c r="CV28" s="213"/>
      <c r="CW28" s="213"/>
      <c r="CX28" s="208"/>
      <c r="CY28" s="217"/>
      <c r="CZ28" s="217"/>
      <c r="DA28" s="217"/>
      <c r="DB28" s="211"/>
      <c r="DC28" s="213"/>
      <c r="DD28" s="213"/>
      <c r="DE28" s="213"/>
      <c r="DF28" s="208"/>
      <c r="DG28" s="217"/>
      <c r="DH28" s="217"/>
      <c r="DI28" s="217"/>
      <c r="DJ28" s="211"/>
      <c r="DK28" s="213"/>
      <c r="DL28" s="213"/>
      <c r="DM28" s="213"/>
      <c r="DN28" s="208"/>
      <c r="DO28" s="217"/>
      <c r="DP28" s="217"/>
      <c r="DQ28" s="217"/>
      <c r="DR28" s="211"/>
      <c r="DS28" s="213"/>
      <c r="DT28" s="213"/>
      <c r="DU28" s="213"/>
      <c r="DV28" s="208"/>
      <c r="DW28" s="217"/>
      <c r="DX28" s="217"/>
      <c r="DY28" s="217"/>
      <c r="DZ28" s="211"/>
      <c r="EA28" s="213"/>
      <c r="EB28" s="213"/>
      <c r="EC28" s="213"/>
      <c r="ED28" s="208"/>
      <c r="EE28" s="217"/>
      <c r="EF28" s="217"/>
      <c r="EG28" s="217"/>
      <c r="EH28" s="211"/>
      <c r="EI28" s="213"/>
      <c r="EJ28" s="213"/>
      <c r="EK28" s="213"/>
      <c r="EL28" s="208"/>
      <c r="EM28" s="217"/>
      <c r="EN28" s="217"/>
      <c r="EO28" s="217"/>
      <c r="EP28" s="211"/>
      <c r="EQ28" s="213"/>
      <c r="ER28" s="213"/>
      <c r="ES28" s="213"/>
      <c r="ET28" s="208"/>
      <c r="EU28" s="217"/>
      <c r="EV28" s="217"/>
      <c r="EW28" s="217"/>
      <c r="EX28" s="211"/>
      <c r="EY28" s="213"/>
      <c r="EZ28" s="213"/>
      <c r="FA28" s="213"/>
      <c r="FB28" s="208"/>
      <c r="FC28" s="217"/>
      <c r="FD28" s="217"/>
      <c r="FE28" s="217"/>
      <c r="FF28" s="211"/>
      <c r="FG28" s="213"/>
      <c r="FH28" s="213"/>
      <c r="FI28" s="213"/>
      <c r="FJ28" s="208"/>
      <c r="FK28" s="217"/>
      <c r="FL28" s="217"/>
      <c r="FM28" s="217"/>
      <c r="FN28" s="211"/>
      <c r="FO28" s="213"/>
      <c r="FP28" s="213"/>
      <c r="FQ28" s="213"/>
      <c r="FR28" s="208"/>
      <c r="FS28" s="217"/>
      <c r="FT28" s="217"/>
      <c r="FU28" s="217"/>
      <c r="FV28" s="211"/>
      <c r="FW28" s="213"/>
      <c r="FX28" s="213"/>
      <c r="FY28" s="213"/>
      <c r="FZ28" s="208"/>
      <c r="GA28" s="217"/>
      <c r="GB28" s="217"/>
      <c r="GC28" s="217"/>
      <c r="GD28" s="211"/>
      <c r="GE28" s="213"/>
      <c r="GF28" s="213"/>
      <c r="GG28" s="213"/>
      <c r="GH28" s="208"/>
      <c r="GI28" s="217"/>
      <c r="GJ28" s="217"/>
      <c r="GK28" s="217"/>
      <c r="GL28" s="211"/>
      <c r="GM28" s="213"/>
      <c r="GN28" s="213"/>
      <c r="GO28" s="213"/>
      <c r="GP28" s="208"/>
      <c r="GQ28" s="217"/>
      <c r="GR28" s="217"/>
      <c r="GS28" s="217"/>
    </row>
    <row r="29" spans="2:201" s="218" customFormat="1" ht="205" customHeight="1" x14ac:dyDescent="0.35">
      <c r="B29" s="245">
        <v>20</v>
      </c>
      <c r="C29" s="195"/>
      <c r="D29" s="195"/>
      <c r="E29" s="246"/>
      <c r="F29" s="246"/>
      <c r="G29" s="196"/>
      <c r="H29" s="287"/>
      <c r="I29" s="198"/>
      <c r="J29" s="199"/>
      <c r="K29" s="200"/>
      <c r="L29" s="201"/>
      <c r="M29" s="201"/>
      <c r="N29" s="202"/>
      <c r="O29" s="203">
        <f ca="1">IF(N29="Aprobado con comentarios / Emitir Rev.0",TODAY()-M29,0)</f>
        <v>0</v>
      </c>
      <c r="P29" s="203">
        <f t="shared" ca="1" si="0"/>
        <v>0</v>
      </c>
      <c r="Q29" s="204">
        <f t="shared" si="1"/>
        <v>0</v>
      </c>
      <c r="R29" s="205"/>
      <c r="S29" s="206"/>
      <c r="T29" s="206"/>
      <c r="U29" s="207"/>
      <c r="V29" s="208"/>
      <c r="W29" s="209"/>
      <c r="X29" s="210"/>
      <c r="Y29" s="209"/>
      <c r="Z29" s="211"/>
      <c r="AA29" s="212"/>
      <c r="AB29" s="213"/>
      <c r="AC29" s="214"/>
      <c r="AD29" s="208"/>
      <c r="AE29" s="209"/>
      <c r="AF29" s="210"/>
      <c r="AG29" s="209"/>
      <c r="AH29" s="211"/>
      <c r="AI29" s="212"/>
      <c r="AJ29" s="213"/>
      <c r="AK29" s="214"/>
      <c r="AL29" s="215"/>
      <c r="AM29" s="209"/>
      <c r="AN29" s="210"/>
      <c r="AO29" s="209"/>
      <c r="AP29" s="216"/>
      <c r="AQ29" s="212"/>
      <c r="AR29" s="213"/>
      <c r="AS29" s="214"/>
      <c r="AT29" s="208"/>
      <c r="AU29" s="209"/>
      <c r="AV29" s="210"/>
      <c r="AW29" s="217"/>
      <c r="AX29" s="211"/>
      <c r="AY29" s="213"/>
      <c r="AZ29" s="213"/>
      <c r="BA29" s="213"/>
      <c r="BB29" s="208"/>
      <c r="BC29" s="217"/>
      <c r="BD29" s="210"/>
      <c r="BE29" s="217"/>
      <c r="BF29" s="211"/>
      <c r="BG29" s="213"/>
      <c r="BH29" s="213"/>
      <c r="BI29" s="213"/>
      <c r="BJ29" s="208"/>
      <c r="BK29" s="217"/>
      <c r="BL29" s="210"/>
      <c r="BM29" s="217"/>
      <c r="BN29" s="211"/>
      <c r="BO29" s="213"/>
      <c r="BP29" s="213"/>
      <c r="BQ29" s="213"/>
      <c r="BR29" s="208"/>
      <c r="BS29" s="217"/>
      <c r="BT29" s="210"/>
      <c r="BU29" s="217"/>
      <c r="BV29" s="211"/>
      <c r="BW29" s="213"/>
      <c r="BX29" s="213"/>
      <c r="BY29" s="213"/>
      <c r="BZ29" s="208"/>
      <c r="CA29" s="217"/>
      <c r="CB29" s="217"/>
      <c r="CC29" s="217"/>
      <c r="CD29" s="211"/>
      <c r="CE29" s="213"/>
      <c r="CF29" s="213"/>
      <c r="CG29" s="213"/>
      <c r="CH29" s="208"/>
      <c r="CI29" s="217"/>
      <c r="CJ29" s="217"/>
      <c r="CK29" s="217"/>
      <c r="CL29" s="211"/>
      <c r="CM29" s="213"/>
      <c r="CN29" s="213"/>
      <c r="CO29" s="213"/>
      <c r="CP29" s="208"/>
      <c r="CQ29" s="217"/>
      <c r="CR29" s="217"/>
      <c r="CS29" s="217"/>
      <c r="CT29" s="211"/>
      <c r="CU29" s="213"/>
      <c r="CV29" s="213"/>
      <c r="CW29" s="213"/>
      <c r="CX29" s="208"/>
      <c r="CY29" s="217"/>
      <c r="CZ29" s="217"/>
      <c r="DA29" s="217"/>
      <c r="DB29" s="211"/>
      <c r="DC29" s="213"/>
      <c r="DD29" s="213"/>
      <c r="DE29" s="213"/>
      <c r="DF29" s="208"/>
      <c r="DG29" s="217"/>
      <c r="DH29" s="217"/>
      <c r="DI29" s="217"/>
      <c r="DJ29" s="211"/>
      <c r="DK29" s="213"/>
      <c r="DL29" s="213"/>
      <c r="DM29" s="213"/>
      <c r="DN29" s="208"/>
      <c r="DO29" s="217"/>
      <c r="DP29" s="217"/>
      <c r="DQ29" s="217"/>
      <c r="DR29" s="211"/>
      <c r="DS29" s="213"/>
      <c r="DT29" s="213"/>
      <c r="DU29" s="213"/>
      <c r="DV29" s="208"/>
      <c r="DW29" s="217"/>
      <c r="DX29" s="217"/>
      <c r="DY29" s="217"/>
      <c r="DZ29" s="211"/>
      <c r="EA29" s="213"/>
      <c r="EB29" s="213"/>
      <c r="EC29" s="213"/>
      <c r="ED29" s="208"/>
      <c r="EE29" s="217"/>
      <c r="EF29" s="217"/>
      <c r="EG29" s="217"/>
      <c r="EH29" s="211"/>
      <c r="EI29" s="213"/>
      <c r="EJ29" s="213"/>
      <c r="EK29" s="213"/>
      <c r="EL29" s="208"/>
      <c r="EM29" s="217"/>
      <c r="EN29" s="217"/>
      <c r="EO29" s="217"/>
      <c r="EP29" s="211"/>
      <c r="EQ29" s="213"/>
      <c r="ER29" s="213"/>
      <c r="ES29" s="213"/>
      <c r="ET29" s="208"/>
      <c r="EU29" s="217"/>
      <c r="EV29" s="217"/>
      <c r="EW29" s="217"/>
      <c r="EX29" s="211"/>
      <c r="EY29" s="213"/>
      <c r="EZ29" s="213"/>
      <c r="FA29" s="213"/>
      <c r="FB29" s="208"/>
      <c r="FC29" s="217"/>
      <c r="FD29" s="217"/>
      <c r="FE29" s="217"/>
      <c r="FF29" s="211"/>
      <c r="FG29" s="213"/>
      <c r="FH29" s="213"/>
      <c r="FI29" s="213"/>
      <c r="FJ29" s="208"/>
      <c r="FK29" s="217"/>
      <c r="FL29" s="217"/>
      <c r="FM29" s="217"/>
      <c r="FN29" s="211"/>
      <c r="FO29" s="213"/>
      <c r="FP29" s="213"/>
      <c r="FQ29" s="213"/>
      <c r="FR29" s="208"/>
      <c r="FS29" s="217"/>
      <c r="FT29" s="217"/>
      <c r="FU29" s="217"/>
      <c r="FV29" s="211"/>
      <c r="FW29" s="213"/>
      <c r="FX29" s="213"/>
      <c r="FY29" s="213"/>
      <c r="FZ29" s="208"/>
      <c r="GA29" s="217"/>
      <c r="GB29" s="217"/>
      <c r="GC29" s="217"/>
      <c r="GD29" s="211"/>
      <c r="GE29" s="213"/>
      <c r="GF29" s="213"/>
      <c r="GG29" s="213"/>
      <c r="GH29" s="208"/>
      <c r="GI29" s="217"/>
      <c r="GJ29" s="217"/>
      <c r="GK29" s="217"/>
      <c r="GL29" s="211"/>
      <c r="GM29" s="213"/>
      <c r="GN29" s="213"/>
      <c r="GO29" s="213"/>
      <c r="GP29" s="208"/>
      <c r="GQ29" s="217"/>
      <c r="GR29" s="217"/>
      <c r="GS29" s="217"/>
    </row>
    <row r="30" spans="2:201" s="218" customFormat="1" ht="205" customHeight="1" x14ac:dyDescent="0.35">
      <c r="B30" s="245">
        <v>21</v>
      </c>
      <c r="C30" s="195"/>
      <c r="D30" s="270"/>
      <c r="E30" s="271"/>
      <c r="F30" s="271"/>
      <c r="G30" s="272"/>
      <c r="H30" s="277"/>
      <c r="I30" s="198"/>
      <c r="J30" s="199"/>
      <c r="K30" s="268"/>
      <c r="L30" s="201"/>
      <c r="M30" s="201"/>
      <c r="N30" s="202"/>
      <c r="O30" s="203">
        <f ca="1">IF(N30="Aprobado / Emitir Rev.B",TODAY()-M30,0)</f>
        <v>0</v>
      </c>
      <c r="P30" s="203">
        <f t="shared" ca="1" si="0"/>
        <v>0</v>
      </c>
      <c r="Q30" s="204">
        <f t="shared" si="1"/>
        <v>0</v>
      </c>
      <c r="R30" s="205"/>
      <c r="S30" s="206"/>
      <c r="T30" s="206"/>
      <c r="U30" s="207"/>
      <c r="V30" s="208"/>
      <c r="W30" s="209"/>
      <c r="X30" s="210"/>
      <c r="Y30" s="209"/>
      <c r="Z30" s="211"/>
      <c r="AA30" s="212"/>
      <c r="AB30" s="213"/>
      <c r="AC30" s="214"/>
      <c r="AD30" s="208"/>
      <c r="AE30" s="209"/>
      <c r="AF30" s="210"/>
      <c r="AG30" s="209"/>
      <c r="AH30" s="211"/>
      <c r="AI30" s="212"/>
      <c r="AJ30" s="213"/>
      <c r="AK30" s="214"/>
      <c r="AL30" s="208"/>
      <c r="AM30" s="209"/>
      <c r="AN30" s="210"/>
      <c r="AO30" s="217"/>
      <c r="AP30" s="211"/>
      <c r="AQ30" s="212"/>
      <c r="AR30" s="213"/>
      <c r="AS30" s="214"/>
      <c r="AT30" s="208"/>
      <c r="AU30" s="209"/>
      <c r="AV30" s="210"/>
      <c r="AW30" s="217"/>
      <c r="AX30" s="211"/>
      <c r="AY30" s="213"/>
      <c r="AZ30" s="213"/>
      <c r="BA30" s="213"/>
      <c r="BB30" s="208"/>
      <c r="BC30" s="217"/>
      <c r="BD30" s="210"/>
      <c r="BE30" s="217"/>
      <c r="BF30" s="211"/>
      <c r="BG30" s="213"/>
      <c r="BH30" s="213"/>
      <c r="BI30" s="213"/>
      <c r="BJ30" s="208"/>
      <c r="BK30" s="217"/>
      <c r="BL30" s="210"/>
      <c r="BM30" s="217"/>
      <c r="BN30" s="211"/>
      <c r="BO30" s="213"/>
      <c r="BP30" s="213"/>
      <c r="BQ30" s="213"/>
      <c r="BR30" s="208"/>
      <c r="BS30" s="217"/>
      <c r="BT30" s="210"/>
      <c r="BU30" s="217"/>
      <c r="BV30" s="211"/>
      <c r="BW30" s="213"/>
      <c r="BX30" s="213"/>
      <c r="BY30" s="213"/>
      <c r="BZ30" s="208"/>
      <c r="CA30" s="217"/>
      <c r="CB30" s="217"/>
      <c r="CC30" s="217"/>
      <c r="CD30" s="211"/>
      <c r="CE30" s="213"/>
      <c r="CF30" s="213"/>
      <c r="CG30" s="213"/>
      <c r="CH30" s="208"/>
      <c r="CI30" s="217"/>
      <c r="CJ30" s="217"/>
      <c r="CK30" s="217"/>
      <c r="CL30" s="211"/>
      <c r="CM30" s="213"/>
      <c r="CN30" s="213"/>
      <c r="CO30" s="213"/>
      <c r="CP30" s="208"/>
      <c r="CQ30" s="217"/>
      <c r="CR30" s="217"/>
      <c r="CS30" s="217"/>
      <c r="CT30" s="211"/>
      <c r="CU30" s="213"/>
      <c r="CV30" s="213"/>
      <c r="CW30" s="213"/>
      <c r="CX30" s="208"/>
      <c r="CY30" s="217"/>
      <c r="CZ30" s="217"/>
      <c r="DA30" s="217"/>
      <c r="DB30" s="211"/>
      <c r="DC30" s="213"/>
      <c r="DD30" s="213"/>
      <c r="DE30" s="213"/>
      <c r="DF30" s="208"/>
      <c r="DG30" s="217"/>
      <c r="DH30" s="217"/>
      <c r="DI30" s="217"/>
      <c r="DJ30" s="211"/>
      <c r="DK30" s="213"/>
      <c r="DL30" s="213"/>
      <c r="DM30" s="213"/>
      <c r="DN30" s="208"/>
      <c r="DO30" s="217"/>
      <c r="DP30" s="217"/>
      <c r="DQ30" s="217"/>
      <c r="DR30" s="211"/>
      <c r="DS30" s="213"/>
      <c r="DT30" s="213"/>
      <c r="DU30" s="213"/>
      <c r="DV30" s="208"/>
      <c r="DW30" s="217"/>
      <c r="DX30" s="217"/>
      <c r="DY30" s="217"/>
      <c r="DZ30" s="211"/>
      <c r="EA30" s="213"/>
      <c r="EB30" s="213"/>
      <c r="EC30" s="213"/>
      <c r="ED30" s="208"/>
      <c r="EE30" s="217"/>
      <c r="EF30" s="217"/>
      <c r="EG30" s="217"/>
      <c r="EH30" s="211"/>
      <c r="EI30" s="213"/>
      <c r="EJ30" s="213"/>
      <c r="EK30" s="213"/>
      <c r="EL30" s="208"/>
      <c r="EM30" s="217"/>
      <c r="EN30" s="217"/>
      <c r="EO30" s="217"/>
      <c r="EP30" s="211"/>
      <c r="EQ30" s="213"/>
      <c r="ER30" s="213"/>
      <c r="ES30" s="213"/>
      <c r="ET30" s="208"/>
      <c r="EU30" s="217"/>
      <c r="EV30" s="217"/>
      <c r="EW30" s="217"/>
      <c r="EX30" s="211"/>
      <c r="EY30" s="213"/>
      <c r="EZ30" s="213"/>
      <c r="FA30" s="213"/>
      <c r="FB30" s="208"/>
      <c r="FC30" s="217"/>
      <c r="FD30" s="217"/>
      <c r="FE30" s="217"/>
      <c r="FF30" s="211"/>
      <c r="FG30" s="213"/>
      <c r="FH30" s="213"/>
      <c r="FI30" s="213"/>
      <c r="FJ30" s="208"/>
      <c r="FK30" s="217"/>
      <c r="FL30" s="217"/>
      <c r="FM30" s="217"/>
      <c r="FN30" s="211"/>
      <c r="FO30" s="213"/>
      <c r="FP30" s="213"/>
      <c r="FQ30" s="213"/>
      <c r="FR30" s="208"/>
      <c r="FS30" s="217"/>
      <c r="FT30" s="217"/>
      <c r="FU30" s="217"/>
      <c r="FV30" s="211"/>
      <c r="FW30" s="213"/>
      <c r="FX30" s="213"/>
      <c r="FY30" s="213"/>
      <c r="FZ30" s="208"/>
      <c r="GA30" s="217"/>
      <c r="GB30" s="217"/>
      <c r="GC30" s="217"/>
      <c r="GD30" s="211"/>
      <c r="GE30" s="213"/>
      <c r="GF30" s="213"/>
      <c r="GG30" s="213"/>
      <c r="GH30" s="208"/>
      <c r="GI30" s="217"/>
      <c r="GJ30" s="217"/>
      <c r="GK30" s="217"/>
      <c r="GL30" s="211"/>
      <c r="GM30" s="213"/>
      <c r="GN30" s="213"/>
      <c r="GO30" s="213"/>
      <c r="GP30" s="208"/>
      <c r="GQ30" s="217"/>
      <c r="GR30" s="217"/>
      <c r="GS30" s="217"/>
    </row>
    <row r="31" spans="2:201" s="218" customFormat="1" ht="205" customHeight="1" x14ac:dyDescent="0.35">
      <c r="B31" s="245">
        <v>22</v>
      </c>
      <c r="C31" s="195"/>
      <c r="D31" s="195"/>
      <c r="E31" s="246"/>
      <c r="F31" s="246"/>
      <c r="G31" s="196"/>
      <c r="H31" s="280"/>
      <c r="I31" s="198"/>
      <c r="J31" s="199"/>
      <c r="K31" s="200"/>
      <c r="L31" s="201"/>
      <c r="M31" s="201"/>
      <c r="N31" s="202"/>
      <c r="O31" s="203">
        <f ca="1">IF(N31="Aprobado con comentarios / Emitir Rev.0",TODAY()-M31,0)</f>
        <v>0</v>
      </c>
      <c r="P31" s="203">
        <f t="shared" ca="1" si="0"/>
        <v>0</v>
      </c>
      <c r="Q31" s="204">
        <f t="shared" si="1"/>
        <v>0</v>
      </c>
      <c r="R31" s="205"/>
      <c r="S31" s="206"/>
      <c r="T31" s="229"/>
      <c r="U31" s="207"/>
      <c r="V31" s="208"/>
      <c r="W31" s="209"/>
      <c r="X31" s="210"/>
      <c r="Y31" s="209"/>
      <c r="Z31" s="211"/>
      <c r="AA31" s="212"/>
      <c r="AB31" s="213"/>
      <c r="AC31" s="207"/>
      <c r="AD31" s="208"/>
      <c r="AE31" s="209"/>
      <c r="AF31" s="210"/>
      <c r="AG31" s="209"/>
      <c r="AH31" s="211"/>
      <c r="AI31" s="212"/>
      <c r="AJ31" s="213"/>
      <c r="AK31" s="214"/>
      <c r="AL31" s="215"/>
      <c r="AM31" s="209"/>
      <c r="AN31" s="210"/>
      <c r="AO31" s="209"/>
      <c r="AP31" s="216"/>
      <c r="AQ31" s="212"/>
      <c r="AR31" s="213"/>
      <c r="AS31" s="214"/>
      <c r="AT31" s="208"/>
      <c r="AU31" s="209"/>
      <c r="AV31" s="210"/>
      <c r="AW31" s="217"/>
      <c r="AX31" s="211"/>
      <c r="AY31" s="213"/>
      <c r="AZ31" s="213"/>
      <c r="BA31" s="213"/>
      <c r="BB31" s="208"/>
      <c r="BC31" s="217"/>
      <c r="BD31" s="210"/>
      <c r="BE31" s="217"/>
      <c r="BF31" s="211"/>
      <c r="BG31" s="213"/>
      <c r="BH31" s="213"/>
      <c r="BI31" s="213"/>
      <c r="BJ31" s="208"/>
      <c r="BK31" s="217"/>
      <c r="BL31" s="210"/>
      <c r="BM31" s="217"/>
      <c r="BN31" s="211"/>
      <c r="BO31" s="213"/>
      <c r="BP31" s="213"/>
      <c r="BQ31" s="213"/>
      <c r="BR31" s="208"/>
      <c r="BS31" s="217"/>
      <c r="BT31" s="210"/>
      <c r="BU31" s="217"/>
      <c r="BV31" s="211"/>
      <c r="BW31" s="213"/>
      <c r="BX31" s="213"/>
      <c r="BY31" s="213"/>
      <c r="BZ31" s="208"/>
      <c r="CA31" s="217"/>
      <c r="CB31" s="217"/>
      <c r="CC31" s="217"/>
      <c r="CD31" s="211"/>
      <c r="CE31" s="213"/>
      <c r="CF31" s="213"/>
      <c r="CG31" s="213"/>
      <c r="CH31" s="208"/>
      <c r="CI31" s="217"/>
      <c r="CJ31" s="217"/>
      <c r="CK31" s="217"/>
      <c r="CL31" s="211"/>
      <c r="CM31" s="213"/>
      <c r="CN31" s="213"/>
      <c r="CO31" s="213"/>
      <c r="CP31" s="208"/>
      <c r="CQ31" s="217"/>
      <c r="CR31" s="217"/>
      <c r="CS31" s="217"/>
      <c r="CT31" s="211"/>
      <c r="CU31" s="213"/>
      <c r="CV31" s="213"/>
      <c r="CW31" s="213"/>
      <c r="CX31" s="208"/>
      <c r="CY31" s="217"/>
      <c r="CZ31" s="217"/>
      <c r="DA31" s="217"/>
      <c r="DB31" s="211"/>
      <c r="DC31" s="213"/>
      <c r="DD31" s="213"/>
      <c r="DE31" s="213"/>
      <c r="DF31" s="208"/>
      <c r="DG31" s="217"/>
      <c r="DH31" s="217"/>
      <c r="DI31" s="217"/>
      <c r="DJ31" s="211"/>
      <c r="DK31" s="213"/>
      <c r="DL31" s="213"/>
      <c r="DM31" s="213"/>
      <c r="DN31" s="208"/>
      <c r="DO31" s="217"/>
      <c r="DP31" s="217"/>
      <c r="DQ31" s="217"/>
      <c r="DR31" s="211"/>
      <c r="DS31" s="213"/>
      <c r="DT31" s="213"/>
      <c r="DU31" s="213"/>
      <c r="DV31" s="208"/>
      <c r="DW31" s="217"/>
      <c r="DX31" s="217"/>
      <c r="DY31" s="217"/>
      <c r="DZ31" s="211"/>
      <c r="EA31" s="213"/>
      <c r="EB31" s="213"/>
      <c r="EC31" s="213"/>
      <c r="ED31" s="208"/>
      <c r="EE31" s="217"/>
      <c r="EF31" s="217"/>
      <c r="EG31" s="217"/>
      <c r="EH31" s="211"/>
      <c r="EI31" s="213"/>
      <c r="EJ31" s="213"/>
      <c r="EK31" s="213"/>
      <c r="EL31" s="208"/>
      <c r="EM31" s="217"/>
      <c r="EN31" s="217"/>
      <c r="EO31" s="217"/>
      <c r="EP31" s="211"/>
      <c r="EQ31" s="213"/>
      <c r="ER31" s="213"/>
      <c r="ES31" s="213"/>
      <c r="ET31" s="208"/>
      <c r="EU31" s="217"/>
      <c r="EV31" s="217"/>
      <c r="EW31" s="217"/>
      <c r="EX31" s="211"/>
      <c r="EY31" s="213"/>
      <c r="EZ31" s="213"/>
      <c r="FA31" s="213"/>
      <c r="FB31" s="208"/>
      <c r="FC31" s="217"/>
      <c r="FD31" s="217"/>
      <c r="FE31" s="217"/>
      <c r="FF31" s="211"/>
      <c r="FG31" s="213"/>
      <c r="FH31" s="213"/>
      <c r="FI31" s="213"/>
      <c r="FJ31" s="208"/>
      <c r="FK31" s="217"/>
      <c r="FL31" s="217"/>
      <c r="FM31" s="217"/>
      <c r="FN31" s="211"/>
      <c r="FO31" s="213"/>
      <c r="FP31" s="213"/>
      <c r="FQ31" s="213"/>
      <c r="FR31" s="208"/>
      <c r="FS31" s="217"/>
      <c r="FT31" s="217"/>
      <c r="FU31" s="217"/>
      <c r="FV31" s="211"/>
      <c r="FW31" s="213"/>
      <c r="FX31" s="213"/>
      <c r="FY31" s="213"/>
      <c r="FZ31" s="208"/>
      <c r="GA31" s="217"/>
      <c r="GB31" s="217"/>
      <c r="GC31" s="217"/>
      <c r="GD31" s="211"/>
      <c r="GE31" s="213"/>
      <c r="GF31" s="213"/>
      <c r="GG31" s="213"/>
      <c r="GH31" s="208"/>
      <c r="GI31" s="217"/>
      <c r="GJ31" s="217"/>
      <c r="GK31" s="217"/>
      <c r="GL31" s="211"/>
      <c r="GM31" s="213"/>
      <c r="GN31" s="213"/>
      <c r="GO31" s="213"/>
      <c r="GP31" s="208"/>
      <c r="GQ31" s="217"/>
      <c r="GR31" s="217"/>
      <c r="GS31" s="217"/>
    </row>
    <row r="32" spans="2:201" s="218" customFormat="1" ht="205" customHeight="1" x14ac:dyDescent="0.35">
      <c r="B32" s="245">
        <v>23</v>
      </c>
      <c r="C32" s="195"/>
      <c r="D32" s="195"/>
      <c r="E32" s="246"/>
      <c r="F32" s="246"/>
      <c r="G32" s="196"/>
      <c r="H32" s="195"/>
      <c r="I32" s="198"/>
      <c r="J32" s="199"/>
      <c r="K32" s="200"/>
      <c r="L32" s="201"/>
      <c r="M32" s="201"/>
      <c r="N32" s="202"/>
      <c r="O32" s="203">
        <f ca="1">IF(N32="Aprobado con comentarios / Emitir Rev.0",TODAY()-M32,0)</f>
        <v>0</v>
      </c>
      <c r="P32" s="203">
        <f ca="1">IF(N32="REQUIERE RESPUESTA",TODAY()-L32,0)</f>
        <v>0</v>
      </c>
      <c r="Q32" s="204">
        <f t="shared" si="1"/>
        <v>0</v>
      </c>
      <c r="R32" s="205"/>
      <c r="S32" s="206"/>
      <c r="T32" s="229"/>
      <c r="U32" s="207"/>
      <c r="V32" s="208"/>
      <c r="W32" s="209"/>
      <c r="X32" s="210"/>
      <c r="Y32" s="209"/>
      <c r="Z32" s="211"/>
      <c r="AA32" s="212"/>
      <c r="AB32" s="213"/>
      <c r="AC32" s="207"/>
      <c r="AD32" s="208"/>
      <c r="AE32" s="209"/>
      <c r="AF32" s="210"/>
      <c r="AG32" s="209"/>
      <c r="AH32" s="211"/>
      <c r="AI32" s="212"/>
      <c r="AJ32" s="213"/>
      <c r="AK32" s="214"/>
      <c r="AL32" s="215"/>
      <c r="AM32" s="209"/>
      <c r="AN32" s="210"/>
      <c r="AO32" s="209"/>
      <c r="AP32" s="216"/>
      <c r="AQ32" s="212"/>
      <c r="AR32" s="213"/>
      <c r="AS32" s="214"/>
      <c r="AT32" s="208"/>
      <c r="AU32" s="209"/>
      <c r="AV32" s="210"/>
      <c r="AW32" s="217"/>
      <c r="AX32" s="211"/>
      <c r="AY32" s="213"/>
      <c r="AZ32" s="213"/>
      <c r="BA32" s="213"/>
      <c r="BB32" s="208"/>
      <c r="BC32" s="217"/>
      <c r="BD32" s="210"/>
      <c r="BE32" s="217"/>
      <c r="BF32" s="211"/>
      <c r="BG32" s="213"/>
      <c r="BH32" s="213"/>
      <c r="BI32" s="213"/>
      <c r="BJ32" s="208"/>
      <c r="BK32" s="217"/>
      <c r="BL32" s="210"/>
      <c r="BM32" s="217"/>
      <c r="BN32" s="211"/>
      <c r="BO32" s="213"/>
      <c r="BP32" s="213"/>
      <c r="BQ32" s="213"/>
      <c r="BR32" s="208"/>
      <c r="BS32" s="217"/>
      <c r="BT32" s="210"/>
      <c r="BU32" s="217"/>
      <c r="BV32" s="211"/>
      <c r="BW32" s="213"/>
      <c r="BX32" s="213"/>
      <c r="BY32" s="213"/>
      <c r="BZ32" s="208"/>
      <c r="CA32" s="217"/>
      <c r="CB32" s="217"/>
      <c r="CC32" s="217"/>
      <c r="CD32" s="211"/>
      <c r="CE32" s="213"/>
      <c r="CF32" s="213"/>
      <c r="CG32" s="213"/>
      <c r="CH32" s="208"/>
      <c r="CI32" s="217"/>
      <c r="CJ32" s="217"/>
      <c r="CK32" s="217"/>
      <c r="CL32" s="211"/>
      <c r="CM32" s="213"/>
      <c r="CN32" s="213"/>
      <c r="CO32" s="213"/>
      <c r="CP32" s="208"/>
      <c r="CQ32" s="217"/>
      <c r="CR32" s="217"/>
      <c r="CS32" s="217"/>
      <c r="CT32" s="211"/>
      <c r="CU32" s="213"/>
      <c r="CV32" s="213"/>
      <c r="CW32" s="213"/>
      <c r="CX32" s="208"/>
      <c r="CY32" s="217"/>
      <c r="CZ32" s="217"/>
      <c r="DA32" s="217"/>
      <c r="DB32" s="211"/>
      <c r="DC32" s="213"/>
      <c r="DD32" s="213"/>
      <c r="DE32" s="213"/>
      <c r="DF32" s="208"/>
      <c r="DG32" s="217"/>
      <c r="DH32" s="217"/>
      <c r="DI32" s="217"/>
      <c r="DJ32" s="211"/>
      <c r="DK32" s="213"/>
      <c r="DL32" s="213"/>
      <c r="DM32" s="213"/>
      <c r="DN32" s="208"/>
      <c r="DO32" s="217"/>
      <c r="DP32" s="217"/>
      <c r="DQ32" s="217"/>
      <c r="DR32" s="211"/>
      <c r="DS32" s="213"/>
      <c r="DT32" s="213"/>
      <c r="DU32" s="213"/>
      <c r="DV32" s="208"/>
      <c r="DW32" s="217"/>
      <c r="DX32" s="217"/>
      <c r="DY32" s="217"/>
      <c r="DZ32" s="211"/>
      <c r="EA32" s="213"/>
      <c r="EB32" s="213"/>
      <c r="EC32" s="213"/>
      <c r="ED32" s="208"/>
      <c r="EE32" s="217"/>
      <c r="EF32" s="217"/>
      <c r="EG32" s="217"/>
      <c r="EH32" s="211"/>
      <c r="EI32" s="213"/>
      <c r="EJ32" s="213"/>
      <c r="EK32" s="213"/>
      <c r="EL32" s="208"/>
      <c r="EM32" s="217"/>
      <c r="EN32" s="217"/>
      <c r="EO32" s="217"/>
      <c r="EP32" s="211"/>
      <c r="EQ32" s="213"/>
      <c r="ER32" s="213"/>
      <c r="ES32" s="213"/>
      <c r="ET32" s="208"/>
      <c r="EU32" s="217"/>
      <c r="EV32" s="217"/>
      <c r="EW32" s="217"/>
      <c r="EX32" s="211"/>
      <c r="EY32" s="213"/>
      <c r="EZ32" s="213"/>
      <c r="FA32" s="213"/>
      <c r="FB32" s="208"/>
      <c r="FC32" s="217"/>
      <c r="FD32" s="217"/>
      <c r="FE32" s="217"/>
      <c r="FF32" s="211"/>
      <c r="FG32" s="213"/>
      <c r="FH32" s="213"/>
      <c r="FI32" s="213"/>
      <c r="FJ32" s="208"/>
      <c r="FK32" s="217"/>
      <c r="FL32" s="217"/>
      <c r="FM32" s="217"/>
      <c r="FN32" s="211"/>
      <c r="FO32" s="213"/>
      <c r="FP32" s="213"/>
      <c r="FQ32" s="213"/>
      <c r="FR32" s="208"/>
      <c r="FS32" s="217"/>
      <c r="FT32" s="217"/>
      <c r="FU32" s="217"/>
      <c r="FV32" s="211"/>
      <c r="FW32" s="213"/>
      <c r="FX32" s="213"/>
      <c r="FY32" s="213"/>
      <c r="FZ32" s="208"/>
      <c r="GA32" s="217"/>
      <c r="GB32" s="217"/>
      <c r="GC32" s="217"/>
      <c r="GD32" s="211"/>
      <c r="GE32" s="213"/>
      <c r="GF32" s="213"/>
      <c r="GG32" s="213"/>
      <c r="GH32" s="208"/>
      <c r="GI32" s="217"/>
      <c r="GJ32" s="217"/>
      <c r="GK32" s="217"/>
      <c r="GL32" s="211"/>
      <c r="GM32" s="213"/>
      <c r="GN32" s="213"/>
      <c r="GO32" s="213"/>
      <c r="GP32" s="208"/>
      <c r="GQ32" s="217"/>
      <c r="GR32" s="217"/>
      <c r="GS32" s="217"/>
    </row>
    <row r="33" spans="1:201" s="218" customFormat="1" ht="205" customHeight="1" x14ac:dyDescent="0.35">
      <c r="B33" s="245">
        <v>24</v>
      </c>
      <c r="C33" s="195"/>
      <c r="D33" s="270"/>
      <c r="E33" s="271"/>
      <c r="F33" s="271"/>
      <c r="G33" s="272"/>
      <c r="H33" s="195"/>
      <c r="I33" s="198"/>
      <c r="J33" s="199"/>
      <c r="K33" s="200"/>
      <c r="L33" s="201"/>
      <c r="M33" s="201"/>
      <c r="N33" s="202"/>
      <c r="O33" s="203"/>
      <c r="P33" s="203"/>
      <c r="Q33" s="204"/>
      <c r="R33" s="205"/>
      <c r="S33" s="206"/>
      <c r="T33" s="229"/>
      <c r="U33" s="207"/>
      <c r="V33" s="208"/>
      <c r="W33" s="209"/>
      <c r="X33" s="210"/>
      <c r="Y33" s="209"/>
      <c r="Z33" s="211"/>
      <c r="AA33" s="212"/>
      <c r="AB33" s="213"/>
      <c r="AC33" s="207"/>
      <c r="AD33" s="208"/>
      <c r="AE33" s="209"/>
      <c r="AF33" s="210"/>
      <c r="AG33" s="209"/>
      <c r="AH33" s="211"/>
      <c r="AI33" s="212"/>
      <c r="AJ33" s="213"/>
      <c r="AK33" s="214"/>
      <c r="AL33" s="215"/>
      <c r="AM33" s="209"/>
      <c r="AN33" s="210"/>
      <c r="AO33" s="209"/>
      <c r="AP33" s="216"/>
      <c r="AQ33" s="212"/>
      <c r="AR33" s="213"/>
      <c r="AS33" s="214"/>
      <c r="AT33" s="208"/>
      <c r="AU33" s="209"/>
      <c r="AV33" s="210"/>
      <c r="AW33" s="217"/>
      <c r="AX33" s="211"/>
      <c r="AY33" s="213"/>
      <c r="AZ33" s="213"/>
      <c r="BA33" s="213"/>
      <c r="BB33" s="208"/>
      <c r="BC33" s="217"/>
      <c r="BD33" s="210"/>
      <c r="BE33" s="217"/>
      <c r="BF33" s="211"/>
      <c r="BG33" s="213"/>
      <c r="BH33" s="213"/>
      <c r="BI33" s="213"/>
      <c r="BJ33" s="208"/>
      <c r="BK33" s="217"/>
      <c r="BL33" s="210"/>
      <c r="BM33" s="217"/>
      <c r="BN33" s="211"/>
      <c r="BO33" s="213"/>
      <c r="BP33" s="213"/>
      <c r="BQ33" s="213"/>
      <c r="BR33" s="208"/>
      <c r="BS33" s="217"/>
      <c r="BT33" s="210"/>
      <c r="BU33" s="217"/>
      <c r="BV33" s="211"/>
      <c r="BW33" s="213"/>
      <c r="BX33" s="213"/>
      <c r="BY33" s="213"/>
      <c r="BZ33" s="208"/>
      <c r="CA33" s="217"/>
      <c r="CB33" s="217"/>
      <c r="CC33" s="217"/>
      <c r="CD33" s="211"/>
      <c r="CE33" s="213"/>
      <c r="CF33" s="213"/>
      <c r="CG33" s="213"/>
      <c r="CH33" s="208"/>
      <c r="CI33" s="217"/>
      <c r="CJ33" s="217"/>
      <c r="CK33" s="217"/>
      <c r="CL33" s="211"/>
      <c r="CM33" s="213"/>
      <c r="CN33" s="213"/>
      <c r="CO33" s="213"/>
      <c r="CP33" s="208"/>
      <c r="CQ33" s="217"/>
      <c r="CR33" s="217"/>
      <c r="CS33" s="217"/>
      <c r="CT33" s="211"/>
      <c r="CU33" s="213"/>
      <c r="CV33" s="213"/>
      <c r="CW33" s="213"/>
      <c r="CX33" s="208"/>
      <c r="CY33" s="217"/>
      <c r="CZ33" s="217"/>
      <c r="DA33" s="217"/>
      <c r="DB33" s="211"/>
      <c r="DC33" s="213"/>
      <c r="DD33" s="213"/>
      <c r="DE33" s="213"/>
      <c r="DF33" s="208"/>
      <c r="DG33" s="217"/>
      <c r="DH33" s="217"/>
      <c r="DI33" s="217"/>
      <c r="DJ33" s="211"/>
      <c r="DK33" s="213"/>
      <c r="DL33" s="213"/>
      <c r="DM33" s="213"/>
      <c r="DN33" s="208"/>
      <c r="DO33" s="217"/>
      <c r="DP33" s="217"/>
      <c r="DQ33" s="217"/>
      <c r="DR33" s="211"/>
      <c r="DS33" s="213"/>
      <c r="DT33" s="213"/>
      <c r="DU33" s="213"/>
      <c r="DV33" s="208"/>
      <c r="DW33" s="217"/>
      <c r="DX33" s="217"/>
      <c r="DY33" s="217"/>
      <c r="DZ33" s="211"/>
      <c r="EA33" s="213"/>
      <c r="EB33" s="213"/>
      <c r="EC33" s="213"/>
      <c r="ED33" s="208"/>
      <c r="EE33" s="217"/>
      <c r="EF33" s="217"/>
      <c r="EG33" s="217"/>
      <c r="EH33" s="211"/>
      <c r="EI33" s="213"/>
      <c r="EJ33" s="213"/>
      <c r="EK33" s="213"/>
      <c r="EL33" s="208"/>
      <c r="EM33" s="217"/>
      <c r="EN33" s="217"/>
      <c r="EO33" s="217"/>
      <c r="EP33" s="211"/>
      <c r="EQ33" s="213"/>
      <c r="ER33" s="213"/>
      <c r="ES33" s="213"/>
      <c r="ET33" s="208"/>
      <c r="EU33" s="217"/>
      <c r="EV33" s="217"/>
      <c r="EW33" s="217"/>
      <c r="EX33" s="211"/>
      <c r="EY33" s="213"/>
      <c r="EZ33" s="213"/>
      <c r="FA33" s="213"/>
      <c r="FB33" s="208"/>
      <c r="FC33" s="217"/>
      <c r="FD33" s="217"/>
      <c r="FE33" s="217"/>
      <c r="FF33" s="211"/>
      <c r="FG33" s="213"/>
      <c r="FH33" s="213"/>
      <c r="FI33" s="213"/>
      <c r="FJ33" s="208"/>
      <c r="FK33" s="217"/>
      <c r="FL33" s="217"/>
      <c r="FM33" s="217"/>
      <c r="FN33" s="211"/>
      <c r="FO33" s="213"/>
      <c r="FP33" s="213"/>
      <c r="FQ33" s="213"/>
      <c r="FR33" s="208"/>
      <c r="FS33" s="217"/>
      <c r="FT33" s="217"/>
      <c r="FU33" s="217"/>
      <c r="FV33" s="211"/>
      <c r="FW33" s="213"/>
      <c r="FX33" s="213"/>
      <c r="FY33" s="213"/>
      <c r="FZ33" s="208"/>
      <c r="GA33" s="217"/>
      <c r="GB33" s="217"/>
      <c r="GC33" s="217"/>
      <c r="GD33" s="211"/>
      <c r="GE33" s="213"/>
      <c r="GF33" s="213"/>
      <c r="GG33" s="213"/>
      <c r="GH33" s="208"/>
      <c r="GI33" s="217"/>
      <c r="GJ33" s="217"/>
      <c r="GK33" s="217"/>
      <c r="GL33" s="211"/>
      <c r="GM33" s="213"/>
      <c r="GN33" s="213"/>
      <c r="GO33" s="213"/>
      <c r="GP33" s="208"/>
      <c r="GQ33" s="217"/>
      <c r="GR33" s="217"/>
      <c r="GS33" s="217"/>
    </row>
    <row r="34" spans="1:201" s="218" customFormat="1" ht="205" customHeight="1" x14ac:dyDescent="0.35">
      <c r="B34" s="245">
        <v>25</v>
      </c>
      <c r="C34" s="273"/>
      <c r="D34" s="273"/>
      <c r="E34" s="274"/>
      <c r="F34" s="274"/>
      <c r="G34" s="275"/>
      <c r="H34" s="273"/>
      <c r="I34" s="198"/>
      <c r="J34" s="199"/>
      <c r="K34" s="200"/>
      <c r="L34" s="201"/>
      <c r="M34" s="201"/>
      <c r="N34" s="202"/>
      <c r="O34" s="203">
        <f t="shared" ref="O34:O41" ca="1" si="2">IF(N34="Aprobado con comentarios / Emitir Rev.0",TODAY()-M34,0)</f>
        <v>0</v>
      </c>
      <c r="P34" s="203">
        <f t="shared" ref="P34:P39" ca="1" si="3">IF(N34="REQUIERE RESPUESTA",TODAY()-L34,0)</f>
        <v>0</v>
      </c>
      <c r="Q34" s="204">
        <f t="shared" ref="Q34:Q76" si="4">ROUNDUP(((COUNTA(R34:GS34)/4)/2),0)</f>
        <v>0</v>
      </c>
      <c r="R34" s="205"/>
      <c r="S34" s="206"/>
      <c r="T34" s="229"/>
      <c r="U34" s="207"/>
      <c r="V34" s="208"/>
      <c r="W34" s="209"/>
      <c r="X34" s="210"/>
      <c r="Y34" s="209"/>
      <c r="Z34" s="211"/>
      <c r="AA34" s="212"/>
      <c r="AB34" s="213"/>
      <c r="AC34" s="207"/>
      <c r="AD34" s="208"/>
      <c r="AE34" s="209"/>
      <c r="AF34" s="210"/>
      <c r="AG34" s="209"/>
      <c r="AH34" s="211"/>
      <c r="AI34" s="212"/>
      <c r="AJ34" s="213"/>
      <c r="AK34" s="214"/>
      <c r="AL34" s="215"/>
      <c r="AM34" s="209"/>
      <c r="AN34" s="210"/>
      <c r="AO34" s="209"/>
      <c r="AP34" s="216"/>
      <c r="AQ34" s="212"/>
      <c r="AR34" s="213"/>
      <c r="AS34" s="214"/>
      <c r="AT34" s="208"/>
      <c r="AU34" s="209"/>
      <c r="AV34" s="210"/>
      <c r="AW34" s="217"/>
      <c r="AX34" s="211"/>
      <c r="AY34" s="213"/>
      <c r="AZ34" s="213"/>
      <c r="BA34" s="213"/>
      <c r="BB34" s="208"/>
      <c r="BC34" s="217"/>
      <c r="BD34" s="210"/>
      <c r="BE34" s="217"/>
      <c r="BF34" s="211"/>
      <c r="BG34" s="213"/>
      <c r="BH34" s="213"/>
      <c r="BI34" s="213"/>
      <c r="BJ34" s="208"/>
      <c r="BK34" s="217"/>
      <c r="BL34" s="210"/>
      <c r="BM34" s="217"/>
      <c r="BN34" s="211"/>
      <c r="BO34" s="213"/>
      <c r="BP34" s="213"/>
      <c r="BQ34" s="213"/>
      <c r="BR34" s="208"/>
      <c r="BS34" s="217"/>
      <c r="BT34" s="210"/>
      <c r="BU34" s="217"/>
      <c r="BV34" s="211"/>
      <c r="BW34" s="213"/>
      <c r="BX34" s="213"/>
      <c r="BY34" s="213"/>
      <c r="BZ34" s="208"/>
      <c r="CA34" s="217"/>
      <c r="CB34" s="217"/>
      <c r="CC34" s="217"/>
      <c r="CD34" s="211"/>
      <c r="CE34" s="213"/>
      <c r="CF34" s="213"/>
      <c r="CG34" s="213"/>
      <c r="CH34" s="208"/>
      <c r="CI34" s="217"/>
      <c r="CJ34" s="217"/>
      <c r="CK34" s="217"/>
      <c r="CL34" s="211"/>
      <c r="CM34" s="213"/>
      <c r="CN34" s="213"/>
      <c r="CO34" s="213"/>
      <c r="CP34" s="208"/>
      <c r="CQ34" s="217"/>
      <c r="CR34" s="217"/>
      <c r="CS34" s="217"/>
      <c r="CT34" s="211"/>
      <c r="CU34" s="213"/>
      <c r="CV34" s="213"/>
      <c r="CW34" s="213"/>
      <c r="CX34" s="208"/>
      <c r="CY34" s="217"/>
      <c r="CZ34" s="217"/>
      <c r="DA34" s="217"/>
      <c r="DB34" s="211"/>
      <c r="DC34" s="213"/>
      <c r="DD34" s="213"/>
      <c r="DE34" s="213"/>
      <c r="DF34" s="208"/>
      <c r="DG34" s="217"/>
      <c r="DH34" s="217"/>
      <c r="DI34" s="217"/>
      <c r="DJ34" s="211"/>
      <c r="DK34" s="213"/>
      <c r="DL34" s="213"/>
      <c r="DM34" s="213"/>
      <c r="DN34" s="208"/>
      <c r="DO34" s="217"/>
      <c r="DP34" s="217"/>
      <c r="DQ34" s="217"/>
      <c r="DR34" s="211"/>
      <c r="DS34" s="213"/>
      <c r="DT34" s="213"/>
      <c r="DU34" s="213"/>
      <c r="DV34" s="208"/>
      <c r="DW34" s="217"/>
      <c r="DX34" s="217"/>
      <c r="DY34" s="217"/>
      <c r="DZ34" s="211"/>
      <c r="EA34" s="213"/>
      <c r="EB34" s="213"/>
      <c r="EC34" s="213"/>
      <c r="ED34" s="208"/>
      <c r="EE34" s="217"/>
      <c r="EF34" s="217"/>
      <c r="EG34" s="217"/>
      <c r="EH34" s="211"/>
      <c r="EI34" s="213"/>
      <c r="EJ34" s="213"/>
      <c r="EK34" s="213"/>
      <c r="EL34" s="208"/>
      <c r="EM34" s="217"/>
      <c r="EN34" s="217"/>
      <c r="EO34" s="217"/>
      <c r="EP34" s="211"/>
      <c r="EQ34" s="213"/>
      <c r="ER34" s="213"/>
      <c r="ES34" s="213"/>
      <c r="ET34" s="208"/>
      <c r="EU34" s="217"/>
      <c r="EV34" s="217"/>
      <c r="EW34" s="217"/>
      <c r="EX34" s="211"/>
      <c r="EY34" s="213"/>
      <c r="EZ34" s="213"/>
      <c r="FA34" s="213"/>
      <c r="FB34" s="208"/>
      <c r="FC34" s="217"/>
      <c r="FD34" s="217"/>
      <c r="FE34" s="217"/>
      <c r="FF34" s="211"/>
      <c r="FG34" s="213"/>
      <c r="FH34" s="213"/>
      <c r="FI34" s="213"/>
      <c r="FJ34" s="208"/>
      <c r="FK34" s="217"/>
      <c r="FL34" s="217"/>
      <c r="FM34" s="217"/>
      <c r="FN34" s="211"/>
      <c r="FO34" s="213"/>
      <c r="FP34" s="213"/>
      <c r="FQ34" s="213"/>
      <c r="FR34" s="208"/>
      <c r="FS34" s="217"/>
      <c r="FT34" s="217"/>
      <c r="FU34" s="217"/>
      <c r="FV34" s="211"/>
      <c r="FW34" s="213"/>
      <c r="FX34" s="213"/>
      <c r="FY34" s="213"/>
      <c r="FZ34" s="208"/>
      <c r="GA34" s="217"/>
      <c r="GB34" s="217"/>
      <c r="GC34" s="217"/>
      <c r="GD34" s="211"/>
      <c r="GE34" s="213"/>
      <c r="GF34" s="213"/>
      <c r="GG34" s="213"/>
      <c r="GH34" s="208"/>
      <c r="GI34" s="217"/>
      <c r="GJ34" s="217"/>
      <c r="GK34" s="217"/>
      <c r="GL34" s="211"/>
      <c r="GM34" s="213"/>
      <c r="GN34" s="213"/>
      <c r="GO34" s="213"/>
      <c r="GP34" s="208"/>
      <c r="GQ34" s="217"/>
      <c r="GR34" s="217"/>
      <c r="GS34" s="217"/>
    </row>
    <row r="35" spans="1:201" s="218" customFormat="1" ht="205" customHeight="1" x14ac:dyDescent="0.35">
      <c r="B35" s="245">
        <v>26</v>
      </c>
      <c r="C35" s="273"/>
      <c r="D35" s="273"/>
      <c r="E35" s="274"/>
      <c r="F35" s="274"/>
      <c r="G35" s="275"/>
      <c r="H35" s="273"/>
      <c r="I35" s="198"/>
      <c r="J35" s="199"/>
      <c r="K35" s="200"/>
      <c r="L35" s="201"/>
      <c r="M35" s="201"/>
      <c r="N35" s="202"/>
      <c r="O35" s="203">
        <f t="shared" ca="1" si="2"/>
        <v>0</v>
      </c>
      <c r="P35" s="203">
        <f t="shared" ca="1" si="3"/>
        <v>0</v>
      </c>
      <c r="Q35" s="204">
        <f t="shared" si="4"/>
        <v>0</v>
      </c>
      <c r="R35" s="205"/>
      <c r="S35" s="206"/>
      <c r="T35" s="229"/>
      <c r="U35" s="207"/>
      <c r="V35" s="208"/>
      <c r="W35" s="209"/>
      <c r="X35" s="210"/>
      <c r="Y35" s="209"/>
      <c r="Z35" s="211"/>
      <c r="AA35" s="212"/>
      <c r="AB35" s="213"/>
      <c r="AC35" s="207"/>
      <c r="AD35" s="208"/>
      <c r="AE35" s="209"/>
      <c r="AF35" s="210"/>
      <c r="AG35" s="209"/>
      <c r="AH35" s="211"/>
      <c r="AI35" s="212"/>
      <c r="AJ35" s="213"/>
      <c r="AK35" s="214"/>
      <c r="AL35" s="215"/>
      <c r="AM35" s="209"/>
      <c r="AN35" s="210"/>
      <c r="AO35" s="209"/>
      <c r="AP35" s="216"/>
      <c r="AQ35" s="212"/>
      <c r="AR35" s="213"/>
      <c r="AS35" s="214"/>
      <c r="AT35" s="208"/>
      <c r="AU35" s="209"/>
      <c r="AV35" s="210"/>
      <c r="AW35" s="217"/>
      <c r="AX35" s="211"/>
      <c r="AY35" s="213"/>
      <c r="AZ35" s="213"/>
      <c r="BA35" s="213"/>
      <c r="BB35" s="208"/>
      <c r="BC35" s="217"/>
      <c r="BD35" s="210"/>
      <c r="BE35" s="217"/>
      <c r="BF35" s="211"/>
      <c r="BG35" s="213"/>
      <c r="BH35" s="213"/>
      <c r="BI35" s="213"/>
      <c r="BJ35" s="208"/>
      <c r="BK35" s="217"/>
      <c r="BL35" s="210"/>
      <c r="BM35" s="217"/>
      <c r="BN35" s="211"/>
      <c r="BO35" s="213"/>
      <c r="BP35" s="213"/>
      <c r="BQ35" s="213"/>
      <c r="BR35" s="208"/>
      <c r="BS35" s="217"/>
      <c r="BT35" s="210"/>
      <c r="BU35" s="217"/>
      <c r="BV35" s="211"/>
      <c r="BW35" s="213"/>
      <c r="BX35" s="213"/>
      <c r="BY35" s="213"/>
      <c r="BZ35" s="208"/>
      <c r="CA35" s="217"/>
      <c r="CB35" s="217"/>
      <c r="CC35" s="217"/>
      <c r="CD35" s="211"/>
      <c r="CE35" s="213"/>
      <c r="CF35" s="213"/>
      <c r="CG35" s="213"/>
      <c r="CH35" s="208"/>
      <c r="CI35" s="217"/>
      <c r="CJ35" s="217"/>
      <c r="CK35" s="217"/>
      <c r="CL35" s="211"/>
      <c r="CM35" s="213"/>
      <c r="CN35" s="213"/>
      <c r="CO35" s="213"/>
      <c r="CP35" s="208"/>
      <c r="CQ35" s="217"/>
      <c r="CR35" s="217"/>
      <c r="CS35" s="217"/>
      <c r="CT35" s="211"/>
      <c r="CU35" s="213"/>
      <c r="CV35" s="213"/>
      <c r="CW35" s="213"/>
      <c r="CX35" s="208"/>
      <c r="CY35" s="217"/>
      <c r="CZ35" s="217"/>
      <c r="DA35" s="217"/>
      <c r="DB35" s="211"/>
      <c r="DC35" s="213"/>
      <c r="DD35" s="213"/>
      <c r="DE35" s="213"/>
      <c r="DF35" s="208"/>
      <c r="DG35" s="217"/>
      <c r="DH35" s="217"/>
      <c r="DI35" s="217"/>
      <c r="DJ35" s="211"/>
      <c r="DK35" s="213"/>
      <c r="DL35" s="213"/>
      <c r="DM35" s="213"/>
      <c r="DN35" s="208"/>
      <c r="DO35" s="217"/>
      <c r="DP35" s="217"/>
      <c r="DQ35" s="217"/>
      <c r="DR35" s="211"/>
      <c r="DS35" s="213"/>
      <c r="DT35" s="213"/>
      <c r="DU35" s="213"/>
      <c r="DV35" s="208"/>
      <c r="DW35" s="217"/>
      <c r="DX35" s="217"/>
      <c r="DY35" s="217"/>
      <c r="DZ35" s="211"/>
      <c r="EA35" s="213"/>
      <c r="EB35" s="213"/>
      <c r="EC35" s="213"/>
      <c r="ED35" s="208"/>
      <c r="EE35" s="217"/>
      <c r="EF35" s="217"/>
      <c r="EG35" s="217"/>
      <c r="EH35" s="211"/>
      <c r="EI35" s="213"/>
      <c r="EJ35" s="213"/>
      <c r="EK35" s="213"/>
      <c r="EL35" s="208"/>
      <c r="EM35" s="217"/>
      <c r="EN35" s="217"/>
      <c r="EO35" s="217"/>
      <c r="EP35" s="211"/>
      <c r="EQ35" s="213"/>
      <c r="ER35" s="213"/>
      <c r="ES35" s="213"/>
      <c r="ET35" s="208"/>
      <c r="EU35" s="217"/>
      <c r="EV35" s="217"/>
      <c r="EW35" s="217"/>
      <c r="EX35" s="211"/>
      <c r="EY35" s="213"/>
      <c r="EZ35" s="213"/>
      <c r="FA35" s="213"/>
      <c r="FB35" s="208"/>
      <c r="FC35" s="217"/>
      <c r="FD35" s="217"/>
      <c r="FE35" s="217"/>
      <c r="FF35" s="211"/>
      <c r="FG35" s="213"/>
      <c r="FH35" s="213"/>
      <c r="FI35" s="213"/>
      <c r="FJ35" s="208"/>
      <c r="FK35" s="217"/>
      <c r="FL35" s="217"/>
      <c r="FM35" s="217"/>
      <c r="FN35" s="211"/>
      <c r="FO35" s="213"/>
      <c r="FP35" s="213"/>
      <c r="FQ35" s="213"/>
      <c r="FR35" s="208"/>
      <c r="FS35" s="217"/>
      <c r="FT35" s="217"/>
      <c r="FU35" s="217"/>
      <c r="FV35" s="211"/>
      <c r="FW35" s="213"/>
      <c r="FX35" s="213"/>
      <c r="FY35" s="213"/>
      <c r="FZ35" s="208"/>
      <c r="GA35" s="217"/>
      <c r="GB35" s="217"/>
      <c r="GC35" s="217"/>
      <c r="GD35" s="211"/>
      <c r="GE35" s="213"/>
      <c r="GF35" s="213"/>
      <c r="GG35" s="213"/>
      <c r="GH35" s="208"/>
      <c r="GI35" s="217"/>
      <c r="GJ35" s="217"/>
      <c r="GK35" s="217"/>
      <c r="GL35" s="211"/>
      <c r="GM35" s="213"/>
      <c r="GN35" s="213"/>
      <c r="GO35" s="213"/>
      <c r="GP35" s="208"/>
      <c r="GQ35" s="217"/>
      <c r="GR35" s="217"/>
      <c r="GS35" s="217"/>
    </row>
    <row r="36" spans="1:201" s="218" customFormat="1" ht="205" customHeight="1" x14ac:dyDescent="0.35">
      <c r="B36" s="245">
        <v>27</v>
      </c>
      <c r="C36" s="273"/>
      <c r="D36" s="273"/>
      <c r="E36" s="274"/>
      <c r="F36" s="274"/>
      <c r="G36" s="275"/>
      <c r="H36" s="273"/>
      <c r="I36" s="283"/>
      <c r="J36" s="199"/>
      <c r="K36" s="200"/>
      <c r="L36" s="201"/>
      <c r="M36" s="201"/>
      <c r="N36" s="202"/>
      <c r="O36" s="203">
        <f t="shared" ca="1" si="2"/>
        <v>0</v>
      </c>
      <c r="P36" s="203">
        <f t="shared" ca="1" si="3"/>
        <v>0</v>
      </c>
      <c r="Q36" s="204">
        <f t="shared" si="4"/>
        <v>0</v>
      </c>
      <c r="R36" s="205"/>
      <c r="S36" s="206"/>
      <c r="T36" s="229"/>
      <c r="U36" s="207"/>
      <c r="V36" s="208"/>
      <c r="W36" s="209"/>
      <c r="X36" s="210"/>
      <c r="Y36" s="209"/>
      <c r="Z36" s="211"/>
      <c r="AA36" s="212"/>
      <c r="AB36" s="213"/>
      <c r="AC36" s="207"/>
      <c r="AD36" s="208"/>
      <c r="AE36" s="209"/>
      <c r="AF36" s="210"/>
      <c r="AG36" s="209"/>
      <c r="AH36" s="211"/>
      <c r="AI36" s="212"/>
      <c r="AJ36" s="213"/>
      <c r="AK36" s="214"/>
      <c r="AL36" s="215"/>
      <c r="AM36" s="209"/>
      <c r="AN36" s="210"/>
      <c r="AO36" s="209"/>
      <c r="AP36" s="216"/>
      <c r="AQ36" s="212"/>
      <c r="AR36" s="213"/>
      <c r="AS36" s="214"/>
      <c r="AT36" s="208"/>
      <c r="AU36" s="209"/>
      <c r="AV36" s="210"/>
      <c r="AW36" s="217"/>
      <c r="AX36" s="211"/>
      <c r="AY36" s="213"/>
      <c r="AZ36" s="213"/>
      <c r="BA36" s="213"/>
      <c r="BB36" s="208"/>
      <c r="BC36" s="217"/>
      <c r="BD36" s="210"/>
      <c r="BE36" s="217"/>
      <c r="BF36" s="211"/>
      <c r="BG36" s="213"/>
      <c r="BH36" s="213"/>
      <c r="BI36" s="213"/>
      <c r="BJ36" s="208"/>
      <c r="BK36" s="217"/>
      <c r="BL36" s="210"/>
      <c r="BM36" s="217"/>
      <c r="BN36" s="211"/>
      <c r="BO36" s="213"/>
      <c r="BP36" s="213"/>
      <c r="BQ36" s="213"/>
      <c r="BR36" s="208"/>
      <c r="BS36" s="217"/>
      <c r="BT36" s="210"/>
      <c r="BU36" s="217"/>
      <c r="BV36" s="211"/>
      <c r="BW36" s="213"/>
      <c r="BX36" s="213"/>
      <c r="BY36" s="213"/>
      <c r="BZ36" s="208"/>
      <c r="CA36" s="217"/>
      <c r="CB36" s="217"/>
      <c r="CC36" s="217"/>
      <c r="CD36" s="211"/>
      <c r="CE36" s="213"/>
      <c r="CF36" s="213"/>
      <c r="CG36" s="213"/>
      <c r="CH36" s="208"/>
      <c r="CI36" s="217"/>
      <c r="CJ36" s="217"/>
      <c r="CK36" s="217"/>
      <c r="CL36" s="211"/>
      <c r="CM36" s="213"/>
      <c r="CN36" s="213"/>
      <c r="CO36" s="213"/>
      <c r="CP36" s="208"/>
      <c r="CQ36" s="217"/>
      <c r="CR36" s="217"/>
      <c r="CS36" s="217"/>
      <c r="CT36" s="211"/>
      <c r="CU36" s="213"/>
      <c r="CV36" s="213"/>
      <c r="CW36" s="213"/>
      <c r="CX36" s="208"/>
      <c r="CY36" s="217"/>
      <c r="CZ36" s="217"/>
      <c r="DA36" s="217"/>
      <c r="DB36" s="211"/>
      <c r="DC36" s="213"/>
      <c r="DD36" s="213"/>
      <c r="DE36" s="213"/>
      <c r="DF36" s="208"/>
      <c r="DG36" s="217"/>
      <c r="DH36" s="217"/>
      <c r="DI36" s="217"/>
      <c r="DJ36" s="211"/>
      <c r="DK36" s="213"/>
      <c r="DL36" s="213"/>
      <c r="DM36" s="213"/>
      <c r="DN36" s="208"/>
      <c r="DO36" s="217"/>
      <c r="DP36" s="217"/>
      <c r="DQ36" s="217"/>
      <c r="DR36" s="211"/>
      <c r="DS36" s="213"/>
      <c r="DT36" s="213"/>
      <c r="DU36" s="213"/>
      <c r="DV36" s="208"/>
      <c r="DW36" s="217"/>
      <c r="DX36" s="217"/>
      <c r="DY36" s="217"/>
      <c r="DZ36" s="211"/>
      <c r="EA36" s="213"/>
      <c r="EB36" s="213"/>
      <c r="EC36" s="213"/>
      <c r="ED36" s="208"/>
      <c r="EE36" s="217"/>
      <c r="EF36" s="217"/>
      <c r="EG36" s="217"/>
      <c r="EH36" s="211"/>
      <c r="EI36" s="213"/>
      <c r="EJ36" s="213"/>
      <c r="EK36" s="213"/>
      <c r="EL36" s="208"/>
      <c r="EM36" s="217"/>
      <c r="EN36" s="217"/>
      <c r="EO36" s="217"/>
      <c r="EP36" s="211"/>
      <c r="EQ36" s="213"/>
      <c r="ER36" s="213"/>
      <c r="ES36" s="213"/>
      <c r="ET36" s="208"/>
      <c r="EU36" s="217"/>
      <c r="EV36" s="217"/>
      <c r="EW36" s="217"/>
      <c r="EX36" s="211"/>
      <c r="EY36" s="213"/>
      <c r="EZ36" s="213"/>
      <c r="FA36" s="213"/>
      <c r="FB36" s="208"/>
      <c r="FC36" s="217"/>
      <c r="FD36" s="217"/>
      <c r="FE36" s="217"/>
      <c r="FF36" s="211"/>
      <c r="FG36" s="213"/>
      <c r="FH36" s="213"/>
      <c r="FI36" s="213"/>
      <c r="FJ36" s="208"/>
      <c r="FK36" s="217"/>
      <c r="FL36" s="217"/>
      <c r="FM36" s="217"/>
      <c r="FN36" s="211"/>
      <c r="FO36" s="213"/>
      <c r="FP36" s="213"/>
      <c r="FQ36" s="213"/>
      <c r="FR36" s="208"/>
      <c r="FS36" s="217"/>
      <c r="FT36" s="217"/>
      <c r="FU36" s="217"/>
      <c r="FV36" s="211"/>
      <c r="FW36" s="213"/>
      <c r="FX36" s="213"/>
      <c r="FY36" s="213"/>
      <c r="FZ36" s="208"/>
      <c r="GA36" s="217"/>
      <c r="GB36" s="217"/>
      <c r="GC36" s="217"/>
      <c r="GD36" s="211"/>
      <c r="GE36" s="213"/>
      <c r="GF36" s="213"/>
      <c r="GG36" s="213"/>
      <c r="GH36" s="208"/>
      <c r="GI36" s="217"/>
      <c r="GJ36" s="217"/>
      <c r="GK36" s="217"/>
      <c r="GL36" s="211"/>
      <c r="GM36" s="213"/>
      <c r="GN36" s="213"/>
      <c r="GO36" s="213"/>
      <c r="GP36" s="208"/>
      <c r="GQ36" s="217"/>
      <c r="GR36" s="217"/>
      <c r="GS36" s="217"/>
    </row>
    <row r="37" spans="1:201" s="218" customFormat="1" ht="205" customHeight="1" x14ac:dyDescent="0.35">
      <c r="B37" s="245">
        <v>28</v>
      </c>
      <c r="C37" s="195"/>
      <c r="D37" s="195"/>
      <c r="E37" s="246"/>
      <c r="F37" s="246"/>
      <c r="G37" s="196"/>
      <c r="H37" s="273"/>
      <c r="I37" s="198"/>
      <c r="J37" s="199"/>
      <c r="K37" s="200"/>
      <c r="L37" s="201"/>
      <c r="M37" s="201"/>
      <c r="N37" s="202"/>
      <c r="O37" s="203">
        <f t="shared" ca="1" si="2"/>
        <v>0</v>
      </c>
      <c r="P37" s="203">
        <f t="shared" ca="1" si="3"/>
        <v>0</v>
      </c>
      <c r="Q37" s="204">
        <f t="shared" si="4"/>
        <v>0</v>
      </c>
      <c r="R37" s="205"/>
      <c r="S37" s="206"/>
      <c r="T37" s="229"/>
      <c r="U37" s="207"/>
      <c r="V37" s="208"/>
      <c r="W37" s="209"/>
      <c r="X37" s="210"/>
      <c r="Y37" s="209"/>
      <c r="Z37" s="211"/>
      <c r="AA37" s="212"/>
      <c r="AB37" s="213"/>
      <c r="AC37" s="207"/>
      <c r="AD37" s="208"/>
      <c r="AE37" s="209"/>
      <c r="AF37" s="210"/>
      <c r="AG37" s="209"/>
      <c r="AH37" s="211"/>
      <c r="AI37" s="212"/>
      <c r="AJ37" s="213"/>
      <c r="AK37" s="214"/>
      <c r="AL37" s="215"/>
      <c r="AM37" s="209"/>
      <c r="AN37" s="210"/>
      <c r="AO37" s="209"/>
      <c r="AP37" s="216"/>
      <c r="AQ37" s="212"/>
      <c r="AR37" s="213"/>
      <c r="AS37" s="214"/>
      <c r="AT37" s="208"/>
      <c r="AU37" s="209"/>
      <c r="AV37" s="210"/>
      <c r="AW37" s="217"/>
      <c r="AX37" s="211"/>
      <c r="AY37" s="213"/>
      <c r="AZ37" s="213"/>
      <c r="BA37" s="213"/>
      <c r="BB37" s="208"/>
      <c r="BC37" s="217"/>
      <c r="BD37" s="210"/>
      <c r="BE37" s="217"/>
      <c r="BF37" s="211"/>
      <c r="BG37" s="213"/>
      <c r="BH37" s="213"/>
      <c r="BI37" s="213"/>
      <c r="BJ37" s="208"/>
      <c r="BK37" s="217"/>
      <c r="BL37" s="210"/>
      <c r="BM37" s="217"/>
      <c r="BN37" s="211"/>
      <c r="BO37" s="213"/>
      <c r="BP37" s="213"/>
      <c r="BQ37" s="213"/>
      <c r="BR37" s="208"/>
      <c r="BS37" s="217"/>
      <c r="BT37" s="210"/>
      <c r="BU37" s="217"/>
      <c r="BV37" s="211"/>
      <c r="BW37" s="213"/>
      <c r="BX37" s="213"/>
      <c r="BY37" s="213"/>
      <c r="BZ37" s="208"/>
      <c r="CA37" s="217"/>
      <c r="CB37" s="217"/>
      <c r="CC37" s="217"/>
      <c r="CD37" s="211"/>
      <c r="CE37" s="213"/>
      <c r="CF37" s="213"/>
      <c r="CG37" s="213"/>
      <c r="CH37" s="208"/>
      <c r="CI37" s="217"/>
      <c r="CJ37" s="217"/>
      <c r="CK37" s="217"/>
      <c r="CL37" s="211"/>
      <c r="CM37" s="213"/>
      <c r="CN37" s="213"/>
      <c r="CO37" s="213"/>
      <c r="CP37" s="208"/>
      <c r="CQ37" s="217"/>
      <c r="CR37" s="217"/>
      <c r="CS37" s="217"/>
      <c r="CT37" s="211"/>
      <c r="CU37" s="213"/>
      <c r="CV37" s="213"/>
      <c r="CW37" s="213"/>
      <c r="CX37" s="208"/>
      <c r="CY37" s="217"/>
      <c r="CZ37" s="217"/>
      <c r="DA37" s="217"/>
      <c r="DB37" s="211"/>
      <c r="DC37" s="213"/>
      <c r="DD37" s="213"/>
      <c r="DE37" s="213"/>
      <c r="DF37" s="208"/>
      <c r="DG37" s="217"/>
      <c r="DH37" s="217"/>
      <c r="DI37" s="217"/>
      <c r="DJ37" s="211"/>
      <c r="DK37" s="213"/>
      <c r="DL37" s="213"/>
      <c r="DM37" s="213"/>
      <c r="DN37" s="208"/>
      <c r="DO37" s="217"/>
      <c r="DP37" s="217"/>
      <c r="DQ37" s="217"/>
      <c r="DR37" s="211"/>
      <c r="DS37" s="213"/>
      <c r="DT37" s="213"/>
      <c r="DU37" s="213"/>
      <c r="DV37" s="208"/>
      <c r="DW37" s="217"/>
      <c r="DX37" s="217"/>
      <c r="DY37" s="217"/>
      <c r="DZ37" s="211"/>
      <c r="EA37" s="213"/>
      <c r="EB37" s="213"/>
      <c r="EC37" s="213"/>
      <c r="ED37" s="208"/>
      <c r="EE37" s="217"/>
      <c r="EF37" s="217"/>
      <c r="EG37" s="217"/>
      <c r="EH37" s="211"/>
      <c r="EI37" s="213"/>
      <c r="EJ37" s="213"/>
      <c r="EK37" s="213"/>
      <c r="EL37" s="208"/>
      <c r="EM37" s="217"/>
      <c r="EN37" s="217"/>
      <c r="EO37" s="217"/>
      <c r="EP37" s="211"/>
      <c r="EQ37" s="213"/>
      <c r="ER37" s="213"/>
      <c r="ES37" s="213"/>
      <c r="ET37" s="208"/>
      <c r="EU37" s="217"/>
      <c r="EV37" s="217"/>
      <c r="EW37" s="217"/>
      <c r="EX37" s="211"/>
      <c r="EY37" s="213"/>
      <c r="EZ37" s="213"/>
      <c r="FA37" s="213"/>
      <c r="FB37" s="208"/>
      <c r="FC37" s="217"/>
      <c r="FD37" s="217"/>
      <c r="FE37" s="217"/>
      <c r="FF37" s="211"/>
      <c r="FG37" s="213"/>
      <c r="FH37" s="213"/>
      <c r="FI37" s="213"/>
      <c r="FJ37" s="208"/>
      <c r="FK37" s="217"/>
      <c r="FL37" s="217"/>
      <c r="FM37" s="217"/>
      <c r="FN37" s="211"/>
      <c r="FO37" s="213"/>
      <c r="FP37" s="213"/>
      <c r="FQ37" s="213"/>
      <c r="FR37" s="208"/>
      <c r="FS37" s="217"/>
      <c r="FT37" s="217"/>
      <c r="FU37" s="217"/>
      <c r="FV37" s="211"/>
      <c r="FW37" s="213"/>
      <c r="FX37" s="213"/>
      <c r="FY37" s="213"/>
      <c r="FZ37" s="208"/>
      <c r="GA37" s="217"/>
      <c r="GB37" s="217"/>
      <c r="GC37" s="217"/>
      <c r="GD37" s="211"/>
      <c r="GE37" s="213"/>
      <c r="GF37" s="213"/>
      <c r="GG37" s="213"/>
      <c r="GH37" s="208"/>
      <c r="GI37" s="217"/>
      <c r="GJ37" s="217"/>
      <c r="GK37" s="217"/>
      <c r="GL37" s="211"/>
      <c r="GM37" s="213"/>
      <c r="GN37" s="213"/>
      <c r="GO37" s="213"/>
      <c r="GP37" s="208"/>
      <c r="GQ37" s="217"/>
      <c r="GR37" s="217"/>
      <c r="GS37" s="217"/>
    </row>
    <row r="38" spans="1:201" s="218" customFormat="1" ht="205" customHeight="1" x14ac:dyDescent="0.35">
      <c r="B38" s="245">
        <v>29</v>
      </c>
      <c r="C38" s="195"/>
      <c r="D38" s="195"/>
      <c r="E38" s="246"/>
      <c r="F38" s="246"/>
      <c r="G38" s="196"/>
      <c r="H38" s="195"/>
      <c r="I38" s="198"/>
      <c r="J38" s="199"/>
      <c r="K38" s="200"/>
      <c r="L38" s="201"/>
      <c r="M38" s="201"/>
      <c r="N38" s="202"/>
      <c r="O38" s="203">
        <f t="shared" ca="1" si="2"/>
        <v>0</v>
      </c>
      <c r="P38" s="203">
        <f t="shared" ca="1" si="3"/>
        <v>0</v>
      </c>
      <c r="Q38" s="204">
        <f t="shared" si="4"/>
        <v>0</v>
      </c>
      <c r="R38" s="205"/>
      <c r="S38" s="206"/>
      <c r="T38" s="229"/>
      <c r="U38" s="207"/>
      <c r="V38" s="208"/>
      <c r="W38" s="209"/>
      <c r="X38" s="210"/>
      <c r="Y38" s="209"/>
      <c r="Z38" s="211"/>
      <c r="AA38" s="212"/>
      <c r="AB38" s="213"/>
      <c r="AC38" s="207"/>
      <c r="AD38" s="208"/>
      <c r="AE38" s="209"/>
      <c r="AF38" s="210"/>
      <c r="AG38" s="209"/>
      <c r="AH38" s="211"/>
      <c r="AI38" s="212"/>
      <c r="AJ38" s="213"/>
      <c r="AK38" s="214"/>
      <c r="AL38" s="215"/>
      <c r="AM38" s="209"/>
      <c r="AN38" s="210"/>
      <c r="AO38" s="209"/>
      <c r="AP38" s="216"/>
      <c r="AQ38" s="212"/>
      <c r="AR38" s="213"/>
      <c r="AS38" s="214"/>
      <c r="AT38" s="208"/>
      <c r="AU38" s="209"/>
      <c r="AV38" s="210"/>
      <c r="AW38" s="217"/>
      <c r="AX38" s="211"/>
      <c r="AY38" s="213"/>
      <c r="AZ38" s="213"/>
      <c r="BA38" s="213"/>
      <c r="BB38" s="208"/>
      <c r="BC38" s="217"/>
      <c r="BD38" s="210"/>
      <c r="BE38" s="217"/>
      <c r="BF38" s="211"/>
      <c r="BG38" s="213"/>
      <c r="BH38" s="213"/>
      <c r="BI38" s="213"/>
      <c r="BJ38" s="208"/>
      <c r="BK38" s="217"/>
      <c r="BL38" s="210"/>
      <c r="BM38" s="217"/>
      <c r="BN38" s="211"/>
      <c r="BO38" s="213"/>
      <c r="BP38" s="213"/>
      <c r="BQ38" s="213"/>
      <c r="BR38" s="208"/>
      <c r="BS38" s="217"/>
      <c r="BT38" s="210"/>
      <c r="BU38" s="217"/>
      <c r="BV38" s="211"/>
      <c r="BW38" s="213"/>
      <c r="BX38" s="213"/>
      <c r="BY38" s="213"/>
      <c r="BZ38" s="208"/>
      <c r="CA38" s="217"/>
      <c r="CB38" s="217"/>
      <c r="CC38" s="217"/>
      <c r="CD38" s="211"/>
      <c r="CE38" s="213"/>
      <c r="CF38" s="213"/>
      <c r="CG38" s="213"/>
      <c r="CH38" s="208"/>
      <c r="CI38" s="217"/>
      <c r="CJ38" s="217"/>
      <c r="CK38" s="217"/>
      <c r="CL38" s="211"/>
      <c r="CM38" s="213"/>
      <c r="CN38" s="213"/>
      <c r="CO38" s="213"/>
      <c r="CP38" s="208"/>
      <c r="CQ38" s="217"/>
      <c r="CR38" s="217"/>
      <c r="CS38" s="217"/>
      <c r="CT38" s="211"/>
      <c r="CU38" s="213"/>
      <c r="CV38" s="213"/>
      <c r="CW38" s="213"/>
      <c r="CX38" s="208"/>
      <c r="CY38" s="217"/>
      <c r="CZ38" s="217"/>
      <c r="DA38" s="217"/>
      <c r="DB38" s="211"/>
      <c r="DC38" s="213"/>
      <c r="DD38" s="213"/>
      <c r="DE38" s="213"/>
      <c r="DF38" s="208"/>
      <c r="DG38" s="217"/>
      <c r="DH38" s="217"/>
      <c r="DI38" s="217"/>
      <c r="DJ38" s="211"/>
      <c r="DK38" s="213"/>
      <c r="DL38" s="213"/>
      <c r="DM38" s="213"/>
      <c r="DN38" s="208"/>
      <c r="DO38" s="217"/>
      <c r="DP38" s="217"/>
      <c r="DQ38" s="217"/>
      <c r="DR38" s="211"/>
      <c r="DS38" s="213"/>
      <c r="DT38" s="213"/>
      <c r="DU38" s="213"/>
      <c r="DV38" s="208"/>
      <c r="DW38" s="217"/>
      <c r="DX38" s="217"/>
      <c r="DY38" s="217"/>
      <c r="DZ38" s="211"/>
      <c r="EA38" s="213"/>
      <c r="EB38" s="213"/>
      <c r="EC38" s="213"/>
      <c r="ED38" s="208"/>
      <c r="EE38" s="217"/>
      <c r="EF38" s="217"/>
      <c r="EG38" s="217"/>
      <c r="EH38" s="211"/>
      <c r="EI38" s="213"/>
      <c r="EJ38" s="213"/>
      <c r="EK38" s="213"/>
      <c r="EL38" s="208"/>
      <c r="EM38" s="217"/>
      <c r="EN38" s="217"/>
      <c r="EO38" s="217"/>
      <c r="EP38" s="211"/>
      <c r="EQ38" s="213"/>
      <c r="ER38" s="213"/>
      <c r="ES38" s="213"/>
      <c r="ET38" s="208"/>
      <c r="EU38" s="217"/>
      <c r="EV38" s="217"/>
      <c r="EW38" s="217"/>
      <c r="EX38" s="211"/>
      <c r="EY38" s="213"/>
      <c r="EZ38" s="213"/>
      <c r="FA38" s="213"/>
      <c r="FB38" s="208"/>
      <c r="FC38" s="217"/>
      <c r="FD38" s="217"/>
      <c r="FE38" s="217"/>
      <c r="FF38" s="211"/>
      <c r="FG38" s="213"/>
      <c r="FH38" s="213"/>
      <c r="FI38" s="213"/>
      <c r="FJ38" s="208"/>
      <c r="FK38" s="217"/>
      <c r="FL38" s="217"/>
      <c r="FM38" s="217"/>
      <c r="FN38" s="211"/>
      <c r="FO38" s="213"/>
      <c r="FP38" s="213"/>
      <c r="FQ38" s="213"/>
      <c r="FR38" s="208"/>
      <c r="FS38" s="217"/>
      <c r="FT38" s="217"/>
      <c r="FU38" s="217"/>
      <c r="FV38" s="211"/>
      <c r="FW38" s="213"/>
      <c r="FX38" s="213"/>
      <c r="FY38" s="213"/>
      <c r="FZ38" s="208"/>
      <c r="GA38" s="217"/>
      <c r="GB38" s="217"/>
      <c r="GC38" s="217"/>
      <c r="GD38" s="211"/>
      <c r="GE38" s="213"/>
      <c r="GF38" s="213"/>
      <c r="GG38" s="213"/>
      <c r="GH38" s="208"/>
      <c r="GI38" s="217"/>
      <c r="GJ38" s="217"/>
      <c r="GK38" s="217"/>
      <c r="GL38" s="211"/>
      <c r="GM38" s="213"/>
      <c r="GN38" s="213"/>
      <c r="GO38" s="213"/>
      <c r="GP38" s="208"/>
      <c r="GQ38" s="217"/>
      <c r="GR38" s="217"/>
      <c r="GS38" s="217"/>
    </row>
    <row r="39" spans="1:201" s="218" customFormat="1" ht="205" customHeight="1" x14ac:dyDescent="0.35">
      <c r="B39" s="245">
        <v>30</v>
      </c>
      <c r="C39" s="195"/>
      <c r="D39" s="195"/>
      <c r="E39" s="246"/>
      <c r="F39" s="246"/>
      <c r="G39" s="196"/>
      <c r="H39" s="221"/>
      <c r="I39" s="198"/>
      <c r="J39" s="199"/>
      <c r="K39" s="200"/>
      <c r="L39" s="201"/>
      <c r="M39" s="201"/>
      <c r="N39" s="202"/>
      <c r="O39" s="203">
        <f t="shared" ca="1" si="2"/>
        <v>0</v>
      </c>
      <c r="P39" s="203">
        <f t="shared" ca="1" si="3"/>
        <v>0</v>
      </c>
      <c r="Q39" s="204">
        <f t="shared" si="4"/>
        <v>0</v>
      </c>
      <c r="R39" s="205"/>
      <c r="S39" s="206"/>
      <c r="T39" s="206"/>
      <c r="U39" s="207"/>
      <c r="V39" s="208"/>
      <c r="W39" s="209"/>
      <c r="X39" s="210"/>
      <c r="Y39" s="209"/>
      <c r="Z39" s="211"/>
      <c r="AA39" s="212"/>
      <c r="AB39" s="213"/>
      <c r="AC39" s="207"/>
      <c r="AD39" s="208"/>
      <c r="AE39" s="209"/>
      <c r="AF39" s="210"/>
      <c r="AG39" s="209"/>
      <c r="AH39" s="211"/>
      <c r="AI39" s="212"/>
      <c r="AJ39" s="213"/>
      <c r="AK39" s="214"/>
      <c r="AL39" s="215"/>
      <c r="AM39" s="209"/>
      <c r="AN39" s="210"/>
      <c r="AO39" s="209"/>
      <c r="AP39" s="216"/>
      <c r="AQ39" s="212"/>
      <c r="AR39" s="213"/>
      <c r="AS39" s="214"/>
      <c r="AT39" s="208"/>
      <c r="AU39" s="209"/>
      <c r="AV39" s="210"/>
      <c r="AW39" s="217"/>
      <c r="AX39" s="211"/>
      <c r="AY39" s="213"/>
      <c r="AZ39" s="213"/>
      <c r="BA39" s="213"/>
      <c r="BB39" s="208"/>
      <c r="BC39" s="217"/>
      <c r="BD39" s="210"/>
      <c r="BE39" s="217"/>
      <c r="BF39" s="211"/>
      <c r="BG39" s="213"/>
      <c r="BH39" s="213"/>
      <c r="BI39" s="213"/>
      <c r="BJ39" s="208"/>
      <c r="BK39" s="217"/>
      <c r="BL39" s="210"/>
      <c r="BM39" s="217"/>
      <c r="BN39" s="211"/>
      <c r="BO39" s="213"/>
      <c r="BP39" s="213"/>
      <c r="BQ39" s="213"/>
      <c r="BR39" s="208"/>
      <c r="BS39" s="217"/>
      <c r="BT39" s="210"/>
      <c r="BU39" s="217"/>
      <c r="BV39" s="211"/>
      <c r="BW39" s="213"/>
      <c r="BX39" s="213"/>
      <c r="BY39" s="213"/>
      <c r="BZ39" s="208"/>
      <c r="CA39" s="217"/>
      <c r="CB39" s="217"/>
      <c r="CC39" s="217"/>
      <c r="CD39" s="211"/>
      <c r="CE39" s="213"/>
      <c r="CF39" s="213"/>
      <c r="CG39" s="213"/>
      <c r="CH39" s="208"/>
      <c r="CI39" s="217"/>
      <c r="CJ39" s="217"/>
      <c r="CK39" s="217"/>
      <c r="CL39" s="211"/>
      <c r="CM39" s="213"/>
      <c r="CN39" s="213"/>
      <c r="CO39" s="213"/>
      <c r="CP39" s="208"/>
      <c r="CQ39" s="217"/>
      <c r="CR39" s="217"/>
      <c r="CS39" s="217"/>
      <c r="CT39" s="211"/>
      <c r="CU39" s="213"/>
      <c r="CV39" s="213"/>
      <c r="CW39" s="213"/>
      <c r="CX39" s="208"/>
      <c r="CY39" s="217"/>
      <c r="CZ39" s="217"/>
      <c r="DA39" s="217"/>
      <c r="DB39" s="211"/>
      <c r="DC39" s="213"/>
      <c r="DD39" s="213"/>
      <c r="DE39" s="213"/>
      <c r="DF39" s="208"/>
      <c r="DG39" s="217"/>
      <c r="DH39" s="217"/>
      <c r="DI39" s="217"/>
      <c r="DJ39" s="211"/>
      <c r="DK39" s="213"/>
      <c r="DL39" s="213"/>
      <c r="DM39" s="213"/>
      <c r="DN39" s="208"/>
      <c r="DO39" s="217"/>
      <c r="DP39" s="217"/>
      <c r="DQ39" s="217"/>
      <c r="DR39" s="211"/>
      <c r="DS39" s="213"/>
      <c r="DT39" s="213"/>
      <c r="DU39" s="213"/>
      <c r="DV39" s="208"/>
      <c r="DW39" s="217"/>
      <c r="DX39" s="217"/>
      <c r="DY39" s="217"/>
      <c r="DZ39" s="211"/>
      <c r="EA39" s="213"/>
      <c r="EB39" s="213"/>
      <c r="EC39" s="213"/>
      <c r="ED39" s="208"/>
      <c r="EE39" s="217"/>
      <c r="EF39" s="217"/>
      <c r="EG39" s="217"/>
      <c r="EH39" s="211"/>
      <c r="EI39" s="213"/>
      <c r="EJ39" s="213"/>
      <c r="EK39" s="213"/>
      <c r="EL39" s="208"/>
      <c r="EM39" s="217"/>
      <c r="EN39" s="217"/>
      <c r="EO39" s="217"/>
      <c r="EP39" s="211"/>
      <c r="EQ39" s="213"/>
      <c r="ER39" s="213"/>
      <c r="ES39" s="213"/>
      <c r="ET39" s="208"/>
      <c r="EU39" s="217"/>
      <c r="EV39" s="217"/>
      <c r="EW39" s="217"/>
      <c r="EX39" s="211"/>
      <c r="EY39" s="213"/>
      <c r="EZ39" s="213"/>
      <c r="FA39" s="213"/>
      <c r="FB39" s="208"/>
      <c r="FC39" s="217"/>
      <c r="FD39" s="217"/>
      <c r="FE39" s="217"/>
      <c r="FF39" s="211"/>
      <c r="FG39" s="213"/>
      <c r="FH39" s="213"/>
      <c r="FI39" s="213"/>
      <c r="FJ39" s="208"/>
      <c r="FK39" s="217"/>
      <c r="FL39" s="217"/>
      <c r="FM39" s="217"/>
      <c r="FN39" s="211"/>
      <c r="FO39" s="213"/>
      <c r="FP39" s="213"/>
      <c r="FQ39" s="213"/>
      <c r="FR39" s="208"/>
      <c r="FS39" s="217"/>
      <c r="FT39" s="217"/>
      <c r="FU39" s="217"/>
      <c r="FV39" s="211"/>
      <c r="FW39" s="213"/>
      <c r="FX39" s="213"/>
      <c r="FY39" s="213"/>
      <c r="FZ39" s="208"/>
      <c r="GA39" s="217"/>
      <c r="GB39" s="217"/>
      <c r="GC39" s="217"/>
      <c r="GD39" s="211"/>
      <c r="GE39" s="213"/>
      <c r="GF39" s="213"/>
      <c r="GG39" s="213"/>
      <c r="GH39" s="208"/>
      <c r="GI39" s="217"/>
      <c r="GJ39" s="217"/>
      <c r="GK39" s="217"/>
      <c r="GL39" s="211"/>
      <c r="GM39" s="213"/>
      <c r="GN39" s="213"/>
      <c r="GO39" s="213"/>
      <c r="GP39" s="208"/>
      <c r="GQ39" s="217"/>
      <c r="GR39" s="217"/>
      <c r="GS39" s="217"/>
    </row>
    <row r="40" spans="1:201" s="218" customFormat="1" ht="205" customHeight="1" x14ac:dyDescent="0.35">
      <c r="B40" s="245">
        <v>31</v>
      </c>
      <c r="C40" s="195"/>
      <c r="D40" s="195"/>
      <c r="E40" s="246"/>
      <c r="F40" s="246"/>
      <c r="G40" s="247"/>
      <c r="H40" s="280"/>
      <c r="I40" s="198"/>
      <c r="J40" s="199"/>
      <c r="K40" s="268"/>
      <c r="L40" s="201"/>
      <c r="M40" s="201"/>
      <c r="N40" s="202"/>
      <c r="O40" s="203">
        <f t="shared" ca="1" si="2"/>
        <v>0</v>
      </c>
      <c r="P40" s="269">
        <f t="shared" ref="P40:P77" ca="1" si="5">IF(N40="Revisión INN",TODAY()-L40,0)</f>
        <v>0</v>
      </c>
      <c r="Q40" s="204">
        <f t="shared" si="4"/>
        <v>0</v>
      </c>
      <c r="R40" s="205"/>
      <c r="S40" s="206"/>
      <c r="T40" s="206"/>
      <c r="U40" s="207"/>
      <c r="V40" s="208"/>
      <c r="W40" s="209"/>
      <c r="X40" s="210"/>
      <c r="Y40" s="209"/>
      <c r="Z40" s="211"/>
      <c r="AA40" s="212"/>
      <c r="AB40" s="213"/>
      <c r="AC40" s="214"/>
      <c r="AD40" s="208"/>
      <c r="AE40" s="209"/>
      <c r="AF40" s="210"/>
      <c r="AG40" s="209"/>
      <c r="AH40" s="211"/>
      <c r="AI40" s="212"/>
      <c r="AJ40" s="213"/>
      <c r="AK40" s="214"/>
      <c r="AL40" s="215"/>
      <c r="AM40" s="209"/>
      <c r="AN40" s="210"/>
      <c r="AO40" s="209"/>
      <c r="AP40" s="216"/>
      <c r="AQ40" s="212"/>
      <c r="AR40" s="213"/>
      <c r="AS40" s="214"/>
      <c r="AT40" s="208"/>
      <c r="AU40" s="209"/>
      <c r="AV40" s="210"/>
      <c r="AW40" s="217"/>
      <c r="AX40" s="211"/>
      <c r="AY40" s="213"/>
      <c r="AZ40" s="213"/>
      <c r="BA40" s="213"/>
      <c r="BB40" s="208"/>
      <c r="BC40" s="217"/>
      <c r="BD40" s="210"/>
      <c r="BE40" s="217"/>
      <c r="BF40" s="211"/>
      <c r="BG40" s="213"/>
      <c r="BH40" s="213"/>
      <c r="BI40" s="213"/>
      <c r="BJ40" s="208"/>
      <c r="BK40" s="217"/>
      <c r="BL40" s="210"/>
      <c r="BM40" s="217"/>
      <c r="BN40" s="211"/>
      <c r="BO40" s="213"/>
      <c r="BP40" s="213"/>
      <c r="BQ40" s="213"/>
      <c r="BR40" s="208"/>
      <c r="BS40" s="217"/>
      <c r="BT40" s="210"/>
      <c r="BU40" s="217"/>
      <c r="BV40" s="211"/>
      <c r="BW40" s="213"/>
      <c r="BX40" s="213"/>
      <c r="BY40" s="213"/>
      <c r="BZ40" s="208"/>
      <c r="CA40" s="217"/>
      <c r="CB40" s="217"/>
      <c r="CC40" s="217"/>
      <c r="CD40" s="211"/>
      <c r="CE40" s="213"/>
      <c r="CF40" s="213"/>
      <c r="CG40" s="213"/>
      <c r="CH40" s="208"/>
      <c r="CI40" s="217"/>
      <c r="CJ40" s="217"/>
      <c r="CK40" s="217"/>
      <c r="CL40" s="211"/>
      <c r="CM40" s="213"/>
      <c r="CN40" s="213"/>
      <c r="CO40" s="213"/>
      <c r="CP40" s="208"/>
      <c r="CQ40" s="217"/>
      <c r="CR40" s="217"/>
      <c r="CS40" s="217"/>
      <c r="CT40" s="211"/>
      <c r="CU40" s="213"/>
      <c r="CV40" s="213"/>
      <c r="CW40" s="213"/>
      <c r="CX40" s="208"/>
      <c r="CY40" s="217"/>
      <c r="CZ40" s="217"/>
      <c r="DA40" s="217"/>
      <c r="DB40" s="211"/>
      <c r="DC40" s="213"/>
      <c r="DD40" s="213"/>
      <c r="DE40" s="213"/>
      <c r="DF40" s="208"/>
      <c r="DG40" s="217"/>
      <c r="DH40" s="217"/>
      <c r="DI40" s="217"/>
      <c r="DJ40" s="211"/>
      <c r="DK40" s="213"/>
      <c r="DL40" s="213"/>
      <c r="DM40" s="213"/>
      <c r="DN40" s="208"/>
      <c r="DO40" s="217"/>
      <c r="DP40" s="217"/>
      <c r="DQ40" s="217"/>
      <c r="DR40" s="211"/>
      <c r="DS40" s="213"/>
      <c r="DT40" s="213"/>
      <c r="DU40" s="213"/>
      <c r="DV40" s="208"/>
      <c r="DW40" s="217"/>
      <c r="DX40" s="217"/>
      <c r="DY40" s="217"/>
      <c r="DZ40" s="211"/>
      <c r="EA40" s="213"/>
      <c r="EB40" s="213"/>
      <c r="EC40" s="213"/>
      <c r="ED40" s="208"/>
      <c r="EE40" s="217"/>
      <c r="EF40" s="217"/>
      <c r="EG40" s="217"/>
      <c r="EH40" s="211"/>
      <c r="EI40" s="213"/>
      <c r="EJ40" s="213"/>
      <c r="EK40" s="213"/>
      <c r="EL40" s="208"/>
      <c r="EM40" s="217"/>
      <c r="EN40" s="217"/>
      <c r="EO40" s="217"/>
      <c r="EP40" s="211"/>
      <c r="EQ40" s="213"/>
      <c r="ER40" s="213"/>
      <c r="ES40" s="213"/>
      <c r="ET40" s="208"/>
      <c r="EU40" s="217"/>
      <c r="EV40" s="217"/>
      <c r="EW40" s="217"/>
      <c r="EX40" s="211"/>
      <c r="EY40" s="213"/>
      <c r="EZ40" s="213"/>
      <c r="FA40" s="213"/>
      <c r="FB40" s="208"/>
      <c r="FC40" s="217"/>
      <c r="FD40" s="217"/>
      <c r="FE40" s="217"/>
      <c r="FF40" s="211"/>
      <c r="FG40" s="213"/>
      <c r="FH40" s="213"/>
      <c r="FI40" s="213"/>
      <c r="FJ40" s="208"/>
      <c r="FK40" s="217"/>
      <c r="FL40" s="217"/>
      <c r="FM40" s="217"/>
      <c r="FN40" s="211"/>
      <c r="FO40" s="213"/>
      <c r="FP40" s="213"/>
      <c r="FQ40" s="213"/>
      <c r="FR40" s="208"/>
      <c r="FS40" s="217"/>
      <c r="FT40" s="217"/>
      <c r="FU40" s="217"/>
      <c r="FV40" s="211"/>
      <c r="FW40" s="213"/>
      <c r="FX40" s="213"/>
      <c r="FY40" s="213"/>
      <c r="FZ40" s="208"/>
      <c r="GA40" s="217"/>
      <c r="GB40" s="217"/>
      <c r="GC40" s="217"/>
      <c r="GD40" s="211"/>
      <c r="GE40" s="213"/>
      <c r="GF40" s="213"/>
      <c r="GG40" s="213"/>
      <c r="GH40" s="208"/>
      <c r="GI40" s="217"/>
      <c r="GJ40" s="217"/>
      <c r="GK40" s="217"/>
      <c r="GL40" s="211"/>
      <c r="GM40" s="213"/>
      <c r="GN40" s="213"/>
      <c r="GO40" s="213"/>
      <c r="GP40" s="208"/>
      <c r="GQ40" s="217"/>
      <c r="GR40" s="217"/>
      <c r="GS40" s="217"/>
    </row>
    <row r="41" spans="1:201" s="218" customFormat="1" ht="205" customHeight="1" x14ac:dyDescent="0.35">
      <c r="A41" s="264"/>
      <c r="B41" s="245">
        <v>32</v>
      </c>
      <c r="C41" s="195"/>
      <c r="D41" s="195"/>
      <c r="E41" s="195"/>
      <c r="F41" s="195"/>
      <c r="G41" s="196"/>
      <c r="H41" s="234"/>
      <c r="I41" s="198"/>
      <c r="J41" s="199"/>
      <c r="K41" s="200"/>
      <c r="L41" s="201"/>
      <c r="M41" s="201"/>
      <c r="N41" s="202"/>
      <c r="O41" s="249">
        <f t="shared" ca="1" si="2"/>
        <v>0</v>
      </c>
      <c r="P41" s="249">
        <f t="shared" ca="1" si="5"/>
        <v>0</v>
      </c>
      <c r="Q41" s="250">
        <f t="shared" si="4"/>
        <v>0</v>
      </c>
      <c r="R41" s="251"/>
      <c r="S41" s="252"/>
      <c r="T41" s="252"/>
      <c r="U41" s="253"/>
      <c r="V41" s="254"/>
      <c r="W41" s="255"/>
      <c r="X41" s="256"/>
      <c r="Y41" s="255"/>
      <c r="Z41" s="257"/>
      <c r="AA41" s="258"/>
      <c r="AB41" s="259"/>
      <c r="AC41" s="260"/>
      <c r="AD41" s="254"/>
      <c r="AE41" s="255"/>
      <c r="AF41" s="256"/>
      <c r="AG41" s="255"/>
      <c r="AH41" s="251"/>
      <c r="AI41" s="252"/>
      <c r="AJ41" s="252"/>
      <c r="AK41" s="253"/>
      <c r="AL41" s="261"/>
      <c r="AM41" s="255"/>
      <c r="AN41" s="256"/>
      <c r="AO41" s="255"/>
      <c r="AP41" s="262"/>
      <c r="AQ41" s="258"/>
      <c r="AR41" s="259"/>
      <c r="AS41" s="260"/>
      <c r="AT41" s="254"/>
      <c r="AU41" s="255"/>
      <c r="AV41" s="256"/>
      <c r="AW41" s="263"/>
      <c r="AX41" s="257"/>
      <c r="AY41" s="259"/>
      <c r="AZ41" s="259"/>
      <c r="BA41" s="259"/>
      <c r="BB41" s="254"/>
      <c r="BC41" s="263"/>
      <c r="BD41" s="256"/>
      <c r="BE41" s="263"/>
      <c r="BF41" s="257"/>
      <c r="BG41" s="259"/>
      <c r="BH41" s="259"/>
      <c r="BI41" s="259"/>
      <c r="BJ41" s="254"/>
      <c r="BK41" s="263"/>
      <c r="BL41" s="256"/>
      <c r="BM41" s="263"/>
      <c r="BN41" s="257"/>
      <c r="BO41" s="259"/>
      <c r="BP41" s="259"/>
      <c r="BQ41" s="259"/>
      <c r="BR41" s="254"/>
      <c r="BS41" s="263"/>
      <c r="BT41" s="256"/>
      <c r="BU41" s="263"/>
      <c r="BV41" s="257"/>
      <c r="BW41" s="259"/>
      <c r="BX41" s="259"/>
      <c r="BY41" s="259"/>
      <c r="BZ41" s="254"/>
      <c r="CA41" s="263"/>
      <c r="CB41" s="263"/>
      <c r="CC41" s="263"/>
      <c r="CD41" s="257"/>
      <c r="CE41" s="259"/>
      <c r="CF41" s="259"/>
      <c r="CG41" s="259"/>
      <c r="CH41" s="254"/>
      <c r="CI41" s="263"/>
      <c r="CJ41" s="263"/>
      <c r="CK41" s="263"/>
      <c r="CL41" s="257"/>
      <c r="CM41" s="259"/>
      <c r="CN41" s="259"/>
      <c r="CO41" s="259"/>
      <c r="CP41" s="254"/>
      <c r="CQ41" s="263"/>
      <c r="CR41" s="263"/>
      <c r="CS41" s="263"/>
      <c r="CT41" s="257"/>
      <c r="CU41" s="259"/>
      <c r="CV41" s="259"/>
      <c r="CW41" s="259"/>
      <c r="CX41" s="254"/>
      <c r="CY41" s="263"/>
      <c r="CZ41" s="263"/>
      <c r="DA41" s="263"/>
      <c r="DB41" s="257"/>
      <c r="DC41" s="259"/>
      <c r="DD41" s="259"/>
      <c r="DE41" s="259"/>
      <c r="DF41" s="254"/>
      <c r="DG41" s="263"/>
      <c r="DH41" s="263"/>
      <c r="DI41" s="263"/>
      <c r="DJ41" s="257"/>
      <c r="DK41" s="259"/>
      <c r="DL41" s="259"/>
      <c r="DM41" s="259"/>
      <c r="DN41" s="254"/>
      <c r="DO41" s="263"/>
      <c r="DP41" s="263"/>
      <c r="DQ41" s="263"/>
      <c r="DR41" s="257"/>
      <c r="DS41" s="259"/>
      <c r="DT41" s="259"/>
      <c r="DU41" s="259"/>
      <c r="DV41" s="254"/>
      <c r="DW41" s="263"/>
      <c r="DX41" s="263"/>
      <c r="DY41" s="263"/>
      <c r="DZ41" s="257"/>
      <c r="EA41" s="259"/>
      <c r="EB41" s="259"/>
      <c r="EC41" s="259"/>
      <c r="ED41" s="254"/>
      <c r="EE41" s="263"/>
      <c r="EF41" s="263"/>
      <c r="EG41" s="263"/>
      <c r="EH41" s="257"/>
      <c r="EI41" s="259"/>
      <c r="EJ41" s="259"/>
      <c r="EK41" s="259"/>
      <c r="EL41" s="254"/>
      <c r="EM41" s="263"/>
      <c r="EN41" s="263"/>
      <c r="EO41" s="263"/>
      <c r="EP41" s="257"/>
      <c r="EQ41" s="259"/>
      <c r="ER41" s="259"/>
      <c r="ES41" s="259"/>
      <c r="ET41" s="254"/>
      <c r="EU41" s="263"/>
      <c r="EV41" s="263"/>
      <c r="EW41" s="263"/>
      <c r="EX41" s="257"/>
      <c r="EY41" s="259"/>
      <c r="EZ41" s="259"/>
      <c r="FA41" s="259"/>
      <c r="FB41" s="254"/>
      <c r="FC41" s="263"/>
      <c r="FD41" s="263"/>
      <c r="FE41" s="263"/>
      <c r="FF41" s="257"/>
      <c r="FG41" s="259"/>
      <c r="FH41" s="259"/>
      <c r="FI41" s="259"/>
      <c r="FJ41" s="254"/>
      <c r="FK41" s="263"/>
      <c r="FL41" s="263"/>
      <c r="FM41" s="263"/>
      <c r="FN41" s="257"/>
      <c r="FO41" s="259"/>
      <c r="FP41" s="259"/>
      <c r="FQ41" s="259"/>
      <c r="FR41" s="254"/>
      <c r="FS41" s="263"/>
      <c r="FT41" s="263"/>
      <c r="FU41" s="263"/>
      <c r="FV41" s="257"/>
      <c r="FW41" s="259"/>
      <c r="FX41" s="259"/>
      <c r="FY41" s="259"/>
      <c r="FZ41" s="254"/>
      <c r="GA41" s="263"/>
      <c r="GB41" s="263"/>
      <c r="GC41" s="263"/>
      <c r="GD41" s="257"/>
      <c r="GE41" s="259"/>
      <c r="GF41" s="259"/>
      <c r="GG41" s="259"/>
      <c r="GH41" s="254"/>
      <c r="GI41" s="263"/>
      <c r="GJ41" s="263"/>
      <c r="GK41" s="263"/>
      <c r="GL41" s="257"/>
      <c r="GM41" s="259"/>
      <c r="GN41" s="259"/>
      <c r="GO41" s="259"/>
      <c r="GP41" s="254"/>
      <c r="GQ41" s="263"/>
      <c r="GR41" s="263"/>
      <c r="GS41" s="263"/>
    </row>
    <row r="42" spans="1:201" s="218" customFormat="1" ht="205" customHeight="1" x14ac:dyDescent="0.35">
      <c r="B42" s="245">
        <v>33</v>
      </c>
      <c r="C42" s="195"/>
      <c r="D42" s="195"/>
      <c r="E42" s="195"/>
      <c r="F42" s="195"/>
      <c r="G42" s="196"/>
      <c r="H42" s="276"/>
      <c r="I42" s="198"/>
      <c r="J42" s="199"/>
      <c r="K42" s="200"/>
      <c r="L42" s="201"/>
      <c r="M42" s="201"/>
      <c r="N42" s="202"/>
      <c r="O42" s="249">
        <f ca="1">IF(N42="Comentado / Emitir Rev.C",TODAY()-M42,0)</f>
        <v>0</v>
      </c>
      <c r="P42" s="249">
        <f t="shared" ca="1" si="5"/>
        <v>0</v>
      </c>
      <c r="Q42" s="250">
        <f t="shared" si="4"/>
        <v>0</v>
      </c>
      <c r="R42" s="251"/>
      <c r="S42" s="252"/>
      <c r="T42" s="252"/>
      <c r="U42" s="253"/>
      <c r="V42" s="208"/>
      <c r="W42" s="209"/>
      <c r="X42" s="210"/>
      <c r="Y42" s="209"/>
      <c r="Z42" s="211"/>
      <c r="AA42" s="212"/>
      <c r="AB42" s="213"/>
      <c r="AC42" s="214"/>
      <c r="AD42" s="208"/>
      <c r="AE42" s="209"/>
      <c r="AF42" s="210"/>
      <c r="AG42" s="209"/>
      <c r="AH42" s="205"/>
      <c r="AI42" s="206"/>
      <c r="AJ42" s="206"/>
      <c r="AK42" s="207"/>
      <c r="AL42" s="215"/>
      <c r="AM42" s="209"/>
      <c r="AN42" s="210"/>
      <c r="AO42" s="209"/>
      <c r="AP42" s="284"/>
      <c r="AQ42" s="231"/>
      <c r="AR42" s="213"/>
      <c r="AS42" s="214"/>
      <c r="AT42" s="208"/>
      <c r="AU42" s="209"/>
      <c r="AV42" s="210"/>
      <c r="AW42" s="217"/>
      <c r="AX42" s="211"/>
      <c r="AY42" s="213"/>
      <c r="AZ42" s="213"/>
      <c r="BA42" s="214"/>
      <c r="BB42" s="208"/>
      <c r="BC42" s="217"/>
      <c r="BD42" s="210"/>
      <c r="BE42" s="217"/>
      <c r="BF42" s="211"/>
      <c r="BG42" s="213"/>
      <c r="BH42" s="213"/>
      <c r="BI42" s="213"/>
      <c r="BJ42" s="208"/>
      <c r="BK42" s="217"/>
      <c r="BL42" s="210"/>
      <c r="BM42" s="217"/>
      <c r="BN42" s="211"/>
      <c r="BO42" s="213"/>
      <c r="BP42" s="213"/>
      <c r="BQ42" s="213"/>
      <c r="BR42" s="208"/>
      <c r="BS42" s="217"/>
      <c r="BT42" s="210"/>
      <c r="BU42" s="217"/>
      <c r="BV42" s="211"/>
      <c r="BW42" s="213"/>
      <c r="BX42" s="213"/>
      <c r="BY42" s="213"/>
      <c r="BZ42" s="208"/>
      <c r="CA42" s="217"/>
      <c r="CB42" s="217"/>
      <c r="CC42" s="217"/>
      <c r="CD42" s="211"/>
      <c r="CE42" s="213"/>
      <c r="CF42" s="213"/>
      <c r="CG42" s="213"/>
      <c r="CH42" s="208"/>
      <c r="CI42" s="217"/>
      <c r="CJ42" s="217"/>
      <c r="CK42" s="217"/>
      <c r="CL42" s="211"/>
      <c r="CM42" s="213"/>
      <c r="CN42" s="213"/>
      <c r="CO42" s="213"/>
      <c r="CP42" s="208"/>
      <c r="CQ42" s="217"/>
      <c r="CR42" s="217"/>
      <c r="CS42" s="217"/>
      <c r="CT42" s="211"/>
      <c r="CU42" s="213"/>
      <c r="CV42" s="213"/>
      <c r="CW42" s="213"/>
      <c r="CX42" s="208"/>
      <c r="CY42" s="217"/>
      <c r="CZ42" s="217"/>
      <c r="DA42" s="217"/>
      <c r="DB42" s="211"/>
      <c r="DC42" s="213"/>
      <c r="DD42" s="213"/>
      <c r="DE42" s="213"/>
      <c r="DF42" s="208"/>
      <c r="DG42" s="217"/>
      <c r="DH42" s="217"/>
      <c r="DI42" s="217"/>
      <c r="DJ42" s="211"/>
      <c r="DK42" s="213"/>
      <c r="DL42" s="213"/>
      <c r="DM42" s="213"/>
      <c r="DN42" s="208"/>
      <c r="DO42" s="217"/>
      <c r="DP42" s="217"/>
      <c r="DQ42" s="217"/>
      <c r="DR42" s="211"/>
      <c r="DS42" s="213"/>
      <c r="DT42" s="213"/>
      <c r="DU42" s="213"/>
      <c r="DV42" s="208"/>
      <c r="DW42" s="217"/>
      <c r="DX42" s="217"/>
      <c r="DY42" s="217"/>
      <c r="DZ42" s="211"/>
      <c r="EA42" s="213"/>
      <c r="EB42" s="213"/>
      <c r="EC42" s="213"/>
      <c r="ED42" s="208"/>
      <c r="EE42" s="217"/>
      <c r="EF42" s="217"/>
      <c r="EG42" s="217"/>
      <c r="EH42" s="211"/>
      <c r="EI42" s="213"/>
      <c r="EJ42" s="213"/>
      <c r="EK42" s="213"/>
      <c r="EL42" s="208"/>
      <c r="EM42" s="217"/>
      <c r="EN42" s="217"/>
      <c r="EO42" s="217"/>
      <c r="EP42" s="211"/>
      <c r="EQ42" s="213"/>
      <c r="ER42" s="213"/>
      <c r="ES42" s="213"/>
      <c r="ET42" s="208"/>
      <c r="EU42" s="217"/>
      <c r="EV42" s="217"/>
      <c r="EW42" s="217"/>
      <c r="EX42" s="211"/>
      <c r="EY42" s="213"/>
      <c r="EZ42" s="213"/>
      <c r="FA42" s="213"/>
      <c r="FB42" s="208"/>
      <c r="FC42" s="217"/>
      <c r="FD42" s="217"/>
      <c r="FE42" s="217"/>
      <c r="FF42" s="211"/>
      <c r="FG42" s="213"/>
      <c r="FH42" s="213"/>
      <c r="FI42" s="213"/>
      <c r="FJ42" s="208"/>
      <c r="FK42" s="217"/>
      <c r="FL42" s="217"/>
      <c r="FM42" s="217"/>
      <c r="FN42" s="211"/>
      <c r="FO42" s="213"/>
      <c r="FP42" s="213"/>
      <c r="FQ42" s="213"/>
      <c r="FR42" s="208"/>
      <c r="FS42" s="217"/>
      <c r="FT42" s="217"/>
      <c r="FU42" s="217"/>
      <c r="FV42" s="211"/>
      <c r="FW42" s="213"/>
      <c r="FX42" s="213"/>
      <c r="FY42" s="213"/>
      <c r="FZ42" s="208"/>
      <c r="GA42" s="217"/>
      <c r="GB42" s="217"/>
      <c r="GC42" s="217"/>
      <c r="GD42" s="211"/>
      <c r="GE42" s="213"/>
      <c r="GF42" s="213"/>
      <c r="GG42" s="213"/>
      <c r="GH42" s="208"/>
      <c r="GI42" s="217"/>
      <c r="GJ42" s="217"/>
      <c r="GK42" s="217"/>
      <c r="GL42" s="211"/>
      <c r="GM42" s="213"/>
      <c r="GN42" s="213"/>
      <c r="GO42" s="213"/>
      <c r="GP42" s="208"/>
      <c r="GQ42" s="217"/>
      <c r="GR42" s="217"/>
      <c r="GS42" s="217"/>
    </row>
    <row r="43" spans="1:201" s="218" customFormat="1" ht="205" customHeight="1" x14ac:dyDescent="0.35">
      <c r="B43" s="245">
        <v>34</v>
      </c>
      <c r="C43" s="194"/>
      <c r="D43" s="195"/>
      <c r="E43" s="246"/>
      <c r="F43" s="246"/>
      <c r="G43" s="196"/>
      <c r="H43" s="289"/>
      <c r="I43" s="198"/>
      <c r="J43" s="199"/>
      <c r="K43" s="200"/>
      <c r="L43" s="201"/>
      <c r="M43" s="201"/>
      <c r="N43" s="202"/>
      <c r="O43" s="203">
        <f ca="1">IF(N43="Rechazado / Reemitir Rev.0",TODAY()-M43,0)</f>
        <v>0</v>
      </c>
      <c r="P43" s="203">
        <f t="shared" ca="1" si="5"/>
        <v>0</v>
      </c>
      <c r="Q43" s="204">
        <f t="shared" si="4"/>
        <v>0</v>
      </c>
      <c r="R43" s="205"/>
      <c r="S43" s="206"/>
      <c r="T43" s="206"/>
      <c r="U43" s="207"/>
      <c r="V43" s="208"/>
      <c r="W43" s="209"/>
      <c r="X43" s="210"/>
      <c r="Y43" s="209"/>
      <c r="Z43" s="211"/>
      <c r="AA43" s="212"/>
      <c r="AB43" s="213"/>
      <c r="AC43" s="214"/>
      <c r="AD43" s="215"/>
      <c r="AE43" s="209"/>
      <c r="AF43" s="210"/>
      <c r="AG43" s="209"/>
      <c r="AH43" s="211"/>
      <c r="AI43" s="212"/>
      <c r="AJ43" s="213"/>
      <c r="AK43" s="214"/>
      <c r="AL43" s="208"/>
      <c r="AM43" s="209"/>
      <c r="AN43" s="210"/>
      <c r="AO43" s="209"/>
      <c r="AP43" s="216"/>
      <c r="AQ43" s="213"/>
      <c r="AR43" s="213"/>
      <c r="AS43" s="214"/>
      <c r="AT43" s="215"/>
      <c r="AU43" s="209"/>
      <c r="AV43" s="210"/>
      <c r="AW43" s="209"/>
      <c r="AX43" s="211"/>
      <c r="AY43" s="213"/>
      <c r="AZ43" s="213"/>
      <c r="BA43" s="213"/>
      <c r="BB43" s="208"/>
      <c r="BC43" s="209"/>
      <c r="BD43" s="210"/>
      <c r="BE43" s="217"/>
      <c r="BF43" s="211"/>
      <c r="BG43" s="213"/>
      <c r="BH43" s="213"/>
      <c r="BI43" s="213"/>
      <c r="BJ43" s="208"/>
      <c r="BK43" s="217"/>
      <c r="BL43" s="210"/>
      <c r="BM43" s="217"/>
      <c r="BN43" s="211"/>
      <c r="BO43" s="213"/>
      <c r="BP43" s="213"/>
      <c r="BQ43" s="213"/>
      <c r="BR43" s="208"/>
      <c r="BS43" s="217"/>
      <c r="BT43" s="210"/>
      <c r="BU43" s="217"/>
      <c r="BV43" s="211"/>
      <c r="BW43" s="213"/>
      <c r="BX43" s="213"/>
      <c r="BY43" s="213"/>
      <c r="BZ43" s="208"/>
      <c r="CA43" s="217"/>
      <c r="CB43" s="217"/>
      <c r="CC43" s="217"/>
      <c r="CD43" s="211"/>
      <c r="CE43" s="213"/>
      <c r="CF43" s="213"/>
      <c r="CG43" s="213"/>
      <c r="CH43" s="208"/>
      <c r="CI43" s="217"/>
      <c r="CJ43" s="217"/>
      <c r="CK43" s="217"/>
      <c r="CL43" s="211"/>
      <c r="CM43" s="213"/>
      <c r="CN43" s="213"/>
      <c r="CO43" s="213"/>
      <c r="CP43" s="208"/>
      <c r="CQ43" s="217"/>
      <c r="CR43" s="217"/>
      <c r="CS43" s="217"/>
      <c r="CT43" s="211"/>
      <c r="CU43" s="213"/>
      <c r="CV43" s="213"/>
      <c r="CW43" s="213"/>
      <c r="CX43" s="208"/>
      <c r="CY43" s="217"/>
      <c r="CZ43" s="217"/>
      <c r="DA43" s="217"/>
      <c r="DB43" s="211"/>
      <c r="DC43" s="213"/>
      <c r="DD43" s="213"/>
      <c r="DE43" s="213"/>
      <c r="DF43" s="208"/>
      <c r="DG43" s="217"/>
      <c r="DH43" s="217"/>
      <c r="DI43" s="217"/>
      <c r="DJ43" s="211"/>
      <c r="DK43" s="213"/>
      <c r="DL43" s="213"/>
      <c r="DM43" s="213"/>
      <c r="DN43" s="208"/>
      <c r="DO43" s="217"/>
      <c r="DP43" s="217"/>
      <c r="DQ43" s="217"/>
      <c r="DR43" s="211"/>
      <c r="DS43" s="213"/>
      <c r="DT43" s="213"/>
      <c r="DU43" s="213"/>
      <c r="DV43" s="208"/>
      <c r="DW43" s="217"/>
      <c r="DX43" s="217"/>
      <c r="DY43" s="217"/>
      <c r="DZ43" s="211"/>
      <c r="EA43" s="213"/>
      <c r="EB43" s="213"/>
      <c r="EC43" s="213"/>
      <c r="ED43" s="208"/>
      <c r="EE43" s="217"/>
      <c r="EF43" s="217"/>
      <c r="EG43" s="217"/>
      <c r="EH43" s="211"/>
      <c r="EI43" s="213"/>
      <c r="EJ43" s="213"/>
      <c r="EK43" s="213"/>
      <c r="EL43" s="208"/>
      <c r="EM43" s="217"/>
      <c r="EN43" s="217"/>
      <c r="EO43" s="217"/>
      <c r="EP43" s="211"/>
      <c r="EQ43" s="213"/>
      <c r="ER43" s="213"/>
      <c r="ES43" s="213"/>
      <c r="ET43" s="208"/>
      <c r="EU43" s="217"/>
      <c r="EV43" s="217"/>
      <c r="EW43" s="217"/>
      <c r="EX43" s="211"/>
      <c r="EY43" s="213"/>
      <c r="EZ43" s="213"/>
      <c r="FA43" s="213"/>
      <c r="FB43" s="208"/>
      <c r="FC43" s="217"/>
      <c r="FD43" s="217"/>
      <c r="FE43" s="217"/>
      <c r="FF43" s="211"/>
      <c r="FG43" s="213"/>
      <c r="FH43" s="213"/>
      <c r="FI43" s="213"/>
      <c r="FJ43" s="208"/>
      <c r="FK43" s="217"/>
      <c r="FL43" s="217"/>
      <c r="FM43" s="217"/>
      <c r="FN43" s="211"/>
      <c r="FO43" s="213"/>
      <c r="FP43" s="213"/>
      <c r="FQ43" s="213"/>
      <c r="FR43" s="208"/>
      <c r="FS43" s="217"/>
      <c r="FT43" s="217"/>
      <c r="FU43" s="217"/>
      <c r="FV43" s="211"/>
      <c r="FW43" s="213"/>
      <c r="FX43" s="213"/>
      <c r="FY43" s="213"/>
      <c r="FZ43" s="208"/>
      <c r="GA43" s="217"/>
      <c r="GB43" s="217"/>
      <c r="GC43" s="217"/>
      <c r="GD43" s="211"/>
      <c r="GE43" s="213"/>
      <c r="GF43" s="213"/>
      <c r="GG43" s="213"/>
      <c r="GH43" s="208"/>
      <c r="GI43" s="217"/>
      <c r="GJ43" s="217"/>
      <c r="GK43" s="217"/>
      <c r="GL43" s="211"/>
      <c r="GM43" s="213"/>
      <c r="GN43" s="213"/>
      <c r="GO43" s="213"/>
      <c r="GP43" s="208"/>
      <c r="GQ43" s="217"/>
      <c r="GR43" s="217"/>
      <c r="GS43" s="217"/>
    </row>
    <row r="44" spans="1:201" s="218" customFormat="1" ht="205" customHeight="1" x14ac:dyDescent="0.35">
      <c r="B44" s="245">
        <v>35</v>
      </c>
      <c r="C44" s="195"/>
      <c r="D44" s="195"/>
      <c r="E44" s="246"/>
      <c r="F44" s="246"/>
      <c r="G44" s="196"/>
      <c r="H44" s="277"/>
      <c r="I44" s="198"/>
      <c r="J44" s="199"/>
      <c r="K44" s="200"/>
      <c r="L44" s="201"/>
      <c r="M44" s="201"/>
      <c r="N44" s="202"/>
      <c r="O44" s="203">
        <f ca="1">IF(N44="Aprobado con comentarios / Emitir Rev.0",TODAY()-M44,0)</f>
        <v>0</v>
      </c>
      <c r="P44" s="203">
        <f t="shared" ca="1" si="5"/>
        <v>0</v>
      </c>
      <c r="Q44" s="204">
        <f t="shared" si="4"/>
        <v>0</v>
      </c>
      <c r="R44" s="205"/>
      <c r="S44" s="206"/>
      <c r="T44" s="206"/>
      <c r="U44" s="207"/>
      <c r="V44" s="208"/>
      <c r="W44" s="209"/>
      <c r="X44" s="210"/>
      <c r="Y44" s="209"/>
      <c r="Z44" s="205"/>
      <c r="AA44" s="206"/>
      <c r="AB44" s="213"/>
      <c r="AC44" s="214"/>
      <c r="AD44" s="208"/>
      <c r="AE44" s="209"/>
      <c r="AF44" s="210"/>
      <c r="AG44" s="209"/>
      <c r="AH44" s="211"/>
      <c r="AI44" s="212"/>
      <c r="AJ44" s="213"/>
      <c r="AK44" s="214"/>
      <c r="AL44" s="215"/>
      <c r="AM44" s="209"/>
      <c r="AN44" s="210"/>
      <c r="AO44" s="209"/>
      <c r="AP44" s="230"/>
      <c r="AQ44" s="231"/>
      <c r="AR44" s="231"/>
      <c r="AS44" s="232"/>
      <c r="AT44" s="208"/>
      <c r="AU44" s="209"/>
      <c r="AV44" s="210"/>
      <c r="AW44" s="217"/>
      <c r="AX44" s="216"/>
      <c r="AY44" s="213"/>
      <c r="AZ44" s="213"/>
      <c r="BA44" s="214"/>
      <c r="BB44" s="208"/>
      <c r="BC44" s="209"/>
      <c r="BD44" s="210"/>
      <c r="BE44" s="217"/>
      <c r="BF44" s="211"/>
      <c r="BG44" s="213"/>
      <c r="BH44" s="213"/>
      <c r="BI44" s="213"/>
      <c r="BJ44" s="208"/>
      <c r="BK44" s="217"/>
      <c r="BL44" s="210"/>
      <c r="BM44" s="217"/>
      <c r="BN44" s="211"/>
      <c r="BO44" s="213"/>
      <c r="BP44" s="213"/>
      <c r="BQ44" s="213"/>
      <c r="BR44" s="208"/>
      <c r="BS44" s="217"/>
      <c r="BT44" s="210"/>
      <c r="BU44" s="217"/>
      <c r="BV44" s="211"/>
      <c r="BW44" s="213"/>
      <c r="BX44" s="213"/>
      <c r="BY44" s="213"/>
      <c r="BZ44" s="208"/>
      <c r="CA44" s="217"/>
      <c r="CB44" s="217"/>
      <c r="CC44" s="217"/>
      <c r="CD44" s="211"/>
      <c r="CE44" s="213"/>
      <c r="CF44" s="213"/>
      <c r="CG44" s="213"/>
      <c r="CH44" s="208"/>
      <c r="CI44" s="217"/>
      <c r="CJ44" s="217"/>
      <c r="CK44" s="217"/>
      <c r="CL44" s="211"/>
      <c r="CM44" s="213"/>
      <c r="CN44" s="213"/>
      <c r="CO44" s="213"/>
      <c r="CP44" s="208"/>
      <c r="CQ44" s="217"/>
      <c r="CR44" s="217"/>
      <c r="CS44" s="217"/>
      <c r="CT44" s="211"/>
      <c r="CU44" s="213"/>
      <c r="CV44" s="213"/>
      <c r="CW44" s="213"/>
      <c r="CX44" s="208"/>
      <c r="CY44" s="217"/>
      <c r="CZ44" s="217"/>
      <c r="DA44" s="217"/>
      <c r="DB44" s="211"/>
      <c r="DC44" s="213"/>
      <c r="DD44" s="213"/>
      <c r="DE44" s="213"/>
      <c r="DF44" s="208"/>
      <c r="DG44" s="217"/>
      <c r="DH44" s="217"/>
      <c r="DI44" s="217"/>
      <c r="DJ44" s="211"/>
      <c r="DK44" s="213"/>
      <c r="DL44" s="213"/>
      <c r="DM44" s="213"/>
      <c r="DN44" s="208"/>
      <c r="DO44" s="217"/>
      <c r="DP44" s="217"/>
      <c r="DQ44" s="217"/>
      <c r="DR44" s="211"/>
      <c r="DS44" s="213"/>
      <c r="DT44" s="213"/>
      <c r="DU44" s="213"/>
      <c r="DV44" s="208"/>
      <c r="DW44" s="217"/>
      <c r="DX44" s="217"/>
      <c r="DY44" s="217"/>
      <c r="DZ44" s="211"/>
      <c r="EA44" s="213"/>
      <c r="EB44" s="213"/>
      <c r="EC44" s="213"/>
      <c r="ED44" s="208"/>
      <c r="EE44" s="217"/>
      <c r="EF44" s="217"/>
      <c r="EG44" s="217"/>
      <c r="EH44" s="211"/>
      <c r="EI44" s="213"/>
      <c r="EJ44" s="213"/>
      <c r="EK44" s="213"/>
      <c r="EL44" s="208"/>
      <c r="EM44" s="217"/>
      <c r="EN44" s="217"/>
      <c r="EO44" s="217"/>
      <c r="EP44" s="211"/>
      <c r="EQ44" s="213"/>
      <c r="ER44" s="213"/>
      <c r="ES44" s="213"/>
      <c r="ET44" s="208"/>
      <c r="EU44" s="217"/>
      <c r="EV44" s="217"/>
      <c r="EW44" s="217"/>
      <c r="EX44" s="211"/>
      <c r="EY44" s="213"/>
      <c r="EZ44" s="213"/>
      <c r="FA44" s="213"/>
      <c r="FB44" s="208"/>
      <c r="FC44" s="217"/>
      <c r="FD44" s="217"/>
      <c r="FE44" s="217"/>
      <c r="FF44" s="211"/>
      <c r="FG44" s="213"/>
      <c r="FH44" s="213"/>
      <c r="FI44" s="213"/>
      <c r="FJ44" s="208"/>
      <c r="FK44" s="217"/>
      <c r="FL44" s="217"/>
      <c r="FM44" s="217"/>
      <c r="FN44" s="211"/>
      <c r="FO44" s="213"/>
      <c r="FP44" s="213"/>
      <c r="FQ44" s="213"/>
      <c r="FR44" s="208"/>
      <c r="FS44" s="217"/>
      <c r="FT44" s="217"/>
      <c r="FU44" s="217"/>
      <c r="FV44" s="211"/>
      <c r="FW44" s="213"/>
      <c r="FX44" s="213"/>
      <c r="FY44" s="213"/>
      <c r="FZ44" s="208"/>
      <c r="GA44" s="217"/>
      <c r="GB44" s="217"/>
      <c r="GC44" s="217"/>
      <c r="GD44" s="211"/>
      <c r="GE44" s="213"/>
      <c r="GF44" s="213"/>
      <c r="GG44" s="213"/>
      <c r="GH44" s="208"/>
      <c r="GI44" s="217"/>
      <c r="GJ44" s="217"/>
      <c r="GK44" s="217"/>
      <c r="GL44" s="211"/>
      <c r="GM44" s="213"/>
      <c r="GN44" s="213"/>
      <c r="GO44" s="213"/>
      <c r="GP44" s="208"/>
      <c r="GQ44" s="217"/>
      <c r="GR44" s="217"/>
      <c r="GS44" s="217"/>
    </row>
    <row r="45" spans="1:201" s="218" customFormat="1" ht="205" customHeight="1" x14ac:dyDescent="0.35">
      <c r="B45" s="245">
        <v>36</v>
      </c>
      <c r="C45" s="194"/>
      <c r="D45" s="195"/>
      <c r="E45" s="195"/>
      <c r="F45" s="195"/>
      <c r="G45" s="196"/>
      <c r="H45" s="277"/>
      <c r="I45" s="198"/>
      <c r="J45" s="199"/>
      <c r="K45" s="200"/>
      <c r="L45" s="201"/>
      <c r="M45" s="201"/>
      <c r="N45" s="202"/>
      <c r="O45" s="203">
        <f ca="1">IF(N45="Aprobado con comentarios / Emitir Rev.0",TODAY()-M45,0)</f>
        <v>0</v>
      </c>
      <c r="P45" s="203">
        <f t="shared" ca="1" si="5"/>
        <v>0</v>
      </c>
      <c r="Q45" s="204">
        <f t="shared" si="4"/>
        <v>0</v>
      </c>
      <c r="R45" s="205"/>
      <c r="S45" s="206"/>
      <c r="T45" s="206"/>
      <c r="U45" s="207"/>
      <c r="V45" s="208"/>
      <c r="W45" s="209"/>
      <c r="X45" s="210"/>
      <c r="Y45" s="209"/>
      <c r="Z45" s="205"/>
      <c r="AA45" s="206"/>
      <c r="AB45" s="213"/>
      <c r="AC45" s="214"/>
      <c r="AD45" s="208"/>
      <c r="AE45" s="209"/>
      <c r="AF45" s="210"/>
      <c r="AG45" s="209"/>
      <c r="AH45" s="211"/>
      <c r="AI45" s="212"/>
      <c r="AJ45" s="213"/>
      <c r="AK45" s="214"/>
      <c r="AL45" s="215"/>
      <c r="AM45" s="209"/>
      <c r="AN45" s="210"/>
      <c r="AO45" s="209"/>
      <c r="AP45" s="216"/>
      <c r="AQ45" s="212"/>
      <c r="AR45" s="213"/>
      <c r="AS45" s="214"/>
      <c r="AT45" s="208"/>
      <c r="AU45" s="209"/>
      <c r="AV45" s="210"/>
      <c r="AW45" s="217"/>
      <c r="AX45" s="211"/>
      <c r="AY45" s="213"/>
      <c r="AZ45" s="213"/>
      <c r="BA45" s="213"/>
      <c r="BB45" s="208"/>
      <c r="BC45" s="217"/>
      <c r="BD45" s="210"/>
      <c r="BE45" s="217"/>
      <c r="BF45" s="211"/>
      <c r="BG45" s="213"/>
      <c r="BH45" s="213"/>
      <c r="BI45" s="213"/>
      <c r="BJ45" s="208"/>
      <c r="BK45" s="217"/>
      <c r="BL45" s="210"/>
      <c r="BM45" s="217"/>
      <c r="BN45" s="211"/>
      <c r="BO45" s="213"/>
      <c r="BP45" s="213"/>
      <c r="BQ45" s="213"/>
      <c r="BR45" s="208"/>
      <c r="BS45" s="217"/>
      <c r="BT45" s="210"/>
      <c r="BU45" s="217"/>
      <c r="BV45" s="211"/>
      <c r="BW45" s="213"/>
      <c r="BX45" s="213"/>
      <c r="BY45" s="213"/>
      <c r="BZ45" s="208"/>
      <c r="CA45" s="217"/>
      <c r="CB45" s="217"/>
      <c r="CC45" s="217"/>
      <c r="CD45" s="211"/>
      <c r="CE45" s="213"/>
      <c r="CF45" s="213"/>
      <c r="CG45" s="213"/>
      <c r="CH45" s="208"/>
      <c r="CI45" s="217"/>
      <c r="CJ45" s="217"/>
      <c r="CK45" s="217"/>
      <c r="CL45" s="211"/>
      <c r="CM45" s="213"/>
      <c r="CN45" s="213"/>
      <c r="CO45" s="213"/>
      <c r="CP45" s="208"/>
      <c r="CQ45" s="217"/>
      <c r="CR45" s="217"/>
      <c r="CS45" s="217"/>
      <c r="CT45" s="211"/>
      <c r="CU45" s="213"/>
      <c r="CV45" s="213"/>
      <c r="CW45" s="213"/>
      <c r="CX45" s="208"/>
      <c r="CY45" s="217"/>
      <c r="CZ45" s="217"/>
      <c r="DA45" s="217"/>
      <c r="DB45" s="211"/>
      <c r="DC45" s="213"/>
      <c r="DD45" s="213"/>
      <c r="DE45" s="213"/>
      <c r="DF45" s="208"/>
      <c r="DG45" s="217"/>
      <c r="DH45" s="217"/>
      <c r="DI45" s="217"/>
      <c r="DJ45" s="211"/>
      <c r="DK45" s="213"/>
      <c r="DL45" s="213"/>
      <c r="DM45" s="213"/>
      <c r="DN45" s="208"/>
      <c r="DO45" s="217"/>
      <c r="DP45" s="217"/>
      <c r="DQ45" s="217"/>
      <c r="DR45" s="211"/>
      <c r="DS45" s="213"/>
      <c r="DT45" s="213"/>
      <c r="DU45" s="213"/>
      <c r="DV45" s="208"/>
      <c r="DW45" s="217"/>
      <c r="DX45" s="217"/>
      <c r="DY45" s="217"/>
      <c r="DZ45" s="211"/>
      <c r="EA45" s="213"/>
      <c r="EB45" s="213"/>
      <c r="EC45" s="213"/>
      <c r="ED45" s="208"/>
      <c r="EE45" s="217"/>
      <c r="EF45" s="217"/>
      <c r="EG45" s="217"/>
      <c r="EH45" s="211"/>
      <c r="EI45" s="213"/>
      <c r="EJ45" s="213"/>
      <c r="EK45" s="213"/>
      <c r="EL45" s="208"/>
      <c r="EM45" s="217"/>
      <c r="EN45" s="217"/>
      <c r="EO45" s="217"/>
      <c r="EP45" s="211"/>
      <c r="EQ45" s="213"/>
      <c r="ER45" s="213"/>
      <c r="ES45" s="213"/>
      <c r="ET45" s="208"/>
      <c r="EU45" s="217"/>
      <c r="EV45" s="217"/>
      <c r="EW45" s="217"/>
      <c r="EX45" s="211"/>
      <c r="EY45" s="213"/>
      <c r="EZ45" s="213"/>
      <c r="FA45" s="213"/>
      <c r="FB45" s="208"/>
      <c r="FC45" s="217"/>
      <c r="FD45" s="217"/>
      <c r="FE45" s="217"/>
      <c r="FF45" s="211"/>
      <c r="FG45" s="213"/>
      <c r="FH45" s="213"/>
      <c r="FI45" s="213"/>
      <c r="FJ45" s="208"/>
      <c r="FK45" s="217"/>
      <c r="FL45" s="217"/>
      <c r="FM45" s="217"/>
      <c r="FN45" s="211"/>
      <c r="FO45" s="213"/>
      <c r="FP45" s="213"/>
      <c r="FQ45" s="213"/>
      <c r="FR45" s="208"/>
      <c r="FS45" s="217"/>
      <c r="FT45" s="217"/>
      <c r="FU45" s="217"/>
      <c r="FV45" s="211"/>
      <c r="FW45" s="213"/>
      <c r="FX45" s="213"/>
      <c r="FY45" s="213"/>
      <c r="FZ45" s="208"/>
      <c r="GA45" s="217"/>
      <c r="GB45" s="217"/>
      <c r="GC45" s="217"/>
      <c r="GD45" s="211"/>
      <c r="GE45" s="213"/>
      <c r="GF45" s="213"/>
      <c r="GG45" s="213"/>
      <c r="GH45" s="208"/>
      <c r="GI45" s="217"/>
      <c r="GJ45" s="217"/>
      <c r="GK45" s="217"/>
      <c r="GL45" s="211"/>
      <c r="GM45" s="213"/>
      <c r="GN45" s="213"/>
      <c r="GO45" s="213"/>
      <c r="GP45" s="208"/>
      <c r="GQ45" s="217"/>
      <c r="GR45" s="217"/>
      <c r="GS45" s="217"/>
    </row>
    <row r="46" spans="1:201" s="218" customFormat="1" ht="205" customHeight="1" x14ac:dyDescent="0.35">
      <c r="B46" s="245">
        <v>37</v>
      </c>
      <c r="C46" s="195"/>
      <c r="D46" s="195"/>
      <c r="E46" s="195"/>
      <c r="F46" s="195"/>
      <c r="G46" s="196"/>
      <c r="H46" s="290"/>
      <c r="I46" s="198"/>
      <c r="J46" s="199"/>
      <c r="K46" s="291"/>
      <c r="L46" s="201"/>
      <c r="M46" s="201"/>
      <c r="N46" s="202"/>
      <c r="O46" s="203">
        <f ca="1">IF(N46="Aprobado con comentarios / Reemitir Rev.0",TODAY()-M46,0)</f>
        <v>0</v>
      </c>
      <c r="P46" s="203">
        <f t="shared" ca="1" si="5"/>
        <v>0</v>
      </c>
      <c r="Q46" s="204">
        <f t="shared" si="4"/>
        <v>0</v>
      </c>
      <c r="R46" s="205"/>
      <c r="S46" s="206"/>
      <c r="T46" s="206"/>
      <c r="U46" s="207"/>
      <c r="V46" s="208"/>
      <c r="W46" s="209"/>
      <c r="X46" s="210"/>
      <c r="Y46" s="209"/>
      <c r="Z46" s="211"/>
      <c r="AA46" s="212"/>
      <c r="AB46" s="213"/>
      <c r="AC46" s="214"/>
      <c r="AD46" s="208"/>
      <c r="AE46" s="209"/>
      <c r="AF46" s="210"/>
      <c r="AG46" s="209"/>
      <c r="AH46" s="211"/>
      <c r="AI46" s="212"/>
      <c r="AJ46" s="213"/>
      <c r="AK46" s="214"/>
      <c r="AL46" s="215"/>
      <c r="AM46" s="209"/>
      <c r="AN46" s="210"/>
      <c r="AO46" s="209"/>
      <c r="AP46" s="216"/>
      <c r="AQ46" s="212"/>
      <c r="AR46" s="213"/>
      <c r="AS46" s="214"/>
      <c r="AT46" s="208"/>
      <c r="AU46" s="209"/>
      <c r="AV46" s="210"/>
      <c r="AW46" s="217"/>
      <c r="AX46" s="211"/>
      <c r="AY46" s="213"/>
      <c r="AZ46" s="213"/>
      <c r="BA46" s="213"/>
      <c r="BB46" s="208"/>
      <c r="BC46" s="217"/>
      <c r="BD46" s="210"/>
      <c r="BE46" s="217"/>
      <c r="BF46" s="211"/>
      <c r="BG46" s="213"/>
      <c r="BH46" s="213"/>
      <c r="BI46" s="213"/>
      <c r="BJ46" s="208"/>
      <c r="BK46" s="217"/>
      <c r="BL46" s="210"/>
      <c r="BM46" s="217"/>
      <c r="BN46" s="211"/>
      <c r="BO46" s="213"/>
      <c r="BP46" s="213"/>
      <c r="BQ46" s="213"/>
      <c r="BR46" s="208"/>
      <c r="BS46" s="217"/>
      <c r="BT46" s="210"/>
      <c r="BU46" s="217"/>
      <c r="BV46" s="211"/>
      <c r="BW46" s="213"/>
      <c r="BX46" s="213"/>
      <c r="BY46" s="213"/>
      <c r="BZ46" s="208"/>
      <c r="CA46" s="217"/>
      <c r="CB46" s="217"/>
      <c r="CC46" s="217"/>
      <c r="CD46" s="211"/>
      <c r="CE46" s="213"/>
      <c r="CF46" s="213"/>
      <c r="CG46" s="213"/>
      <c r="CH46" s="208"/>
      <c r="CI46" s="217"/>
      <c r="CJ46" s="217"/>
      <c r="CK46" s="217"/>
      <c r="CL46" s="211"/>
      <c r="CM46" s="213"/>
      <c r="CN46" s="213"/>
      <c r="CO46" s="213"/>
      <c r="CP46" s="208"/>
      <c r="CQ46" s="217"/>
      <c r="CR46" s="217"/>
      <c r="CS46" s="217"/>
      <c r="CT46" s="211"/>
      <c r="CU46" s="213"/>
      <c r="CV46" s="213"/>
      <c r="CW46" s="213"/>
      <c r="CX46" s="208"/>
      <c r="CY46" s="217"/>
      <c r="CZ46" s="217"/>
      <c r="DA46" s="217"/>
      <c r="DB46" s="211"/>
      <c r="DC46" s="213"/>
      <c r="DD46" s="213"/>
      <c r="DE46" s="213"/>
      <c r="DF46" s="208"/>
      <c r="DG46" s="217"/>
      <c r="DH46" s="217"/>
      <c r="DI46" s="217"/>
      <c r="DJ46" s="211"/>
      <c r="DK46" s="213"/>
      <c r="DL46" s="213"/>
      <c r="DM46" s="213"/>
      <c r="DN46" s="208"/>
      <c r="DO46" s="217"/>
      <c r="DP46" s="217"/>
      <c r="DQ46" s="217"/>
      <c r="DR46" s="211"/>
      <c r="DS46" s="213"/>
      <c r="DT46" s="213"/>
      <c r="DU46" s="213"/>
      <c r="DV46" s="208"/>
      <c r="DW46" s="217"/>
      <c r="DX46" s="217"/>
      <c r="DY46" s="217"/>
      <c r="DZ46" s="211"/>
      <c r="EA46" s="213"/>
      <c r="EB46" s="213"/>
      <c r="EC46" s="213"/>
      <c r="ED46" s="208"/>
      <c r="EE46" s="217"/>
      <c r="EF46" s="217"/>
      <c r="EG46" s="217"/>
      <c r="EH46" s="211"/>
      <c r="EI46" s="213"/>
      <c r="EJ46" s="213"/>
      <c r="EK46" s="213"/>
      <c r="EL46" s="208"/>
      <c r="EM46" s="217"/>
      <c r="EN46" s="217"/>
      <c r="EO46" s="217"/>
      <c r="EP46" s="211"/>
      <c r="EQ46" s="213"/>
      <c r="ER46" s="213"/>
      <c r="ES46" s="213"/>
      <c r="ET46" s="208"/>
      <c r="EU46" s="217"/>
      <c r="EV46" s="217"/>
      <c r="EW46" s="217"/>
      <c r="EX46" s="211"/>
      <c r="EY46" s="213"/>
      <c r="EZ46" s="213"/>
      <c r="FA46" s="213"/>
      <c r="FB46" s="208"/>
      <c r="FC46" s="217"/>
      <c r="FD46" s="217"/>
      <c r="FE46" s="217"/>
      <c r="FF46" s="211"/>
      <c r="FG46" s="213"/>
      <c r="FH46" s="213"/>
      <c r="FI46" s="213"/>
      <c r="FJ46" s="208"/>
      <c r="FK46" s="217"/>
      <c r="FL46" s="217"/>
      <c r="FM46" s="217"/>
      <c r="FN46" s="211"/>
      <c r="FO46" s="213"/>
      <c r="FP46" s="213"/>
      <c r="FQ46" s="213"/>
      <c r="FR46" s="208"/>
      <c r="FS46" s="217"/>
      <c r="FT46" s="217"/>
      <c r="FU46" s="217"/>
      <c r="FV46" s="211"/>
      <c r="FW46" s="213"/>
      <c r="FX46" s="213"/>
      <c r="FY46" s="213"/>
      <c r="FZ46" s="208"/>
      <c r="GA46" s="217"/>
      <c r="GB46" s="217"/>
      <c r="GC46" s="217"/>
      <c r="GD46" s="211"/>
      <c r="GE46" s="213"/>
      <c r="GF46" s="213"/>
      <c r="GG46" s="213"/>
      <c r="GH46" s="208"/>
      <c r="GI46" s="217"/>
      <c r="GJ46" s="217"/>
      <c r="GK46" s="217"/>
      <c r="GL46" s="211"/>
      <c r="GM46" s="213"/>
      <c r="GN46" s="213"/>
      <c r="GO46" s="213"/>
      <c r="GP46" s="208"/>
      <c r="GQ46" s="217"/>
      <c r="GR46" s="217"/>
      <c r="GS46" s="217"/>
    </row>
    <row r="47" spans="1:201" s="218" customFormat="1" ht="205" customHeight="1" x14ac:dyDescent="0.35">
      <c r="B47" s="245">
        <v>38</v>
      </c>
      <c r="C47" s="195"/>
      <c r="D47" s="195"/>
      <c r="E47" s="195"/>
      <c r="F47" s="195"/>
      <c r="G47" s="196"/>
      <c r="H47" s="233"/>
      <c r="I47" s="198"/>
      <c r="J47" s="199"/>
      <c r="K47" s="200"/>
      <c r="L47" s="201"/>
      <c r="M47" s="201"/>
      <c r="N47" s="202"/>
      <c r="O47" s="203">
        <f t="shared" ref="O47:O54" ca="1" si="6">IF(N47="Aprobado con comentarios / Emitir Rev.0",TODAY()-M47,0)</f>
        <v>0</v>
      </c>
      <c r="P47" s="203">
        <f t="shared" ca="1" si="5"/>
        <v>0</v>
      </c>
      <c r="Q47" s="204">
        <f t="shared" si="4"/>
        <v>0</v>
      </c>
      <c r="R47" s="205"/>
      <c r="S47" s="206"/>
      <c r="T47" s="206"/>
      <c r="U47" s="267"/>
      <c r="V47" s="208"/>
      <c r="W47" s="209"/>
      <c r="X47" s="210"/>
      <c r="Y47" s="209"/>
      <c r="Z47" s="211"/>
      <c r="AA47" s="212"/>
      <c r="AB47" s="213"/>
      <c r="AC47" s="214"/>
      <c r="AD47" s="208"/>
      <c r="AE47" s="209"/>
      <c r="AF47" s="210"/>
      <c r="AG47" s="209"/>
      <c r="AH47" s="211"/>
      <c r="AI47" s="212"/>
      <c r="AJ47" s="213"/>
      <c r="AK47" s="214"/>
      <c r="AL47" s="215"/>
      <c r="AM47" s="209"/>
      <c r="AN47" s="210"/>
      <c r="AO47" s="209"/>
      <c r="AP47" s="216"/>
      <c r="AQ47" s="212"/>
      <c r="AR47" s="213"/>
      <c r="AS47" s="214"/>
      <c r="AT47" s="208"/>
      <c r="AU47" s="209"/>
      <c r="AV47" s="210"/>
      <c r="AW47" s="217"/>
      <c r="AX47" s="211"/>
      <c r="AY47" s="213"/>
      <c r="AZ47" s="213"/>
      <c r="BA47" s="213"/>
      <c r="BB47" s="208"/>
      <c r="BC47" s="217"/>
      <c r="BD47" s="210"/>
      <c r="BE47" s="217"/>
      <c r="BF47" s="211"/>
      <c r="BG47" s="213"/>
      <c r="BH47" s="213"/>
      <c r="BI47" s="213"/>
      <c r="BJ47" s="208"/>
      <c r="BK47" s="217"/>
      <c r="BL47" s="210"/>
      <c r="BM47" s="217"/>
      <c r="BN47" s="211"/>
      <c r="BO47" s="213"/>
      <c r="BP47" s="213"/>
      <c r="BQ47" s="213"/>
      <c r="BR47" s="208"/>
      <c r="BS47" s="217"/>
      <c r="BT47" s="210"/>
      <c r="BU47" s="217"/>
      <c r="BV47" s="211"/>
      <c r="BW47" s="213"/>
      <c r="BX47" s="213"/>
      <c r="BY47" s="213"/>
      <c r="BZ47" s="208"/>
      <c r="CA47" s="217"/>
      <c r="CB47" s="217"/>
      <c r="CC47" s="217"/>
      <c r="CD47" s="211"/>
      <c r="CE47" s="213"/>
      <c r="CF47" s="213"/>
      <c r="CG47" s="213"/>
      <c r="CH47" s="208"/>
      <c r="CI47" s="217"/>
      <c r="CJ47" s="217"/>
      <c r="CK47" s="217"/>
      <c r="CL47" s="211"/>
      <c r="CM47" s="213"/>
      <c r="CN47" s="213"/>
      <c r="CO47" s="213"/>
      <c r="CP47" s="208"/>
      <c r="CQ47" s="217"/>
      <c r="CR47" s="217"/>
      <c r="CS47" s="217"/>
      <c r="CT47" s="211"/>
      <c r="CU47" s="213"/>
      <c r="CV47" s="213"/>
      <c r="CW47" s="213"/>
      <c r="CX47" s="208"/>
      <c r="CY47" s="217"/>
      <c r="CZ47" s="217"/>
      <c r="DA47" s="217"/>
      <c r="DB47" s="211"/>
      <c r="DC47" s="213"/>
      <c r="DD47" s="213"/>
      <c r="DE47" s="213"/>
      <c r="DF47" s="208"/>
      <c r="DG47" s="217"/>
      <c r="DH47" s="217"/>
      <c r="DI47" s="217"/>
      <c r="DJ47" s="211"/>
      <c r="DK47" s="213"/>
      <c r="DL47" s="213"/>
      <c r="DM47" s="213"/>
      <c r="DN47" s="208"/>
      <c r="DO47" s="217"/>
      <c r="DP47" s="217"/>
      <c r="DQ47" s="217"/>
      <c r="DR47" s="211"/>
      <c r="DS47" s="213"/>
      <c r="DT47" s="213"/>
      <c r="DU47" s="213"/>
      <c r="DV47" s="208"/>
      <c r="DW47" s="217"/>
      <c r="DX47" s="217"/>
      <c r="DY47" s="217"/>
      <c r="DZ47" s="211"/>
      <c r="EA47" s="213"/>
      <c r="EB47" s="213"/>
      <c r="EC47" s="213"/>
      <c r="ED47" s="208"/>
      <c r="EE47" s="217"/>
      <c r="EF47" s="217"/>
      <c r="EG47" s="217"/>
      <c r="EH47" s="211"/>
      <c r="EI47" s="213"/>
      <c r="EJ47" s="213"/>
      <c r="EK47" s="213"/>
      <c r="EL47" s="208"/>
      <c r="EM47" s="217"/>
      <c r="EN47" s="217"/>
      <c r="EO47" s="217"/>
      <c r="EP47" s="211"/>
      <c r="EQ47" s="213"/>
      <c r="ER47" s="213"/>
      <c r="ES47" s="213"/>
      <c r="ET47" s="208"/>
      <c r="EU47" s="217"/>
      <c r="EV47" s="217"/>
      <c r="EW47" s="217"/>
      <c r="EX47" s="211"/>
      <c r="EY47" s="213"/>
      <c r="EZ47" s="213"/>
      <c r="FA47" s="213"/>
      <c r="FB47" s="208"/>
      <c r="FC47" s="217"/>
      <c r="FD47" s="217"/>
      <c r="FE47" s="217"/>
      <c r="FF47" s="211"/>
      <c r="FG47" s="213"/>
      <c r="FH47" s="213"/>
      <c r="FI47" s="213"/>
      <c r="FJ47" s="208"/>
      <c r="FK47" s="217"/>
      <c r="FL47" s="217"/>
      <c r="FM47" s="217"/>
      <c r="FN47" s="211"/>
      <c r="FO47" s="213"/>
      <c r="FP47" s="213"/>
      <c r="FQ47" s="213"/>
      <c r="FR47" s="208"/>
      <c r="FS47" s="217"/>
      <c r="FT47" s="217"/>
      <c r="FU47" s="217"/>
      <c r="FV47" s="211"/>
      <c r="FW47" s="213"/>
      <c r="FX47" s="213"/>
      <c r="FY47" s="213"/>
      <c r="FZ47" s="208"/>
      <c r="GA47" s="217"/>
      <c r="GB47" s="217"/>
      <c r="GC47" s="217"/>
      <c r="GD47" s="211"/>
      <c r="GE47" s="213"/>
      <c r="GF47" s="213"/>
      <c r="GG47" s="213"/>
      <c r="GH47" s="208"/>
      <c r="GI47" s="217"/>
      <c r="GJ47" s="217"/>
      <c r="GK47" s="217"/>
      <c r="GL47" s="211"/>
      <c r="GM47" s="213"/>
      <c r="GN47" s="213"/>
      <c r="GO47" s="213"/>
      <c r="GP47" s="208"/>
      <c r="GQ47" s="217"/>
      <c r="GR47" s="217"/>
      <c r="GS47" s="217"/>
    </row>
    <row r="48" spans="1:201" s="218" customFormat="1" ht="205" customHeight="1" x14ac:dyDescent="0.35">
      <c r="B48" s="245">
        <v>39</v>
      </c>
      <c r="C48" s="195"/>
      <c r="D48" s="195"/>
      <c r="E48" s="195"/>
      <c r="F48" s="195"/>
      <c r="G48" s="196"/>
      <c r="H48" s="195"/>
      <c r="I48" s="198"/>
      <c r="J48" s="199"/>
      <c r="K48" s="200"/>
      <c r="L48" s="201"/>
      <c r="M48" s="201"/>
      <c r="N48" s="202"/>
      <c r="O48" s="203">
        <f t="shared" ca="1" si="6"/>
        <v>0</v>
      </c>
      <c r="P48" s="203">
        <f t="shared" ca="1" si="5"/>
        <v>0</v>
      </c>
      <c r="Q48" s="204">
        <f t="shared" si="4"/>
        <v>0</v>
      </c>
      <c r="R48" s="205"/>
      <c r="S48" s="206"/>
      <c r="T48" s="206"/>
      <c r="U48" s="267"/>
      <c r="V48" s="208"/>
      <c r="W48" s="209"/>
      <c r="X48" s="210"/>
      <c r="Y48" s="209"/>
      <c r="Z48" s="211"/>
      <c r="AA48" s="212"/>
      <c r="AB48" s="213"/>
      <c r="AC48" s="214"/>
      <c r="AD48" s="208"/>
      <c r="AE48" s="209"/>
      <c r="AF48" s="210"/>
      <c r="AG48" s="209"/>
      <c r="AH48" s="211"/>
      <c r="AI48" s="212"/>
      <c r="AJ48" s="213"/>
      <c r="AK48" s="214"/>
      <c r="AL48" s="215"/>
      <c r="AM48" s="209"/>
      <c r="AN48" s="210"/>
      <c r="AO48" s="209"/>
      <c r="AP48" s="216"/>
      <c r="AQ48" s="212"/>
      <c r="AR48" s="213"/>
      <c r="AS48" s="214"/>
      <c r="AT48" s="208"/>
      <c r="AU48" s="209"/>
      <c r="AV48" s="210"/>
      <c r="AW48" s="217"/>
      <c r="AX48" s="211"/>
      <c r="AY48" s="213"/>
      <c r="AZ48" s="213"/>
      <c r="BA48" s="213"/>
      <c r="BB48" s="208"/>
      <c r="BC48" s="217"/>
      <c r="BD48" s="210"/>
      <c r="BE48" s="217"/>
      <c r="BF48" s="211"/>
      <c r="BG48" s="213"/>
      <c r="BH48" s="213"/>
      <c r="BI48" s="213"/>
      <c r="BJ48" s="208"/>
      <c r="BK48" s="217"/>
      <c r="BL48" s="210"/>
      <c r="BM48" s="217"/>
      <c r="BN48" s="211"/>
      <c r="BO48" s="213"/>
      <c r="BP48" s="213"/>
      <c r="BQ48" s="213"/>
      <c r="BR48" s="208"/>
      <c r="BS48" s="217"/>
      <c r="BT48" s="210"/>
      <c r="BU48" s="217"/>
      <c r="BV48" s="211"/>
      <c r="BW48" s="213"/>
      <c r="BX48" s="213"/>
      <c r="BY48" s="213"/>
      <c r="BZ48" s="208"/>
      <c r="CA48" s="217"/>
      <c r="CB48" s="217"/>
      <c r="CC48" s="217"/>
      <c r="CD48" s="211"/>
      <c r="CE48" s="213"/>
      <c r="CF48" s="213"/>
      <c r="CG48" s="213"/>
      <c r="CH48" s="208"/>
      <c r="CI48" s="217"/>
      <c r="CJ48" s="217"/>
      <c r="CK48" s="217"/>
      <c r="CL48" s="211"/>
      <c r="CM48" s="213"/>
      <c r="CN48" s="213"/>
      <c r="CO48" s="213"/>
      <c r="CP48" s="208"/>
      <c r="CQ48" s="217"/>
      <c r="CR48" s="217"/>
      <c r="CS48" s="217"/>
      <c r="CT48" s="211"/>
      <c r="CU48" s="213"/>
      <c r="CV48" s="213"/>
      <c r="CW48" s="213"/>
      <c r="CX48" s="208"/>
      <c r="CY48" s="217"/>
      <c r="CZ48" s="217"/>
      <c r="DA48" s="217"/>
      <c r="DB48" s="211"/>
      <c r="DC48" s="213"/>
      <c r="DD48" s="213"/>
      <c r="DE48" s="213"/>
      <c r="DF48" s="208"/>
      <c r="DG48" s="217"/>
      <c r="DH48" s="217"/>
      <c r="DI48" s="217"/>
      <c r="DJ48" s="211"/>
      <c r="DK48" s="213"/>
      <c r="DL48" s="213"/>
      <c r="DM48" s="213"/>
      <c r="DN48" s="208"/>
      <c r="DO48" s="217"/>
      <c r="DP48" s="217"/>
      <c r="DQ48" s="217"/>
      <c r="DR48" s="211"/>
      <c r="DS48" s="213"/>
      <c r="DT48" s="213"/>
      <c r="DU48" s="213"/>
      <c r="DV48" s="208"/>
      <c r="DW48" s="217"/>
      <c r="DX48" s="217"/>
      <c r="DY48" s="217"/>
      <c r="DZ48" s="211"/>
      <c r="EA48" s="213"/>
      <c r="EB48" s="213"/>
      <c r="EC48" s="213"/>
      <c r="ED48" s="208"/>
      <c r="EE48" s="217"/>
      <c r="EF48" s="217"/>
      <c r="EG48" s="217"/>
      <c r="EH48" s="211"/>
      <c r="EI48" s="213"/>
      <c r="EJ48" s="213"/>
      <c r="EK48" s="213"/>
      <c r="EL48" s="208"/>
      <c r="EM48" s="217"/>
      <c r="EN48" s="217"/>
      <c r="EO48" s="217"/>
      <c r="EP48" s="211"/>
      <c r="EQ48" s="213"/>
      <c r="ER48" s="213"/>
      <c r="ES48" s="213"/>
      <c r="ET48" s="208"/>
      <c r="EU48" s="217"/>
      <c r="EV48" s="217"/>
      <c r="EW48" s="217"/>
      <c r="EX48" s="211"/>
      <c r="EY48" s="213"/>
      <c r="EZ48" s="213"/>
      <c r="FA48" s="213"/>
      <c r="FB48" s="208"/>
      <c r="FC48" s="217"/>
      <c r="FD48" s="217"/>
      <c r="FE48" s="217"/>
      <c r="FF48" s="211"/>
      <c r="FG48" s="213"/>
      <c r="FH48" s="213"/>
      <c r="FI48" s="213"/>
      <c r="FJ48" s="208"/>
      <c r="FK48" s="217"/>
      <c r="FL48" s="217"/>
      <c r="FM48" s="217"/>
      <c r="FN48" s="211"/>
      <c r="FO48" s="213"/>
      <c r="FP48" s="213"/>
      <c r="FQ48" s="213"/>
      <c r="FR48" s="208"/>
      <c r="FS48" s="217"/>
      <c r="FT48" s="217"/>
      <c r="FU48" s="217"/>
      <c r="FV48" s="211"/>
      <c r="FW48" s="213"/>
      <c r="FX48" s="213"/>
      <c r="FY48" s="213"/>
      <c r="FZ48" s="208"/>
      <c r="GA48" s="217"/>
      <c r="GB48" s="217"/>
      <c r="GC48" s="217"/>
      <c r="GD48" s="211"/>
      <c r="GE48" s="213"/>
      <c r="GF48" s="213"/>
      <c r="GG48" s="213"/>
      <c r="GH48" s="208"/>
      <c r="GI48" s="217"/>
      <c r="GJ48" s="217"/>
      <c r="GK48" s="217"/>
      <c r="GL48" s="211"/>
      <c r="GM48" s="213"/>
      <c r="GN48" s="213"/>
      <c r="GO48" s="213"/>
      <c r="GP48" s="208"/>
      <c r="GQ48" s="217"/>
      <c r="GR48" s="217"/>
      <c r="GS48" s="217"/>
    </row>
    <row r="49" spans="2:201" s="218" customFormat="1" ht="205" customHeight="1" x14ac:dyDescent="0.35">
      <c r="B49" s="245">
        <v>40</v>
      </c>
      <c r="C49" s="195"/>
      <c r="D49" s="195"/>
      <c r="E49" s="195"/>
      <c r="F49" s="195"/>
      <c r="G49" s="196"/>
      <c r="H49" s="223"/>
      <c r="I49" s="198"/>
      <c r="J49" s="199"/>
      <c r="K49" s="200"/>
      <c r="L49" s="201"/>
      <c r="M49" s="201"/>
      <c r="N49" s="202"/>
      <c r="O49" s="203">
        <f t="shared" ca="1" si="6"/>
        <v>0</v>
      </c>
      <c r="P49" s="203">
        <f t="shared" ca="1" si="5"/>
        <v>0</v>
      </c>
      <c r="Q49" s="204">
        <f t="shared" si="4"/>
        <v>0</v>
      </c>
      <c r="R49" s="205"/>
      <c r="S49" s="206"/>
      <c r="T49" s="206"/>
      <c r="U49" s="267"/>
      <c r="V49" s="208"/>
      <c r="W49" s="209"/>
      <c r="X49" s="210"/>
      <c r="Y49" s="209"/>
      <c r="Z49" s="211"/>
      <c r="AA49" s="212"/>
      <c r="AB49" s="213"/>
      <c r="AC49" s="214"/>
      <c r="AD49" s="208"/>
      <c r="AE49" s="209"/>
      <c r="AF49" s="210"/>
      <c r="AG49" s="209"/>
      <c r="AH49" s="211"/>
      <c r="AI49" s="212"/>
      <c r="AJ49" s="213"/>
      <c r="AK49" s="214"/>
      <c r="AL49" s="215"/>
      <c r="AM49" s="209"/>
      <c r="AN49" s="210"/>
      <c r="AO49" s="209"/>
      <c r="AP49" s="216"/>
      <c r="AQ49" s="212"/>
      <c r="AR49" s="213"/>
      <c r="AS49" s="214"/>
      <c r="AT49" s="208"/>
      <c r="AU49" s="209"/>
      <c r="AV49" s="210"/>
      <c r="AW49" s="217"/>
      <c r="AX49" s="211"/>
      <c r="AY49" s="213"/>
      <c r="AZ49" s="213"/>
      <c r="BA49" s="213"/>
      <c r="BB49" s="208"/>
      <c r="BC49" s="217"/>
      <c r="BD49" s="210"/>
      <c r="BE49" s="217"/>
      <c r="BF49" s="211"/>
      <c r="BG49" s="213"/>
      <c r="BH49" s="213"/>
      <c r="BI49" s="213"/>
      <c r="BJ49" s="208"/>
      <c r="BK49" s="217"/>
      <c r="BL49" s="210"/>
      <c r="BM49" s="217"/>
      <c r="BN49" s="211"/>
      <c r="BO49" s="213"/>
      <c r="BP49" s="213"/>
      <c r="BQ49" s="213"/>
      <c r="BR49" s="208"/>
      <c r="BS49" s="217"/>
      <c r="BT49" s="210"/>
      <c r="BU49" s="217"/>
      <c r="BV49" s="211"/>
      <c r="BW49" s="213"/>
      <c r="BX49" s="213"/>
      <c r="BY49" s="213"/>
      <c r="BZ49" s="208"/>
      <c r="CA49" s="217"/>
      <c r="CB49" s="217"/>
      <c r="CC49" s="217"/>
      <c r="CD49" s="211"/>
      <c r="CE49" s="213"/>
      <c r="CF49" s="213"/>
      <c r="CG49" s="213"/>
      <c r="CH49" s="208"/>
      <c r="CI49" s="217"/>
      <c r="CJ49" s="217"/>
      <c r="CK49" s="217"/>
      <c r="CL49" s="211"/>
      <c r="CM49" s="213"/>
      <c r="CN49" s="213"/>
      <c r="CO49" s="213"/>
      <c r="CP49" s="208"/>
      <c r="CQ49" s="217"/>
      <c r="CR49" s="217"/>
      <c r="CS49" s="217"/>
      <c r="CT49" s="211"/>
      <c r="CU49" s="213"/>
      <c r="CV49" s="213"/>
      <c r="CW49" s="213"/>
      <c r="CX49" s="208"/>
      <c r="CY49" s="217"/>
      <c r="CZ49" s="217"/>
      <c r="DA49" s="217"/>
      <c r="DB49" s="211"/>
      <c r="DC49" s="213"/>
      <c r="DD49" s="213"/>
      <c r="DE49" s="213"/>
      <c r="DF49" s="208"/>
      <c r="DG49" s="217"/>
      <c r="DH49" s="217"/>
      <c r="DI49" s="217"/>
      <c r="DJ49" s="211"/>
      <c r="DK49" s="213"/>
      <c r="DL49" s="213"/>
      <c r="DM49" s="213"/>
      <c r="DN49" s="208"/>
      <c r="DO49" s="217"/>
      <c r="DP49" s="217"/>
      <c r="DQ49" s="217"/>
      <c r="DR49" s="211"/>
      <c r="DS49" s="213"/>
      <c r="DT49" s="213"/>
      <c r="DU49" s="213"/>
      <c r="DV49" s="208"/>
      <c r="DW49" s="217"/>
      <c r="DX49" s="217"/>
      <c r="DY49" s="217"/>
      <c r="DZ49" s="211"/>
      <c r="EA49" s="213"/>
      <c r="EB49" s="213"/>
      <c r="EC49" s="213"/>
      <c r="ED49" s="208"/>
      <c r="EE49" s="217"/>
      <c r="EF49" s="217"/>
      <c r="EG49" s="217"/>
      <c r="EH49" s="211"/>
      <c r="EI49" s="213"/>
      <c r="EJ49" s="213"/>
      <c r="EK49" s="213"/>
      <c r="EL49" s="208"/>
      <c r="EM49" s="217"/>
      <c r="EN49" s="217"/>
      <c r="EO49" s="217"/>
      <c r="EP49" s="211"/>
      <c r="EQ49" s="213"/>
      <c r="ER49" s="213"/>
      <c r="ES49" s="213"/>
      <c r="ET49" s="208"/>
      <c r="EU49" s="217"/>
      <c r="EV49" s="217"/>
      <c r="EW49" s="217"/>
      <c r="EX49" s="211"/>
      <c r="EY49" s="213"/>
      <c r="EZ49" s="213"/>
      <c r="FA49" s="213"/>
      <c r="FB49" s="208"/>
      <c r="FC49" s="217"/>
      <c r="FD49" s="217"/>
      <c r="FE49" s="217"/>
      <c r="FF49" s="211"/>
      <c r="FG49" s="213"/>
      <c r="FH49" s="213"/>
      <c r="FI49" s="213"/>
      <c r="FJ49" s="208"/>
      <c r="FK49" s="217"/>
      <c r="FL49" s="217"/>
      <c r="FM49" s="217"/>
      <c r="FN49" s="211"/>
      <c r="FO49" s="213"/>
      <c r="FP49" s="213"/>
      <c r="FQ49" s="213"/>
      <c r="FR49" s="208"/>
      <c r="FS49" s="217"/>
      <c r="FT49" s="217"/>
      <c r="FU49" s="217"/>
      <c r="FV49" s="211"/>
      <c r="FW49" s="213"/>
      <c r="FX49" s="213"/>
      <c r="FY49" s="213"/>
      <c r="FZ49" s="208"/>
      <c r="GA49" s="217"/>
      <c r="GB49" s="217"/>
      <c r="GC49" s="217"/>
      <c r="GD49" s="211"/>
      <c r="GE49" s="213"/>
      <c r="GF49" s="213"/>
      <c r="GG49" s="213"/>
      <c r="GH49" s="208"/>
      <c r="GI49" s="217"/>
      <c r="GJ49" s="217"/>
      <c r="GK49" s="217"/>
      <c r="GL49" s="211"/>
      <c r="GM49" s="213"/>
      <c r="GN49" s="213"/>
      <c r="GO49" s="213"/>
      <c r="GP49" s="208"/>
      <c r="GQ49" s="217"/>
      <c r="GR49" s="217"/>
      <c r="GS49" s="217"/>
    </row>
    <row r="50" spans="2:201" s="218" customFormat="1" ht="205" customHeight="1" x14ac:dyDescent="0.35">
      <c r="B50" s="245">
        <v>41</v>
      </c>
      <c r="C50" s="195"/>
      <c r="D50" s="195"/>
      <c r="E50" s="246"/>
      <c r="F50" s="246"/>
      <c r="G50" s="196"/>
      <c r="H50" s="233"/>
      <c r="I50" s="198"/>
      <c r="J50" s="199"/>
      <c r="K50" s="200"/>
      <c r="L50" s="201"/>
      <c r="M50" s="201"/>
      <c r="N50" s="202"/>
      <c r="O50" s="203">
        <f t="shared" ca="1" si="6"/>
        <v>0</v>
      </c>
      <c r="P50" s="203">
        <f t="shared" ca="1" si="5"/>
        <v>0</v>
      </c>
      <c r="Q50" s="204">
        <f t="shared" si="4"/>
        <v>0</v>
      </c>
      <c r="R50" s="205"/>
      <c r="S50" s="206"/>
      <c r="T50" s="206"/>
      <c r="U50" s="207"/>
      <c r="V50" s="208"/>
      <c r="W50" s="209"/>
      <c r="X50" s="210"/>
      <c r="Y50" s="209"/>
      <c r="Z50" s="211"/>
      <c r="AA50" s="212"/>
      <c r="AB50" s="213"/>
      <c r="AC50" s="214"/>
      <c r="AD50" s="208"/>
      <c r="AE50" s="209"/>
      <c r="AF50" s="210"/>
      <c r="AG50" s="209"/>
      <c r="AH50" s="211"/>
      <c r="AI50" s="212"/>
      <c r="AJ50" s="213"/>
      <c r="AK50" s="214"/>
      <c r="AL50" s="215"/>
      <c r="AM50" s="209"/>
      <c r="AN50" s="210"/>
      <c r="AO50" s="209"/>
      <c r="AP50" s="216"/>
      <c r="AQ50" s="212"/>
      <c r="AR50" s="213"/>
      <c r="AS50" s="214"/>
      <c r="AT50" s="208"/>
      <c r="AU50" s="209"/>
      <c r="AV50" s="210"/>
      <c r="AW50" s="217"/>
      <c r="AX50" s="211"/>
      <c r="AY50" s="213"/>
      <c r="AZ50" s="213"/>
      <c r="BA50" s="213"/>
      <c r="BB50" s="208"/>
      <c r="BC50" s="217"/>
      <c r="BD50" s="210"/>
      <c r="BE50" s="217"/>
      <c r="BF50" s="211"/>
      <c r="BG50" s="213"/>
      <c r="BH50" s="213"/>
      <c r="BI50" s="213"/>
      <c r="BJ50" s="208"/>
      <c r="BK50" s="217"/>
      <c r="BL50" s="210"/>
      <c r="BM50" s="217"/>
      <c r="BN50" s="211"/>
      <c r="BO50" s="213"/>
      <c r="BP50" s="213"/>
      <c r="BQ50" s="213"/>
      <c r="BR50" s="208"/>
      <c r="BS50" s="217"/>
      <c r="BT50" s="210"/>
      <c r="BU50" s="217"/>
      <c r="BV50" s="211"/>
      <c r="BW50" s="213"/>
      <c r="BX50" s="213"/>
      <c r="BY50" s="213"/>
      <c r="BZ50" s="208"/>
      <c r="CA50" s="217"/>
      <c r="CB50" s="217"/>
      <c r="CC50" s="217"/>
      <c r="CD50" s="211"/>
      <c r="CE50" s="213"/>
      <c r="CF50" s="213"/>
      <c r="CG50" s="213"/>
      <c r="CH50" s="208"/>
      <c r="CI50" s="217"/>
      <c r="CJ50" s="217"/>
      <c r="CK50" s="217"/>
      <c r="CL50" s="211"/>
      <c r="CM50" s="213"/>
      <c r="CN50" s="213"/>
      <c r="CO50" s="213"/>
      <c r="CP50" s="208"/>
      <c r="CQ50" s="217"/>
      <c r="CR50" s="217"/>
      <c r="CS50" s="217"/>
      <c r="CT50" s="211"/>
      <c r="CU50" s="213"/>
      <c r="CV50" s="213"/>
      <c r="CW50" s="213"/>
      <c r="CX50" s="208"/>
      <c r="CY50" s="217"/>
      <c r="CZ50" s="217"/>
      <c r="DA50" s="217"/>
      <c r="DB50" s="211"/>
      <c r="DC50" s="213"/>
      <c r="DD50" s="213"/>
      <c r="DE50" s="213"/>
      <c r="DF50" s="208"/>
      <c r="DG50" s="217"/>
      <c r="DH50" s="217"/>
      <c r="DI50" s="217"/>
      <c r="DJ50" s="211"/>
      <c r="DK50" s="213"/>
      <c r="DL50" s="213"/>
      <c r="DM50" s="213"/>
      <c r="DN50" s="208"/>
      <c r="DO50" s="217"/>
      <c r="DP50" s="217"/>
      <c r="DQ50" s="217"/>
      <c r="DR50" s="211"/>
      <c r="DS50" s="213"/>
      <c r="DT50" s="213"/>
      <c r="DU50" s="213"/>
      <c r="DV50" s="208"/>
      <c r="DW50" s="217"/>
      <c r="DX50" s="217"/>
      <c r="DY50" s="217"/>
      <c r="DZ50" s="211"/>
      <c r="EA50" s="213"/>
      <c r="EB50" s="213"/>
      <c r="EC50" s="213"/>
      <c r="ED50" s="208"/>
      <c r="EE50" s="217"/>
      <c r="EF50" s="217"/>
      <c r="EG50" s="217"/>
      <c r="EH50" s="211"/>
      <c r="EI50" s="213"/>
      <c r="EJ50" s="213"/>
      <c r="EK50" s="213"/>
      <c r="EL50" s="208"/>
      <c r="EM50" s="217"/>
      <c r="EN50" s="217"/>
      <c r="EO50" s="217"/>
      <c r="EP50" s="211"/>
      <c r="EQ50" s="213"/>
      <c r="ER50" s="213"/>
      <c r="ES50" s="213"/>
      <c r="ET50" s="208"/>
      <c r="EU50" s="217"/>
      <c r="EV50" s="217"/>
      <c r="EW50" s="217"/>
      <c r="EX50" s="211"/>
      <c r="EY50" s="213"/>
      <c r="EZ50" s="213"/>
      <c r="FA50" s="213"/>
      <c r="FB50" s="208"/>
      <c r="FC50" s="217"/>
      <c r="FD50" s="217"/>
      <c r="FE50" s="217"/>
      <c r="FF50" s="211"/>
      <c r="FG50" s="213"/>
      <c r="FH50" s="213"/>
      <c r="FI50" s="213"/>
      <c r="FJ50" s="208"/>
      <c r="FK50" s="217"/>
      <c r="FL50" s="217"/>
      <c r="FM50" s="217"/>
      <c r="FN50" s="211"/>
      <c r="FO50" s="213"/>
      <c r="FP50" s="213"/>
      <c r="FQ50" s="213"/>
      <c r="FR50" s="208"/>
      <c r="FS50" s="217"/>
      <c r="FT50" s="217"/>
      <c r="FU50" s="217"/>
      <c r="FV50" s="211"/>
      <c r="FW50" s="213"/>
      <c r="FX50" s="213"/>
      <c r="FY50" s="213"/>
      <c r="FZ50" s="208"/>
      <c r="GA50" s="217"/>
      <c r="GB50" s="217"/>
      <c r="GC50" s="217"/>
      <c r="GD50" s="211"/>
      <c r="GE50" s="213"/>
      <c r="GF50" s="213"/>
      <c r="GG50" s="213"/>
      <c r="GH50" s="208"/>
      <c r="GI50" s="217"/>
      <c r="GJ50" s="217"/>
      <c r="GK50" s="217"/>
      <c r="GL50" s="211"/>
      <c r="GM50" s="213"/>
      <c r="GN50" s="213"/>
      <c r="GO50" s="213"/>
      <c r="GP50" s="208"/>
      <c r="GQ50" s="217"/>
      <c r="GR50" s="217"/>
      <c r="GS50" s="217"/>
    </row>
    <row r="51" spans="2:201" s="218" customFormat="1" ht="205" customHeight="1" x14ac:dyDescent="0.35">
      <c r="B51" s="245">
        <v>42</v>
      </c>
      <c r="C51" s="195"/>
      <c r="D51" s="195"/>
      <c r="E51" s="246"/>
      <c r="F51" s="246"/>
      <c r="G51" s="196"/>
      <c r="H51" s="195"/>
      <c r="I51" s="198"/>
      <c r="J51" s="199"/>
      <c r="K51" s="219"/>
      <c r="L51" s="201"/>
      <c r="M51" s="201"/>
      <c r="N51" s="202"/>
      <c r="O51" s="203">
        <f t="shared" ca="1" si="6"/>
        <v>0</v>
      </c>
      <c r="P51" s="203">
        <f t="shared" ca="1" si="5"/>
        <v>0</v>
      </c>
      <c r="Q51" s="204">
        <f t="shared" si="4"/>
        <v>0</v>
      </c>
      <c r="R51" s="205"/>
      <c r="S51" s="206"/>
      <c r="T51" s="206"/>
      <c r="U51" s="207"/>
      <c r="V51" s="208"/>
      <c r="W51" s="209"/>
      <c r="X51" s="210"/>
      <c r="Y51" s="209"/>
      <c r="Z51" s="211"/>
      <c r="AA51" s="212"/>
      <c r="AB51" s="213"/>
      <c r="AC51" s="214"/>
      <c r="AD51" s="210"/>
      <c r="AE51" s="209"/>
      <c r="AF51" s="210"/>
      <c r="AG51" s="202"/>
      <c r="AH51" s="211"/>
      <c r="AI51" s="212"/>
      <c r="AJ51" s="213"/>
      <c r="AK51" s="214"/>
      <c r="AL51" s="215"/>
      <c r="AM51" s="209"/>
      <c r="AN51" s="210"/>
      <c r="AO51" s="209"/>
      <c r="AP51" s="216"/>
      <c r="AQ51" s="212"/>
      <c r="AR51" s="213"/>
      <c r="AS51" s="214"/>
      <c r="AT51" s="208"/>
      <c r="AU51" s="209"/>
      <c r="AV51" s="210"/>
      <c r="AW51" s="217"/>
      <c r="AX51" s="211"/>
      <c r="AY51" s="213"/>
      <c r="AZ51" s="213"/>
      <c r="BA51" s="213"/>
      <c r="BB51" s="208"/>
      <c r="BC51" s="217"/>
      <c r="BD51" s="210"/>
      <c r="BE51" s="217"/>
      <c r="BF51" s="211"/>
      <c r="BG51" s="213"/>
      <c r="BH51" s="213"/>
      <c r="BI51" s="213"/>
      <c r="BJ51" s="208"/>
      <c r="BK51" s="217"/>
      <c r="BL51" s="210"/>
      <c r="BM51" s="217"/>
      <c r="BN51" s="211"/>
      <c r="BO51" s="213"/>
      <c r="BP51" s="213"/>
      <c r="BQ51" s="213"/>
      <c r="BR51" s="208"/>
      <c r="BS51" s="217"/>
      <c r="BT51" s="210"/>
      <c r="BU51" s="217"/>
      <c r="BV51" s="211"/>
      <c r="BW51" s="213"/>
      <c r="BX51" s="213"/>
      <c r="BY51" s="213"/>
      <c r="BZ51" s="208"/>
      <c r="CA51" s="217"/>
      <c r="CB51" s="217"/>
      <c r="CC51" s="217"/>
      <c r="CD51" s="211"/>
      <c r="CE51" s="213"/>
      <c r="CF51" s="213"/>
      <c r="CG51" s="213"/>
      <c r="CH51" s="208"/>
      <c r="CI51" s="217"/>
      <c r="CJ51" s="217"/>
      <c r="CK51" s="217"/>
      <c r="CL51" s="211"/>
      <c r="CM51" s="213"/>
      <c r="CN51" s="213"/>
      <c r="CO51" s="213"/>
      <c r="CP51" s="208"/>
      <c r="CQ51" s="217"/>
      <c r="CR51" s="217"/>
      <c r="CS51" s="217"/>
      <c r="CT51" s="211"/>
      <c r="CU51" s="213"/>
      <c r="CV51" s="213"/>
      <c r="CW51" s="213"/>
      <c r="CX51" s="208"/>
      <c r="CY51" s="217"/>
      <c r="CZ51" s="217"/>
      <c r="DA51" s="217"/>
      <c r="DB51" s="211"/>
      <c r="DC51" s="213"/>
      <c r="DD51" s="213"/>
      <c r="DE51" s="213"/>
      <c r="DF51" s="208"/>
      <c r="DG51" s="217"/>
      <c r="DH51" s="217"/>
      <c r="DI51" s="217"/>
      <c r="DJ51" s="211"/>
      <c r="DK51" s="213"/>
      <c r="DL51" s="213"/>
      <c r="DM51" s="213"/>
      <c r="DN51" s="208"/>
      <c r="DO51" s="217"/>
      <c r="DP51" s="217"/>
      <c r="DQ51" s="217"/>
      <c r="DR51" s="211"/>
      <c r="DS51" s="213"/>
      <c r="DT51" s="213"/>
      <c r="DU51" s="213"/>
      <c r="DV51" s="208"/>
      <c r="DW51" s="217"/>
      <c r="DX51" s="217"/>
      <c r="DY51" s="217"/>
      <c r="DZ51" s="211"/>
      <c r="EA51" s="213"/>
      <c r="EB51" s="213"/>
      <c r="EC51" s="213"/>
      <c r="ED51" s="208"/>
      <c r="EE51" s="217"/>
      <c r="EF51" s="217"/>
      <c r="EG51" s="217"/>
      <c r="EH51" s="211"/>
      <c r="EI51" s="213"/>
      <c r="EJ51" s="213"/>
      <c r="EK51" s="213"/>
      <c r="EL51" s="208"/>
      <c r="EM51" s="217"/>
      <c r="EN51" s="217"/>
      <c r="EO51" s="217"/>
      <c r="EP51" s="211"/>
      <c r="EQ51" s="213"/>
      <c r="ER51" s="213"/>
      <c r="ES51" s="213"/>
      <c r="ET51" s="208"/>
      <c r="EU51" s="217"/>
      <c r="EV51" s="217"/>
      <c r="EW51" s="217"/>
      <c r="EX51" s="211"/>
      <c r="EY51" s="213"/>
      <c r="EZ51" s="213"/>
      <c r="FA51" s="213"/>
      <c r="FB51" s="208"/>
      <c r="FC51" s="217"/>
      <c r="FD51" s="217"/>
      <c r="FE51" s="217"/>
      <c r="FF51" s="211"/>
      <c r="FG51" s="213"/>
      <c r="FH51" s="213"/>
      <c r="FI51" s="213"/>
      <c r="FJ51" s="208"/>
      <c r="FK51" s="217"/>
      <c r="FL51" s="217"/>
      <c r="FM51" s="217"/>
      <c r="FN51" s="211"/>
      <c r="FO51" s="213"/>
      <c r="FP51" s="213"/>
      <c r="FQ51" s="213"/>
      <c r="FR51" s="208"/>
      <c r="FS51" s="217"/>
      <c r="FT51" s="217"/>
      <c r="FU51" s="217"/>
      <c r="FV51" s="211"/>
      <c r="FW51" s="213"/>
      <c r="FX51" s="213"/>
      <c r="FY51" s="213"/>
      <c r="FZ51" s="208"/>
      <c r="GA51" s="217"/>
      <c r="GB51" s="217"/>
      <c r="GC51" s="217"/>
      <c r="GD51" s="211"/>
      <c r="GE51" s="213"/>
      <c r="GF51" s="213"/>
      <c r="GG51" s="213"/>
      <c r="GH51" s="208"/>
      <c r="GI51" s="217"/>
      <c r="GJ51" s="217"/>
      <c r="GK51" s="217"/>
      <c r="GL51" s="211"/>
      <c r="GM51" s="213"/>
      <c r="GN51" s="213"/>
      <c r="GO51" s="213"/>
      <c r="GP51" s="208"/>
      <c r="GQ51" s="217"/>
      <c r="GR51" s="217"/>
      <c r="GS51" s="217"/>
    </row>
    <row r="52" spans="2:201" s="218" customFormat="1" ht="205" customHeight="1" x14ac:dyDescent="0.35">
      <c r="B52" s="245">
        <v>43</v>
      </c>
      <c r="C52" s="195"/>
      <c r="D52" s="195"/>
      <c r="E52" s="246"/>
      <c r="F52" s="246"/>
      <c r="G52" s="196"/>
      <c r="H52" s="223"/>
      <c r="I52" s="198"/>
      <c r="J52" s="199"/>
      <c r="K52" s="200"/>
      <c r="L52" s="201"/>
      <c r="M52" s="201"/>
      <c r="N52" s="202"/>
      <c r="O52" s="203">
        <f t="shared" ca="1" si="6"/>
        <v>0</v>
      </c>
      <c r="P52" s="203">
        <f t="shared" ca="1" si="5"/>
        <v>0</v>
      </c>
      <c r="Q52" s="204">
        <f t="shared" si="4"/>
        <v>0</v>
      </c>
      <c r="R52" s="205"/>
      <c r="S52" s="206"/>
      <c r="T52" s="206"/>
      <c r="U52" s="207"/>
      <c r="V52" s="208"/>
      <c r="W52" s="209"/>
      <c r="X52" s="210"/>
      <c r="Y52" s="209"/>
      <c r="Z52" s="211"/>
      <c r="AA52" s="212"/>
      <c r="AB52" s="213"/>
      <c r="AC52" s="214"/>
      <c r="AD52" s="208"/>
      <c r="AE52" s="209"/>
      <c r="AF52" s="210"/>
      <c r="AG52" s="209"/>
      <c r="AH52" s="211"/>
      <c r="AI52" s="212"/>
      <c r="AJ52" s="213"/>
      <c r="AK52" s="214"/>
      <c r="AL52" s="215"/>
      <c r="AM52" s="209"/>
      <c r="AN52" s="210"/>
      <c r="AO52" s="209"/>
      <c r="AP52" s="216"/>
      <c r="AQ52" s="212"/>
      <c r="AR52" s="213"/>
      <c r="AS52" s="214"/>
      <c r="AT52" s="208"/>
      <c r="AU52" s="209"/>
      <c r="AV52" s="210"/>
      <c r="AW52" s="217"/>
      <c r="AX52" s="211"/>
      <c r="AY52" s="213"/>
      <c r="AZ52" s="213"/>
      <c r="BA52" s="213"/>
      <c r="BB52" s="208"/>
      <c r="BC52" s="217"/>
      <c r="BD52" s="210"/>
      <c r="BE52" s="217"/>
      <c r="BF52" s="211"/>
      <c r="BG52" s="213"/>
      <c r="BH52" s="213"/>
      <c r="BI52" s="213"/>
      <c r="BJ52" s="208"/>
      <c r="BK52" s="217"/>
      <c r="BL52" s="210"/>
      <c r="BM52" s="217"/>
      <c r="BN52" s="211"/>
      <c r="BO52" s="213"/>
      <c r="BP52" s="213"/>
      <c r="BQ52" s="213"/>
      <c r="BR52" s="208"/>
      <c r="BS52" s="217"/>
      <c r="BT52" s="210"/>
      <c r="BU52" s="217"/>
      <c r="BV52" s="211"/>
      <c r="BW52" s="213"/>
      <c r="BX52" s="213"/>
      <c r="BY52" s="213"/>
      <c r="BZ52" s="208"/>
      <c r="CA52" s="217"/>
      <c r="CB52" s="217"/>
      <c r="CC52" s="217"/>
      <c r="CD52" s="211"/>
      <c r="CE52" s="213"/>
      <c r="CF52" s="213"/>
      <c r="CG52" s="213"/>
      <c r="CH52" s="208"/>
      <c r="CI52" s="217"/>
      <c r="CJ52" s="217"/>
      <c r="CK52" s="217"/>
      <c r="CL52" s="211"/>
      <c r="CM52" s="213"/>
      <c r="CN52" s="213"/>
      <c r="CO52" s="213"/>
      <c r="CP52" s="208"/>
      <c r="CQ52" s="217"/>
      <c r="CR52" s="217"/>
      <c r="CS52" s="217"/>
      <c r="CT52" s="211"/>
      <c r="CU52" s="213"/>
      <c r="CV52" s="213"/>
      <c r="CW52" s="213"/>
      <c r="CX52" s="208"/>
      <c r="CY52" s="217"/>
      <c r="CZ52" s="217"/>
      <c r="DA52" s="217"/>
      <c r="DB52" s="211"/>
      <c r="DC52" s="213"/>
      <c r="DD52" s="213"/>
      <c r="DE52" s="213"/>
      <c r="DF52" s="208"/>
      <c r="DG52" s="217"/>
      <c r="DH52" s="217"/>
      <c r="DI52" s="217"/>
      <c r="DJ52" s="211"/>
      <c r="DK52" s="213"/>
      <c r="DL52" s="213"/>
      <c r="DM52" s="213"/>
      <c r="DN52" s="208"/>
      <c r="DO52" s="217"/>
      <c r="DP52" s="217"/>
      <c r="DQ52" s="217"/>
      <c r="DR52" s="211"/>
      <c r="DS52" s="213"/>
      <c r="DT52" s="213"/>
      <c r="DU52" s="213"/>
      <c r="DV52" s="208"/>
      <c r="DW52" s="217"/>
      <c r="DX52" s="217"/>
      <c r="DY52" s="217"/>
      <c r="DZ52" s="211"/>
      <c r="EA52" s="213"/>
      <c r="EB52" s="213"/>
      <c r="EC52" s="213"/>
      <c r="ED52" s="208"/>
      <c r="EE52" s="217"/>
      <c r="EF52" s="217"/>
      <c r="EG52" s="217"/>
      <c r="EH52" s="211"/>
      <c r="EI52" s="213"/>
      <c r="EJ52" s="213"/>
      <c r="EK52" s="213"/>
      <c r="EL52" s="208"/>
      <c r="EM52" s="217"/>
      <c r="EN52" s="217"/>
      <c r="EO52" s="217"/>
      <c r="EP52" s="211"/>
      <c r="EQ52" s="213"/>
      <c r="ER52" s="213"/>
      <c r="ES52" s="213"/>
      <c r="ET52" s="208"/>
      <c r="EU52" s="217"/>
      <c r="EV52" s="217"/>
      <c r="EW52" s="217"/>
      <c r="EX52" s="211"/>
      <c r="EY52" s="213"/>
      <c r="EZ52" s="213"/>
      <c r="FA52" s="213"/>
      <c r="FB52" s="208"/>
      <c r="FC52" s="217"/>
      <c r="FD52" s="217"/>
      <c r="FE52" s="217"/>
      <c r="FF52" s="211"/>
      <c r="FG52" s="213"/>
      <c r="FH52" s="213"/>
      <c r="FI52" s="213"/>
      <c r="FJ52" s="208"/>
      <c r="FK52" s="217"/>
      <c r="FL52" s="217"/>
      <c r="FM52" s="217"/>
      <c r="FN52" s="211"/>
      <c r="FO52" s="213"/>
      <c r="FP52" s="213"/>
      <c r="FQ52" s="213"/>
      <c r="FR52" s="208"/>
      <c r="FS52" s="217"/>
      <c r="FT52" s="217"/>
      <c r="FU52" s="217"/>
      <c r="FV52" s="211"/>
      <c r="FW52" s="213"/>
      <c r="FX52" s="213"/>
      <c r="FY52" s="213"/>
      <c r="FZ52" s="208"/>
      <c r="GA52" s="217"/>
      <c r="GB52" s="217"/>
      <c r="GC52" s="217"/>
      <c r="GD52" s="211"/>
      <c r="GE52" s="213"/>
      <c r="GF52" s="213"/>
      <c r="GG52" s="213"/>
      <c r="GH52" s="208"/>
      <c r="GI52" s="217"/>
      <c r="GJ52" s="217"/>
      <c r="GK52" s="217"/>
      <c r="GL52" s="211"/>
      <c r="GM52" s="213"/>
      <c r="GN52" s="213"/>
      <c r="GO52" s="213"/>
      <c r="GP52" s="208"/>
      <c r="GQ52" s="217"/>
      <c r="GR52" s="217"/>
      <c r="GS52" s="217"/>
    </row>
    <row r="53" spans="2:201" s="218" customFormat="1" ht="205" customHeight="1" x14ac:dyDescent="0.35">
      <c r="B53" s="245">
        <v>44</v>
      </c>
      <c r="C53" s="195"/>
      <c r="D53" s="195"/>
      <c r="E53" s="246"/>
      <c r="F53" s="246"/>
      <c r="G53" s="196"/>
      <c r="H53" s="195"/>
      <c r="I53" s="198"/>
      <c r="J53" s="199"/>
      <c r="K53" s="200"/>
      <c r="L53" s="201"/>
      <c r="M53" s="202"/>
      <c r="N53" s="202"/>
      <c r="O53" s="203">
        <f t="shared" ca="1" si="6"/>
        <v>0</v>
      </c>
      <c r="P53" s="203">
        <f t="shared" ca="1" si="5"/>
        <v>0</v>
      </c>
      <c r="Q53" s="204">
        <f t="shared" si="4"/>
        <v>0</v>
      </c>
      <c r="R53" s="205"/>
      <c r="S53" s="206"/>
      <c r="T53" s="206"/>
      <c r="U53" s="207"/>
      <c r="V53" s="208"/>
      <c r="W53" s="209"/>
      <c r="X53" s="210"/>
      <c r="Y53" s="209"/>
      <c r="Z53" s="211"/>
      <c r="AA53" s="212"/>
      <c r="AB53" s="213"/>
      <c r="AC53" s="214"/>
      <c r="AD53" s="208"/>
      <c r="AE53" s="209"/>
      <c r="AF53" s="210"/>
      <c r="AG53" s="209"/>
      <c r="AH53" s="211"/>
      <c r="AI53" s="212"/>
      <c r="AJ53" s="213"/>
      <c r="AK53" s="214"/>
      <c r="AL53" s="215"/>
      <c r="AM53" s="209"/>
      <c r="AN53" s="210"/>
      <c r="AO53" s="209"/>
      <c r="AP53" s="216"/>
      <c r="AQ53" s="212"/>
      <c r="AR53" s="213"/>
      <c r="AS53" s="214"/>
      <c r="AT53" s="208"/>
      <c r="AU53" s="209"/>
      <c r="AV53" s="210"/>
      <c r="AW53" s="217"/>
      <c r="AX53" s="211"/>
      <c r="AY53" s="213"/>
      <c r="AZ53" s="213"/>
      <c r="BA53" s="213"/>
      <c r="BB53" s="208"/>
      <c r="BC53" s="217"/>
      <c r="BD53" s="210"/>
      <c r="BE53" s="217"/>
      <c r="BF53" s="211"/>
      <c r="BG53" s="213"/>
      <c r="BH53" s="213"/>
      <c r="BI53" s="213"/>
      <c r="BJ53" s="208"/>
      <c r="BK53" s="217"/>
      <c r="BL53" s="210"/>
      <c r="BM53" s="217"/>
      <c r="BN53" s="211"/>
      <c r="BO53" s="213"/>
      <c r="BP53" s="213"/>
      <c r="BQ53" s="213"/>
      <c r="BR53" s="208"/>
      <c r="BS53" s="217"/>
      <c r="BT53" s="210"/>
      <c r="BU53" s="217"/>
      <c r="BV53" s="211"/>
      <c r="BW53" s="213"/>
      <c r="BX53" s="213"/>
      <c r="BY53" s="213"/>
      <c r="BZ53" s="208"/>
      <c r="CA53" s="217"/>
      <c r="CB53" s="217"/>
      <c r="CC53" s="217"/>
      <c r="CD53" s="211"/>
      <c r="CE53" s="213"/>
      <c r="CF53" s="213"/>
      <c r="CG53" s="213"/>
      <c r="CH53" s="208"/>
      <c r="CI53" s="217"/>
      <c r="CJ53" s="217"/>
      <c r="CK53" s="217"/>
      <c r="CL53" s="211"/>
      <c r="CM53" s="213"/>
      <c r="CN53" s="213"/>
      <c r="CO53" s="213"/>
      <c r="CP53" s="208"/>
      <c r="CQ53" s="217"/>
      <c r="CR53" s="217"/>
      <c r="CS53" s="217"/>
      <c r="CT53" s="211"/>
      <c r="CU53" s="213"/>
      <c r="CV53" s="213"/>
      <c r="CW53" s="213"/>
      <c r="CX53" s="208"/>
      <c r="CY53" s="217"/>
      <c r="CZ53" s="217"/>
      <c r="DA53" s="217"/>
      <c r="DB53" s="211"/>
      <c r="DC53" s="213"/>
      <c r="DD53" s="213"/>
      <c r="DE53" s="213"/>
      <c r="DF53" s="208"/>
      <c r="DG53" s="217"/>
      <c r="DH53" s="217"/>
      <c r="DI53" s="217"/>
      <c r="DJ53" s="211"/>
      <c r="DK53" s="213"/>
      <c r="DL53" s="213"/>
      <c r="DM53" s="213"/>
      <c r="DN53" s="208"/>
      <c r="DO53" s="217"/>
      <c r="DP53" s="217"/>
      <c r="DQ53" s="217"/>
      <c r="DR53" s="211"/>
      <c r="DS53" s="213"/>
      <c r="DT53" s="213"/>
      <c r="DU53" s="213"/>
      <c r="DV53" s="208"/>
      <c r="DW53" s="217"/>
      <c r="DX53" s="217"/>
      <c r="DY53" s="217"/>
      <c r="DZ53" s="211"/>
      <c r="EA53" s="213"/>
      <c r="EB53" s="213"/>
      <c r="EC53" s="213"/>
      <c r="ED53" s="208"/>
      <c r="EE53" s="217"/>
      <c r="EF53" s="217"/>
      <c r="EG53" s="217"/>
      <c r="EH53" s="211"/>
      <c r="EI53" s="213"/>
      <c r="EJ53" s="213"/>
      <c r="EK53" s="213"/>
      <c r="EL53" s="208"/>
      <c r="EM53" s="217"/>
      <c r="EN53" s="217"/>
      <c r="EO53" s="217"/>
      <c r="EP53" s="211"/>
      <c r="EQ53" s="213"/>
      <c r="ER53" s="213"/>
      <c r="ES53" s="213"/>
      <c r="ET53" s="208"/>
      <c r="EU53" s="217"/>
      <c r="EV53" s="217"/>
      <c r="EW53" s="217"/>
      <c r="EX53" s="211"/>
      <c r="EY53" s="213"/>
      <c r="EZ53" s="213"/>
      <c r="FA53" s="213"/>
      <c r="FB53" s="208"/>
      <c r="FC53" s="217"/>
      <c r="FD53" s="217"/>
      <c r="FE53" s="217"/>
      <c r="FF53" s="211"/>
      <c r="FG53" s="213"/>
      <c r="FH53" s="213"/>
      <c r="FI53" s="213"/>
      <c r="FJ53" s="208"/>
      <c r="FK53" s="217"/>
      <c r="FL53" s="217"/>
      <c r="FM53" s="217"/>
      <c r="FN53" s="211"/>
      <c r="FO53" s="213"/>
      <c r="FP53" s="213"/>
      <c r="FQ53" s="213"/>
      <c r="FR53" s="208"/>
      <c r="FS53" s="217"/>
      <c r="FT53" s="217"/>
      <c r="FU53" s="217"/>
      <c r="FV53" s="211"/>
      <c r="FW53" s="213"/>
      <c r="FX53" s="213"/>
      <c r="FY53" s="213"/>
      <c r="FZ53" s="208"/>
      <c r="GA53" s="217"/>
      <c r="GB53" s="217"/>
      <c r="GC53" s="217"/>
      <c r="GD53" s="211"/>
      <c r="GE53" s="213"/>
      <c r="GF53" s="213"/>
      <c r="GG53" s="213"/>
      <c r="GH53" s="208"/>
      <c r="GI53" s="217"/>
      <c r="GJ53" s="217"/>
      <c r="GK53" s="217"/>
      <c r="GL53" s="211"/>
      <c r="GM53" s="213"/>
      <c r="GN53" s="213"/>
      <c r="GO53" s="213"/>
      <c r="GP53" s="208"/>
      <c r="GQ53" s="217"/>
      <c r="GR53" s="217"/>
      <c r="GS53" s="217"/>
    </row>
    <row r="54" spans="2:201" s="218" customFormat="1" ht="205" customHeight="1" x14ac:dyDescent="0.35">
      <c r="B54" s="245">
        <v>45</v>
      </c>
      <c r="C54" s="195"/>
      <c r="D54" s="195"/>
      <c r="E54" s="246"/>
      <c r="F54" s="246"/>
      <c r="G54" s="196"/>
      <c r="H54" s="221"/>
      <c r="I54" s="198"/>
      <c r="J54" s="199"/>
      <c r="K54" s="219"/>
      <c r="L54" s="201"/>
      <c r="M54" s="201"/>
      <c r="N54" s="202"/>
      <c r="O54" s="203">
        <f t="shared" ca="1" si="6"/>
        <v>0</v>
      </c>
      <c r="P54" s="203">
        <f t="shared" ca="1" si="5"/>
        <v>0</v>
      </c>
      <c r="Q54" s="204">
        <f t="shared" si="4"/>
        <v>0</v>
      </c>
      <c r="R54" s="205"/>
      <c r="S54" s="206"/>
      <c r="T54" s="206"/>
      <c r="U54" s="207"/>
      <c r="V54" s="208"/>
      <c r="W54" s="209"/>
      <c r="X54" s="210"/>
      <c r="Y54" s="209"/>
      <c r="Z54" s="211"/>
      <c r="AA54" s="212"/>
      <c r="AB54" s="213"/>
      <c r="AC54" s="214"/>
      <c r="AD54" s="210"/>
      <c r="AE54" s="209"/>
      <c r="AF54" s="210"/>
      <c r="AG54" s="202"/>
      <c r="AH54" s="211"/>
      <c r="AI54" s="212"/>
      <c r="AJ54" s="213"/>
      <c r="AK54" s="214"/>
      <c r="AL54" s="215"/>
      <c r="AM54" s="209"/>
      <c r="AN54" s="210"/>
      <c r="AO54" s="209"/>
      <c r="AP54" s="216"/>
      <c r="AQ54" s="212"/>
      <c r="AR54" s="213"/>
      <c r="AS54" s="214"/>
      <c r="AT54" s="208"/>
      <c r="AU54" s="209"/>
      <c r="AV54" s="210"/>
      <c r="AW54" s="217"/>
      <c r="AX54" s="211"/>
      <c r="AY54" s="213"/>
      <c r="AZ54" s="213"/>
      <c r="BA54" s="213"/>
      <c r="BB54" s="208"/>
      <c r="BC54" s="217"/>
      <c r="BD54" s="210"/>
      <c r="BE54" s="217"/>
      <c r="BF54" s="211"/>
      <c r="BG54" s="213"/>
      <c r="BH54" s="213"/>
      <c r="BI54" s="213"/>
      <c r="BJ54" s="208"/>
      <c r="BK54" s="217"/>
      <c r="BL54" s="210"/>
      <c r="BM54" s="217"/>
      <c r="BN54" s="211"/>
      <c r="BO54" s="213"/>
      <c r="BP54" s="213"/>
      <c r="BQ54" s="213"/>
      <c r="BR54" s="208"/>
      <c r="BS54" s="217"/>
      <c r="BT54" s="210"/>
      <c r="BU54" s="217"/>
      <c r="BV54" s="211"/>
      <c r="BW54" s="213"/>
      <c r="BX54" s="213"/>
      <c r="BY54" s="213"/>
      <c r="BZ54" s="208"/>
      <c r="CA54" s="217"/>
      <c r="CB54" s="217"/>
      <c r="CC54" s="217"/>
      <c r="CD54" s="211"/>
      <c r="CE54" s="213"/>
      <c r="CF54" s="213"/>
      <c r="CG54" s="213"/>
      <c r="CH54" s="208"/>
      <c r="CI54" s="217"/>
      <c r="CJ54" s="217"/>
      <c r="CK54" s="217"/>
      <c r="CL54" s="211"/>
      <c r="CM54" s="213"/>
      <c r="CN54" s="213"/>
      <c r="CO54" s="213"/>
      <c r="CP54" s="208"/>
      <c r="CQ54" s="217"/>
      <c r="CR54" s="217"/>
      <c r="CS54" s="217"/>
      <c r="CT54" s="211"/>
      <c r="CU54" s="213"/>
      <c r="CV54" s="213"/>
      <c r="CW54" s="213"/>
      <c r="CX54" s="208"/>
      <c r="CY54" s="217"/>
      <c r="CZ54" s="217"/>
      <c r="DA54" s="217"/>
      <c r="DB54" s="211"/>
      <c r="DC54" s="213"/>
      <c r="DD54" s="213"/>
      <c r="DE54" s="213"/>
      <c r="DF54" s="208"/>
      <c r="DG54" s="217"/>
      <c r="DH54" s="217"/>
      <c r="DI54" s="217"/>
      <c r="DJ54" s="211"/>
      <c r="DK54" s="213"/>
      <c r="DL54" s="213"/>
      <c r="DM54" s="213"/>
      <c r="DN54" s="208"/>
      <c r="DO54" s="217"/>
      <c r="DP54" s="217"/>
      <c r="DQ54" s="217"/>
      <c r="DR54" s="211"/>
      <c r="DS54" s="213"/>
      <c r="DT54" s="213"/>
      <c r="DU54" s="213"/>
      <c r="DV54" s="208"/>
      <c r="DW54" s="217"/>
      <c r="DX54" s="217"/>
      <c r="DY54" s="217"/>
      <c r="DZ54" s="211"/>
      <c r="EA54" s="213"/>
      <c r="EB54" s="213"/>
      <c r="EC54" s="213"/>
      <c r="ED54" s="208"/>
      <c r="EE54" s="217"/>
      <c r="EF54" s="217"/>
      <c r="EG54" s="217"/>
      <c r="EH54" s="211"/>
      <c r="EI54" s="213"/>
      <c r="EJ54" s="213"/>
      <c r="EK54" s="213"/>
      <c r="EL54" s="208"/>
      <c r="EM54" s="217"/>
      <c r="EN54" s="217"/>
      <c r="EO54" s="217"/>
      <c r="EP54" s="211"/>
      <c r="EQ54" s="213"/>
      <c r="ER54" s="213"/>
      <c r="ES54" s="213"/>
      <c r="ET54" s="208"/>
      <c r="EU54" s="217"/>
      <c r="EV54" s="217"/>
      <c r="EW54" s="217"/>
      <c r="EX54" s="211"/>
      <c r="EY54" s="213"/>
      <c r="EZ54" s="213"/>
      <c r="FA54" s="213"/>
      <c r="FB54" s="208"/>
      <c r="FC54" s="217"/>
      <c r="FD54" s="217"/>
      <c r="FE54" s="217"/>
      <c r="FF54" s="211"/>
      <c r="FG54" s="213"/>
      <c r="FH54" s="213"/>
      <c r="FI54" s="213"/>
      <c r="FJ54" s="208"/>
      <c r="FK54" s="217"/>
      <c r="FL54" s="217"/>
      <c r="FM54" s="217"/>
      <c r="FN54" s="211"/>
      <c r="FO54" s="213"/>
      <c r="FP54" s="213"/>
      <c r="FQ54" s="213"/>
      <c r="FR54" s="208"/>
      <c r="FS54" s="217"/>
      <c r="FT54" s="217"/>
      <c r="FU54" s="217"/>
      <c r="FV54" s="211"/>
      <c r="FW54" s="213"/>
      <c r="FX54" s="213"/>
      <c r="FY54" s="213"/>
      <c r="FZ54" s="208"/>
      <c r="GA54" s="217"/>
      <c r="GB54" s="217"/>
      <c r="GC54" s="217"/>
      <c r="GD54" s="211"/>
      <c r="GE54" s="213"/>
      <c r="GF54" s="213"/>
      <c r="GG54" s="213"/>
      <c r="GH54" s="208"/>
      <c r="GI54" s="217"/>
      <c r="GJ54" s="217"/>
      <c r="GK54" s="217"/>
      <c r="GL54" s="211"/>
      <c r="GM54" s="213"/>
      <c r="GN54" s="213"/>
      <c r="GO54" s="213"/>
      <c r="GP54" s="208"/>
      <c r="GQ54" s="217"/>
      <c r="GR54" s="217"/>
      <c r="GS54" s="217"/>
    </row>
    <row r="55" spans="2:201" s="218" customFormat="1" ht="205" customHeight="1" x14ac:dyDescent="0.35">
      <c r="B55" s="245">
        <v>46</v>
      </c>
      <c r="C55" s="195"/>
      <c r="D55" s="195"/>
      <c r="E55" s="246"/>
      <c r="F55" s="246"/>
      <c r="G55" s="196"/>
      <c r="H55" s="234"/>
      <c r="I55" s="198"/>
      <c r="J55" s="199"/>
      <c r="K55" s="200"/>
      <c r="L55" s="201"/>
      <c r="M55" s="201"/>
      <c r="N55" s="202"/>
      <c r="O55" s="203">
        <f ca="1">IF(N55="Comentado / Emitir Rev.0",TODAY()-M55,0)</f>
        <v>0</v>
      </c>
      <c r="P55" s="203">
        <f t="shared" ca="1" si="5"/>
        <v>0</v>
      </c>
      <c r="Q55" s="204">
        <f t="shared" si="4"/>
        <v>0</v>
      </c>
      <c r="R55" s="205"/>
      <c r="S55" s="206"/>
      <c r="T55" s="206"/>
      <c r="U55" s="207"/>
      <c r="V55" s="208"/>
      <c r="W55" s="209"/>
      <c r="X55" s="210"/>
      <c r="Y55" s="209"/>
      <c r="Z55" s="211"/>
      <c r="AA55" s="212"/>
      <c r="AB55" s="213"/>
      <c r="AC55" s="214"/>
      <c r="AD55" s="208"/>
      <c r="AE55" s="209"/>
      <c r="AF55" s="210"/>
      <c r="AG55" s="209"/>
      <c r="AH55" s="211"/>
      <c r="AI55" s="212"/>
      <c r="AJ55" s="213"/>
      <c r="AK55" s="214"/>
      <c r="AL55" s="215"/>
      <c r="AM55" s="209"/>
      <c r="AN55" s="210"/>
      <c r="AO55" s="209"/>
      <c r="AP55" s="216"/>
      <c r="AQ55" s="212"/>
      <c r="AR55" s="213"/>
      <c r="AS55" s="214"/>
      <c r="AT55" s="208"/>
      <c r="AU55" s="209"/>
      <c r="AV55" s="210"/>
      <c r="AW55" s="217"/>
      <c r="AX55" s="211"/>
      <c r="AY55" s="213"/>
      <c r="AZ55" s="213"/>
      <c r="BA55" s="213"/>
      <c r="BB55" s="208"/>
      <c r="BC55" s="217"/>
      <c r="BD55" s="210"/>
      <c r="BE55" s="217"/>
      <c r="BF55" s="211"/>
      <c r="BG55" s="213"/>
      <c r="BH55" s="213"/>
      <c r="BI55" s="213"/>
      <c r="BJ55" s="208"/>
      <c r="BK55" s="217"/>
      <c r="BL55" s="210"/>
      <c r="BM55" s="217"/>
      <c r="BN55" s="211"/>
      <c r="BO55" s="213"/>
      <c r="BP55" s="213"/>
      <c r="BQ55" s="213"/>
      <c r="BR55" s="208"/>
      <c r="BS55" s="217"/>
      <c r="BT55" s="210"/>
      <c r="BU55" s="217"/>
      <c r="BV55" s="211"/>
      <c r="BW55" s="213"/>
      <c r="BX55" s="213"/>
      <c r="BY55" s="213"/>
      <c r="BZ55" s="208"/>
      <c r="CA55" s="217"/>
      <c r="CB55" s="217"/>
      <c r="CC55" s="217"/>
      <c r="CD55" s="211"/>
      <c r="CE55" s="213"/>
      <c r="CF55" s="213"/>
      <c r="CG55" s="213"/>
      <c r="CH55" s="208"/>
      <c r="CI55" s="217"/>
      <c r="CJ55" s="217"/>
      <c r="CK55" s="217"/>
      <c r="CL55" s="211"/>
      <c r="CM55" s="213"/>
      <c r="CN55" s="213"/>
      <c r="CO55" s="213"/>
      <c r="CP55" s="208"/>
      <c r="CQ55" s="217"/>
      <c r="CR55" s="217"/>
      <c r="CS55" s="217"/>
      <c r="CT55" s="211"/>
      <c r="CU55" s="213"/>
      <c r="CV55" s="213"/>
      <c r="CW55" s="213"/>
      <c r="CX55" s="208"/>
      <c r="CY55" s="217"/>
      <c r="CZ55" s="217"/>
      <c r="DA55" s="217"/>
      <c r="DB55" s="211"/>
      <c r="DC55" s="213"/>
      <c r="DD55" s="213"/>
      <c r="DE55" s="213"/>
      <c r="DF55" s="208"/>
      <c r="DG55" s="217"/>
      <c r="DH55" s="217"/>
      <c r="DI55" s="217"/>
      <c r="DJ55" s="211"/>
      <c r="DK55" s="213"/>
      <c r="DL55" s="213"/>
      <c r="DM55" s="213"/>
      <c r="DN55" s="208"/>
      <c r="DO55" s="217"/>
      <c r="DP55" s="217"/>
      <c r="DQ55" s="217"/>
      <c r="DR55" s="211"/>
      <c r="DS55" s="213"/>
      <c r="DT55" s="213"/>
      <c r="DU55" s="213"/>
      <c r="DV55" s="208"/>
      <c r="DW55" s="217"/>
      <c r="DX55" s="217"/>
      <c r="DY55" s="217"/>
      <c r="DZ55" s="211"/>
      <c r="EA55" s="213"/>
      <c r="EB55" s="213"/>
      <c r="EC55" s="213"/>
      <c r="ED55" s="208"/>
      <c r="EE55" s="217"/>
      <c r="EF55" s="217"/>
      <c r="EG55" s="217"/>
      <c r="EH55" s="211"/>
      <c r="EI55" s="213"/>
      <c r="EJ55" s="213"/>
      <c r="EK55" s="213"/>
      <c r="EL55" s="208"/>
      <c r="EM55" s="217"/>
      <c r="EN55" s="217"/>
      <c r="EO55" s="217"/>
      <c r="EP55" s="211"/>
      <c r="EQ55" s="213"/>
      <c r="ER55" s="213"/>
      <c r="ES55" s="213"/>
      <c r="ET55" s="208"/>
      <c r="EU55" s="217"/>
      <c r="EV55" s="217"/>
      <c r="EW55" s="217"/>
      <c r="EX55" s="211"/>
      <c r="EY55" s="213"/>
      <c r="EZ55" s="213"/>
      <c r="FA55" s="213"/>
      <c r="FB55" s="208"/>
      <c r="FC55" s="217"/>
      <c r="FD55" s="217"/>
      <c r="FE55" s="217"/>
      <c r="FF55" s="211"/>
      <c r="FG55" s="213"/>
      <c r="FH55" s="213"/>
      <c r="FI55" s="213"/>
      <c r="FJ55" s="208"/>
      <c r="FK55" s="217"/>
      <c r="FL55" s="217"/>
      <c r="FM55" s="217"/>
      <c r="FN55" s="211"/>
      <c r="FO55" s="213"/>
      <c r="FP55" s="213"/>
      <c r="FQ55" s="213"/>
      <c r="FR55" s="208"/>
      <c r="FS55" s="217"/>
      <c r="FT55" s="217"/>
      <c r="FU55" s="217"/>
      <c r="FV55" s="211"/>
      <c r="FW55" s="213"/>
      <c r="FX55" s="213"/>
      <c r="FY55" s="213"/>
      <c r="FZ55" s="208"/>
      <c r="GA55" s="217"/>
      <c r="GB55" s="217"/>
      <c r="GC55" s="217"/>
      <c r="GD55" s="211"/>
      <c r="GE55" s="213"/>
      <c r="GF55" s="213"/>
      <c r="GG55" s="213"/>
      <c r="GH55" s="208"/>
      <c r="GI55" s="217"/>
      <c r="GJ55" s="217"/>
      <c r="GK55" s="217"/>
      <c r="GL55" s="211"/>
      <c r="GM55" s="213"/>
      <c r="GN55" s="213"/>
      <c r="GO55" s="213"/>
      <c r="GP55" s="208"/>
      <c r="GQ55" s="217"/>
      <c r="GR55" s="217"/>
      <c r="GS55" s="217"/>
    </row>
    <row r="56" spans="2:201" s="218" customFormat="1" ht="205" customHeight="1" x14ac:dyDescent="0.35">
      <c r="B56" s="245">
        <v>47</v>
      </c>
      <c r="C56" s="194"/>
      <c r="D56" s="195"/>
      <c r="E56" s="246"/>
      <c r="F56" s="246"/>
      <c r="G56" s="196"/>
      <c r="H56" s="234"/>
      <c r="I56" s="198"/>
      <c r="J56" s="199"/>
      <c r="K56" s="200"/>
      <c r="L56" s="201"/>
      <c r="M56" s="201"/>
      <c r="N56" s="202"/>
      <c r="O56" s="203">
        <f ca="1">IF(N56="Comentado / Emitir Rev.0",TODAY()-M56,0)</f>
        <v>0</v>
      </c>
      <c r="P56" s="203">
        <f t="shared" ca="1" si="5"/>
        <v>0</v>
      </c>
      <c r="Q56" s="204">
        <f t="shared" si="4"/>
        <v>0</v>
      </c>
      <c r="R56" s="205"/>
      <c r="S56" s="206"/>
      <c r="T56" s="206"/>
      <c r="U56" s="207"/>
      <c r="V56" s="208"/>
      <c r="W56" s="209"/>
      <c r="X56" s="210"/>
      <c r="Y56" s="209"/>
      <c r="Z56" s="205"/>
      <c r="AA56" s="213"/>
      <c r="AB56" s="213"/>
      <c r="AC56" s="214"/>
      <c r="AD56" s="215"/>
      <c r="AE56" s="209"/>
      <c r="AF56" s="210"/>
      <c r="AG56" s="209"/>
      <c r="AH56" s="211"/>
      <c r="AI56" s="212"/>
      <c r="AJ56" s="212"/>
      <c r="AK56" s="214"/>
      <c r="AL56" s="215"/>
      <c r="AM56" s="209"/>
      <c r="AN56" s="210"/>
      <c r="AO56" s="209"/>
      <c r="AP56" s="226"/>
      <c r="AQ56" s="214"/>
      <c r="AR56" s="213"/>
      <c r="AS56" s="214"/>
      <c r="AT56" s="208"/>
      <c r="AU56" s="217"/>
      <c r="AV56" s="210"/>
      <c r="AW56" s="217"/>
      <c r="AX56" s="211"/>
      <c r="AY56" s="213"/>
      <c r="AZ56" s="213"/>
      <c r="BA56" s="213"/>
      <c r="BB56" s="208"/>
      <c r="BC56" s="217"/>
      <c r="BD56" s="210"/>
      <c r="BE56" s="217"/>
      <c r="BF56" s="211"/>
      <c r="BG56" s="213"/>
      <c r="BH56" s="213"/>
      <c r="BI56" s="213"/>
      <c r="BJ56" s="208"/>
      <c r="BK56" s="217"/>
      <c r="BL56" s="210"/>
      <c r="BM56" s="217"/>
      <c r="BN56" s="211"/>
      <c r="BO56" s="213"/>
      <c r="BP56" s="213"/>
      <c r="BQ56" s="213"/>
      <c r="BR56" s="208"/>
      <c r="BS56" s="217"/>
      <c r="BT56" s="210"/>
      <c r="BU56" s="217"/>
      <c r="BV56" s="211"/>
      <c r="BW56" s="213"/>
      <c r="BX56" s="213"/>
      <c r="BY56" s="213"/>
      <c r="BZ56" s="208"/>
      <c r="CA56" s="217"/>
      <c r="CB56" s="217"/>
      <c r="CC56" s="217"/>
      <c r="CD56" s="211"/>
      <c r="CE56" s="213"/>
      <c r="CF56" s="213"/>
      <c r="CG56" s="213"/>
      <c r="CH56" s="208"/>
      <c r="CI56" s="217"/>
      <c r="CJ56" s="217"/>
      <c r="CK56" s="217"/>
      <c r="CL56" s="211"/>
      <c r="CM56" s="213"/>
      <c r="CN56" s="213"/>
      <c r="CO56" s="213"/>
      <c r="CP56" s="208"/>
      <c r="CQ56" s="217"/>
      <c r="CR56" s="217"/>
      <c r="CS56" s="217"/>
      <c r="CT56" s="211"/>
      <c r="CU56" s="213"/>
      <c r="CV56" s="213"/>
      <c r="CW56" s="213"/>
      <c r="CX56" s="208"/>
      <c r="CY56" s="217"/>
      <c r="CZ56" s="217"/>
      <c r="DA56" s="217"/>
      <c r="DB56" s="211"/>
      <c r="DC56" s="213"/>
      <c r="DD56" s="213"/>
      <c r="DE56" s="213"/>
      <c r="DF56" s="208"/>
      <c r="DG56" s="217"/>
      <c r="DH56" s="217"/>
      <c r="DI56" s="217"/>
      <c r="DJ56" s="211"/>
      <c r="DK56" s="213"/>
      <c r="DL56" s="213"/>
      <c r="DM56" s="213"/>
      <c r="DN56" s="208"/>
      <c r="DO56" s="217"/>
      <c r="DP56" s="217"/>
      <c r="DQ56" s="217"/>
      <c r="DR56" s="211"/>
      <c r="DS56" s="213"/>
      <c r="DT56" s="213"/>
      <c r="DU56" s="213"/>
      <c r="DV56" s="208"/>
      <c r="DW56" s="217"/>
      <c r="DX56" s="217"/>
      <c r="DY56" s="217"/>
      <c r="DZ56" s="211"/>
      <c r="EA56" s="213"/>
      <c r="EB56" s="213"/>
      <c r="EC56" s="213"/>
      <c r="ED56" s="208"/>
      <c r="EE56" s="217"/>
      <c r="EF56" s="217"/>
      <c r="EG56" s="217"/>
      <c r="EH56" s="211"/>
      <c r="EI56" s="213"/>
      <c r="EJ56" s="213"/>
      <c r="EK56" s="213"/>
      <c r="EL56" s="208"/>
      <c r="EM56" s="217"/>
      <c r="EN56" s="217"/>
      <c r="EO56" s="217"/>
      <c r="EP56" s="211"/>
      <c r="EQ56" s="213"/>
      <c r="ER56" s="213"/>
      <c r="ES56" s="213"/>
      <c r="ET56" s="208"/>
      <c r="EU56" s="217"/>
      <c r="EV56" s="217"/>
      <c r="EW56" s="217"/>
      <c r="EX56" s="211"/>
      <c r="EY56" s="213"/>
      <c r="EZ56" s="213"/>
      <c r="FA56" s="213"/>
      <c r="FB56" s="208"/>
      <c r="FC56" s="217"/>
      <c r="FD56" s="217"/>
      <c r="FE56" s="217"/>
      <c r="FF56" s="211"/>
      <c r="FG56" s="213"/>
      <c r="FH56" s="213"/>
      <c r="FI56" s="213"/>
      <c r="FJ56" s="208"/>
      <c r="FK56" s="217"/>
      <c r="FL56" s="217"/>
      <c r="FM56" s="217"/>
      <c r="FN56" s="211"/>
      <c r="FO56" s="213"/>
      <c r="FP56" s="213"/>
      <c r="FQ56" s="213"/>
      <c r="FR56" s="208"/>
      <c r="FS56" s="217"/>
      <c r="FT56" s="217"/>
      <c r="FU56" s="217"/>
      <c r="FV56" s="211"/>
      <c r="FW56" s="213"/>
      <c r="FX56" s="213"/>
      <c r="FY56" s="213"/>
      <c r="FZ56" s="208"/>
      <c r="GA56" s="217"/>
      <c r="GB56" s="217"/>
      <c r="GC56" s="217"/>
      <c r="GD56" s="211"/>
      <c r="GE56" s="213"/>
      <c r="GF56" s="213"/>
      <c r="GG56" s="213"/>
      <c r="GH56" s="208"/>
      <c r="GI56" s="217"/>
      <c r="GJ56" s="217"/>
      <c r="GK56" s="217"/>
      <c r="GL56" s="211"/>
      <c r="GM56" s="213"/>
      <c r="GN56" s="213"/>
      <c r="GO56" s="213"/>
      <c r="GP56" s="208"/>
      <c r="GQ56" s="217"/>
      <c r="GR56" s="217"/>
      <c r="GS56" s="217"/>
    </row>
    <row r="57" spans="2:201" s="218" customFormat="1" ht="205" customHeight="1" x14ac:dyDescent="0.35">
      <c r="B57" s="245">
        <v>48</v>
      </c>
      <c r="C57" s="194"/>
      <c r="D57" s="195"/>
      <c r="E57" s="246"/>
      <c r="F57" s="246"/>
      <c r="G57" s="196"/>
      <c r="H57" s="224"/>
      <c r="I57" s="198"/>
      <c r="J57" s="199"/>
      <c r="K57" s="200"/>
      <c r="L57" s="201"/>
      <c r="M57" s="201"/>
      <c r="N57" s="202"/>
      <c r="O57" s="203">
        <f ca="1">IF(N57="Aprobado con comentarios / Emitir Rev.c",TODAY()-M57,0)</f>
        <v>0</v>
      </c>
      <c r="P57" s="203">
        <f t="shared" ca="1" si="5"/>
        <v>0</v>
      </c>
      <c r="Q57" s="204">
        <f t="shared" si="4"/>
        <v>0</v>
      </c>
      <c r="R57" s="205"/>
      <c r="S57" s="206"/>
      <c r="T57" s="206"/>
      <c r="U57" s="207"/>
      <c r="V57" s="208"/>
      <c r="W57" s="209"/>
      <c r="X57" s="210"/>
      <c r="Y57" s="209"/>
      <c r="Z57" s="211"/>
      <c r="AA57" s="212"/>
      <c r="AB57" s="213"/>
      <c r="AC57" s="214"/>
      <c r="AD57" s="208"/>
      <c r="AE57" s="209"/>
      <c r="AF57" s="210"/>
      <c r="AG57" s="209"/>
      <c r="AH57" s="211"/>
      <c r="AI57" s="212"/>
      <c r="AJ57" s="213"/>
      <c r="AK57" s="214"/>
      <c r="AL57" s="215"/>
      <c r="AM57" s="209"/>
      <c r="AN57" s="210"/>
      <c r="AO57" s="209"/>
      <c r="AP57" s="216"/>
      <c r="AQ57" s="212"/>
      <c r="AR57" s="213"/>
      <c r="AS57" s="214"/>
      <c r="AT57" s="208"/>
      <c r="AU57" s="209"/>
      <c r="AV57" s="210"/>
      <c r="AW57" s="217"/>
      <c r="AX57" s="211"/>
      <c r="AY57" s="213"/>
      <c r="AZ57" s="213"/>
      <c r="BA57" s="213"/>
      <c r="BB57" s="208"/>
      <c r="BC57" s="217"/>
      <c r="BD57" s="210"/>
      <c r="BE57" s="217"/>
      <c r="BF57" s="211"/>
      <c r="BG57" s="213"/>
      <c r="BH57" s="213"/>
      <c r="BI57" s="213"/>
      <c r="BJ57" s="208"/>
      <c r="BK57" s="217"/>
      <c r="BL57" s="210"/>
      <c r="BM57" s="217"/>
      <c r="BN57" s="211"/>
      <c r="BO57" s="213"/>
      <c r="BP57" s="213"/>
      <c r="BQ57" s="213"/>
      <c r="BR57" s="208"/>
      <c r="BS57" s="217"/>
      <c r="BT57" s="210"/>
      <c r="BU57" s="217"/>
      <c r="BV57" s="211"/>
      <c r="BW57" s="213"/>
      <c r="BX57" s="213"/>
      <c r="BY57" s="213"/>
      <c r="BZ57" s="208"/>
      <c r="CA57" s="217"/>
      <c r="CB57" s="217"/>
      <c r="CC57" s="217"/>
      <c r="CD57" s="211"/>
      <c r="CE57" s="213"/>
      <c r="CF57" s="213"/>
      <c r="CG57" s="213"/>
      <c r="CH57" s="208"/>
      <c r="CI57" s="217"/>
      <c r="CJ57" s="217"/>
      <c r="CK57" s="217"/>
      <c r="CL57" s="211"/>
      <c r="CM57" s="213"/>
      <c r="CN57" s="213"/>
      <c r="CO57" s="213"/>
      <c r="CP57" s="208"/>
      <c r="CQ57" s="217"/>
      <c r="CR57" s="217"/>
      <c r="CS57" s="217"/>
      <c r="CT57" s="211"/>
      <c r="CU57" s="213"/>
      <c r="CV57" s="213"/>
      <c r="CW57" s="213"/>
      <c r="CX57" s="208"/>
      <c r="CY57" s="217"/>
      <c r="CZ57" s="217"/>
      <c r="DA57" s="217"/>
      <c r="DB57" s="211"/>
      <c r="DC57" s="213"/>
      <c r="DD57" s="213"/>
      <c r="DE57" s="213"/>
      <c r="DF57" s="208"/>
      <c r="DG57" s="217"/>
      <c r="DH57" s="217"/>
      <c r="DI57" s="217"/>
      <c r="DJ57" s="211"/>
      <c r="DK57" s="213"/>
      <c r="DL57" s="213"/>
      <c r="DM57" s="213"/>
      <c r="DN57" s="208"/>
      <c r="DO57" s="217"/>
      <c r="DP57" s="217"/>
      <c r="DQ57" s="217"/>
      <c r="DR57" s="211"/>
      <c r="DS57" s="213"/>
      <c r="DT57" s="213"/>
      <c r="DU57" s="213"/>
      <c r="DV57" s="208"/>
      <c r="DW57" s="217"/>
      <c r="DX57" s="217"/>
      <c r="DY57" s="217"/>
      <c r="DZ57" s="211"/>
      <c r="EA57" s="213"/>
      <c r="EB57" s="213"/>
      <c r="EC57" s="213"/>
      <c r="ED57" s="208"/>
      <c r="EE57" s="217"/>
      <c r="EF57" s="217"/>
      <c r="EG57" s="217"/>
      <c r="EH57" s="211"/>
      <c r="EI57" s="213"/>
      <c r="EJ57" s="213"/>
      <c r="EK57" s="213"/>
      <c r="EL57" s="208"/>
      <c r="EM57" s="217"/>
      <c r="EN57" s="217"/>
      <c r="EO57" s="217"/>
      <c r="EP57" s="211"/>
      <c r="EQ57" s="213"/>
      <c r="ER57" s="213"/>
      <c r="ES57" s="213"/>
      <c r="ET57" s="208"/>
      <c r="EU57" s="217"/>
      <c r="EV57" s="217"/>
      <c r="EW57" s="217"/>
      <c r="EX57" s="211"/>
      <c r="EY57" s="213"/>
      <c r="EZ57" s="213"/>
      <c r="FA57" s="213"/>
      <c r="FB57" s="208"/>
      <c r="FC57" s="217"/>
      <c r="FD57" s="217"/>
      <c r="FE57" s="217"/>
      <c r="FF57" s="211"/>
      <c r="FG57" s="213"/>
      <c r="FH57" s="213"/>
      <c r="FI57" s="213"/>
      <c r="FJ57" s="208"/>
      <c r="FK57" s="217"/>
      <c r="FL57" s="217"/>
      <c r="FM57" s="217"/>
      <c r="FN57" s="211"/>
      <c r="FO57" s="213"/>
      <c r="FP57" s="213"/>
      <c r="FQ57" s="213"/>
      <c r="FR57" s="208"/>
      <c r="FS57" s="217"/>
      <c r="FT57" s="217"/>
      <c r="FU57" s="217"/>
      <c r="FV57" s="211"/>
      <c r="FW57" s="213"/>
      <c r="FX57" s="213"/>
      <c r="FY57" s="213"/>
      <c r="FZ57" s="208"/>
      <c r="GA57" s="217"/>
      <c r="GB57" s="217"/>
      <c r="GC57" s="217"/>
      <c r="GD57" s="211"/>
      <c r="GE57" s="213"/>
      <c r="GF57" s="213"/>
      <c r="GG57" s="213"/>
      <c r="GH57" s="208"/>
      <c r="GI57" s="217"/>
      <c r="GJ57" s="217"/>
      <c r="GK57" s="217"/>
      <c r="GL57" s="211"/>
      <c r="GM57" s="213"/>
      <c r="GN57" s="213"/>
      <c r="GO57" s="213"/>
      <c r="GP57" s="208"/>
      <c r="GQ57" s="217"/>
      <c r="GR57" s="217"/>
      <c r="GS57" s="217"/>
    </row>
    <row r="58" spans="2:201" s="218" customFormat="1" ht="205" customHeight="1" x14ac:dyDescent="0.35">
      <c r="B58" s="245">
        <v>49</v>
      </c>
      <c r="C58" s="195"/>
      <c r="D58" s="195"/>
      <c r="E58" s="246"/>
      <c r="F58" s="246"/>
      <c r="G58" s="196"/>
      <c r="H58" s="228"/>
      <c r="I58" s="198"/>
      <c r="J58" s="199"/>
      <c r="K58" s="200"/>
      <c r="L58" s="201"/>
      <c r="M58" s="201"/>
      <c r="N58" s="202"/>
      <c r="O58" s="203">
        <f ca="1">IF(N58="Aprobado con comentarios / Emitir Rev.0",TODAY()-M58,0)</f>
        <v>0</v>
      </c>
      <c r="P58" s="203">
        <f t="shared" ca="1" si="5"/>
        <v>0</v>
      </c>
      <c r="Q58" s="204">
        <f t="shared" si="4"/>
        <v>0</v>
      </c>
      <c r="R58" s="205"/>
      <c r="S58" s="206"/>
      <c r="T58" s="206"/>
      <c r="U58" s="207"/>
      <c r="V58" s="208"/>
      <c r="W58" s="209"/>
      <c r="X58" s="210"/>
      <c r="Y58" s="209"/>
      <c r="Z58" s="211"/>
      <c r="AA58" s="212"/>
      <c r="AB58" s="213"/>
      <c r="AC58" s="214"/>
      <c r="AD58" s="208"/>
      <c r="AE58" s="209"/>
      <c r="AF58" s="210"/>
      <c r="AG58" s="209"/>
      <c r="AH58" s="211"/>
      <c r="AI58" s="212"/>
      <c r="AJ58" s="213"/>
      <c r="AK58" s="214"/>
      <c r="AL58" s="215"/>
      <c r="AM58" s="209"/>
      <c r="AN58" s="210"/>
      <c r="AO58" s="209"/>
      <c r="AP58" s="216"/>
      <c r="AQ58" s="212"/>
      <c r="AR58" s="212"/>
      <c r="AS58" s="214"/>
      <c r="AT58" s="208"/>
      <c r="AU58" s="209"/>
      <c r="AV58" s="210"/>
      <c r="AW58" s="217"/>
      <c r="AX58" s="211"/>
      <c r="AY58" s="213"/>
      <c r="AZ58" s="213"/>
      <c r="BA58" s="213"/>
      <c r="BB58" s="208"/>
      <c r="BC58" s="217"/>
      <c r="BD58" s="210"/>
      <c r="BE58" s="217"/>
      <c r="BF58" s="211"/>
      <c r="BG58" s="213"/>
      <c r="BH58" s="213"/>
      <c r="BI58" s="213"/>
      <c r="BJ58" s="208"/>
      <c r="BK58" s="217"/>
      <c r="BL58" s="210"/>
      <c r="BM58" s="217"/>
      <c r="BN58" s="211"/>
      <c r="BO58" s="213"/>
      <c r="BP58" s="213"/>
      <c r="BQ58" s="213"/>
      <c r="BR58" s="208"/>
      <c r="BS58" s="217"/>
      <c r="BT58" s="210"/>
      <c r="BU58" s="217"/>
      <c r="BV58" s="211"/>
      <c r="BW58" s="213"/>
      <c r="BX58" s="213"/>
      <c r="BY58" s="213"/>
      <c r="BZ58" s="208"/>
      <c r="CA58" s="217"/>
      <c r="CB58" s="217"/>
      <c r="CC58" s="217"/>
      <c r="CD58" s="211"/>
      <c r="CE58" s="213"/>
      <c r="CF58" s="213"/>
      <c r="CG58" s="213"/>
      <c r="CH58" s="208"/>
      <c r="CI58" s="217"/>
      <c r="CJ58" s="217"/>
      <c r="CK58" s="217"/>
      <c r="CL58" s="211"/>
      <c r="CM58" s="213"/>
      <c r="CN58" s="213"/>
      <c r="CO58" s="213"/>
      <c r="CP58" s="208"/>
      <c r="CQ58" s="217"/>
      <c r="CR58" s="217"/>
      <c r="CS58" s="217"/>
      <c r="CT58" s="211"/>
      <c r="CU58" s="213"/>
      <c r="CV58" s="213"/>
      <c r="CW58" s="213"/>
      <c r="CX58" s="208"/>
      <c r="CY58" s="217"/>
      <c r="CZ58" s="217"/>
      <c r="DA58" s="217"/>
      <c r="DB58" s="211"/>
      <c r="DC58" s="213"/>
      <c r="DD58" s="213"/>
      <c r="DE58" s="213"/>
      <c r="DF58" s="208"/>
      <c r="DG58" s="217"/>
      <c r="DH58" s="217"/>
      <c r="DI58" s="217"/>
      <c r="DJ58" s="211"/>
      <c r="DK58" s="213"/>
      <c r="DL58" s="213"/>
      <c r="DM58" s="213"/>
      <c r="DN58" s="208"/>
      <c r="DO58" s="217"/>
      <c r="DP58" s="217"/>
      <c r="DQ58" s="217"/>
      <c r="DR58" s="211"/>
      <c r="DS58" s="213"/>
      <c r="DT58" s="213"/>
      <c r="DU58" s="213"/>
      <c r="DV58" s="208"/>
      <c r="DW58" s="217"/>
      <c r="DX58" s="217"/>
      <c r="DY58" s="217"/>
      <c r="DZ58" s="211"/>
      <c r="EA58" s="213"/>
      <c r="EB58" s="213"/>
      <c r="EC58" s="213"/>
      <c r="ED58" s="208"/>
      <c r="EE58" s="217"/>
      <c r="EF58" s="217"/>
      <c r="EG58" s="217"/>
      <c r="EH58" s="211"/>
      <c r="EI58" s="213"/>
      <c r="EJ58" s="213"/>
      <c r="EK58" s="213"/>
      <c r="EL58" s="208"/>
      <c r="EM58" s="217"/>
      <c r="EN58" s="217"/>
      <c r="EO58" s="217"/>
      <c r="EP58" s="211"/>
      <c r="EQ58" s="213"/>
      <c r="ER58" s="213"/>
      <c r="ES58" s="213"/>
      <c r="ET58" s="208"/>
      <c r="EU58" s="217"/>
      <c r="EV58" s="217"/>
      <c r="EW58" s="217"/>
      <c r="EX58" s="211"/>
      <c r="EY58" s="213"/>
      <c r="EZ58" s="213"/>
      <c r="FA58" s="213"/>
      <c r="FB58" s="208"/>
      <c r="FC58" s="217"/>
      <c r="FD58" s="217"/>
      <c r="FE58" s="217"/>
      <c r="FF58" s="211"/>
      <c r="FG58" s="213"/>
      <c r="FH58" s="213"/>
      <c r="FI58" s="213"/>
      <c r="FJ58" s="208"/>
      <c r="FK58" s="217"/>
      <c r="FL58" s="217"/>
      <c r="FM58" s="217"/>
      <c r="FN58" s="211"/>
      <c r="FO58" s="213"/>
      <c r="FP58" s="213"/>
      <c r="FQ58" s="213"/>
      <c r="FR58" s="208"/>
      <c r="FS58" s="217"/>
      <c r="FT58" s="217"/>
      <c r="FU58" s="217"/>
      <c r="FV58" s="211"/>
      <c r="FW58" s="213"/>
      <c r="FX58" s="213"/>
      <c r="FY58" s="213"/>
      <c r="FZ58" s="208"/>
      <c r="GA58" s="217"/>
      <c r="GB58" s="217"/>
      <c r="GC58" s="217"/>
      <c r="GD58" s="211"/>
      <c r="GE58" s="213"/>
      <c r="GF58" s="213"/>
      <c r="GG58" s="213"/>
      <c r="GH58" s="208"/>
      <c r="GI58" s="217"/>
      <c r="GJ58" s="217"/>
      <c r="GK58" s="217"/>
      <c r="GL58" s="211"/>
      <c r="GM58" s="213"/>
      <c r="GN58" s="213"/>
      <c r="GO58" s="213"/>
      <c r="GP58" s="208"/>
      <c r="GQ58" s="217"/>
      <c r="GR58" s="217"/>
      <c r="GS58" s="217"/>
    </row>
    <row r="59" spans="2:201" s="218" customFormat="1" ht="205" customHeight="1" x14ac:dyDescent="0.35">
      <c r="B59" s="245">
        <v>50</v>
      </c>
      <c r="C59" s="195"/>
      <c r="D59" s="195"/>
      <c r="E59" s="246"/>
      <c r="F59" s="246"/>
      <c r="G59" s="196"/>
      <c r="H59" s="228"/>
      <c r="I59" s="198"/>
      <c r="J59" s="199"/>
      <c r="K59" s="200"/>
      <c r="L59" s="201"/>
      <c r="M59" s="201"/>
      <c r="N59" s="202"/>
      <c r="O59" s="203">
        <f ca="1">IF(N59="Rechazado / Reemitir Rev.0",TODAY()-M59,0)</f>
        <v>0</v>
      </c>
      <c r="P59" s="203">
        <f t="shared" ca="1" si="5"/>
        <v>0</v>
      </c>
      <c r="Q59" s="204">
        <f t="shared" si="4"/>
        <v>0</v>
      </c>
      <c r="R59" s="205"/>
      <c r="S59" s="206"/>
      <c r="T59" s="206"/>
      <c r="U59" s="207"/>
      <c r="V59" s="208"/>
      <c r="W59" s="209"/>
      <c r="X59" s="210"/>
      <c r="Y59" s="209"/>
      <c r="Z59" s="211"/>
      <c r="AA59" s="212"/>
      <c r="AB59" s="213"/>
      <c r="AC59" s="214"/>
      <c r="AD59" s="215"/>
      <c r="AE59" s="209"/>
      <c r="AF59" s="210"/>
      <c r="AG59" s="209"/>
      <c r="AH59" s="211"/>
      <c r="AI59" s="212"/>
      <c r="AJ59" s="213"/>
      <c r="AK59" s="214"/>
      <c r="AL59" s="208"/>
      <c r="AM59" s="209"/>
      <c r="AN59" s="210"/>
      <c r="AO59" s="209"/>
      <c r="AP59" s="216"/>
      <c r="AQ59" s="213"/>
      <c r="AR59" s="213"/>
      <c r="AS59" s="214"/>
      <c r="AT59" s="215"/>
      <c r="AU59" s="209"/>
      <c r="AV59" s="210"/>
      <c r="AW59" s="209"/>
      <c r="AX59" s="211"/>
      <c r="AY59" s="213"/>
      <c r="AZ59" s="213"/>
      <c r="BA59" s="214"/>
      <c r="BB59" s="208"/>
      <c r="BC59" s="209"/>
      <c r="BD59" s="210"/>
      <c r="BE59" s="217"/>
      <c r="BF59" s="211"/>
      <c r="BG59" s="213"/>
      <c r="BH59" s="213"/>
      <c r="BI59" s="213"/>
      <c r="BJ59" s="208"/>
      <c r="BK59" s="217"/>
      <c r="BL59" s="210"/>
      <c r="BM59" s="217"/>
      <c r="BN59" s="211"/>
      <c r="BO59" s="213"/>
      <c r="BP59" s="213"/>
      <c r="BQ59" s="213"/>
      <c r="BR59" s="208"/>
      <c r="BS59" s="217"/>
      <c r="BT59" s="210"/>
      <c r="BU59" s="217"/>
      <c r="BV59" s="211"/>
      <c r="BW59" s="213"/>
      <c r="BX59" s="213"/>
      <c r="BY59" s="213"/>
      <c r="BZ59" s="208"/>
      <c r="CA59" s="217"/>
      <c r="CB59" s="217"/>
      <c r="CC59" s="217"/>
      <c r="CD59" s="211"/>
      <c r="CE59" s="213"/>
      <c r="CF59" s="213"/>
      <c r="CG59" s="213"/>
      <c r="CH59" s="208"/>
      <c r="CI59" s="217"/>
      <c r="CJ59" s="217"/>
      <c r="CK59" s="217"/>
      <c r="CL59" s="211"/>
      <c r="CM59" s="213"/>
      <c r="CN59" s="213"/>
      <c r="CO59" s="213"/>
      <c r="CP59" s="208"/>
      <c r="CQ59" s="217"/>
      <c r="CR59" s="217"/>
      <c r="CS59" s="217"/>
      <c r="CT59" s="211"/>
      <c r="CU59" s="213"/>
      <c r="CV59" s="213"/>
      <c r="CW59" s="213"/>
      <c r="CX59" s="208"/>
      <c r="CY59" s="217"/>
      <c r="CZ59" s="217"/>
      <c r="DA59" s="217"/>
      <c r="DB59" s="211"/>
      <c r="DC59" s="213"/>
      <c r="DD59" s="213"/>
      <c r="DE59" s="213"/>
      <c r="DF59" s="208"/>
      <c r="DG59" s="217"/>
      <c r="DH59" s="217"/>
      <c r="DI59" s="217"/>
      <c r="DJ59" s="211"/>
      <c r="DK59" s="213"/>
      <c r="DL59" s="213"/>
      <c r="DM59" s="213"/>
      <c r="DN59" s="208"/>
      <c r="DO59" s="217"/>
      <c r="DP59" s="217"/>
      <c r="DQ59" s="217"/>
      <c r="DR59" s="211"/>
      <c r="DS59" s="213"/>
      <c r="DT59" s="213"/>
      <c r="DU59" s="213"/>
      <c r="DV59" s="208"/>
      <c r="DW59" s="217"/>
      <c r="DX59" s="217"/>
      <c r="DY59" s="217"/>
      <c r="DZ59" s="211"/>
      <c r="EA59" s="213"/>
      <c r="EB59" s="213"/>
      <c r="EC59" s="213"/>
      <c r="ED59" s="208"/>
      <c r="EE59" s="217"/>
      <c r="EF59" s="217"/>
      <c r="EG59" s="217"/>
      <c r="EH59" s="211"/>
      <c r="EI59" s="213"/>
      <c r="EJ59" s="213"/>
      <c r="EK59" s="213"/>
      <c r="EL59" s="208"/>
      <c r="EM59" s="217"/>
      <c r="EN59" s="217"/>
      <c r="EO59" s="217"/>
      <c r="EP59" s="211"/>
      <c r="EQ59" s="213"/>
      <c r="ER59" s="213"/>
      <c r="ES59" s="213"/>
      <c r="ET59" s="208"/>
      <c r="EU59" s="217"/>
      <c r="EV59" s="217"/>
      <c r="EW59" s="217"/>
      <c r="EX59" s="211"/>
      <c r="EY59" s="213"/>
      <c r="EZ59" s="213"/>
      <c r="FA59" s="213"/>
      <c r="FB59" s="208"/>
      <c r="FC59" s="217"/>
      <c r="FD59" s="217"/>
      <c r="FE59" s="217"/>
      <c r="FF59" s="211"/>
      <c r="FG59" s="213"/>
      <c r="FH59" s="213"/>
      <c r="FI59" s="213"/>
      <c r="FJ59" s="208"/>
      <c r="FK59" s="217"/>
      <c r="FL59" s="217"/>
      <c r="FM59" s="217"/>
      <c r="FN59" s="211"/>
      <c r="FO59" s="213"/>
      <c r="FP59" s="213"/>
      <c r="FQ59" s="213"/>
      <c r="FR59" s="208"/>
      <c r="FS59" s="217"/>
      <c r="FT59" s="217"/>
      <c r="FU59" s="217"/>
      <c r="FV59" s="211"/>
      <c r="FW59" s="213"/>
      <c r="FX59" s="213"/>
      <c r="FY59" s="213"/>
      <c r="FZ59" s="208"/>
      <c r="GA59" s="217"/>
      <c r="GB59" s="217"/>
      <c r="GC59" s="217"/>
      <c r="GD59" s="211"/>
      <c r="GE59" s="213"/>
      <c r="GF59" s="213"/>
      <c r="GG59" s="213"/>
      <c r="GH59" s="208"/>
      <c r="GI59" s="217"/>
      <c r="GJ59" s="217"/>
      <c r="GK59" s="217"/>
      <c r="GL59" s="211"/>
      <c r="GM59" s="213"/>
      <c r="GN59" s="213"/>
      <c r="GO59" s="213"/>
      <c r="GP59" s="208"/>
      <c r="GQ59" s="217"/>
      <c r="GR59" s="217"/>
      <c r="GS59" s="217"/>
    </row>
    <row r="60" spans="2:201" s="218" customFormat="1" ht="205" customHeight="1" x14ac:dyDescent="0.35">
      <c r="B60" s="245">
        <v>51</v>
      </c>
      <c r="C60" s="195"/>
      <c r="D60" s="195"/>
      <c r="E60" s="195"/>
      <c r="F60" s="195"/>
      <c r="G60" s="196"/>
      <c r="H60" s="220"/>
      <c r="I60" s="198"/>
      <c r="J60" s="199"/>
      <c r="K60" s="200"/>
      <c r="L60" s="201"/>
      <c r="M60" s="201"/>
      <c r="N60" s="202"/>
      <c r="O60" s="203">
        <f ca="1">IF(N60="Aprobado con comentarios / Emitir Rev.0",TODAY()-M60,0)</f>
        <v>0</v>
      </c>
      <c r="P60" s="203">
        <f t="shared" ca="1" si="5"/>
        <v>0</v>
      </c>
      <c r="Q60" s="204">
        <f t="shared" si="4"/>
        <v>0</v>
      </c>
      <c r="R60" s="205"/>
      <c r="S60" s="206"/>
      <c r="T60" s="206"/>
      <c r="U60" s="207"/>
      <c r="V60" s="208"/>
      <c r="W60" s="209"/>
      <c r="X60" s="210"/>
      <c r="Y60" s="209"/>
      <c r="Z60" s="211"/>
      <c r="AA60" s="212"/>
      <c r="AB60" s="213"/>
      <c r="AC60" s="214"/>
      <c r="AD60" s="208"/>
      <c r="AE60" s="209"/>
      <c r="AF60" s="210"/>
      <c r="AG60" s="209"/>
      <c r="AH60" s="211"/>
      <c r="AI60" s="212"/>
      <c r="AJ60" s="213"/>
      <c r="AK60" s="214"/>
      <c r="AL60" s="215"/>
      <c r="AM60" s="209"/>
      <c r="AN60" s="210"/>
      <c r="AO60" s="209"/>
      <c r="AP60" s="216"/>
      <c r="AQ60" s="212"/>
      <c r="AR60" s="213"/>
      <c r="AS60" s="214"/>
      <c r="AT60" s="208"/>
      <c r="AU60" s="209"/>
      <c r="AV60" s="210"/>
      <c r="AW60" s="210"/>
      <c r="AX60" s="211"/>
      <c r="AY60" s="213"/>
      <c r="AZ60" s="213"/>
      <c r="BA60" s="213"/>
      <c r="BB60" s="208"/>
      <c r="BC60" s="217"/>
      <c r="BD60" s="210"/>
      <c r="BE60" s="217"/>
      <c r="BF60" s="211"/>
      <c r="BG60" s="213"/>
      <c r="BH60" s="213"/>
      <c r="BI60" s="213"/>
      <c r="BJ60" s="208"/>
      <c r="BK60" s="217"/>
      <c r="BL60" s="210"/>
      <c r="BM60" s="217"/>
      <c r="BN60" s="211"/>
      <c r="BO60" s="213"/>
      <c r="BP60" s="213"/>
      <c r="BQ60" s="213"/>
      <c r="BR60" s="208"/>
      <c r="BS60" s="217"/>
      <c r="BT60" s="210"/>
      <c r="BU60" s="217"/>
      <c r="BV60" s="211"/>
      <c r="BW60" s="213"/>
      <c r="BX60" s="213"/>
      <c r="BY60" s="213"/>
      <c r="BZ60" s="208"/>
      <c r="CA60" s="217"/>
      <c r="CB60" s="217"/>
      <c r="CC60" s="217"/>
      <c r="CD60" s="211"/>
      <c r="CE60" s="213"/>
      <c r="CF60" s="213"/>
      <c r="CG60" s="213"/>
      <c r="CH60" s="208"/>
      <c r="CI60" s="217"/>
      <c r="CJ60" s="217"/>
      <c r="CK60" s="217"/>
      <c r="CL60" s="211"/>
      <c r="CM60" s="213"/>
      <c r="CN60" s="213"/>
      <c r="CO60" s="213"/>
      <c r="CP60" s="208"/>
      <c r="CQ60" s="217"/>
      <c r="CR60" s="217"/>
      <c r="CS60" s="217"/>
      <c r="CT60" s="211"/>
      <c r="CU60" s="213"/>
      <c r="CV60" s="213"/>
      <c r="CW60" s="213"/>
      <c r="CX60" s="208"/>
      <c r="CY60" s="217"/>
      <c r="CZ60" s="217"/>
      <c r="DA60" s="217"/>
      <c r="DB60" s="211"/>
      <c r="DC60" s="213"/>
      <c r="DD60" s="213"/>
      <c r="DE60" s="213"/>
      <c r="DF60" s="208"/>
      <c r="DG60" s="217"/>
      <c r="DH60" s="217"/>
      <c r="DI60" s="217"/>
      <c r="DJ60" s="211"/>
      <c r="DK60" s="213"/>
      <c r="DL60" s="213"/>
      <c r="DM60" s="213"/>
      <c r="DN60" s="208"/>
      <c r="DO60" s="217"/>
      <c r="DP60" s="217"/>
      <c r="DQ60" s="217"/>
      <c r="DR60" s="211"/>
      <c r="DS60" s="213"/>
      <c r="DT60" s="213"/>
      <c r="DU60" s="213"/>
      <c r="DV60" s="208"/>
      <c r="DW60" s="217"/>
      <c r="DX60" s="217"/>
      <c r="DY60" s="217"/>
      <c r="DZ60" s="211"/>
      <c r="EA60" s="213"/>
      <c r="EB60" s="213"/>
      <c r="EC60" s="213"/>
      <c r="ED60" s="208"/>
      <c r="EE60" s="217"/>
      <c r="EF60" s="217"/>
      <c r="EG60" s="217"/>
      <c r="EH60" s="211"/>
      <c r="EI60" s="213"/>
      <c r="EJ60" s="213"/>
      <c r="EK60" s="213"/>
      <c r="EL60" s="208"/>
      <c r="EM60" s="217"/>
      <c r="EN60" s="217"/>
      <c r="EO60" s="217"/>
      <c r="EP60" s="211"/>
      <c r="EQ60" s="213"/>
      <c r="ER60" s="213"/>
      <c r="ES60" s="213"/>
      <c r="ET60" s="208"/>
      <c r="EU60" s="217"/>
      <c r="EV60" s="217"/>
      <c r="EW60" s="217"/>
      <c r="EX60" s="211"/>
      <c r="EY60" s="213"/>
      <c r="EZ60" s="213"/>
      <c r="FA60" s="213"/>
      <c r="FB60" s="208"/>
      <c r="FC60" s="217"/>
      <c r="FD60" s="217"/>
      <c r="FE60" s="217"/>
      <c r="FF60" s="211"/>
      <c r="FG60" s="213"/>
      <c r="FH60" s="213"/>
      <c r="FI60" s="213"/>
      <c r="FJ60" s="208"/>
      <c r="FK60" s="217"/>
      <c r="FL60" s="217"/>
      <c r="FM60" s="217"/>
      <c r="FN60" s="211"/>
      <c r="FO60" s="213"/>
      <c r="FP60" s="213"/>
      <c r="FQ60" s="213"/>
      <c r="FR60" s="208"/>
      <c r="FS60" s="217"/>
      <c r="FT60" s="217"/>
      <c r="FU60" s="217"/>
      <c r="FV60" s="211"/>
      <c r="FW60" s="213"/>
      <c r="FX60" s="213"/>
      <c r="FY60" s="213"/>
      <c r="FZ60" s="208"/>
      <c r="GA60" s="217"/>
      <c r="GB60" s="217"/>
      <c r="GC60" s="217"/>
      <c r="GD60" s="211"/>
      <c r="GE60" s="213"/>
      <c r="GF60" s="213"/>
      <c r="GG60" s="213"/>
      <c r="GH60" s="208"/>
      <c r="GI60" s="217"/>
      <c r="GJ60" s="217"/>
      <c r="GK60" s="217"/>
      <c r="GL60" s="211"/>
      <c r="GM60" s="213"/>
      <c r="GN60" s="213"/>
      <c r="GO60" s="213"/>
      <c r="GP60" s="208"/>
      <c r="GQ60" s="217"/>
      <c r="GR60" s="217"/>
      <c r="GS60" s="217"/>
    </row>
    <row r="61" spans="2:201" s="218" customFormat="1" ht="205" customHeight="1" x14ac:dyDescent="0.35">
      <c r="B61" s="245">
        <v>52</v>
      </c>
      <c r="C61" s="195"/>
      <c r="D61" s="195"/>
      <c r="E61" s="195"/>
      <c r="F61" s="195"/>
      <c r="G61" s="196"/>
      <c r="H61" s="228"/>
      <c r="I61" s="198"/>
      <c r="J61" s="199"/>
      <c r="K61" s="200"/>
      <c r="L61" s="201"/>
      <c r="M61" s="201"/>
      <c r="N61" s="202"/>
      <c r="O61" s="203">
        <f ca="1">IF(N61="Rechazado / Reemitir Rev.0",TODAY()-M61,0)</f>
        <v>0</v>
      </c>
      <c r="P61" s="203">
        <f t="shared" ca="1" si="5"/>
        <v>0</v>
      </c>
      <c r="Q61" s="204">
        <f t="shared" si="4"/>
        <v>0</v>
      </c>
      <c r="R61" s="205"/>
      <c r="S61" s="206"/>
      <c r="T61" s="206"/>
      <c r="U61" s="207"/>
      <c r="V61" s="208"/>
      <c r="W61" s="209"/>
      <c r="X61" s="210"/>
      <c r="Y61" s="209"/>
      <c r="Z61" s="211"/>
      <c r="AA61" s="212"/>
      <c r="AB61" s="213"/>
      <c r="AC61" s="214"/>
      <c r="AD61" s="208"/>
      <c r="AE61" s="209"/>
      <c r="AF61" s="210"/>
      <c r="AG61" s="209"/>
      <c r="AH61" s="211"/>
      <c r="AI61" s="212"/>
      <c r="AJ61" s="213"/>
      <c r="AK61" s="214"/>
      <c r="AL61" s="208"/>
      <c r="AM61" s="209"/>
      <c r="AN61" s="210"/>
      <c r="AO61" s="209"/>
      <c r="AP61" s="216"/>
      <c r="AQ61" s="213"/>
      <c r="AR61" s="213"/>
      <c r="AS61" s="214"/>
      <c r="AT61" s="215"/>
      <c r="AU61" s="209"/>
      <c r="AV61" s="210"/>
      <c r="AW61" s="209"/>
      <c r="AX61" s="211"/>
      <c r="AY61" s="213"/>
      <c r="AZ61" s="213"/>
      <c r="BA61" s="213"/>
      <c r="BB61" s="208"/>
      <c r="BC61" s="209"/>
      <c r="BD61" s="210"/>
      <c r="BE61" s="217"/>
      <c r="BF61" s="211"/>
      <c r="BG61" s="213"/>
      <c r="BH61" s="213"/>
      <c r="BI61" s="213"/>
      <c r="BJ61" s="208"/>
      <c r="BK61" s="217"/>
      <c r="BL61" s="210"/>
      <c r="BM61" s="217"/>
      <c r="BN61" s="211"/>
      <c r="BO61" s="213"/>
      <c r="BP61" s="213"/>
      <c r="BQ61" s="213"/>
      <c r="BR61" s="208"/>
      <c r="BS61" s="217"/>
      <c r="BT61" s="210"/>
      <c r="BU61" s="217"/>
      <c r="BV61" s="211"/>
      <c r="BW61" s="213"/>
      <c r="BX61" s="213"/>
      <c r="BY61" s="213"/>
      <c r="BZ61" s="208"/>
      <c r="CA61" s="217"/>
      <c r="CB61" s="217"/>
      <c r="CC61" s="217"/>
      <c r="CD61" s="211"/>
      <c r="CE61" s="213"/>
      <c r="CF61" s="213"/>
      <c r="CG61" s="213"/>
      <c r="CH61" s="208"/>
      <c r="CI61" s="217"/>
      <c r="CJ61" s="217"/>
      <c r="CK61" s="217"/>
      <c r="CL61" s="211"/>
      <c r="CM61" s="213"/>
      <c r="CN61" s="213"/>
      <c r="CO61" s="213"/>
      <c r="CP61" s="208"/>
      <c r="CQ61" s="217"/>
      <c r="CR61" s="217"/>
      <c r="CS61" s="217"/>
      <c r="CT61" s="211"/>
      <c r="CU61" s="213"/>
      <c r="CV61" s="213"/>
      <c r="CW61" s="213"/>
      <c r="CX61" s="208"/>
      <c r="CY61" s="217"/>
      <c r="CZ61" s="217"/>
      <c r="DA61" s="217"/>
      <c r="DB61" s="211"/>
      <c r="DC61" s="213"/>
      <c r="DD61" s="213"/>
      <c r="DE61" s="213"/>
      <c r="DF61" s="208"/>
      <c r="DG61" s="217"/>
      <c r="DH61" s="217"/>
      <c r="DI61" s="217"/>
      <c r="DJ61" s="211"/>
      <c r="DK61" s="213"/>
      <c r="DL61" s="213"/>
      <c r="DM61" s="213"/>
      <c r="DN61" s="208"/>
      <c r="DO61" s="217"/>
      <c r="DP61" s="217"/>
      <c r="DQ61" s="217"/>
      <c r="DR61" s="211"/>
      <c r="DS61" s="213"/>
      <c r="DT61" s="213"/>
      <c r="DU61" s="213"/>
      <c r="DV61" s="208"/>
      <c r="DW61" s="217"/>
      <c r="DX61" s="217"/>
      <c r="DY61" s="217"/>
      <c r="DZ61" s="211"/>
      <c r="EA61" s="213"/>
      <c r="EB61" s="213"/>
      <c r="EC61" s="213"/>
      <c r="ED61" s="208"/>
      <c r="EE61" s="217"/>
      <c r="EF61" s="217"/>
      <c r="EG61" s="217"/>
      <c r="EH61" s="211"/>
      <c r="EI61" s="213"/>
      <c r="EJ61" s="213"/>
      <c r="EK61" s="213"/>
      <c r="EL61" s="208"/>
      <c r="EM61" s="217"/>
      <c r="EN61" s="217"/>
      <c r="EO61" s="217"/>
      <c r="EP61" s="211"/>
      <c r="EQ61" s="213"/>
      <c r="ER61" s="213"/>
      <c r="ES61" s="213"/>
      <c r="ET61" s="208"/>
      <c r="EU61" s="217"/>
      <c r="EV61" s="217"/>
      <c r="EW61" s="217"/>
      <c r="EX61" s="211"/>
      <c r="EY61" s="213"/>
      <c r="EZ61" s="213"/>
      <c r="FA61" s="213"/>
      <c r="FB61" s="208"/>
      <c r="FC61" s="217"/>
      <c r="FD61" s="217"/>
      <c r="FE61" s="217"/>
      <c r="FF61" s="211"/>
      <c r="FG61" s="213"/>
      <c r="FH61" s="213"/>
      <c r="FI61" s="213"/>
      <c r="FJ61" s="208"/>
      <c r="FK61" s="217"/>
      <c r="FL61" s="217"/>
      <c r="FM61" s="217"/>
      <c r="FN61" s="211"/>
      <c r="FO61" s="213"/>
      <c r="FP61" s="213"/>
      <c r="FQ61" s="213"/>
      <c r="FR61" s="208"/>
      <c r="FS61" s="217"/>
      <c r="FT61" s="217"/>
      <c r="FU61" s="217"/>
      <c r="FV61" s="211"/>
      <c r="FW61" s="213"/>
      <c r="FX61" s="213"/>
      <c r="FY61" s="213"/>
      <c r="FZ61" s="208"/>
      <c r="GA61" s="217"/>
      <c r="GB61" s="217"/>
      <c r="GC61" s="217"/>
      <c r="GD61" s="211"/>
      <c r="GE61" s="213"/>
      <c r="GF61" s="213"/>
      <c r="GG61" s="213"/>
      <c r="GH61" s="208"/>
      <c r="GI61" s="217"/>
      <c r="GJ61" s="217"/>
      <c r="GK61" s="217"/>
      <c r="GL61" s="211"/>
      <c r="GM61" s="213"/>
      <c r="GN61" s="213"/>
      <c r="GO61" s="213"/>
      <c r="GP61" s="208"/>
      <c r="GQ61" s="217"/>
      <c r="GR61" s="217"/>
      <c r="GS61" s="217"/>
    </row>
    <row r="62" spans="2:201" s="218" customFormat="1" ht="205" customHeight="1" x14ac:dyDescent="0.35">
      <c r="B62" s="245">
        <v>53</v>
      </c>
      <c r="C62" s="195"/>
      <c r="D62" s="195"/>
      <c r="E62" s="195"/>
      <c r="F62" s="195"/>
      <c r="G62" s="196"/>
      <c r="H62" s="220"/>
      <c r="I62" s="198"/>
      <c r="J62" s="199"/>
      <c r="K62" s="200"/>
      <c r="L62" s="201"/>
      <c r="M62" s="201"/>
      <c r="N62" s="202"/>
      <c r="O62" s="203">
        <f ca="1">IF(N62="Rechazado / Reemitir Rev.0",TODAY()-M62,0)</f>
        <v>0</v>
      </c>
      <c r="P62" s="203">
        <f t="shared" ca="1" si="5"/>
        <v>0</v>
      </c>
      <c r="Q62" s="204">
        <f t="shared" si="4"/>
        <v>0</v>
      </c>
      <c r="R62" s="205"/>
      <c r="S62" s="206"/>
      <c r="T62" s="206"/>
      <c r="U62" s="207"/>
      <c r="V62" s="208"/>
      <c r="W62" s="209"/>
      <c r="X62" s="210"/>
      <c r="Y62" s="209"/>
      <c r="Z62" s="211"/>
      <c r="AA62" s="212"/>
      <c r="AB62" s="213"/>
      <c r="AC62" s="214"/>
      <c r="AD62" s="208"/>
      <c r="AE62" s="209"/>
      <c r="AF62" s="210"/>
      <c r="AG62" s="209"/>
      <c r="AH62" s="211"/>
      <c r="AI62" s="212"/>
      <c r="AJ62" s="213"/>
      <c r="AK62" s="214"/>
      <c r="AL62" s="208"/>
      <c r="AM62" s="209"/>
      <c r="AN62" s="210"/>
      <c r="AO62" s="209"/>
      <c r="AP62" s="216"/>
      <c r="AQ62" s="213"/>
      <c r="AR62" s="213"/>
      <c r="AS62" s="214"/>
      <c r="AT62" s="215"/>
      <c r="AU62" s="209"/>
      <c r="AV62" s="210"/>
      <c r="AW62" s="209"/>
      <c r="AX62" s="211"/>
      <c r="AY62" s="213"/>
      <c r="AZ62" s="213"/>
      <c r="BA62" s="213"/>
      <c r="BB62" s="208"/>
      <c r="BC62" s="209"/>
      <c r="BD62" s="210"/>
      <c r="BE62" s="217"/>
      <c r="BF62" s="211"/>
      <c r="BG62" s="213"/>
      <c r="BH62" s="213"/>
      <c r="BI62" s="213"/>
      <c r="BJ62" s="208"/>
      <c r="BK62" s="217"/>
      <c r="BL62" s="210"/>
      <c r="BM62" s="217"/>
      <c r="BN62" s="211"/>
      <c r="BO62" s="213"/>
      <c r="BP62" s="213"/>
      <c r="BQ62" s="213"/>
      <c r="BR62" s="208"/>
      <c r="BS62" s="217"/>
      <c r="BT62" s="210"/>
      <c r="BU62" s="217"/>
      <c r="BV62" s="211"/>
      <c r="BW62" s="213"/>
      <c r="BX62" s="213"/>
      <c r="BY62" s="213"/>
      <c r="BZ62" s="208"/>
      <c r="CA62" s="217"/>
      <c r="CB62" s="217"/>
      <c r="CC62" s="217"/>
      <c r="CD62" s="211"/>
      <c r="CE62" s="213"/>
      <c r="CF62" s="213"/>
      <c r="CG62" s="213"/>
      <c r="CH62" s="208"/>
      <c r="CI62" s="217"/>
      <c r="CJ62" s="217"/>
      <c r="CK62" s="217"/>
      <c r="CL62" s="211"/>
      <c r="CM62" s="213"/>
      <c r="CN62" s="213"/>
      <c r="CO62" s="213"/>
      <c r="CP62" s="208"/>
      <c r="CQ62" s="217"/>
      <c r="CR62" s="217"/>
      <c r="CS62" s="217"/>
      <c r="CT62" s="211"/>
      <c r="CU62" s="213"/>
      <c r="CV62" s="213"/>
      <c r="CW62" s="213"/>
      <c r="CX62" s="208"/>
      <c r="CY62" s="217"/>
      <c r="CZ62" s="217"/>
      <c r="DA62" s="217"/>
      <c r="DB62" s="211"/>
      <c r="DC62" s="213"/>
      <c r="DD62" s="213"/>
      <c r="DE62" s="213"/>
      <c r="DF62" s="208"/>
      <c r="DG62" s="217"/>
      <c r="DH62" s="217"/>
      <c r="DI62" s="217"/>
      <c r="DJ62" s="211"/>
      <c r="DK62" s="213"/>
      <c r="DL62" s="213"/>
      <c r="DM62" s="213"/>
      <c r="DN62" s="208"/>
      <c r="DO62" s="217"/>
      <c r="DP62" s="217"/>
      <c r="DQ62" s="217"/>
      <c r="DR62" s="211"/>
      <c r="DS62" s="213"/>
      <c r="DT62" s="213"/>
      <c r="DU62" s="213"/>
      <c r="DV62" s="208"/>
      <c r="DW62" s="217"/>
      <c r="DX62" s="217"/>
      <c r="DY62" s="217"/>
      <c r="DZ62" s="211"/>
      <c r="EA62" s="213"/>
      <c r="EB62" s="213"/>
      <c r="EC62" s="213"/>
      <c r="ED62" s="208"/>
      <c r="EE62" s="217"/>
      <c r="EF62" s="217"/>
      <c r="EG62" s="217"/>
      <c r="EH62" s="211"/>
      <c r="EI62" s="213"/>
      <c r="EJ62" s="213"/>
      <c r="EK62" s="213"/>
      <c r="EL62" s="208"/>
      <c r="EM62" s="217"/>
      <c r="EN62" s="217"/>
      <c r="EO62" s="217"/>
      <c r="EP62" s="211"/>
      <c r="EQ62" s="213"/>
      <c r="ER62" s="213"/>
      <c r="ES62" s="213"/>
      <c r="ET62" s="208"/>
      <c r="EU62" s="217"/>
      <c r="EV62" s="217"/>
      <c r="EW62" s="217"/>
      <c r="EX62" s="211"/>
      <c r="EY62" s="213"/>
      <c r="EZ62" s="213"/>
      <c r="FA62" s="213"/>
      <c r="FB62" s="208"/>
      <c r="FC62" s="217"/>
      <c r="FD62" s="217"/>
      <c r="FE62" s="217"/>
      <c r="FF62" s="211"/>
      <c r="FG62" s="213"/>
      <c r="FH62" s="213"/>
      <c r="FI62" s="213"/>
      <c r="FJ62" s="208"/>
      <c r="FK62" s="217"/>
      <c r="FL62" s="217"/>
      <c r="FM62" s="217"/>
      <c r="FN62" s="211"/>
      <c r="FO62" s="213"/>
      <c r="FP62" s="213"/>
      <c r="FQ62" s="213"/>
      <c r="FR62" s="208"/>
      <c r="FS62" s="217"/>
      <c r="FT62" s="217"/>
      <c r="FU62" s="217"/>
      <c r="FV62" s="211"/>
      <c r="FW62" s="213"/>
      <c r="FX62" s="213"/>
      <c r="FY62" s="213"/>
      <c r="FZ62" s="208"/>
      <c r="GA62" s="217"/>
      <c r="GB62" s="217"/>
      <c r="GC62" s="217"/>
      <c r="GD62" s="211"/>
      <c r="GE62" s="213"/>
      <c r="GF62" s="213"/>
      <c r="GG62" s="213"/>
      <c r="GH62" s="208"/>
      <c r="GI62" s="217"/>
      <c r="GJ62" s="217"/>
      <c r="GK62" s="217"/>
      <c r="GL62" s="211"/>
      <c r="GM62" s="213"/>
      <c r="GN62" s="213"/>
      <c r="GO62" s="213"/>
      <c r="GP62" s="208"/>
      <c r="GQ62" s="217"/>
      <c r="GR62" s="217"/>
      <c r="GS62" s="217"/>
    </row>
    <row r="63" spans="2:201" s="218" customFormat="1" ht="205" customHeight="1" x14ac:dyDescent="0.35">
      <c r="B63" s="245">
        <v>54</v>
      </c>
      <c r="C63" s="195"/>
      <c r="D63" s="195"/>
      <c r="E63" s="195"/>
      <c r="F63" s="195"/>
      <c r="G63" s="196"/>
      <c r="H63" s="220"/>
      <c r="I63" s="198"/>
      <c r="J63" s="199"/>
      <c r="K63" s="200"/>
      <c r="L63" s="201"/>
      <c r="M63" s="201"/>
      <c r="N63" s="202"/>
      <c r="O63" s="203">
        <f ca="1">IF(N63="Aprobado con comentarios / Emitir Rev.0",TODAY()-M63,0)</f>
        <v>0</v>
      </c>
      <c r="P63" s="203">
        <f t="shared" ca="1" si="5"/>
        <v>0</v>
      </c>
      <c r="Q63" s="204">
        <f t="shared" si="4"/>
        <v>0</v>
      </c>
      <c r="R63" s="205"/>
      <c r="S63" s="206"/>
      <c r="T63" s="206"/>
      <c r="U63" s="207"/>
      <c r="V63" s="208"/>
      <c r="W63" s="209"/>
      <c r="X63" s="210"/>
      <c r="Y63" s="209"/>
      <c r="Z63" s="211"/>
      <c r="AA63" s="212"/>
      <c r="AB63" s="213"/>
      <c r="AC63" s="214"/>
      <c r="AD63" s="208"/>
      <c r="AE63" s="209"/>
      <c r="AF63" s="210"/>
      <c r="AG63" s="209"/>
      <c r="AH63" s="211"/>
      <c r="AI63" s="212"/>
      <c r="AJ63" s="213"/>
      <c r="AK63" s="214"/>
      <c r="AL63" s="215"/>
      <c r="AM63" s="209"/>
      <c r="AN63" s="210"/>
      <c r="AO63" s="209"/>
      <c r="AP63" s="216"/>
      <c r="AQ63" s="212"/>
      <c r="AR63" s="213"/>
      <c r="AS63" s="214"/>
      <c r="AT63" s="208"/>
      <c r="AU63" s="209"/>
      <c r="AV63" s="210"/>
      <c r="AW63" s="217"/>
      <c r="AX63" s="211"/>
      <c r="AY63" s="213"/>
      <c r="AZ63" s="213"/>
      <c r="BA63" s="213"/>
      <c r="BB63" s="208"/>
      <c r="BC63" s="217"/>
      <c r="BD63" s="210"/>
      <c r="BE63" s="217"/>
      <c r="BF63" s="211"/>
      <c r="BG63" s="213"/>
      <c r="BH63" s="213"/>
      <c r="BI63" s="213"/>
      <c r="BJ63" s="208"/>
      <c r="BK63" s="217"/>
      <c r="BL63" s="210"/>
      <c r="BM63" s="217"/>
      <c r="BN63" s="211"/>
      <c r="BO63" s="213"/>
      <c r="BP63" s="213"/>
      <c r="BQ63" s="213"/>
      <c r="BR63" s="208"/>
      <c r="BS63" s="217"/>
      <c r="BT63" s="210"/>
      <c r="BU63" s="217"/>
      <c r="BV63" s="211"/>
      <c r="BW63" s="213"/>
      <c r="BX63" s="213"/>
      <c r="BY63" s="213"/>
      <c r="BZ63" s="208"/>
      <c r="CA63" s="217"/>
      <c r="CB63" s="217"/>
      <c r="CC63" s="217"/>
      <c r="CD63" s="211"/>
      <c r="CE63" s="213"/>
      <c r="CF63" s="213"/>
      <c r="CG63" s="213"/>
      <c r="CH63" s="208"/>
      <c r="CI63" s="217"/>
      <c r="CJ63" s="217"/>
      <c r="CK63" s="217"/>
      <c r="CL63" s="211"/>
      <c r="CM63" s="213"/>
      <c r="CN63" s="213"/>
      <c r="CO63" s="213"/>
      <c r="CP63" s="208"/>
      <c r="CQ63" s="217"/>
      <c r="CR63" s="217"/>
      <c r="CS63" s="217"/>
      <c r="CT63" s="211"/>
      <c r="CU63" s="213"/>
      <c r="CV63" s="213"/>
      <c r="CW63" s="213"/>
      <c r="CX63" s="208"/>
      <c r="CY63" s="217"/>
      <c r="CZ63" s="217"/>
      <c r="DA63" s="217"/>
      <c r="DB63" s="211"/>
      <c r="DC63" s="213"/>
      <c r="DD63" s="213"/>
      <c r="DE63" s="213"/>
      <c r="DF63" s="208"/>
      <c r="DG63" s="217"/>
      <c r="DH63" s="217"/>
      <c r="DI63" s="217"/>
      <c r="DJ63" s="211"/>
      <c r="DK63" s="213"/>
      <c r="DL63" s="213"/>
      <c r="DM63" s="213"/>
      <c r="DN63" s="208"/>
      <c r="DO63" s="217"/>
      <c r="DP63" s="217"/>
      <c r="DQ63" s="217"/>
      <c r="DR63" s="211"/>
      <c r="DS63" s="213"/>
      <c r="DT63" s="213"/>
      <c r="DU63" s="213"/>
      <c r="DV63" s="208"/>
      <c r="DW63" s="217"/>
      <c r="DX63" s="217"/>
      <c r="DY63" s="217"/>
      <c r="DZ63" s="211"/>
      <c r="EA63" s="213"/>
      <c r="EB63" s="213"/>
      <c r="EC63" s="213"/>
      <c r="ED63" s="208"/>
      <c r="EE63" s="217"/>
      <c r="EF63" s="217"/>
      <c r="EG63" s="217"/>
      <c r="EH63" s="211"/>
      <c r="EI63" s="213"/>
      <c r="EJ63" s="213"/>
      <c r="EK63" s="213"/>
      <c r="EL63" s="208"/>
      <c r="EM63" s="217"/>
      <c r="EN63" s="217"/>
      <c r="EO63" s="217"/>
      <c r="EP63" s="211"/>
      <c r="EQ63" s="213"/>
      <c r="ER63" s="213"/>
      <c r="ES63" s="213"/>
      <c r="ET63" s="208"/>
      <c r="EU63" s="217"/>
      <c r="EV63" s="217"/>
      <c r="EW63" s="217"/>
      <c r="EX63" s="211"/>
      <c r="EY63" s="213"/>
      <c r="EZ63" s="213"/>
      <c r="FA63" s="213"/>
      <c r="FB63" s="208"/>
      <c r="FC63" s="217"/>
      <c r="FD63" s="217"/>
      <c r="FE63" s="217"/>
      <c r="FF63" s="211"/>
      <c r="FG63" s="213"/>
      <c r="FH63" s="213"/>
      <c r="FI63" s="213"/>
      <c r="FJ63" s="208"/>
      <c r="FK63" s="217"/>
      <c r="FL63" s="217"/>
      <c r="FM63" s="217"/>
      <c r="FN63" s="211"/>
      <c r="FO63" s="213"/>
      <c r="FP63" s="213"/>
      <c r="FQ63" s="213"/>
      <c r="FR63" s="208"/>
      <c r="FS63" s="217"/>
      <c r="FT63" s="217"/>
      <c r="FU63" s="217"/>
      <c r="FV63" s="211"/>
      <c r="FW63" s="213"/>
      <c r="FX63" s="213"/>
      <c r="FY63" s="213"/>
      <c r="FZ63" s="208"/>
      <c r="GA63" s="217"/>
      <c r="GB63" s="217"/>
      <c r="GC63" s="217"/>
      <c r="GD63" s="211"/>
      <c r="GE63" s="213"/>
      <c r="GF63" s="213"/>
      <c r="GG63" s="213"/>
      <c r="GH63" s="208"/>
      <c r="GI63" s="217"/>
      <c r="GJ63" s="217"/>
      <c r="GK63" s="217"/>
      <c r="GL63" s="211"/>
      <c r="GM63" s="213"/>
      <c r="GN63" s="213"/>
      <c r="GO63" s="213"/>
      <c r="GP63" s="208"/>
      <c r="GQ63" s="217"/>
      <c r="GR63" s="217"/>
      <c r="GS63" s="217"/>
    </row>
    <row r="64" spans="2:201" s="218" customFormat="1" ht="205" customHeight="1" x14ac:dyDescent="0.35">
      <c r="B64" s="245">
        <v>55</v>
      </c>
      <c r="C64" s="195"/>
      <c r="D64" s="195"/>
      <c r="E64" s="195"/>
      <c r="F64" s="195"/>
      <c r="G64" s="196"/>
      <c r="H64" s="228"/>
      <c r="I64" s="198"/>
      <c r="J64" s="199"/>
      <c r="K64" s="200"/>
      <c r="L64" s="201"/>
      <c r="M64" s="201"/>
      <c r="N64" s="202"/>
      <c r="O64" s="203">
        <f ca="1">IF(N64="Rechazado / Reemitir Rev.0",TODAY()-M64,0)</f>
        <v>0</v>
      </c>
      <c r="P64" s="203">
        <f t="shared" ca="1" si="5"/>
        <v>0</v>
      </c>
      <c r="Q64" s="204">
        <f t="shared" si="4"/>
        <v>0</v>
      </c>
      <c r="R64" s="205"/>
      <c r="S64" s="206"/>
      <c r="T64" s="206"/>
      <c r="U64" s="207"/>
      <c r="V64" s="208"/>
      <c r="W64" s="209"/>
      <c r="X64" s="210"/>
      <c r="Y64" s="209"/>
      <c r="Z64" s="211"/>
      <c r="AA64" s="212"/>
      <c r="AB64" s="213"/>
      <c r="AC64" s="214"/>
      <c r="AD64" s="208"/>
      <c r="AE64" s="209"/>
      <c r="AF64" s="210"/>
      <c r="AG64" s="209"/>
      <c r="AH64" s="211"/>
      <c r="AI64" s="212"/>
      <c r="AJ64" s="213"/>
      <c r="AK64" s="214"/>
      <c r="AL64" s="208"/>
      <c r="AM64" s="209"/>
      <c r="AN64" s="210"/>
      <c r="AO64" s="209"/>
      <c r="AP64" s="216"/>
      <c r="AQ64" s="213"/>
      <c r="AR64" s="212"/>
      <c r="AS64" s="214"/>
      <c r="AT64" s="215"/>
      <c r="AU64" s="209"/>
      <c r="AV64" s="210"/>
      <c r="AW64" s="209"/>
      <c r="AX64" s="216"/>
      <c r="AY64" s="212"/>
      <c r="AZ64" s="213"/>
      <c r="BA64" s="214"/>
      <c r="BB64" s="208"/>
      <c r="BC64" s="209"/>
      <c r="BD64" s="210"/>
      <c r="BE64" s="217"/>
      <c r="BF64" s="211"/>
      <c r="BG64" s="213"/>
      <c r="BH64" s="213"/>
      <c r="BI64" s="213"/>
      <c r="BJ64" s="208"/>
      <c r="BK64" s="217"/>
      <c r="BL64" s="210"/>
      <c r="BM64" s="217"/>
      <c r="BN64" s="211"/>
      <c r="BO64" s="213"/>
      <c r="BP64" s="213"/>
      <c r="BQ64" s="213"/>
      <c r="BR64" s="208"/>
      <c r="BS64" s="217"/>
      <c r="BT64" s="210"/>
      <c r="BU64" s="217"/>
      <c r="BV64" s="211"/>
      <c r="BW64" s="213"/>
      <c r="BX64" s="213"/>
      <c r="BY64" s="213"/>
      <c r="BZ64" s="208"/>
      <c r="CA64" s="217"/>
      <c r="CB64" s="217"/>
      <c r="CC64" s="217"/>
      <c r="CD64" s="211"/>
      <c r="CE64" s="213"/>
      <c r="CF64" s="213"/>
      <c r="CG64" s="213"/>
      <c r="CH64" s="208"/>
      <c r="CI64" s="217"/>
      <c r="CJ64" s="217"/>
      <c r="CK64" s="217"/>
      <c r="CL64" s="211"/>
      <c r="CM64" s="213"/>
      <c r="CN64" s="213"/>
      <c r="CO64" s="213"/>
      <c r="CP64" s="208"/>
      <c r="CQ64" s="217"/>
      <c r="CR64" s="217"/>
      <c r="CS64" s="217"/>
      <c r="CT64" s="211"/>
      <c r="CU64" s="213"/>
      <c r="CV64" s="213"/>
      <c r="CW64" s="213"/>
      <c r="CX64" s="208"/>
      <c r="CY64" s="217"/>
      <c r="CZ64" s="217"/>
      <c r="DA64" s="217"/>
      <c r="DB64" s="211"/>
      <c r="DC64" s="213"/>
      <c r="DD64" s="213"/>
      <c r="DE64" s="213"/>
      <c r="DF64" s="208"/>
      <c r="DG64" s="217"/>
      <c r="DH64" s="217"/>
      <c r="DI64" s="217"/>
      <c r="DJ64" s="211"/>
      <c r="DK64" s="213"/>
      <c r="DL64" s="213"/>
      <c r="DM64" s="213"/>
      <c r="DN64" s="208"/>
      <c r="DO64" s="217"/>
      <c r="DP64" s="217"/>
      <c r="DQ64" s="217"/>
      <c r="DR64" s="211"/>
      <c r="DS64" s="213"/>
      <c r="DT64" s="213"/>
      <c r="DU64" s="213"/>
      <c r="DV64" s="208"/>
      <c r="DW64" s="217"/>
      <c r="DX64" s="217"/>
      <c r="DY64" s="217"/>
      <c r="DZ64" s="211"/>
      <c r="EA64" s="213"/>
      <c r="EB64" s="213"/>
      <c r="EC64" s="213"/>
      <c r="ED64" s="208"/>
      <c r="EE64" s="217"/>
      <c r="EF64" s="217"/>
      <c r="EG64" s="217"/>
      <c r="EH64" s="211"/>
      <c r="EI64" s="213"/>
      <c r="EJ64" s="213"/>
      <c r="EK64" s="213"/>
      <c r="EL64" s="208"/>
      <c r="EM64" s="217"/>
      <c r="EN64" s="217"/>
      <c r="EO64" s="217"/>
      <c r="EP64" s="211"/>
      <c r="EQ64" s="213"/>
      <c r="ER64" s="213"/>
      <c r="ES64" s="213"/>
      <c r="ET64" s="208"/>
      <c r="EU64" s="217"/>
      <c r="EV64" s="217"/>
      <c r="EW64" s="217"/>
      <c r="EX64" s="211"/>
      <c r="EY64" s="213"/>
      <c r="EZ64" s="213"/>
      <c r="FA64" s="213"/>
      <c r="FB64" s="208"/>
      <c r="FC64" s="217"/>
      <c r="FD64" s="217"/>
      <c r="FE64" s="217"/>
      <c r="FF64" s="211"/>
      <c r="FG64" s="213"/>
      <c r="FH64" s="213"/>
      <c r="FI64" s="213"/>
      <c r="FJ64" s="208"/>
      <c r="FK64" s="217"/>
      <c r="FL64" s="217"/>
      <c r="FM64" s="217"/>
      <c r="FN64" s="211"/>
      <c r="FO64" s="213"/>
      <c r="FP64" s="213"/>
      <c r="FQ64" s="213"/>
      <c r="FR64" s="208"/>
      <c r="FS64" s="217"/>
      <c r="FT64" s="217"/>
      <c r="FU64" s="217"/>
      <c r="FV64" s="211"/>
      <c r="FW64" s="213"/>
      <c r="FX64" s="213"/>
      <c r="FY64" s="213"/>
      <c r="FZ64" s="208"/>
      <c r="GA64" s="217"/>
      <c r="GB64" s="217"/>
      <c r="GC64" s="217"/>
      <c r="GD64" s="211"/>
      <c r="GE64" s="213"/>
      <c r="GF64" s="213"/>
      <c r="GG64" s="213"/>
      <c r="GH64" s="208"/>
      <c r="GI64" s="217"/>
      <c r="GJ64" s="217"/>
      <c r="GK64" s="217"/>
      <c r="GL64" s="211"/>
      <c r="GM64" s="213"/>
      <c r="GN64" s="213"/>
      <c r="GO64" s="213"/>
      <c r="GP64" s="208"/>
      <c r="GQ64" s="217"/>
      <c r="GR64" s="217"/>
      <c r="GS64" s="217"/>
    </row>
    <row r="65" spans="1:201" s="218" customFormat="1" ht="205" customHeight="1" x14ac:dyDescent="0.35">
      <c r="B65" s="245">
        <v>56</v>
      </c>
      <c r="C65" s="195"/>
      <c r="D65" s="195"/>
      <c r="E65" s="195"/>
      <c r="F65" s="195"/>
      <c r="G65" s="196"/>
      <c r="H65" s="228"/>
      <c r="I65" s="198"/>
      <c r="J65" s="199"/>
      <c r="K65" s="200"/>
      <c r="L65" s="201"/>
      <c r="M65" s="201"/>
      <c r="N65" s="202"/>
      <c r="O65" s="203">
        <f ca="1">IF(N65="Rechazado / Reemitir Rev.0",TODAY()-M65,0)</f>
        <v>0</v>
      </c>
      <c r="P65" s="203">
        <f t="shared" ca="1" si="5"/>
        <v>0</v>
      </c>
      <c r="Q65" s="204">
        <f t="shared" si="4"/>
        <v>0</v>
      </c>
      <c r="R65" s="205"/>
      <c r="S65" s="206"/>
      <c r="T65" s="206"/>
      <c r="U65" s="207"/>
      <c r="V65" s="208"/>
      <c r="W65" s="209"/>
      <c r="X65" s="210"/>
      <c r="Y65" s="209"/>
      <c r="Z65" s="211"/>
      <c r="AA65" s="212"/>
      <c r="AB65" s="213"/>
      <c r="AC65" s="214"/>
      <c r="AD65" s="208"/>
      <c r="AE65" s="209"/>
      <c r="AF65" s="210"/>
      <c r="AG65" s="209"/>
      <c r="AH65" s="211"/>
      <c r="AI65" s="212"/>
      <c r="AJ65" s="213"/>
      <c r="AK65" s="214"/>
      <c r="AL65" s="208"/>
      <c r="AM65" s="209"/>
      <c r="AN65" s="210"/>
      <c r="AO65" s="209"/>
      <c r="AP65" s="216"/>
      <c r="AQ65" s="213"/>
      <c r="AR65" s="213"/>
      <c r="AS65" s="214"/>
      <c r="AT65" s="215"/>
      <c r="AU65" s="209"/>
      <c r="AV65" s="210"/>
      <c r="AW65" s="209"/>
      <c r="AX65" s="211"/>
      <c r="AY65" s="213"/>
      <c r="AZ65" s="213"/>
      <c r="BA65" s="213"/>
      <c r="BB65" s="208"/>
      <c r="BC65" s="209"/>
      <c r="BD65" s="210"/>
      <c r="BE65" s="217"/>
      <c r="BF65" s="211"/>
      <c r="BG65" s="213"/>
      <c r="BH65" s="213"/>
      <c r="BI65" s="213"/>
      <c r="BJ65" s="208"/>
      <c r="BK65" s="217"/>
      <c r="BL65" s="210"/>
      <c r="BM65" s="217"/>
      <c r="BN65" s="211"/>
      <c r="BO65" s="213"/>
      <c r="BP65" s="213"/>
      <c r="BQ65" s="213"/>
      <c r="BR65" s="208"/>
      <c r="BS65" s="217"/>
      <c r="BT65" s="210"/>
      <c r="BU65" s="217"/>
      <c r="BV65" s="211"/>
      <c r="BW65" s="213"/>
      <c r="BX65" s="213"/>
      <c r="BY65" s="213"/>
      <c r="BZ65" s="208"/>
      <c r="CA65" s="217"/>
      <c r="CB65" s="217"/>
      <c r="CC65" s="217"/>
      <c r="CD65" s="211"/>
      <c r="CE65" s="213"/>
      <c r="CF65" s="213"/>
      <c r="CG65" s="213"/>
      <c r="CH65" s="208"/>
      <c r="CI65" s="217"/>
      <c r="CJ65" s="217"/>
      <c r="CK65" s="217"/>
      <c r="CL65" s="211"/>
      <c r="CM65" s="213"/>
      <c r="CN65" s="213"/>
      <c r="CO65" s="213"/>
      <c r="CP65" s="208"/>
      <c r="CQ65" s="217"/>
      <c r="CR65" s="217"/>
      <c r="CS65" s="217"/>
      <c r="CT65" s="211"/>
      <c r="CU65" s="213"/>
      <c r="CV65" s="213"/>
      <c r="CW65" s="213"/>
      <c r="CX65" s="208"/>
      <c r="CY65" s="217"/>
      <c r="CZ65" s="217"/>
      <c r="DA65" s="217"/>
      <c r="DB65" s="211"/>
      <c r="DC65" s="213"/>
      <c r="DD65" s="213"/>
      <c r="DE65" s="213"/>
      <c r="DF65" s="208"/>
      <c r="DG65" s="217"/>
      <c r="DH65" s="217"/>
      <c r="DI65" s="217"/>
      <c r="DJ65" s="211"/>
      <c r="DK65" s="213"/>
      <c r="DL65" s="213"/>
      <c r="DM65" s="213"/>
      <c r="DN65" s="208"/>
      <c r="DO65" s="217"/>
      <c r="DP65" s="217"/>
      <c r="DQ65" s="217"/>
      <c r="DR65" s="211"/>
      <c r="DS65" s="213"/>
      <c r="DT65" s="213"/>
      <c r="DU65" s="213"/>
      <c r="DV65" s="208"/>
      <c r="DW65" s="217"/>
      <c r="DX65" s="217"/>
      <c r="DY65" s="217"/>
      <c r="DZ65" s="211"/>
      <c r="EA65" s="213"/>
      <c r="EB65" s="213"/>
      <c r="EC65" s="213"/>
      <c r="ED65" s="208"/>
      <c r="EE65" s="217"/>
      <c r="EF65" s="217"/>
      <c r="EG65" s="217"/>
      <c r="EH65" s="211"/>
      <c r="EI65" s="213"/>
      <c r="EJ65" s="213"/>
      <c r="EK65" s="213"/>
      <c r="EL65" s="208"/>
      <c r="EM65" s="217"/>
      <c r="EN65" s="217"/>
      <c r="EO65" s="217"/>
      <c r="EP65" s="211"/>
      <c r="EQ65" s="213"/>
      <c r="ER65" s="213"/>
      <c r="ES65" s="213"/>
      <c r="ET65" s="208"/>
      <c r="EU65" s="217"/>
      <c r="EV65" s="217"/>
      <c r="EW65" s="217"/>
      <c r="EX65" s="211"/>
      <c r="EY65" s="213"/>
      <c r="EZ65" s="213"/>
      <c r="FA65" s="213"/>
      <c r="FB65" s="208"/>
      <c r="FC65" s="217"/>
      <c r="FD65" s="217"/>
      <c r="FE65" s="217"/>
      <c r="FF65" s="211"/>
      <c r="FG65" s="213"/>
      <c r="FH65" s="213"/>
      <c r="FI65" s="213"/>
      <c r="FJ65" s="208"/>
      <c r="FK65" s="217"/>
      <c r="FL65" s="217"/>
      <c r="FM65" s="217"/>
      <c r="FN65" s="211"/>
      <c r="FO65" s="213"/>
      <c r="FP65" s="213"/>
      <c r="FQ65" s="213"/>
      <c r="FR65" s="208"/>
      <c r="FS65" s="217"/>
      <c r="FT65" s="217"/>
      <c r="FU65" s="217"/>
      <c r="FV65" s="211"/>
      <c r="FW65" s="213"/>
      <c r="FX65" s="213"/>
      <c r="FY65" s="213"/>
      <c r="FZ65" s="208"/>
      <c r="GA65" s="217"/>
      <c r="GB65" s="217"/>
      <c r="GC65" s="217"/>
      <c r="GD65" s="211"/>
      <c r="GE65" s="213"/>
      <c r="GF65" s="213"/>
      <c r="GG65" s="213"/>
      <c r="GH65" s="208"/>
      <c r="GI65" s="217"/>
      <c r="GJ65" s="217"/>
      <c r="GK65" s="217"/>
      <c r="GL65" s="211"/>
      <c r="GM65" s="213"/>
      <c r="GN65" s="213"/>
      <c r="GO65" s="213"/>
      <c r="GP65" s="208"/>
      <c r="GQ65" s="217"/>
      <c r="GR65" s="217"/>
      <c r="GS65" s="217"/>
    </row>
    <row r="66" spans="1:201" s="218" customFormat="1" ht="205" customHeight="1" x14ac:dyDescent="0.35">
      <c r="B66" s="245">
        <v>57</v>
      </c>
      <c r="C66" s="194"/>
      <c r="D66" s="195"/>
      <c r="E66" s="195"/>
      <c r="F66" s="195"/>
      <c r="G66" s="196"/>
      <c r="H66" s="221"/>
      <c r="I66" s="198"/>
      <c r="J66" s="199"/>
      <c r="K66" s="200"/>
      <c r="L66" s="201"/>
      <c r="M66" s="201"/>
      <c r="N66" s="202"/>
      <c r="O66" s="203">
        <f ca="1">IF(N66="Aprobado con comentarios / Emitir Rev.0",TODAY()-M66,0)</f>
        <v>0</v>
      </c>
      <c r="P66" s="203">
        <f t="shared" ca="1" si="5"/>
        <v>0</v>
      </c>
      <c r="Q66" s="204">
        <f t="shared" si="4"/>
        <v>0</v>
      </c>
      <c r="R66" s="205"/>
      <c r="S66" s="206"/>
      <c r="T66" s="206"/>
      <c r="U66" s="207"/>
      <c r="V66" s="208"/>
      <c r="W66" s="209"/>
      <c r="X66" s="210"/>
      <c r="Y66" s="209"/>
      <c r="Z66" s="211"/>
      <c r="AA66" s="212"/>
      <c r="AB66" s="213"/>
      <c r="AC66" s="214"/>
      <c r="AD66" s="208"/>
      <c r="AE66" s="209"/>
      <c r="AF66" s="210"/>
      <c r="AG66" s="209"/>
      <c r="AH66" s="211"/>
      <c r="AI66" s="212"/>
      <c r="AJ66" s="213"/>
      <c r="AK66" s="214"/>
      <c r="AL66" s="215"/>
      <c r="AM66" s="209"/>
      <c r="AN66" s="210"/>
      <c r="AO66" s="209"/>
      <c r="AP66" s="216"/>
      <c r="AQ66" s="212"/>
      <c r="AR66" s="213"/>
      <c r="AS66" s="214"/>
      <c r="AT66" s="208"/>
      <c r="AU66" s="209"/>
      <c r="AV66" s="210"/>
      <c r="AW66" s="217"/>
      <c r="AX66" s="211"/>
      <c r="AY66" s="213"/>
      <c r="AZ66" s="213"/>
      <c r="BA66" s="213"/>
      <c r="BB66" s="208"/>
      <c r="BC66" s="217"/>
      <c r="BD66" s="210"/>
      <c r="BE66" s="217"/>
      <c r="BF66" s="211"/>
      <c r="BG66" s="213"/>
      <c r="BH66" s="213"/>
      <c r="BI66" s="213"/>
      <c r="BJ66" s="208"/>
      <c r="BK66" s="217"/>
      <c r="BL66" s="210"/>
      <c r="BM66" s="217"/>
      <c r="BN66" s="211"/>
      <c r="BO66" s="213"/>
      <c r="BP66" s="213"/>
      <c r="BQ66" s="213"/>
      <c r="BR66" s="208"/>
      <c r="BS66" s="217"/>
      <c r="BT66" s="210"/>
      <c r="BU66" s="217"/>
      <c r="BV66" s="211"/>
      <c r="BW66" s="213"/>
      <c r="BX66" s="213"/>
      <c r="BY66" s="213"/>
      <c r="BZ66" s="208"/>
      <c r="CA66" s="217"/>
      <c r="CB66" s="217"/>
      <c r="CC66" s="217"/>
      <c r="CD66" s="211"/>
      <c r="CE66" s="213"/>
      <c r="CF66" s="213"/>
      <c r="CG66" s="213"/>
      <c r="CH66" s="208"/>
      <c r="CI66" s="217"/>
      <c r="CJ66" s="217"/>
      <c r="CK66" s="217"/>
      <c r="CL66" s="211"/>
      <c r="CM66" s="213"/>
      <c r="CN66" s="213"/>
      <c r="CO66" s="213"/>
      <c r="CP66" s="208"/>
      <c r="CQ66" s="217"/>
      <c r="CR66" s="217"/>
      <c r="CS66" s="217"/>
      <c r="CT66" s="211"/>
      <c r="CU66" s="213"/>
      <c r="CV66" s="213"/>
      <c r="CW66" s="213"/>
      <c r="CX66" s="208"/>
      <c r="CY66" s="217"/>
      <c r="CZ66" s="217"/>
      <c r="DA66" s="217"/>
      <c r="DB66" s="211"/>
      <c r="DC66" s="213"/>
      <c r="DD66" s="213"/>
      <c r="DE66" s="213"/>
      <c r="DF66" s="208"/>
      <c r="DG66" s="217"/>
      <c r="DH66" s="217"/>
      <c r="DI66" s="217"/>
      <c r="DJ66" s="211"/>
      <c r="DK66" s="213"/>
      <c r="DL66" s="213"/>
      <c r="DM66" s="213"/>
      <c r="DN66" s="208"/>
      <c r="DO66" s="217"/>
      <c r="DP66" s="217"/>
      <c r="DQ66" s="217"/>
      <c r="DR66" s="211"/>
      <c r="DS66" s="213"/>
      <c r="DT66" s="213"/>
      <c r="DU66" s="213"/>
      <c r="DV66" s="208"/>
      <c r="DW66" s="217"/>
      <c r="DX66" s="217"/>
      <c r="DY66" s="217"/>
      <c r="DZ66" s="211"/>
      <c r="EA66" s="213"/>
      <c r="EB66" s="213"/>
      <c r="EC66" s="213"/>
      <c r="ED66" s="208"/>
      <c r="EE66" s="217"/>
      <c r="EF66" s="217"/>
      <c r="EG66" s="217"/>
      <c r="EH66" s="211"/>
      <c r="EI66" s="213"/>
      <c r="EJ66" s="213"/>
      <c r="EK66" s="213"/>
      <c r="EL66" s="208"/>
      <c r="EM66" s="217"/>
      <c r="EN66" s="217"/>
      <c r="EO66" s="217"/>
      <c r="EP66" s="211"/>
      <c r="EQ66" s="213"/>
      <c r="ER66" s="213"/>
      <c r="ES66" s="213"/>
      <c r="ET66" s="208"/>
      <c r="EU66" s="217"/>
      <c r="EV66" s="217"/>
      <c r="EW66" s="217"/>
      <c r="EX66" s="211"/>
      <c r="EY66" s="213"/>
      <c r="EZ66" s="213"/>
      <c r="FA66" s="213"/>
      <c r="FB66" s="208"/>
      <c r="FC66" s="217"/>
      <c r="FD66" s="217"/>
      <c r="FE66" s="217"/>
      <c r="FF66" s="211"/>
      <c r="FG66" s="213"/>
      <c r="FH66" s="213"/>
      <c r="FI66" s="213"/>
      <c r="FJ66" s="208"/>
      <c r="FK66" s="217"/>
      <c r="FL66" s="217"/>
      <c r="FM66" s="217"/>
      <c r="FN66" s="211"/>
      <c r="FO66" s="213"/>
      <c r="FP66" s="213"/>
      <c r="FQ66" s="213"/>
      <c r="FR66" s="208"/>
      <c r="FS66" s="217"/>
      <c r="FT66" s="217"/>
      <c r="FU66" s="217"/>
      <c r="FV66" s="211"/>
      <c r="FW66" s="213"/>
      <c r="FX66" s="213"/>
      <c r="FY66" s="213"/>
      <c r="FZ66" s="208"/>
      <c r="GA66" s="217"/>
      <c r="GB66" s="217"/>
      <c r="GC66" s="217"/>
      <c r="GD66" s="211"/>
      <c r="GE66" s="213"/>
      <c r="GF66" s="213"/>
      <c r="GG66" s="213"/>
      <c r="GH66" s="208"/>
      <c r="GI66" s="217"/>
      <c r="GJ66" s="217"/>
      <c r="GK66" s="217"/>
      <c r="GL66" s="211"/>
      <c r="GM66" s="213"/>
      <c r="GN66" s="213"/>
      <c r="GO66" s="213"/>
      <c r="GP66" s="208"/>
      <c r="GQ66" s="217"/>
      <c r="GR66" s="217"/>
      <c r="GS66" s="217"/>
    </row>
    <row r="67" spans="1:201" s="218" customFormat="1" ht="205" customHeight="1" x14ac:dyDescent="0.35">
      <c r="A67" s="235"/>
      <c r="B67" s="245">
        <v>58</v>
      </c>
      <c r="C67" s="195"/>
      <c r="D67" s="195"/>
      <c r="E67" s="195"/>
      <c r="F67" s="195"/>
      <c r="G67" s="196"/>
      <c r="H67" s="228"/>
      <c r="I67" s="198"/>
      <c r="J67" s="199"/>
      <c r="K67" s="200"/>
      <c r="L67" s="201"/>
      <c r="M67" s="201"/>
      <c r="N67" s="202"/>
      <c r="O67" s="203">
        <f ca="1">IF(N67="Comentado / Reemiir Rev.0",TODAY()-M67,0)</f>
        <v>0</v>
      </c>
      <c r="P67" s="203">
        <f t="shared" ca="1" si="5"/>
        <v>0</v>
      </c>
      <c r="Q67" s="204">
        <f t="shared" si="4"/>
        <v>0</v>
      </c>
      <c r="R67" s="205"/>
      <c r="S67" s="206"/>
      <c r="T67" s="206"/>
      <c r="U67" s="207"/>
      <c r="V67" s="208"/>
      <c r="W67" s="209"/>
      <c r="X67" s="210"/>
      <c r="Y67" s="209"/>
      <c r="Z67" s="205"/>
      <c r="AA67" s="206"/>
      <c r="AB67" s="213"/>
      <c r="AC67" s="214"/>
      <c r="AD67" s="208"/>
      <c r="AE67" s="209"/>
      <c r="AF67" s="210"/>
      <c r="AG67" s="209"/>
      <c r="AH67" s="211"/>
      <c r="AI67" s="212"/>
      <c r="AJ67" s="213"/>
      <c r="AK67" s="214"/>
      <c r="AL67" s="215"/>
      <c r="AM67" s="209"/>
      <c r="AN67" s="210"/>
      <c r="AO67" s="209"/>
      <c r="AP67" s="211"/>
      <c r="AQ67" s="212"/>
      <c r="AR67" s="213"/>
      <c r="AS67" s="214"/>
      <c r="AT67" s="215"/>
      <c r="AU67" s="209"/>
      <c r="AV67" s="210"/>
      <c r="AW67" s="209"/>
      <c r="AX67" s="211"/>
      <c r="AY67" s="213"/>
      <c r="AZ67" s="213"/>
      <c r="BA67" s="213"/>
      <c r="BB67" s="208"/>
      <c r="BC67" s="217"/>
      <c r="BD67" s="210"/>
      <c r="BE67" s="217"/>
      <c r="BF67" s="211"/>
      <c r="BG67" s="213"/>
      <c r="BH67" s="213"/>
      <c r="BI67" s="213"/>
      <c r="BJ67" s="208"/>
      <c r="BK67" s="217"/>
      <c r="BL67" s="210"/>
      <c r="BM67" s="217"/>
      <c r="BN67" s="211"/>
      <c r="BO67" s="213"/>
      <c r="BP67" s="213"/>
      <c r="BQ67" s="213"/>
      <c r="BR67" s="208"/>
      <c r="BS67" s="217"/>
      <c r="BT67" s="210"/>
      <c r="BU67" s="217"/>
      <c r="BV67" s="211"/>
      <c r="BW67" s="213"/>
      <c r="BX67" s="213"/>
      <c r="BY67" s="213"/>
      <c r="BZ67" s="208"/>
      <c r="CA67" s="217"/>
      <c r="CB67" s="217"/>
      <c r="CC67" s="217"/>
      <c r="CD67" s="211"/>
      <c r="CE67" s="213"/>
      <c r="CF67" s="213"/>
      <c r="CG67" s="213"/>
      <c r="CH67" s="208"/>
      <c r="CI67" s="217"/>
      <c r="CJ67" s="217"/>
      <c r="CK67" s="217"/>
      <c r="CL67" s="211"/>
      <c r="CM67" s="213"/>
      <c r="CN67" s="213"/>
      <c r="CO67" s="213"/>
      <c r="CP67" s="208"/>
      <c r="CQ67" s="217"/>
      <c r="CR67" s="217"/>
      <c r="CS67" s="217"/>
      <c r="CT67" s="211"/>
      <c r="CU67" s="213"/>
      <c r="CV67" s="213"/>
      <c r="CW67" s="213"/>
      <c r="CX67" s="208"/>
      <c r="CY67" s="217"/>
      <c r="CZ67" s="217"/>
      <c r="DA67" s="217"/>
      <c r="DB67" s="211"/>
      <c r="DC67" s="213"/>
      <c r="DD67" s="213"/>
      <c r="DE67" s="213"/>
      <c r="DF67" s="208"/>
      <c r="DG67" s="217"/>
      <c r="DH67" s="217"/>
      <c r="DI67" s="217"/>
      <c r="DJ67" s="211"/>
      <c r="DK67" s="213"/>
      <c r="DL67" s="213"/>
      <c r="DM67" s="213"/>
      <c r="DN67" s="208"/>
      <c r="DO67" s="217"/>
      <c r="DP67" s="217"/>
      <c r="DQ67" s="217"/>
      <c r="DR67" s="211"/>
      <c r="DS67" s="213"/>
      <c r="DT67" s="213"/>
      <c r="DU67" s="213"/>
      <c r="DV67" s="208"/>
      <c r="DW67" s="217"/>
      <c r="DX67" s="217"/>
      <c r="DY67" s="217"/>
      <c r="DZ67" s="211"/>
      <c r="EA67" s="213"/>
      <c r="EB67" s="213"/>
      <c r="EC67" s="213"/>
      <c r="ED67" s="208"/>
      <c r="EE67" s="217"/>
      <c r="EF67" s="217"/>
      <c r="EG67" s="217"/>
      <c r="EH67" s="211"/>
      <c r="EI67" s="213"/>
      <c r="EJ67" s="213"/>
      <c r="EK67" s="213"/>
      <c r="EL67" s="208"/>
      <c r="EM67" s="217"/>
      <c r="EN67" s="217"/>
      <c r="EO67" s="217"/>
      <c r="EP67" s="211"/>
      <c r="EQ67" s="213"/>
      <c r="ER67" s="213"/>
      <c r="ES67" s="213"/>
      <c r="ET67" s="208"/>
      <c r="EU67" s="217"/>
      <c r="EV67" s="217"/>
      <c r="EW67" s="217"/>
      <c r="EX67" s="211"/>
      <c r="EY67" s="213"/>
      <c r="EZ67" s="213"/>
      <c r="FA67" s="213"/>
      <c r="FB67" s="208"/>
      <c r="FC67" s="217"/>
      <c r="FD67" s="217"/>
      <c r="FE67" s="217"/>
      <c r="FF67" s="211"/>
      <c r="FG67" s="213"/>
      <c r="FH67" s="213"/>
      <c r="FI67" s="213"/>
      <c r="FJ67" s="208"/>
      <c r="FK67" s="217"/>
      <c r="FL67" s="217"/>
      <c r="FM67" s="217"/>
      <c r="FN67" s="211"/>
      <c r="FO67" s="213"/>
      <c r="FP67" s="213"/>
      <c r="FQ67" s="213"/>
      <c r="FR67" s="208"/>
      <c r="FS67" s="217"/>
      <c r="FT67" s="217"/>
      <c r="FU67" s="217"/>
      <c r="FV67" s="211"/>
      <c r="FW67" s="213"/>
      <c r="FX67" s="213"/>
      <c r="FY67" s="213"/>
      <c r="FZ67" s="208"/>
      <c r="GA67" s="217"/>
      <c r="GB67" s="217"/>
      <c r="GC67" s="217"/>
      <c r="GD67" s="211"/>
      <c r="GE67" s="213"/>
      <c r="GF67" s="213"/>
      <c r="GG67" s="213"/>
      <c r="GH67" s="208"/>
      <c r="GI67" s="217"/>
      <c r="GJ67" s="217"/>
      <c r="GK67" s="217"/>
      <c r="GL67" s="211"/>
      <c r="GM67" s="213"/>
      <c r="GN67" s="213"/>
      <c r="GO67" s="213"/>
      <c r="GP67" s="208"/>
      <c r="GQ67" s="217"/>
      <c r="GR67" s="217"/>
      <c r="GS67" s="217"/>
    </row>
    <row r="68" spans="1:201" s="218" customFormat="1" ht="205" customHeight="1" x14ac:dyDescent="0.35">
      <c r="A68" s="235"/>
      <c r="B68" s="245">
        <v>59</v>
      </c>
      <c r="C68" s="194"/>
      <c r="D68" s="195"/>
      <c r="E68" s="195"/>
      <c r="F68" s="195"/>
      <c r="G68" s="196"/>
      <c r="H68" s="228"/>
      <c r="I68" s="198"/>
      <c r="J68" s="199"/>
      <c r="K68" s="200"/>
      <c r="L68" s="201"/>
      <c r="M68" s="201"/>
      <c r="N68" s="202"/>
      <c r="O68" s="203">
        <f ca="1">IF(N68="Comentado / Reemiir Rev.0",TODAY()-M68,0)</f>
        <v>0</v>
      </c>
      <c r="P68" s="203">
        <f t="shared" ca="1" si="5"/>
        <v>0</v>
      </c>
      <c r="Q68" s="204">
        <f t="shared" si="4"/>
        <v>0</v>
      </c>
      <c r="R68" s="205"/>
      <c r="S68" s="206"/>
      <c r="T68" s="206"/>
      <c r="U68" s="207"/>
      <c r="V68" s="208"/>
      <c r="W68" s="209"/>
      <c r="X68" s="210"/>
      <c r="Y68" s="209"/>
      <c r="Z68" s="205"/>
      <c r="AA68" s="206"/>
      <c r="AB68" s="213"/>
      <c r="AC68" s="214"/>
      <c r="AD68" s="208"/>
      <c r="AE68" s="209"/>
      <c r="AF68" s="210"/>
      <c r="AG68" s="209"/>
      <c r="AH68" s="211"/>
      <c r="AI68" s="212"/>
      <c r="AJ68" s="213"/>
      <c r="AK68" s="214"/>
      <c r="AL68" s="215"/>
      <c r="AM68" s="209"/>
      <c r="AN68" s="210"/>
      <c r="AO68" s="209"/>
      <c r="AP68" s="211"/>
      <c r="AQ68" s="212"/>
      <c r="AR68" s="213"/>
      <c r="AS68" s="214"/>
      <c r="AT68" s="215"/>
      <c r="AU68" s="209"/>
      <c r="AV68" s="210"/>
      <c r="AW68" s="209"/>
      <c r="AX68" s="211"/>
      <c r="AY68" s="213"/>
      <c r="AZ68" s="213"/>
      <c r="BA68" s="213"/>
      <c r="BB68" s="208"/>
      <c r="BC68" s="217"/>
      <c r="BD68" s="210"/>
      <c r="BE68" s="217"/>
      <c r="BF68" s="211"/>
      <c r="BG68" s="213"/>
      <c r="BH68" s="213"/>
      <c r="BI68" s="213"/>
      <c r="BJ68" s="208"/>
      <c r="BK68" s="217"/>
      <c r="BL68" s="210"/>
      <c r="BM68" s="217"/>
      <c r="BN68" s="211"/>
      <c r="BO68" s="213"/>
      <c r="BP68" s="213"/>
      <c r="BQ68" s="213"/>
      <c r="BR68" s="208"/>
      <c r="BS68" s="217"/>
      <c r="BT68" s="210"/>
      <c r="BU68" s="217"/>
      <c r="BV68" s="211"/>
      <c r="BW68" s="213"/>
      <c r="BX68" s="213"/>
      <c r="BY68" s="213"/>
      <c r="BZ68" s="208"/>
      <c r="CA68" s="217"/>
      <c r="CB68" s="217"/>
      <c r="CC68" s="217"/>
      <c r="CD68" s="211"/>
      <c r="CE68" s="213"/>
      <c r="CF68" s="213"/>
      <c r="CG68" s="213"/>
      <c r="CH68" s="208"/>
      <c r="CI68" s="217"/>
      <c r="CJ68" s="217"/>
      <c r="CK68" s="217"/>
      <c r="CL68" s="211"/>
      <c r="CM68" s="213"/>
      <c r="CN68" s="213"/>
      <c r="CO68" s="213"/>
      <c r="CP68" s="208"/>
      <c r="CQ68" s="217"/>
      <c r="CR68" s="217"/>
      <c r="CS68" s="217"/>
      <c r="CT68" s="211"/>
      <c r="CU68" s="213"/>
      <c r="CV68" s="213"/>
      <c r="CW68" s="213"/>
      <c r="CX68" s="208"/>
      <c r="CY68" s="217"/>
      <c r="CZ68" s="217"/>
      <c r="DA68" s="217"/>
      <c r="DB68" s="211"/>
      <c r="DC68" s="213"/>
      <c r="DD68" s="213"/>
      <c r="DE68" s="213"/>
      <c r="DF68" s="208"/>
      <c r="DG68" s="217"/>
      <c r="DH68" s="217"/>
      <c r="DI68" s="217"/>
      <c r="DJ68" s="211"/>
      <c r="DK68" s="213"/>
      <c r="DL68" s="213"/>
      <c r="DM68" s="213"/>
      <c r="DN68" s="208"/>
      <c r="DO68" s="217"/>
      <c r="DP68" s="217"/>
      <c r="DQ68" s="217"/>
      <c r="DR68" s="211"/>
      <c r="DS68" s="213"/>
      <c r="DT68" s="213"/>
      <c r="DU68" s="213"/>
      <c r="DV68" s="208"/>
      <c r="DW68" s="217"/>
      <c r="DX68" s="217"/>
      <c r="DY68" s="217"/>
      <c r="DZ68" s="211"/>
      <c r="EA68" s="213"/>
      <c r="EB68" s="213"/>
      <c r="EC68" s="213"/>
      <c r="ED68" s="208"/>
      <c r="EE68" s="217"/>
      <c r="EF68" s="217"/>
      <c r="EG68" s="217"/>
      <c r="EH68" s="211"/>
      <c r="EI68" s="213"/>
      <c r="EJ68" s="213"/>
      <c r="EK68" s="213"/>
      <c r="EL68" s="208"/>
      <c r="EM68" s="217"/>
      <c r="EN68" s="217"/>
      <c r="EO68" s="217"/>
      <c r="EP68" s="211"/>
      <c r="EQ68" s="213"/>
      <c r="ER68" s="213"/>
      <c r="ES68" s="213"/>
      <c r="ET68" s="208"/>
      <c r="EU68" s="217"/>
      <c r="EV68" s="217"/>
      <c r="EW68" s="217"/>
      <c r="EX68" s="211"/>
      <c r="EY68" s="213"/>
      <c r="EZ68" s="213"/>
      <c r="FA68" s="213"/>
      <c r="FB68" s="208"/>
      <c r="FC68" s="217"/>
      <c r="FD68" s="217"/>
      <c r="FE68" s="217"/>
      <c r="FF68" s="211"/>
      <c r="FG68" s="213"/>
      <c r="FH68" s="213"/>
      <c r="FI68" s="213"/>
      <c r="FJ68" s="208"/>
      <c r="FK68" s="217"/>
      <c r="FL68" s="217"/>
      <c r="FM68" s="217"/>
      <c r="FN68" s="211"/>
      <c r="FO68" s="213"/>
      <c r="FP68" s="213"/>
      <c r="FQ68" s="213"/>
      <c r="FR68" s="208"/>
      <c r="FS68" s="217"/>
      <c r="FT68" s="217"/>
      <c r="FU68" s="217"/>
      <c r="FV68" s="211"/>
      <c r="FW68" s="213"/>
      <c r="FX68" s="213"/>
      <c r="FY68" s="213"/>
      <c r="FZ68" s="208"/>
      <c r="GA68" s="217"/>
      <c r="GB68" s="217"/>
      <c r="GC68" s="217"/>
      <c r="GD68" s="211"/>
      <c r="GE68" s="213"/>
      <c r="GF68" s="213"/>
      <c r="GG68" s="213"/>
      <c r="GH68" s="208"/>
      <c r="GI68" s="217"/>
      <c r="GJ68" s="217"/>
      <c r="GK68" s="217"/>
      <c r="GL68" s="211"/>
      <c r="GM68" s="213"/>
      <c r="GN68" s="213"/>
      <c r="GO68" s="213"/>
      <c r="GP68" s="208"/>
      <c r="GQ68" s="217"/>
      <c r="GR68" s="217"/>
      <c r="GS68" s="217"/>
    </row>
    <row r="69" spans="1:201" s="218" customFormat="1" ht="205" customHeight="1" x14ac:dyDescent="0.35">
      <c r="B69" s="245">
        <v>60</v>
      </c>
      <c r="C69" s="195"/>
      <c r="D69" s="195"/>
      <c r="E69" s="195"/>
      <c r="F69" s="195"/>
      <c r="G69" s="196"/>
      <c r="H69" s="234"/>
      <c r="I69" s="198"/>
      <c r="J69" s="199"/>
      <c r="K69" s="200"/>
      <c r="L69" s="201"/>
      <c r="M69" s="201"/>
      <c r="N69" s="202"/>
      <c r="O69" s="203">
        <f ca="1">IF(N69="Comentado / Emitir Rev.0",TODAY()-M69,0)</f>
        <v>0</v>
      </c>
      <c r="P69" s="203">
        <f t="shared" ca="1" si="5"/>
        <v>0</v>
      </c>
      <c r="Q69" s="204">
        <f t="shared" si="4"/>
        <v>0</v>
      </c>
      <c r="R69" s="205"/>
      <c r="S69" s="206"/>
      <c r="T69" s="206"/>
      <c r="U69" s="207"/>
      <c r="V69" s="208"/>
      <c r="W69" s="209"/>
      <c r="X69" s="210"/>
      <c r="Y69" s="209"/>
      <c r="Z69" s="211"/>
      <c r="AA69" s="212"/>
      <c r="AB69" s="213"/>
      <c r="AC69" s="207"/>
      <c r="AD69" s="208"/>
      <c r="AE69" s="209"/>
      <c r="AF69" s="210"/>
      <c r="AG69" s="202"/>
      <c r="AH69" s="211"/>
      <c r="AI69" s="212"/>
      <c r="AJ69" s="213"/>
      <c r="AK69" s="214"/>
      <c r="AL69" s="215"/>
      <c r="AM69" s="209"/>
      <c r="AN69" s="210"/>
      <c r="AO69" s="209"/>
      <c r="AP69" s="216"/>
      <c r="AQ69" s="212"/>
      <c r="AR69" s="213"/>
      <c r="AS69" s="214"/>
      <c r="AT69" s="208"/>
      <c r="AU69" s="209"/>
      <c r="AV69" s="210"/>
      <c r="AW69" s="209"/>
      <c r="AX69" s="211"/>
      <c r="AY69" s="213"/>
      <c r="AZ69" s="213"/>
      <c r="BA69" s="214"/>
      <c r="BB69" s="208"/>
      <c r="BC69" s="217"/>
      <c r="BD69" s="210"/>
      <c r="BE69" s="217"/>
      <c r="BF69" s="211"/>
      <c r="BG69" s="213"/>
      <c r="BH69" s="213"/>
      <c r="BI69" s="213"/>
      <c r="BJ69" s="208"/>
      <c r="BK69" s="217"/>
      <c r="BL69" s="210"/>
      <c r="BM69" s="217"/>
      <c r="BN69" s="211"/>
      <c r="BO69" s="213"/>
      <c r="BP69" s="213"/>
      <c r="BQ69" s="213"/>
      <c r="BR69" s="208"/>
      <c r="BS69" s="217"/>
      <c r="BT69" s="210"/>
      <c r="BU69" s="217"/>
      <c r="BV69" s="211"/>
      <c r="BW69" s="213"/>
      <c r="BX69" s="213"/>
      <c r="BY69" s="213"/>
      <c r="BZ69" s="208"/>
      <c r="CA69" s="217"/>
      <c r="CB69" s="217"/>
      <c r="CC69" s="217"/>
      <c r="CD69" s="211"/>
      <c r="CE69" s="213"/>
      <c r="CF69" s="213"/>
      <c r="CG69" s="213"/>
      <c r="CH69" s="208"/>
      <c r="CI69" s="217"/>
      <c r="CJ69" s="217"/>
      <c r="CK69" s="217"/>
      <c r="CL69" s="211"/>
      <c r="CM69" s="213"/>
      <c r="CN69" s="213"/>
      <c r="CO69" s="213"/>
      <c r="CP69" s="208"/>
      <c r="CQ69" s="217"/>
      <c r="CR69" s="217"/>
      <c r="CS69" s="217"/>
      <c r="CT69" s="211"/>
      <c r="CU69" s="213"/>
      <c r="CV69" s="213"/>
      <c r="CW69" s="213"/>
      <c r="CX69" s="208"/>
      <c r="CY69" s="217"/>
      <c r="CZ69" s="217"/>
      <c r="DA69" s="217"/>
      <c r="DB69" s="211"/>
      <c r="DC69" s="213"/>
      <c r="DD69" s="213"/>
      <c r="DE69" s="213"/>
      <c r="DF69" s="208"/>
      <c r="DG69" s="217"/>
      <c r="DH69" s="217"/>
      <c r="DI69" s="217"/>
      <c r="DJ69" s="211"/>
      <c r="DK69" s="213"/>
      <c r="DL69" s="213"/>
      <c r="DM69" s="213"/>
      <c r="DN69" s="208"/>
      <c r="DO69" s="217"/>
      <c r="DP69" s="217"/>
      <c r="DQ69" s="217"/>
      <c r="DR69" s="211"/>
      <c r="DS69" s="213"/>
      <c r="DT69" s="213"/>
      <c r="DU69" s="213"/>
      <c r="DV69" s="208"/>
      <c r="DW69" s="217"/>
      <c r="DX69" s="217"/>
      <c r="DY69" s="217"/>
      <c r="DZ69" s="211"/>
      <c r="EA69" s="213"/>
      <c r="EB69" s="213"/>
      <c r="EC69" s="213"/>
      <c r="ED69" s="208"/>
      <c r="EE69" s="217"/>
      <c r="EF69" s="217"/>
      <c r="EG69" s="217"/>
      <c r="EH69" s="211"/>
      <c r="EI69" s="213"/>
      <c r="EJ69" s="213"/>
      <c r="EK69" s="213"/>
      <c r="EL69" s="208"/>
      <c r="EM69" s="217"/>
      <c r="EN69" s="217"/>
      <c r="EO69" s="217"/>
      <c r="EP69" s="211"/>
      <c r="EQ69" s="213"/>
      <c r="ER69" s="213"/>
      <c r="ES69" s="213"/>
      <c r="ET69" s="208"/>
      <c r="EU69" s="217"/>
      <c r="EV69" s="217"/>
      <c r="EW69" s="217"/>
      <c r="EX69" s="211"/>
      <c r="EY69" s="213"/>
      <c r="EZ69" s="213"/>
      <c r="FA69" s="213"/>
      <c r="FB69" s="208"/>
      <c r="FC69" s="217"/>
      <c r="FD69" s="217"/>
      <c r="FE69" s="217"/>
      <c r="FF69" s="211"/>
      <c r="FG69" s="213"/>
      <c r="FH69" s="213"/>
      <c r="FI69" s="213"/>
      <c r="FJ69" s="208"/>
      <c r="FK69" s="217"/>
      <c r="FL69" s="217"/>
      <c r="FM69" s="217"/>
      <c r="FN69" s="211"/>
      <c r="FO69" s="213"/>
      <c r="FP69" s="213"/>
      <c r="FQ69" s="213"/>
      <c r="FR69" s="208"/>
      <c r="FS69" s="217"/>
      <c r="FT69" s="217"/>
      <c r="FU69" s="217"/>
      <c r="FV69" s="211"/>
      <c r="FW69" s="213"/>
      <c r="FX69" s="213"/>
      <c r="FY69" s="213"/>
      <c r="FZ69" s="208"/>
      <c r="GA69" s="217"/>
      <c r="GB69" s="217"/>
      <c r="GC69" s="217"/>
      <c r="GD69" s="211"/>
      <c r="GE69" s="213"/>
      <c r="GF69" s="213"/>
      <c r="GG69" s="213"/>
      <c r="GH69" s="208"/>
      <c r="GI69" s="217"/>
      <c r="GJ69" s="217"/>
      <c r="GK69" s="217"/>
      <c r="GL69" s="211"/>
      <c r="GM69" s="213"/>
      <c r="GN69" s="213"/>
      <c r="GO69" s="213"/>
      <c r="GP69" s="208"/>
      <c r="GQ69" s="217"/>
      <c r="GR69" s="217"/>
      <c r="GS69" s="217"/>
    </row>
    <row r="70" spans="1:201" s="218" customFormat="1" ht="205" customHeight="1" x14ac:dyDescent="0.35">
      <c r="B70" s="245">
        <v>61</v>
      </c>
      <c r="C70" s="194"/>
      <c r="D70" s="195"/>
      <c r="E70" s="195"/>
      <c r="F70" s="195"/>
      <c r="G70" s="196"/>
      <c r="H70" s="234"/>
      <c r="I70" s="198"/>
      <c r="J70" s="199"/>
      <c r="K70" s="200"/>
      <c r="L70" s="201"/>
      <c r="M70" s="201"/>
      <c r="N70" s="202"/>
      <c r="O70" s="203">
        <f ca="1">IF(N70="Comentado / Emitir Rev.0",TODAY()-M70,0)</f>
        <v>0</v>
      </c>
      <c r="P70" s="203">
        <f t="shared" ca="1" si="5"/>
        <v>0</v>
      </c>
      <c r="Q70" s="204">
        <f t="shared" si="4"/>
        <v>0</v>
      </c>
      <c r="R70" s="205"/>
      <c r="S70" s="206"/>
      <c r="T70" s="206"/>
      <c r="U70" s="207"/>
      <c r="V70" s="208"/>
      <c r="W70" s="209"/>
      <c r="X70" s="210"/>
      <c r="Y70" s="209"/>
      <c r="Z70" s="211"/>
      <c r="AA70" s="212"/>
      <c r="AB70" s="213"/>
      <c r="AC70" s="214"/>
      <c r="AD70" s="208"/>
      <c r="AE70" s="209"/>
      <c r="AF70" s="210"/>
      <c r="AG70" s="209"/>
      <c r="AH70" s="211"/>
      <c r="AI70" s="212"/>
      <c r="AJ70" s="206"/>
      <c r="AK70" s="214"/>
      <c r="AL70" s="215"/>
      <c r="AM70" s="209"/>
      <c r="AN70" s="210"/>
      <c r="AO70" s="209"/>
      <c r="AP70" s="216"/>
      <c r="AQ70" s="212"/>
      <c r="AR70" s="213"/>
      <c r="AS70" s="214"/>
      <c r="AT70" s="208"/>
      <c r="AU70" s="209"/>
      <c r="AV70" s="210"/>
      <c r="AW70" s="217"/>
      <c r="AX70" s="211"/>
      <c r="AY70" s="213"/>
      <c r="AZ70" s="213"/>
      <c r="BA70" s="213"/>
      <c r="BB70" s="208"/>
      <c r="BC70" s="217"/>
      <c r="BD70" s="210"/>
      <c r="BE70" s="217"/>
      <c r="BF70" s="211"/>
      <c r="BG70" s="213"/>
      <c r="BH70" s="213"/>
      <c r="BI70" s="213"/>
      <c r="BJ70" s="208"/>
      <c r="BK70" s="217"/>
      <c r="BL70" s="210"/>
      <c r="BM70" s="217"/>
      <c r="BN70" s="211"/>
      <c r="BO70" s="213"/>
      <c r="BP70" s="213"/>
      <c r="BQ70" s="213"/>
      <c r="BR70" s="208"/>
      <c r="BS70" s="217"/>
      <c r="BT70" s="210"/>
      <c r="BU70" s="217"/>
      <c r="BV70" s="211"/>
      <c r="BW70" s="213"/>
      <c r="BX70" s="213"/>
      <c r="BY70" s="213"/>
      <c r="BZ70" s="208"/>
      <c r="CA70" s="217"/>
      <c r="CB70" s="217"/>
      <c r="CC70" s="217"/>
      <c r="CD70" s="211"/>
      <c r="CE70" s="213"/>
      <c r="CF70" s="213"/>
      <c r="CG70" s="213"/>
      <c r="CH70" s="208"/>
      <c r="CI70" s="217"/>
      <c r="CJ70" s="217"/>
      <c r="CK70" s="217"/>
      <c r="CL70" s="211"/>
      <c r="CM70" s="213"/>
      <c r="CN70" s="213"/>
      <c r="CO70" s="213"/>
      <c r="CP70" s="208"/>
      <c r="CQ70" s="217"/>
      <c r="CR70" s="217"/>
      <c r="CS70" s="217"/>
      <c r="CT70" s="211"/>
      <c r="CU70" s="213"/>
      <c r="CV70" s="213"/>
      <c r="CW70" s="213"/>
      <c r="CX70" s="208"/>
      <c r="CY70" s="217"/>
      <c r="CZ70" s="217"/>
      <c r="DA70" s="217"/>
      <c r="DB70" s="211"/>
      <c r="DC70" s="213"/>
      <c r="DD70" s="213"/>
      <c r="DE70" s="213"/>
      <c r="DF70" s="208"/>
      <c r="DG70" s="217"/>
      <c r="DH70" s="217"/>
      <c r="DI70" s="217"/>
      <c r="DJ70" s="211"/>
      <c r="DK70" s="213"/>
      <c r="DL70" s="213"/>
      <c r="DM70" s="213"/>
      <c r="DN70" s="208"/>
      <c r="DO70" s="217"/>
      <c r="DP70" s="217"/>
      <c r="DQ70" s="217"/>
      <c r="DR70" s="211"/>
      <c r="DS70" s="213"/>
      <c r="DT70" s="213"/>
      <c r="DU70" s="213"/>
      <c r="DV70" s="208"/>
      <c r="DW70" s="217"/>
      <c r="DX70" s="217"/>
      <c r="DY70" s="217"/>
      <c r="DZ70" s="211"/>
      <c r="EA70" s="213"/>
      <c r="EB70" s="213"/>
      <c r="EC70" s="213"/>
      <c r="ED70" s="208"/>
      <c r="EE70" s="217"/>
      <c r="EF70" s="217"/>
      <c r="EG70" s="217"/>
      <c r="EH70" s="211"/>
      <c r="EI70" s="213"/>
      <c r="EJ70" s="213"/>
      <c r="EK70" s="213"/>
      <c r="EL70" s="208"/>
      <c r="EM70" s="217"/>
      <c r="EN70" s="217"/>
      <c r="EO70" s="217"/>
      <c r="EP70" s="211"/>
      <c r="EQ70" s="213"/>
      <c r="ER70" s="213"/>
      <c r="ES70" s="213"/>
      <c r="ET70" s="208"/>
      <c r="EU70" s="217"/>
      <c r="EV70" s="217"/>
      <c r="EW70" s="217"/>
      <c r="EX70" s="211"/>
      <c r="EY70" s="213"/>
      <c r="EZ70" s="213"/>
      <c r="FA70" s="213"/>
      <c r="FB70" s="208"/>
      <c r="FC70" s="217"/>
      <c r="FD70" s="217"/>
      <c r="FE70" s="217"/>
      <c r="FF70" s="211"/>
      <c r="FG70" s="213"/>
      <c r="FH70" s="213"/>
      <c r="FI70" s="213"/>
      <c r="FJ70" s="208"/>
      <c r="FK70" s="217"/>
      <c r="FL70" s="217"/>
      <c r="FM70" s="217"/>
      <c r="FN70" s="211"/>
      <c r="FO70" s="213"/>
      <c r="FP70" s="213"/>
      <c r="FQ70" s="213"/>
      <c r="FR70" s="208"/>
      <c r="FS70" s="217"/>
      <c r="FT70" s="217"/>
      <c r="FU70" s="217"/>
      <c r="FV70" s="211"/>
      <c r="FW70" s="213"/>
      <c r="FX70" s="213"/>
      <c r="FY70" s="213"/>
      <c r="FZ70" s="208"/>
      <c r="GA70" s="217"/>
      <c r="GB70" s="217"/>
      <c r="GC70" s="217"/>
      <c r="GD70" s="211"/>
      <c r="GE70" s="213"/>
      <c r="GF70" s="213"/>
      <c r="GG70" s="213"/>
      <c r="GH70" s="208"/>
      <c r="GI70" s="217"/>
      <c r="GJ70" s="217"/>
      <c r="GK70" s="217"/>
      <c r="GL70" s="211"/>
      <c r="GM70" s="213"/>
      <c r="GN70" s="213"/>
      <c r="GO70" s="213"/>
      <c r="GP70" s="208"/>
      <c r="GQ70" s="217"/>
      <c r="GR70" s="217"/>
      <c r="GS70" s="217"/>
    </row>
    <row r="71" spans="1:201" s="218" customFormat="1" ht="205" customHeight="1" x14ac:dyDescent="0.35">
      <c r="B71" s="245">
        <v>62</v>
      </c>
      <c r="C71" s="194"/>
      <c r="D71" s="195"/>
      <c r="E71" s="195"/>
      <c r="F71" s="195"/>
      <c r="G71" s="196"/>
      <c r="H71" s="224"/>
      <c r="I71" s="198"/>
      <c r="J71" s="199"/>
      <c r="K71" s="200"/>
      <c r="L71" s="201"/>
      <c r="M71" s="201"/>
      <c r="N71" s="202"/>
      <c r="O71" s="203">
        <f ca="1">IF(N71="Aprobado con comentarios / Emitir Rev.0",TODAY()-M71,0)</f>
        <v>0</v>
      </c>
      <c r="P71" s="203">
        <f t="shared" ca="1" si="5"/>
        <v>0</v>
      </c>
      <c r="Q71" s="204">
        <f t="shared" si="4"/>
        <v>0</v>
      </c>
      <c r="R71" s="205"/>
      <c r="S71" s="206"/>
      <c r="T71" s="206"/>
      <c r="U71" s="207"/>
      <c r="V71" s="208"/>
      <c r="W71" s="209"/>
      <c r="X71" s="210"/>
      <c r="Y71" s="209"/>
      <c r="Z71" s="211"/>
      <c r="AA71" s="212"/>
      <c r="AB71" s="213"/>
      <c r="AC71" s="214"/>
      <c r="AD71" s="208"/>
      <c r="AE71" s="209"/>
      <c r="AF71" s="210"/>
      <c r="AG71" s="209"/>
      <c r="AH71" s="211"/>
      <c r="AI71" s="212"/>
      <c r="AJ71" s="213"/>
      <c r="AK71" s="214"/>
      <c r="AL71" s="215"/>
      <c r="AM71" s="209"/>
      <c r="AN71" s="210"/>
      <c r="AO71" s="209"/>
      <c r="AP71" s="216"/>
      <c r="AQ71" s="212"/>
      <c r="AR71" s="213"/>
      <c r="AS71" s="214"/>
      <c r="AT71" s="208"/>
      <c r="AU71" s="209"/>
      <c r="AV71" s="210"/>
      <c r="AW71" s="217"/>
      <c r="AX71" s="211"/>
      <c r="AY71" s="213"/>
      <c r="AZ71" s="213"/>
      <c r="BA71" s="213"/>
      <c r="BB71" s="208"/>
      <c r="BC71" s="217"/>
      <c r="BD71" s="210"/>
      <c r="BE71" s="217"/>
      <c r="BF71" s="211"/>
      <c r="BG71" s="213"/>
      <c r="BH71" s="213"/>
      <c r="BI71" s="213"/>
      <c r="BJ71" s="208"/>
      <c r="BK71" s="217"/>
      <c r="BL71" s="210"/>
      <c r="BM71" s="217"/>
      <c r="BN71" s="211"/>
      <c r="BO71" s="213"/>
      <c r="BP71" s="213"/>
      <c r="BQ71" s="213"/>
      <c r="BR71" s="208"/>
      <c r="BS71" s="217"/>
      <c r="BT71" s="210"/>
      <c r="BU71" s="217"/>
      <c r="BV71" s="211"/>
      <c r="BW71" s="213"/>
      <c r="BX71" s="213"/>
      <c r="BY71" s="213"/>
      <c r="BZ71" s="208"/>
      <c r="CA71" s="217"/>
      <c r="CB71" s="217"/>
      <c r="CC71" s="217"/>
      <c r="CD71" s="211"/>
      <c r="CE71" s="213"/>
      <c r="CF71" s="213"/>
      <c r="CG71" s="213"/>
      <c r="CH71" s="208"/>
      <c r="CI71" s="217"/>
      <c r="CJ71" s="217"/>
      <c r="CK71" s="217"/>
      <c r="CL71" s="211"/>
      <c r="CM71" s="213"/>
      <c r="CN71" s="213"/>
      <c r="CO71" s="213"/>
      <c r="CP71" s="208"/>
      <c r="CQ71" s="217"/>
      <c r="CR71" s="217"/>
      <c r="CS71" s="217"/>
      <c r="CT71" s="211"/>
      <c r="CU71" s="213"/>
      <c r="CV71" s="213"/>
      <c r="CW71" s="213"/>
      <c r="CX71" s="208"/>
      <c r="CY71" s="217"/>
      <c r="CZ71" s="217"/>
      <c r="DA71" s="217"/>
      <c r="DB71" s="211"/>
      <c r="DC71" s="213"/>
      <c r="DD71" s="213"/>
      <c r="DE71" s="213"/>
      <c r="DF71" s="208"/>
      <c r="DG71" s="217"/>
      <c r="DH71" s="217"/>
      <c r="DI71" s="217"/>
      <c r="DJ71" s="211"/>
      <c r="DK71" s="213"/>
      <c r="DL71" s="213"/>
      <c r="DM71" s="213"/>
      <c r="DN71" s="208"/>
      <c r="DO71" s="217"/>
      <c r="DP71" s="217"/>
      <c r="DQ71" s="217"/>
      <c r="DR71" s="211"/>
      <c r="DS71" s="213"/>
      <c r="DT71" s="213"/>
      <c r="DU71" s="213"/>
      <c r="DV71" s="208"/>
      <c r="DW71" s="217"/>
      <c r="DX71" s="217"/>
      <c r="DY71" s="217"/>
      <c r="DZ71" s="211"/>
      <c r="EA71" s="213"/>
      <c r="EB71" s="213"/>
      <c r="EC71" s="213"/>
      <c r="ED71" s="208"/>
      <c r="EE71" s="217"/>
      <c r="EF71" s="217"/>
      <c r="EG71" s="217"/>
      <c r="EH71" s="211"/>
      <c r="EI71" s="213"/>
      <c r="EJ71" s="213"/>
      <c r="EK71" s="213"/>
      <c r="EL71" s="208"/>
      <c r="EM71" s="217"/>
      <c r="EN71" s="217"/>
      <c r="EO71" s="217"/>
      <c r="EP71" s="211"/>
      <c r="EQ71" s="213"/>
      <c r="ER71" s="213"/>
      <c r="ES71" s="213"/>
      <c r="ET71" s="208"/>
      <c r="EU71" s="217"/>
      <c r="EV71" s="217"/>
      <c r="EW71" s="217"/>
      <c r="EX71" s="211"/>
      <c r="EY71" s="213"/>
      <c r="EZ71" s="213"/>
      <c r="FA71" s="213"/>
      <c r="FB71" s="208"/>
      <c r="FC71" s="217"/>
      <c r="FD71" s="217"/>
      <c r="FE71" s="217"/>
      <c r="FF71" s="211"/>
      <c r="FG71" s="213"/>
      <c r="FH71" s="213"/>
      <c r="FI71" s="213"/>
      <c r="FJ71" s="208"/>
      <c r="FK71" s="217"/>
      <c r="FL71" s="217"/>
      <c r="FM71" s="217"/>
      <c r="FN71" s="211"/>
      <c r="FO71" s="213"/>
      <c r="FP71" s="213"/>
      <c r="FQ71" s="213"/>
      <c r="FR71" s="208"/>
      <c r="FS71" s="217"/>
      <c r="FT71" s="217"/>
      <c r="FU71" s="217"/>
      <c r="FV71" s="211"/>
      <c r="FW71" s="213"/>
      <c r="FX71" s="213"/>
      <c r="FY71" s="213"/>
      <c r="FZ71" s="208"/>
      <c r="GA71" s="217"/>
      <c r="GB71" s="217"/>
      <c r="GC71" s="217"/>
      <c r="GD71" s="211"/>
      <c r="GE71" s="213"/>
      <c r="GF71" s="213"/>
      <c r="GG71" s="213"/>
      <c r="GH71" s="208"/>
      <c r="GI71" s="217"/>
      <c r="GJ71" s="217"/>
      <c r="GK71" s="217"/>
      <c r="GL71" s="211"/>
      <c r="GM71" s="213"/>
      <c r="GN71" s="213"/>
      <c r="GO71" s="213"/>
      <c r="GP71" s="208"/>
      <c r="GQ71" s="217"/>
      <c r="GR71" s="217"/>
      <c r="GS71" s="217"/>
    </row>
    <row r="72" spans="1:201" s="218" customFormat="1" ht="205" customHeight="1" x14ac:dyDescent="0.35">
      <c r="B72" s="245">
        <v>63</v>
      </c>
      <c r="C72" s="195"/>
      <c r="D72" s="195"/>
      <c r="E72" s="195"/>
      <c r="F72" s="195"/>
      <c r="G72" s="196"/>
      <c r="H72" s="224"/>
      <c r="I72" s="198"/>
      <c r="J72" s="199"/>
      <c r="K72" s="200"/>
      <c r="L72" s="201"/>
      <c r="M72" s="201"/>
      <c r="N72" s="202"/>
      <c r="O72" s="203">
        <f ca="1">IF(N72="Rechazado / Reemitir Rev.1",TODAY()-M72,0)</f>
        <v>0</v>
      </c>
      <c r="P72" s="203">
        <f t="shared" ca="1" si="5"/>
        <v>0</v>
      </c>
      <c r="Q72" s="204">
        <f t="shared" si="4"/>
        <v>0</v>
      </c>
      <c r="R72" s="205"/>
      <c r="S72" s="206"/>
      <c r="T72" s="206"/>
      <c r="U72" s="207"/>
      <c r="V72" s="208"/>
      <c r="W72" s="209"/>
      <c r="X72" s="210"/>
      <c r="Y72" s="209"/>
      <c r="Z72" s="211"/>
      <c r="AA72" s="212"/>
      <c r="AB72" s="213"/>
      <c r="AC72" s="207"/>
      <c r="AD72" s="208"/>
      <c r="AE72" s="209"/>
      <c r="AF72" s="210"/>
      <c r="AG72" s="209"/>
      <c r="AH72" s="205"/>
      <c r="AI72" s="206"/>
      <c r="AJ72" s="206"/>
      <c r="AK72" s="207"/>
      <c r="AL72" s="215"/>
      <c r="AM72" s="209"/>
      <c r="AN72" s="210"/>
      <c r="AO72" s="209"/>
      <c r="AP72" s="216"/>
      <c r="AQ72" s="212"/>
      <c r="AR72" s="213"/>
      <c r="AS72" s="214"/>
      <c r="AT72" s="208"/>
      <c r="AU72" s="209"/>
      <c r="AV72" s="210"/>
      <c r="AW72" s="217"/>
      <c r="AX72" s="211"/>
      <c r="AY72" s="213"/>
      <c r="AZ72" s="213"/>
      <c r="BA72" s="213"/>
      <c r="BB72" s="208"/>
      <c r="BC72" s="217"/>
      <c r="BD72" s="210"/>
      <c r="BE72" s="217"/>
      <c r="BF72" s="211"/>
      <c r="BG72" s="213"/>
      <c r="BH72" s="213"/>
      <c r="BI72" s="213"/>
      <c r="BJ72" s="208"/>
      <c r="BK72" s="217"/>
      <c r="BL72" s="210"/>
      <c r="BM72" s="217"/>
      <c r="BN72" s="211"/>
      <c r="BO72" s="213"/>
      <c r="BP72" s="213"/>
      <c r="BQ72" s="213"/>
      <c r="BR72" s="208"/>
      <c r="BS72" s="217"/>
      <c r="BT72" s="210"/>
      <c r="BU72" s="217"/>
      <c r="BV72" s="211"/>
      <c r="BW72" s="213"/>
      <c r="BX72" s="213"/>
      <c r="BY72" s="213"/>
      <c r="BZ72" s="208"/>
      <c r="CA72" s="217"/>
      <c r="CB72" s="217"/>
      <c r="CC72" s="217"/>
      <c r="CD72" s="211"/>
      <c r="CE72" s="213"/>
      <c r="CF72" s="213"/>
      <c r="CG72" s="213"/>
      <c r="CH72" s="208"/>
      <c r="CI72" s="217"/>
      <c r="CJ72" s="217"/>
      <c r="CK72" s="217"/>
      <c r="CL72" s="211"/>
      <c r="CM72" s="213"/>
      <c r="CN72" s="213"/>
      <c r="CO72" s="213"/>
      <c r="CP72" s="208"/>
      <c r="CQ72" s="217"/>
      <c r="CR72" s="217"/>
      <c r="CS72" s="217"/>
      <c r="CT72" s="211"/>
      <c r="CU72" s="213"/>
      <c r="CV72" s="213"/>
      <c r="CW72" s="213"/>
      <c r="CX72" s="208"/>
      <c r="CY72" s="217"/>
      <c r="CZ72" s="217"/>
      <c r="DA72" s="217"/>
      <c r="DB72" s="211"/>
      <c r="DC72" s="213"/>
      <c r="DD72" s="213"/>
      <c r="DE72" s="213"/>
      <c r="DF72" s="208"/>
      <c r="DG72" s="217"/>
      <c r="DH72" s="217"/>
      <c r="DI72" s="217"/>
      <c r="DJ72" s="211"/>
      <c r="DK72" s="213"/>
      <c r="DL72" s="213"/>
      <c r="DM72" s="213"/>
      <c r="DN72" s="208"/>
      <c r="DO72" s="217"/>
      <c r="DP72" s="217"/>
      <c r="DQ72" s="217"/>
      <c r="DR72" s="211"/>
      <c r="DS72" s="213"/>
      <c r="DT72" s="213"/>
      <c r="DU72" s="213"/>
      <c r="DV72" s="208"/>
      <c r="DW72" s="217"/>
      <c r="DX72" s="217"/>
      <c r="DY72" s="217"/>
      <c r="DZ72" s="211"/>
      <c r="EA72" s="213"/>
      <c r="EB72" s="213"/>
      <c r="EC72" s="213"/>
      <c r="ED72" s="208"/>
      <c r="EE72" s="217"/>
      <c r="EF72" s="217"/>
      <c r="EG72" s="217"/>
      <c r="EH72" s="211"/>
      <c r="EI72" s="213"/>
      <c r="EJ72" s="213"/>
      <c r="EK72" s="213"/>
      <c r="EL72" s="208"/>
      <c r="EM72" s="217"/>
      <c r="EN72" s="217"/>
      <c r="EO72" s="217"/>
      <c r="EP72" s="211"/>
      <c r="EQ72" s="213"/>
      <c r="ER72" s="213"/>
      <c r="ES72" s="213"/>
      <c r="ET72" s="208"/>
      <c r="EU72" s="217"/>
      <c r="EV72" s="217"/>
      <c r="EW72" s="217"/>
      <c r="EX72" s="211"/>
      <c r="EY72" s="213"/>
      <c r="EZ72" s="213"/>
      <c r="FA72" s="213"/>
      <c r="FB72" s="208"/>
      <c r="FC72" s="217"/>
      <c r="FD72" s="217"/>
      <c r="FE72" s="217"/>
      <c r="FF72" s="211"/>
      <c r="FG72" s="213"/>
      <c r="FH72" s="213"/>
      <c r="FI72" s="213"/>
      <c r="FJ72" s="208"/>
      <c r="FK72" s="217"/>
      <c r="FL72" s="217"/>
      <c r="FM72" s="217"/>
      <c r="FN72" s="211"/>
      <c r="FO72" s="213"/>
      <c r="FP72" s="213"/>
      <c r="FQ72" s="213"/>
      <c r="FR72" s="208"/>
      <c r="FS72" s="217"/>
      <c r="FT72" s="217"/>
      <c r="FU72" s="217"/>
      <c r="FV72" s="211"/>
      <c r="FW72" s="213"/>
      <c r="FX72" s="213"/>
      <c r="FY72" s="213"/>
      <c r="FZ72" s="208"/>
      <c r="GA72" s="217"/>
      <c r="GB72" s="217"/>
      <c r="GC72" s="217"/>
      <c r="GD72" s="211"/>
      <c r="GE72" s="213"/>
      <c r="GF72" s="213"/>
      <c r="GG72" s="213"/>
      <c r="GH72" s="208"/>
      <c r="GI72" s="217"/>
      <c r="GJ72" s="217"/>
      <c r="GK72" s="217"/>
      <c r="GL72" s="211"/>
      <c r="GM72" s="213"/>
      <c r="GN72" s="213"/>
      <c r="GO72" s="213"/>
      <c r="GP72" s="208"/>
      <c r="GQ72" s="217"/>
      <c r="GR72" s="217"/>
      <c r="GS72" s="217"/>
    </row>
    <row r="73" spans="1:201" s="218" customFormat="1" ht="205" customHeight="1" x14ac:dyDescent="0.35">
      <c r="B73" s="245">
        <v>64</v>
      </c>
      <c r="C73" s="195"/>
      <c r="D73" s="195"/>
      <c r="E73" s="195"/>
      <c r="F73" s="195"/>
      <c r="G73" s="196"/>
      <c r="H73" s="224"/>
      <c r="I73" s="198"/>
      <c r="J73" s="199"/>
      <c r="K73" s="200"/>
      <c r="L73" s="201"/>
      <c r="M73" s="201"/>
      <c r="N73" s="202"/>
      <c r="O73" s="203">
        <f ca="1">IF(N73="Rechazado / Reemitir Rev.1",TODAY()-M73,0)</f>
        <v>0</v>
      </c>
      <c r="P73" s="203">
        <f t="shared" ca="1" si="5"/>
        <v>0</v>
      </c>
      <c r="Q73" s="204">
        <f t="shared" si="4"/>
        <v>0</v>
      </c>
      <c r="R73" s="205"/>
      <c r="S73" s="206"/>
      <c r="T73" s="206"/>
      <c r="U73" s="207"/>
      <c r="V73" s="208"/>
      <c r="W73" s="209"/>
      <c r="X73" s="210"/>
      <c r="Y73" s="209"/>
      <c r="Z73" s="211"/>
      <c r="AA73" s="213"/>
      <c r="AB73" s="213"/>
      <c r="AC73" s="207"/>
      <c r="AD73" s="208"/>
      <c r="AE73" s="209"/>
      <c r="AF73" s="210"/>
      <c r="AG73" s="209"/>
      <c r="AH73" s="205"/>
      <c r="AI73" s="206"/>
      <c r="AJ73" s="206"/>
      <c r="AK73" s="207"/>
      <c r="AL73" s="215"/>
      <c r="AM73" s="209"/>
      <c r="AN73" s="210"/>
      <c r="AO73" s="209"/>
      <c r="AP73" s="216"/>
      <c r="AQ73" s="212"/>
      <c r="AR73" s="213"/>
      <c r="AS73" s="214"/>
      <c r="AT73" s="208"/>
      <c r="AU73" s="217"/>
      <c r="AV73" s="210"/>
      <c r="AW73" s="217"/>
      <c r="AX73" s="211"/>
      <c r="AY73" s="213"/>
      <c r="AZ73" s="213"/>
      <c r="BA73" s="213"/>
      <c r="BB73" s="208"/>
      <c r="BC73" s="217"/>
      <c r="BD73" s="210"/>
      <c r="BE73" s="217"/>
      <c r="BF73" s="211"/>
      <c r="BG73" s="213"/>
      <c r="BH73" s="213"/>
      <c r="BI73" s="213"/>
      <c r="BJ73" s="208"/>
      <c r="BK73" s="217"/>
      <c r="BL73" s="210"/>
      <c r="BM73" s="217"/>
      <c r="BN73" s="211"/>
      <c r="BO73" s="213"/>
      <c r="BP73" s="213"/>
      <c r="BQ73" s="213"/>
      <c r="BR73" s="208"/>
      <c r="BS73" s="217"/>
      <c r="BT73" s="210"/>
      <c r="BU73" s="217"/>
      <c r="BV73" s="211"/>
      <c r="BW73" s="213"/>
      <c r="BX73" s="213"/>
      <c r="BY73" s="213"/>
      <c r="BZ73" s="208"/>
      <c r="CA73" s="217"/>
      <c r="CB73" s="217"/>
      <c r="CC73" s="217"/>
      <c r="CD73" s="211"/>
      <c r="CE73" s="213"/>
      <c r="CF73" s="213"/>
      <c r="CG73" s="213"/>
      <c r="CH73" s="208"/>
      <c r="CI73" s="217"/>
      <c r="CJ73" s="217"/>
      <c r="CK73" s="217"/>
      <c r="CL73" s="211"/>
      <c r="CM73" s="213"/>
      <c r="CN73" s="213"/>
      <c r="CO73" s="213"/>
      <c r="CP73" s="208"/>
      <c r="CQ73" s="217"/>
      <c r="CR73" s="217"/>
      <c r="CS73" s="217"/>
      <c r="CT73" s="211"/>
      <c r="CU73" s="213"/>
      <c r="CV73" s="213"/>
      <c r="CW73" s="213"/>
      <c r="CX73" s="208"/>
      <c r="CY73" s="217"/>
      <c r="CZ73" s="217"/>
      <c r="DA73" s="217"/>
      <c r="DB73" s="211"/>
      <c r="DC73" s="213"/>
      <c r="DD73" s="213"/>
      <c r="DE73" s="213"/>
      <c r="DF73" s="208"/>
      <c r="DG73" s="217"/>
      <c r="DH73" s="217"/>
      <c r="DI73" s="217"/>
      <c r="DJ73" s="211"/>
      <c r="DK73" s="213"/>
      <c r="DL73" s="213"/>
      <c r="DM73" s="213"/>
      <c r="DN73" s="208"/>
      <c r="DO73" s="217"/>
      <c r="DP73" s="217"/>
      <c r="DQ73" s="217"/>
      <c r="DR73" s="211"/>
      <c r="DS73" s="213"/>
      <c r="DT73" s="213"/>
      <c r="DU73" s="213"/>
      <c r="DV73" s="208"/>
      <c r="DW73" s="217"/>
      <c r="DX73" s="217"/>
      <c r="DY73" s="217"/>
      <c r="DZ73" s="211"/>
      <c r="EA73" s="213"/>
      <c r="EB73" s="213"/>
      <c r="EC73" s="213"/>
      <c r="ED73" s="208"/>
      <c r="EE73" s="217"/>
      <c r="EF73" s="217"/>
      <c r="EG73" s="217"/>
      <c r="EH73" s="211"/>
      <c r="EI73" s="213"/>
      <c r="EJ73" s="213"/>
      <c r="EK73" s="213"/>
      <c r="EL73" s="208"/>
      <c r="EM73" s="217"/>
      <c r="EN73" s="217"/>
      <c r="EO73" s="217"/>
      <c r="EP73" s="211"/>
      <c r="EQ73" s="213"/>
      <c r="ER73" s="213"/>
      <c r="ES73" s="213"/>
      <c r="ET73" s="208"/>
      <c r="EU73" s="217"/>
      <c r="EV73" s="217"/>
      <c r="EW73" s="217"/>
      <c r="EX73" s="211"/>
      <c r="EY73" s="213"/>
      <c r="EZ73" s="213"/>
      <c r="FA73" s="213"/>
      <c r="FB73" s="208"/>
      <c r="FC73" s="217"/>
      <c r="FD73" s="217"/>
      <c r="FE73" s="217"/>
      <c r="FF73" s="211"/>
      <c r="FG73" s="213"/>
      <c r="FH73" s="213"/>
      <c r="FI73" s="213"/>
      <c r="FJ73" s="208"/>
      <c r="FK73" s="217"/>
      <c r="FL73" s="217"/>
      <c r="FM73" s="217"/>
      <c r="FN73" s="211"/>
      <c r="FO73" s="213"/>
      <c r="FP73" s="213"/>
      <c r="FQ73" s="213"/>
      <c r="FR73" s="208"/>
      <c r="FS73" s="217"/>
      <c r="FT73" s="217"/>
      <c r="FU73" s="217"/>
      <c r="FV73" s="211"/>
      <c r="FW73" s="213"/>
      <c r="FX73" s="213"/>
      <c r="FY73" s="213"/>
      <c r="FZ73" s="208"/>
      <c r="GA73" s="217"/>
      <c r="GB73" s="217"/>
      <c r="GC73" s="217"/>
      <c r="GD73" s="211"/>
      <c r="GE73" s="213"/>
      <c r="GF73" s="213"/>
      <c r="GG73" s="213"/>
      <c r="GH73" s="208"/>
      <c r="GI73" s="217"/>
      <c r="GJ73" s="217"/>
      <c r="GK73" s="217"/>
      <c r="GL73" s="211"/>
      <c r="GM73" s="213"/>
      <c r="GN73" s="213"/>
      <c r="GO73" s="213"/>
      <c r="GP73" s="208"/>
      <c r="GQ73" s="217"/>
      <c r="GR73" s="217"/>
      <c r="GS73" s="217"/>
    </row>
    <row r="74" spans="1:201" s="218" customFormat="1" ht="137.5" customHeight="1" x14ac:dyDescent="0.35">
      <c r="B74" s="245">
        <v>65</v>
      </c>
      <c r="C74" s="195"/>
      <c r="D74" s="195"/>
      <c r="E74" s="195"/>
      <c r="F74" s="195"/>
      <c r="G74" s="196"/>
      <c r="H74" s="197"/>
      <c r="I74" s="198"/>
      <c r="J74" s="199"/>
      <c r="K74" s="200"/>
      <c r="L74" s="201"/>
      <c r="M74" s="201"/>
      <c r="N74" s="202"/>
      <c r="O74" s="203">
        <f ca="1">IF(N74="Aprobado con comentarios / Emitir Rev.0",TODAY()-M74,0)</f>
        <v>0</v>
      </c>
      <c r="P74" s="203">
        <f t="shared" ca="1" si="5"/>
        <v>0</v>
      </c>
      <c r="Q74" s="204">
        <f t="shared" si="4"/>
        <v>0</v>
      </c>
      <c r="R74" s="205"/>
      <c r="S74" s="206"/>
      <c r="T74" s="206"/>
      <c r="U74" s="207"/>
      <c r="V74" s="208"/>
      <c r="W74" s="209"/>
      <c r="X74" s="210"/>
      <c r="Y74" s="209"/>
      <c r="Z74" s="211"/>
      <c r="AA74" s="212"/>
      <c r="AB74" s="213"/>
      <c r="AC74" s="214"/>
      <c r="AD74" s="208"/>
      <c r="AE74" s="209"/>
      <c r="AF74" s="210"/>
      <c r="AG74" s="209"/>
      <c r="AH74" s="205"/>
      <c r="AI74" s="206"/>
      <c r="AJ74" s="206"/>
      <c r="AK74" s="207"/>
      <c r="AL74" s="215"/>
      <c r="AM74" s="209"/>
      <c r="AN74" s="210"/>
      <c r="AO74" s="209"/>
      <c r="AP74" s="216"/>
      <c r="AQ74" s="212"/>
      <c r="AR74" s="213"/>
      <c r="AS74" s="214"/>
      <c r="AT74" s="208"/>
      <c r="AU74" s="209"/>
      <c r="AV74" s="210"/>
      <c r="AW74" s="217"/>
      <c r="AX74" s="211"/>
      <c r="AY74" s="213"/>
      <c r="AZ74" s="213"/>
      <c r="BA74" s="213"/>
      <c r="BB74" s="208"/>
      <c r="BC74" s="217"/>
      <c r="BD74" s="210"/>
      <c r="BE74" s="217"/>
      <c r="BF74" s="211"/>
      <c r="BG74" s="213"/>
      <c r="BH74" s="213"/>
      <c r="BI74" s="213"/>
      <c r="BJ74" s="208"/>
      <c r="BK74" s="217"/>
      <c r="BL74" s="210"/>
      <c r="BM74" s="217"/>
      <c r="BN74" s="211"/>
      <c r="BO74" s="213"/>
      <c r="BP74" s="213"/>
      <c r="BQ74" s="213"/>
      <c r="BR74" s="208"/>
      <c r="BS74" s="217"/>
      <c r="BT74" s="210"/>
      <c r="BU74" s="217"/>
      <c r="BV74" s="211"/>
      <c r="BW74" s="213"/>
      <c r="BX74" s="213"/>
      <c r="BY74" s="213"/>
      <c r="BZ74" s="208"/>
      <c r="CA74" s="217"/>
      <c r="CB74" s="217"/>
      <c r="CC74" s="217"/>
      <c r="CD74" s="211"/>
      <c r="CE74" s="213"/>
      <c r="CF74" s="213"/>
      <c r="CG74" s="213"/>
      <c r="CH74" s="208"/>
      <c r="CI74" s="217"/>
      <c r="CJ74" s="217"/>
      <c r="CK74" s="217"/>
      <c r="CL74" s="211"/>
      <c r="CM74" s="213"/>
      <c r="CN74" s="213"/>
      <c r="CO74" s="213"/>
      <c r="CP74" s="208"/>
      <c r="CQ74" s="217"/>
      <c r="CR74" s="217"/>
      <c r="CS74" s="217"/>
      <c r="CT74" s="211"/>
      <c r="CU74" s="213"/>
      <c r="CV74" s="213"/>
      <c r="CW74" s="213"/>
      <c r="CX74" s="208"/>
      <c r="CY74" s="217"/>
      <c r="CZ74" s="217"/>
      <c r="DA74" s="217"/>
      <c r="DB74" s="211"/>
      <c r="DC74" s="213"/>
      <c r="DD74" s="213"/>
      <c r="DE74" s="213"/>
      <c r="DF74" s="208"/>
      <c r="DG74" s="217"/>
      <c r="DH74" s="217"/>
      <c r="DI74" s="217"/>
      <c r="DJ74" s="211"/>
      <c r="DK74" s="213"/>
      <c r="DL74" s="213"/>
      <c r="DM74" s="213"/>
      <c r="DN74" s="208"/>
      <c r="DO74" s="217"/>
      <c r="DP74" s="217"/>
      <c r="DQ74" s="217"/>
      <c r="DR74" s="211"/>
      <c r="DS74" s="213"/>
      <c r="DT74" s="213"/>
      <c r="DU74" s="213"/>
      <c r="DV74" s="208"/>
      <c r="DW74" s="217"/>
      <c r="DX74" s="217"/>
      <c r="DY74" s="217"/>
      <c r="DZ74" s="211"/>
      <c r="EA74" s="213"/>
      <c r="EB74" s="213"/>
      <c r="EC74" s="213"/>
      <c r="ED74" s="208"/>
      <c r="EE74" s="217"/>
      <c r="EF74" s="217"/>
      <c r="EG74" s="217"/>
      <c r="EH74" s="211"/>
      <c r="EI74" s="213"/>
      <c r="EJ74" s="213"/>
      <c r="EK74" s="213"/>
      <c r="EL74" s="208"/>
      <c r="EM74" s="217"/>
      <c r="EN74" s="217"/>
      <c r="EO74" s="217"/>
      <c r="EP74" s="211"/>
      <c r="EQ74" s="213"/>
      <c r="ER74" s="213"/>
      <c r="ES74" s="213"/>
      <c r="ET74" s="208"/>
      <c r="EU74" s="217"/>
      <c r="EV74" s="217"/>
      <c r="EW74" s="217"/>
      <c r="EX74" s="211"/>
      <c r="EY74" s="213"/>
      <c r="EZ74" s="213"/>
      <c r="FA74" s="213"/>
      <c r="FB74" s="208"/>
      <c r="FC74" s="217"/>
      <c r="FD74" s="217"/>
      <c r="FE74" s="217"/>
      <c r="FF74" s="211"/>
      <c r="FG74" s="213"/>
      <c r="FH74" s="213"/>
      <c r="FI74" s="213"/>
      <c r="FJ74" s="208"/>
      <c r="FK74" s="217"/>
      <c r="FL74" s="217"/>
      <c r="FM74" s="217"/>
      <c r="FN74" s="211"/>
      <c r="FO74" s="213"/>
      <c r="FP74" s="213"/>
      <c r="FQ74" s="213"/>
      <c r="FR74" s="208"/>
      <c r="FS74" s="217"/>
      <c r="FT74" s="217"/>
      <c r="FU74" s="217"/>
      <c r="FV74" s="211"/>
      <c r="FW74" s="213"/>
      <c r="FX74" s="213"/>
      <c r="FY74" s="213"/>
      <c r="FZ74" s="208"/>
      <c r="GA74" s="217"/>
      <c r="GB74" s="217"/>
      <c r="GC74" s="217"/>
      <c r="GD74" s="211"/>
      <c r="GE74" s="213"/>
      <c r="GF74" s="213"/>
      <c r="GG74" s="213"/>
      <c r="GH74" s="208"/>
      <c r="GI74" s="217"/>
      <c r="GJ74" s="217"/>
      <c r="GK74" s="217"/>
      <c r="GL74" s="211"/>
      <c r="GM74" s="213"/>
      <c r="GN74" s="213"/>
      <c r="GO74" s="213"/>
      <c r="GP74" s="208"/>
      <c r="GQ74" s="217"/>
      <c r="GR74" s="217"/>
      <c r="GS74" s="217"/>
    </row>
    <row r="75" spans="1:201" s="218" customFormat="1" ht="137.5" customHeight="1" x14ac:dyDescent="0.35">
      <c r="B75" s="245">
        <v>66</v>
      </c>
      <c r="C75" s="195"/>
      <c r="D75" s="195"/>
      <c r="E75" s="195"/>
      <c r="F75" s="195"/>
      <c r="G75" s="222"/>
      <c r="H75" s="220"/>
      <c r="I75" s="198"/>
      <c r="J75" s="199"/>
      <c r="K75" s="200"/>
      <c r="L75" s="201"/>
      <c r="M75" s="201"/>
      <c r="N75" s="202"/>
      <c r="O75" s="203">
        <f ca="1">IF(N75="Comentado / Emitir Rev.C",TODAY()-M75,0)</f>
        <v>0</v>
      </c>
      <c r="P75" s="203">
        <f t="shared" ca="1" si="5"/>
        <v>0</v>
      </c>
      <c r="Q75" s="204">
        <f t="shared" si="4"/>
        <v>0</v>
      </c>
      <c r="R75" s="205"/>
      <c r="S75" s="206"/>
      <c r="T75" s="206"/>
      <c r="U75" s="207"/>
      <c r="V75" s="208"/>
      <c r="W75" s="209"/>
      <c r="X75" s="210"/>
      <c r="Y75" s="209"/>
      <c r="Z75" s="211"/>
      <c r="AA75" s="212"/>
      <c r="AB75" s="213"/>
      <c r="AC75" s="214"/>
      <c r="AD75" s="208"/>
      <c r="AE75" s="209"/>
      <c r="AF75" s="210"/>
      <c r="AG75" s="209"/>
      <c r="AH75" s="211"/>
      <c r="AI75" s="212"/>
      <c r="AJ75" s="213"/>
      <c r="AK75" s="214"/>
      <c r="AL75" s="215"/>
      <c r="AM75" s="209"/>
      <c r="AN75" s="210"/>
      <c r="AO75" s="209"/>
      <c r="AP75" s="216"/>
      <c r="AQ75" s="212"/>
      <c r="AR75" s="213"/>
      <c r="AS75" s="214"/>
      <c r="AT75" s="208"/>
      <c r="AU75" s="209"/>
      <c r="AV75" s="210"/>
      <c r="AW75" s="217"/>
      <c r="AX75" s="211"/>
      <c r="AY75" s="213"/>
      <c r="AZ75" s="213"/>
      <c r="BA75" s="213"/>
      <c r="BB75" s="208"/>
      <c r="BC75" s="217"/>
      <c r="BD75" s="210"/>
      <c r="BE75" s="217"/>
      <c r="BF75" s="211"/>
      <c r="BG75" s="213"/>
      <c r="BH75" s="213"/>
      <c r="BI75" s="213"/>
      <c r="BJ75" s="208"/>
      <c r="BK75" s="217"/>
      <c r="BL75" s="210"/>
      <c r="BM75" s="217"/>
      <c r="BN75" s="211"/>
      <c r="BO75" s="213"/>
      <c r="BP75" s="213"/>
      <c r="BQ75" s="213"/>
      <c r="BR75" s="208"/>
      <c r="BS75" s="217"/>
      <c r="BT75" s="210"/>
      <c r="BU75" s="217"/>
      <c r="BV75" s="211"/>
      <c r="BW75" s="213"/>
      <c r="BX75" s="213"/>
      <c r="BY75" s="213"/>
      <c r="BZ75" s="208"/>
      <c r="CA75" s="217"/>
      <c r="CB75" s="217"/>
      <c r="CC75" s="217"/>
      <c r="CD75" s="211"/>
      <c r="CE75" s="213"/>
      <c r="CF75" s="213"/>
      <c r="CG75" s="213"/>
      <c r="CH75" s="208"/>
      <c r="CI75" s="217"/>
      <c r="CJ75" s="217"/>
      <c r="CK75" s="217"/>
      <c r="CL75" s="211"/>
      <c r="CM75" s="213"/>
      <c r="CN75" s="213"/>
      <c r="CO75" s="213"/>
      <c r="CP75" s="208"/>
      <c r="CQ75" s="217"/>
      <c r="CR75" s="217"/>
      <c r="CS75" s="217"/>
      <c r="CT75" s="211"/>
      <c r="CU75" s="213"/>
      <c r="CV75" s="213"/>
      <c r="CW75" s="213"/>
      <c r="CX75" s="208"/>
      <c r="CY75" s="217"/>
      <c r="CZ75" s="217"/>
      <c r="DA75" s="217"/>
      <c r="DB75" s="211"/>
      <c r="DC75" s="213"/>
      <c r="DD75" s="213"/>
      <c r="DE75" s="213"/>
      <c r="DF75" s="208"/>
      <c r="DG75" s="217"/>
      <c r="DH75" s="217"/>
      <c r="DI75" s="217"/>
      <c r="DJ75" s="211"/>
      <c r="DK75" s="213"/>
      <c r="DL75" s="213"/>
      <c r="DM75" s="213"/>
      <c r="DN75" s="208"/>
      <c r="DO75" s="217"/>
      <c r="DP75" s="217"/>
      <c r="DQ75" s="217"/>
      <c r="DR75" s="211"/>
      <c r="DS75" s="213"/>
      <c r="DT75" s="213"/>
      <c r="DU75" s="213"/>
      <c r="DV75" s="208"/>
      <c r="DW75" s="217"/>
      <c r="DX75" s="217"/>
      <c r="DY75" s="217"/>
      <c r="DZ75" s="211"/>
      <c r="EA75" s="213"/>
      <c r="EB75" s="213"/>
      <c r="EC75" s="213"/>
      <c r="ED75" s="208"/>
      <c r="EE75" s="217"/>
      <c r="EF75" s="217"/>
      <c r="EG75" s="217"/>
      <c r="EH75" s="211"/>
      <c r="EI75" s="213"/>
      <c r="EJ75" s="213"/>
      <c r="EK75" s="213"/>
      <c r="EL75" s="208"/>
      <c r="EM75" s="217"/>
      <c r="EN75" s="217"/>
      <c r="EO75" s="217"/>
      <c r="EP75" s="211"/>
      <c r="EQ75" s="213"/>
      <c r="ER75" s="213"/>
      <c r="ES75" s="213"/>
      <c r="ET75" s="208"/>
      <c r="EU75" s="217"/>
      <c r="EV75" s="217"/>
      <c r="EW75" s="217"/>
      <c r="EX75" s="211"/>
      <c r="EY75" s="213"/>
      <c r="EZ75" s="213"/>
      <c r="FA75" s="213"/>
      <c r="FB75" s="208"/>
      <c r="FC75" s="217"/>
      <c r="FD75" s="217"/>
      <c r="FE75" s="217"/>
      <c r="FF75" s="211"/>
      <c r="FG75" s="213"/>
      <c r="FH75" s="213"/>
      <c r="FI75" s="213"/>
      <c r="FJ75" s="208"/>
      <c r="FK75" s="217"/>
      <c r="FL75" s="217"/>
      <c r="FM75" s="217"/>
      <c r="FN75" s="211"/>
      <c r="FO75" s="213"/>
      <c r="FP75" s="213"/>
      <c r="FQ75" s="213"/>
      <c r="FR75" s="208"/>
      <c r="FS75" s="217"/>
      <c r="FT75" s="217"/>
      <c r="FU75" s="217"/>
      <c r="FV75" s="211"/>
      <c r="FW75" s="213"/>
      <c r="FX75" s="213"/>
      <c r="FY75" s="213"/>
      <c r="FZ75" s="208"/>
      <c r="GA75" s="217"/>
      <c r="GB75" s="217"/>
      <c r="GC75" s="217"/>
      <c r="GD75" s="211"/>
      <c r="GE75" s="213"/>
      <c r="GF75" s="213"/>
      <c r="GG75" s="213"/>
      <c r="GH75" s="208"/>
      <c r="GI75" s="217"/>
      <c r="GJ75" s="217"/>
      <c r="GK75" s="217"/>
      <c r="GL75" s="211"/>
      <c r="GM75" s="213"/>
      <c r="GN75" s="213"/>
      <c r="GO75" s="213"/>
      <c r="GP75" s="208"/>
      <c r="GQ75" s="217"/>
      <c r="GR75" s="217"/>
      <c r="GS75" s="217"/>
    </row>
    <row r="76" spans="1:201" s="218" customFormat="1" ht="137.5" customHeight="1" x14ac:dyDescent="0.35">
      <c r="B76" s="245">
        <v>67</v>
      </c>
      <c r="C76" s="194"/>
      <c r="D76" s="195"/>
      <c r="E76" s="195"/>
      <c r="F76" s="195"/>
      <c r="G76" s="222"/>
      <c r="H76" s="220"/>
      <c r="I76" s="198"/>
      <c r="J76" s="199"/>
      <c r="K76" s="200"/>
      <c r="L76" s="201"/>
      <c r="M76" s="201"/>
      <c r="N76" s="202"/>
      <c r="O76" s="203">
        <f ca="1">IF(N76="Comentado / Emitir Rev.C",TODAY()-M76,0)</f>
        <v>0</v>
      </c>
      <c r="P76" s="203">
        <f t="shared" ca="1" si="5"/>
        <v>0</v>
      </c>
      <c r="Q76" s="204">
        <f t="shared" si="4"/>
        <v>0</v>
      </c>
      <c r="R76" s="205"/>
      <c r="S76" s="206"/>
      <c r="T76" s="206"/>
      <c r="U76" s="207"/>
      <c r="V76" s="208"/>
      <c r="W76" s="209"/>
      <c r="X76" s="210"/>
      <c r="Y76" s="209"/>
      <c r="Z76" s="211"/>
      <c r="AA76" s="212"/>
      <c r="AB76" s="213"/>
      <c r="AC76" s="214"/>
      <c r="AD76" s="208"/>
      <c r="AE76" s="209"/>
      <c r="AF76" s="210"/>
      <c r="AG76" s="209"/>
      <c r="AH76" s="211"/>
      <c r="AI76" s="212"/>
      <c r="AJ76" s="213"/>
      <c r="AK76" s="214"/>
      <c r="AL76" s="215"/>
      <c r="AM76" s="209"/>
      <c r="AN76" s="210"/>
      <c r="AO76" s="209"/>
      <c r="AP76" s="216"/>
      <c r="AQ76" s="212"/>
      <c r="AR76" s="213"/>
      <c r="AS76" s="214"/>
      <c r="AT76" s="208"/>
      <c r="AU76" s="209"/>
      <c r="AV76" s="210"/>
      <c r="AW76" s="217"/>
      <c r="AX76" s="211"/>
      <c r="AY76" s="213"/>
      <c r="AZ76" s="213"/>
      <c r="BA76" s="213"/>
      <c r="BB76" s="208"/>
      <c r="BC76" s="217"/>
      <c r="BD76" s="210"/>
      <c r="BE76" s="217"/>
      <c r="BF76" s="211"/>
      <c r="BG76" s="213"/>
      <c r="BH76" s="213"/>
      <c r="BI76" s="213"/>
      <c r="BJ76" s="208"/>
      <c r="BK76" s="217"/>
      <c r="BL76" s="210"/>
      <c r="BM76" s="217"/>
      <c r="BN76" s="211"/>
      <c r="BO76" s="213"/>
      <c r="BP76" s="213"/>
      <c r="BQ76" s="213"/>
      <c r="BR76" s="208"/>
      <c r="BS76" s="217"/>
      <c r="BT76" s="210"/>
      <c r="BU76" s="217"/>
      <c r="BV76" s="211"/>
      <c r="BW76" s="213"/>
      <c r="BX76" s="213"/>
      <c r="BY76" s="213"/>
      <c r="BZ76" s="208"/>
      <c r="CA76" s="217"/>
      <c r="CB76" s="217"/>
      <c r="CC76" s="217"/>
      <c r="CD76" s="211"/>
      <c r="CE76" s="213"/>
      <c r="CF76" s="213"/>
      <c r="CG76" s="213"/>
      <c r="CH76" s="208"/>
      <c r="CI76" s="217"/>
      <c r="CJ76" s="217"/>
      <c r="CK76" s="217"/>
      <c r="CL76" s="211"/>
      <c r="CM76" s="213"/>
      <c r="CN76" s="213"/>
      <c r="CO76" s="213"/>
      <c r="CP76" s="208"/>
      <c r="CQ76" s="217"/>
      <c r="CR76" s="217"/>
      <c r="CS76" s="217"/>
      <c r="CT76" s="211"/>
      <c r="CU76" s="213"/>
      <c r="CV76" s="213"/>
      <c r="CW76" s="213"/>
      <c r="CX76" s="208"/>
      <c r="CY76" s="217"/>
      <c r="CZ76" s="217"/>
      <c r="DA76" s="217"/>
      <c r="DB76" s="211"/>
      <c r="DC76" s="213"/>
      <c r="DD76" s="213"/>
      <c r="DE76" s="213"/>
      <c r="DF76" s="208"/>
      <c r="DG76" s="217"/>
      <c r="DH76" s="217"/>
      <c r="DI76" s="217"/>
      <c r="DJ76" s="211"/>
      <c r="DK76" s="213"/>
      <c r="DL76" s="213"/>
      <c r="DM76" s="213"/>
      <c r="DN76" s="208"/>
      <c r="DO76" s="217"/>
      <c r="DP76" s="217"/>
      <c r="DQ76" s="217"/>
      <c r="DR76" s="211"/>
      <c r="DS76" s="213"/>
      <c r="DT76" s="213"/>
      <c r="DU76" s="213"/>
      <c r="DV76" s="208"/>
      <c r="DW76" s="217"/>
      <c r="DX76" s="217"/>
      <c r="DY76" s="217"/>
      <c r="DZ76" s="211"/>
      <c r="EA76" s="213"/>
      <c r="EB76" s="213"/>
      <c r="EC76" s="213"/>
      <c r="ED76" s="208"/>
      <c r="EE76" s="217"/>
      <c r="EF76" s="217"/>
      <c r="EG76" s="217"/>
      <c r="EH76" s="211"/>
      <c r="EI76" s="213"/>
      <c r="EJ76" s="213"/>
      <c r="EK76" s="213"/>
      <c r="EL76" s="208"/>
      <c r="EM76" s="217"/>
      <c r="EN76" s="217"/>
      <c r="EO76" s="217"/>
      <c r="EP76" s="211"/>
      <c r="EQ76" s="213"/>
      <c r="ER76" s="213"/>
      <c r="ES76" s="213"/>
      <c r="ET76" s="208"/>
      <c r="EU76" s="217"/>
      <c r="EV76" s="217"/>
      <c r="EW76" s="217"/>
      <c r="EX76" s="211"/>
      <c r="EY76" s="213"/>
      <c r="EZ76" s="213"/>
      <c r="FA76" s="213"/>
      <c r="FB76" s="208"/>
      <c r="FC76" s="217"/>
      <c r="FD76" s="217"/>
      <c r="FE76" s="217"/>
      <c r="FF76" s="211"/>
      <c r="FG76" s="213"/>
      <c r="FH76" s="213"/>
      <c r="FI76" s="213"/>
      <c r="FJ76" s="208"/>
      <c r="FK76" s="217"/>
      <c r="FL76" s="217"/>
      <c r="FM76" s="217"/>
      <c r="FN76" s="211"/>
      <c r="FO76" s="213"/>
      <c r="FP76" s="213"/>
      <c r="FQ76" s="213"/>
      <c r="FR76" s="208"/>
      <c r="FS76" s="217"/>
      <c r="FT76" s="217"/>
      <c r="FU76" s="217"/>
      <c r="FV76" s="211"/>
      <c r="FW76" s="213"/>
      <c r="FX76" s="213"/>
      <c r="FY76" s="213"/>
      <c r="FZ76" s="208"/>
      <c r="GA76" s="217"/>
      <c r="GB76" s="217"/>
      <c r="GC76" s="217"/>
      <c r="GD76" s="211"/>
      <c r="GE76" s="213"/>
      <c r="GF76" s="213"/>
      <c r="GG76" s="213"/>
      <c r="GH76" s="208"/>
      <c r="GI76" s="217"/>
      <c r="GJ76" s="217"/>
      <c r="GK76" s="217"/>
      <c r="GL76" s="211"/>
      <c r="GM76" s="213"/>
      <c r="GN76" s="213"/>
      <c r="GO76" s="213"/>
      <c r="GP76" s="208"/>
      <c r="GQ76" s="217"/>
      <c r="GR76" s="217"/>
      <c r="GS76" s="217"/>
    </row>
    <row r="77" spans="1:201" s="218" customFormat="1" ht="137.5" customHeight="1" x14ac:dyDescent="0.35">
      <c r="B77" s="245">
        <v>68</v>
      </c>
      <c r="C77" s="194"/>
      <c r="D77" s="195"/>
      <c r="E77" s="195"/>
      <c r="F77" s="195"/>
      <c r="G77" s="196"/>
      <c r="H77" s="197"/>
      <c r="I77" s="198"/>
      <c r="J77" s="199"/>
      <c r="K77" s="200"/>
      <c r="L77" s="201"/>
      <c r="M77" s="201"/>
      <c r="N77" s="202"/>
      <c r="O77" s="203">
        <f ca="1">IF(N77="Aprobado con comentarios / Emitir Rev.0",TODAY()-M77,0)</f>
        <v>0</v>
      </c>
      <c r="P77" s="203">
        <f t="shared" ca="1" si="5"/>
        <v>0</v>
      </c>
      <c r="Q77" s="204"/>
      <c r="R77" s="205"/>
      <c r="S77" s="206"/>
      <c r="T77" s="206"/>
      <c r="U77" s="207"/>
      <c r="V77" s="208"/>
      <c r="W77" s="209"/>
      <c r="X77" s="210"/>
      <c r="Y77" s="209"/>
      <c r="Z77" s="211"/>
      <c r="AA77" s="212"/>
      <c r="AB77" s="213"/>
      <c r="AC77" s="214"/>
      <c r="AD77" s="208"/>
      <c r="AE77" s="209"/>
      <c r="AF77" s="210"/>
      <c r="AG77" s="209"/>
      <c r="AH77" s="211"/>
      <c r="AI77" s="212"/>
      <c r="AJ77" s="213"/>
      <c r="AK77" s="214"/>
      <c r="AL77" s="215"/>
      <c r="AM77" s="209"/>
      <c r="AN77" s="210"/>
      <c r="AO77" s="209"/>
      <c r="AP77" s="216"/>
      <c r="AQ77" s="212"/>
      <c r="AR77" s="213"/>
      <c r="AS77" s="214"/>
      <c r="AT77" s="208"/>
      <c r="AU77" s="209"/>
      <c r="AV77" s="210"/>
      <c r="AW77" s="217"/>
      <c r="AX77" s="211"/>
      <c r="AY77" s="213"/>
      <c r="AZ77" s="213"/>
      <c r="BA77" s="213"/>
      <c r="BB77" s="208"/>
      <c r="BC77" s="217"/>
      <c r="BD77" s="210"/>
      <c r="BE77" s="217"/>
      <c r="BF77" s="211"/>
      <c r="BG77" s="213"/>
      <c r="BH77" s="213"/>
      <c r="BI77" s="213"/>
      <c r="BJ77" s="208"/>
      <c r="BK77" s="217"/>
      <c r="BL77" s="210"/>
      <c r="BM77" s="217"/>
      <c r="BN77" s="211"/>
      <c r="BO77" s="213"/>
      <c r="BP77" s="213"/>
      <c r="BQ77" s="213"/>
      <c r="BR77" s="208"/>
      <c r="BS77" s="217"/>
      <c r="BT77" s="210"/>
      <c r="BU77" s="217"/>
      <c r="BV77" s="211"/>
      <c r="BW77" s="213"/>
      <c r="BX77" s="213"/>
      <c r="BY77" s="213"/>
      <c r="BZ77" s="208"/>
      <c r="CA77" s="217"/>
      <c r="CB77" s="217"/>
      <c r="CC77" s="217"/>
      <c r="CD77" s="211"/>
      <c r="CE77" s="213"/>
      <c r="CF77" s="213"/>
      <c r="CG77" s="213"/>
      <c r="CH77" s="208"/>
      <c r="CI77" s="217"/>
      <c r="CJ77" s="217"/>
      <c r="CK77" s="217"/>
      <c r="CL77" s="211"/>
      <c r="CM77" s="213"/>
      <c r="CN77" s="213"/>
      <c r="CO77" s="213"/>
      <c r="CP77" s="208"/>
      <c r="CQ77" s="217"/>
      <c r="CR77" s="217"/>
      <c r="CS77" s="217"/>
      <c r="CT77" s="211"/>
      <c r="CU77" s="213"/>
      <c r="CV77" s="213"/>
      <c r="CW77" s="213"/>
      <c r="CX77" s="208"/>
      <c r="CY77" s="217"/>
      <c r="CZ77" s="217"/>
      <c r="DA77" s="217"/>
      <c r="DB77" s="211"/>
      <c r="DC77" s="213"/>
      <c r="DD77" s="213"/>
      <c r="DE77" s="213"/>
      <c r="DF77" s="208"/>
      <c r="DG77" s="217"/>
      <c r="DH77" s="217"/>
      <c r="DI77" s="217"/>
      <c r="DJ77" s="211"/>
      <c r="DK77" s="213"/>
      <c r="DL77" s="213"/>
      <c r="DM77" s="213"/>
      <c r="DN77" s="208"/>
      <c r="DO77" s="217"/>
      <c r="DP77" s="217"/>
      <c r="DQ77" s="217"/>
      <c r="DR77" s="211"/>
      <c r="DS77" s="213"/>
      <c r="DT77" s="213"/>
      <c r="DU77" s="213"/>
      <c r="DV77" s="208"/>
      <c r="DW77" s="217"/>
      <c r="DX77" s="217"/>
      <c r="DY77" s="217"/>
      <c r="DZ77" s="211"/>
      <c r="EA77" s="213"/>
      <c r="EB77" s="213"/>
      <c r="EC77" s="213"/>
      <c r="ED77" s="208"/>
      <c r="EE77" s="217"/>
      <c r="EF77" s="217"/>
      <c r="EG77" s="217"/>
      <c r="EH77" s="211"/>
      <c r="EI77" s="213"/>
      <c r="EJ77" s="213"/>
      <c r="EK77" s="213"/>
      <c r="EL77" s="208"/>
      <c r="EM77" s="217"/>
      <c r="EN77" s="217"/>
      <c r="EO77" s="217"/>
      <c r="EP77" s="211"/>
      <c r="EQ77" s="213"/>
      <c r="ER77" s="213"/>
      <c r="ES77" s="213"/>
      <c r="ET77" s="208"/>
      <c r="EU77" s="217"/>
      <c r="EV77" s="217"/>
      <c r="EW77" s="217"/>
      <c r="EX77" s="211"/>
      <c r="EY77" s="213"/>
      <c r="EZ77" s="213"/>
      <c r="FA77" s="213"/>
      <c r="FB77" s="208"/>
      <c r="FC77" s="217"/>
      <c r="FD77" s="217"/>
      <c r="FE77" s="217"/>
      <c r="FF77" s="211"/>
      <c r="FG77" s="213"/>
      <c r="FH77" s="213"/>
      <c r="FI77" s="213"/>
      <c r="FJ77" s="208"/>
      <c r="FK77" s="217"/>
      <c r="FL77" s="217"/>
      <c r="FM77" s="217"/>
      <c r="FN77" s="211"/>
      <c r="FO77" s="213"/>
      <c r="FP77" s="213"/>
      <c r="FQ77" s="213"/>
      <c r="FR77" s="208"/>
      <c r="FS77" s="217"/>
      <c r="FT77" s="217"/>
      <c r="FU77" s="217"/>
      <c r="FV77" s="211"/>
      <c r="FW77" s="213"/>
      <c r="FX77" s="213"/>
      <c r="FY77" s="213"/>
      <c r="FZ77" s="208"/>
      <c r="GA77" s="217"/>
      <c r="GB77" s="217"/>
      <c r="GC77" s="217"/>
      <c r="GD77" s="211"/>
      <c r="GE77" s="213"/>
      <c r="GF77" s="213"/>
      <c r="GG77" s="213"/>
      <c r="GH77" s="208"/>
      <c r="GI77" s="217"/>
      <c r="GJ77" s="217"/>
      <c r="GK77" s="217"/>
      <c r="GL77" s="211"/>
      <c r="GM77" s="213"/>
      <c r="GN77" s="213"/>
      <c r="GO77" s="213"/>
      <c r="GP77" s="208"/>
      <c r="GQ77" s="217"/>
      <c r="GR77" s="217"/>
      <c r="GS77" s="217"/>
    </row>
    <row r="78" spans="1:201" s="218" customFormat="1" ht="137.5" customHeight="1" x14ac:dyDescent="0.35">
      <c r="B78" s="245">
        <v>69</v>
      </c>
      <c r="C78" s="195"/>
      <c r="D78" s="195"/>
      <c r="E78" s="195"/>
      <c r="F78" s="195"/>
      <c r="G78" s="196"/>
      <c r="H78" s="197"/>
      <c r="I78" s="198"/>
      <c r="J78" s="199"/>
      <c r="K78" s="200"/>
      <c r="L78" s="201"/>
      <c r="M78" s="201"/>
      <c r="N78" s="202"/>
      <c r="O78" s="203"/>
      <c r="P78" s="203"/>
      <c r="Q78" s="204"/>
      <c r="R78" s="205"/>
      <c r="S78" s="206"/>
      <c r="T78" s="206"/>
      <c r="U78" s="207"/>
      <c r="V78" s="208"/>
      <c r="W78" s="209"/>
      <c r="X78" s="210"/>
      <c r="Y78" s="209"/>
      <c r="Z78" s="211"/>
      <c r="AA78" s="212"/>
      <c r="AB78" s="213"/>
      <c r="AC78" s="214"/>
      <c r="AD78" s="208"/>
      <c r="AE78" s="209"/>
      <c r="AF78" s="210"/>
      <c r="AG78" s="209"/>
      <c r="AH78" s="211"/>
      <c r="AI78" s="212"/>
      <c r="AJ78" s="213"/>
      <c r="AK78" s="214"/>
      <c r="AL78" s="215"/>
      <c r="AM78" s="209"/>
      <c r="AN78" s="210"/>
      <c r="AO78" s="209"/>
      <c r="AP78" s="216"/>
      <c r="AQ78" s="212"/>
      <c r="AR78" s="213"/>
      <c r="AS78" s="214"/>
      <c r="AT78" s="208"/>
      <c r="AU78" s="209"/>
      <c r="AV78" s="210"/>
      <c r="AW78" s="217"/>
      <c r="AX78" s="211"/>
      <c r="AY78" s="213"/>
      <c r="AZ78" s="213"/>
      <c r="BA78" s="213"/>
      <c r="BB78" s="208"/>
      <c r="BC78" s="217"/>
      <c r="BD78" s="210"/>
      <c r="BE78" s="217"/>
      <c r="BF78" s="211"/>
      <c r="BG78" s="213"/>
      <c r="BH78" s="213"/>
      <c r="BI78" s="213"/>
      <c r="BJ78" s="208"/>
      <c r="BK78" s="217"/>
      <c r="BL78" s="210"/>
      <c r="BM78" s="217"/>
      <c r="BN78" s="211"/>
      <c r="BO78" s="213"/>
      <c r="BP78" s="213"/>
      <c r="BQ78" s="213"/>
      <c r="BR78" s="208"/>
      <c r="BS78" s="217"/>
      <c r="BT78" s="210"/>
      <c r="BU78" s="217"/>
      <c r="BV78" s="211"/>
      <c r="BW78" s="213"/>
      <c r="BX78" s="213"/>
      <c r="BY78" s="213"/>
      <c r="BZ78" s="208"/>
      <c r="CA78" s="217"/>
      <c r="CB78" s="217"/>
      <c r="CC78" s="217"/>
      <c r="CD78" s="211"/>
      <c r="CE78" s="213"/>
      <c r="CF78" s="213"/>
      <c r="CG78" s="213"/>
      <c r="CH78" s="208"/>
      <c r="CI78" s="217"/>
      <c r="CJ78" s="217"/>
      <c r="CK78" s="217"/>
      <c r="CL78" s="211"/>
      <c r="CM78" s="213"/>
      <c r="CN78" s="213"/>
      <c r="CO78" s="213"/>
      <c r="CP78" s="208"/>
      <c r="CQ78" s="217"/>
      <c r="CR78" s="217"/>
      <c r="CS78" s="217"/>
      <c r="CT78" s="211"/>
      <c r="CU78" s="213"/>
      <c r="CV78" s="213"/>
      <c r="CW78" s="213"/>
      <c r="CX78" s="208"/>
      <c r="CY78" s="217"/>
      <c r="CZ78" s="217"/>
      <c r="DA78" s="217"/>
      <c r="DB78" s="211"/>
      <c r="DC78" s="213"/>
      <c r="DD78" s="213"/>
      <c r="DE78" s="213"/>
      <c r="DF78" s="208"/>
      <c r="DG78" s="217"/>
      <c r="DH78" s="217"/>
      <c r="DI78" s="217"/>
      <c r="DJ78" s="211"/>
      <c r="DK78" s="213"/>
      <c r="DL78" s="213"/>
      <c r="DM78" s="213"/>
      <c r="DN78" s="208"/>
      <c r="DO78" s="217"/>
      <c r="DP78" s="217"/>
      <c r="DQ78" s="217"/>
      <c r="DR78" s="211"/>
      <c r="DS78" s="213"/>
      <c r="DT78" s="213"/>
      <c r="DU78" s="213"/>
      <c r="DV78" s="208"/>
      <c r="DW78" s="217"/>
      <c r="DX78" s="217"/>
      <c r="DY78" s="217"/>
      <c r="DZ78" s="211"/>
      <c r="EA78" s="213"/>
      <c r="EB78" s="213"/>
      <c r="EC78" s="213"/>
      <c r="ED78" s="208"/>
      <c r="EE78" s="217"/>
      <c r="EF78" s="217"/>
      <c r="EG78" s="217"/>
      <c r="EH78" s="211"/>
      <c r="EI78" s="213"/>
      <c r="EJ78" s="213"/>
      <c r="EK78" s="213"/>
      <c r="EL78" s="208"/>
      <c r="EM78" s="217"/>
      <c r="EN78" s="217"/>
      <c r="EO78" s="217"/>
      <c r="EP78" s="211"/>
      <c r="EQ78" s="213"/>
      <c r="ER78" s="213"/>
      <c r="ES78" s="213"/>
      <c r="ET78" s="208"/>
      <c r="EU78" s="217"/>
      <c r="EV78" s="217"/>
      <c r="EW78" s="217"/>
      <c r="EX78" s="211"/>
      <c r="EY78" s="213"/>
      <c r="EZ78" s="213"/>
      <c r="FA78" s="213"/>
      <c r="FB78" s="208"/>
      <c r="FC78" s="217"/>
      <c r="FD78" s="217"/>
      <c r="FE78" s="217"/>
      <c r="FF78" s="211"/>
      <c r="FG78" s="213"/>
      <c r="FH78" s="213"/>
      <c r="FI78" s="213"/>
      <c r="FJ78" s="208"/>
      <c r="FK78" s="217"/>
      <c r="FL78" s="217"/>
      <c r="FM78" s="217"/>
      <c r="FN78" s="211"/>
      <c r="FO78" s="213"/>
      <c r="FP78" s="213"/>
      <c r="FQ78" s="213"/>
      <c r="FR78" s="208"/>
      <c r="FS78" s="217"/>
      <c r="FT78" s="217"/>
      <c r="FU78" s="217"/>
      <c r="FV78" s="211"/>
      <c r="FW78" s="213"/>
      <c r="FX78" s="213"/>
      <c r="FY78" s="213"/>
      <c r="FZ78" s="208"/>
      <c r="GA78" s="217"/>
      <c r="GB78" s="217"/>
      <c r="GC78" s="217"/>
      <c r="GD78" s="211"/>
      <c r="GE78" s="213"/>
      <c r="GF78" s="213"/>
      <c r="GG78" s="213"/>
      <c r="GH78" s="208"/>
      <c r="GI78" s="217"/>
      <c r="GJ78" s="217"/>
      <c r="GK78" s="217"/>
      <c r="GL78" s="211"/>
      <c r="GM78" s="213"/>
      <c r="GN78" s="213"/>
      <c r="GO78" s="213"/>
      <c r="GP78" s="208"/>
      <c r="GQ78" s="217"/>
      <c r="GR78" s="217"/>
      <c r="GS78" s="217"/>
    </row>
    <row r="79" spans="1:201" s="218" customFormat="1" ht="137.5" customHeight="1" x14ac:dyDescent="0.35">
      <c r="B79" s="245">
        <v>70</v>
      </c>
      <c r="C79" s="195"/>
      <c r="D79" s="195"/>
      <c r="E79" s="195"/>
      <c r="F79" s="195"/>
      <c r="G79" s="196"/>
      <c r="H79" s="197"/>
      <c r="I79" s="198"/>
      <c r="J79" s="199"/>
      <c r="K79" s="200"/>
      <c r="L79" s="201"/>
      <c r="M79" s="201"/>
      <c r="N79" s="202"/>
      <c r="O79" s="203"/>
      <c r="P79" s="203"/>
      <c r="Q79" s="204"/>
      <c r="R79" s="205"/>
      <c r="S79" s="206"/>
      <c r="T79" s="206"/>
      <c r="U79" s="207"/>
      <c r="V79" s="208"/>
      <c r="W79" s="209"/>
      <c r="X79" s="210"/>
      <c r="Y79" s="209"/>
      <c r="Z79" s="211"/>
      <c r="AA79" s="212"/>
      <c r="AB79" s="213"/>
      <c r="AC79" s="214"/>
      <c r="AD79" s="208"/>
      <c r="AE79" s="209"/>
      <c r="AF79" s="210"/>
      <c r="AG79" s="209"/>
      <c r="AH79" s="211"/>
      <c r="AI79" s="212"/>
      <c r="AJ79" s="213"/>
      <c r="AK79" s="214"/>
      <c r="AL79" s="215"/>
      <c r="AM79" s="209"/>
      <c r="AN79" s="210"/>
      <c r="AO79" s="209"/>
      <c r="AP79" s="216"/>
      <c r="AQ79" s="212"/>
      <c r="AR79" s="213"/>
      <c r="AS79" s="214"/>
      <c r="AT79" s="208"/>
      <c r="AU79" s="209"/>
      <c r="AV79" s="210"/>
      <c r="AW79" s="217"/>
      <c r="AX79" s="211"/>
      <c r="AY79" s="213"/>
      <c r="AZ79" s="213"/>
      <c r="BA79" s="213"/>
      <c r="BB79" s="208"/>
      <c r="BC79" s="217"/>
      <c r="BD79" s="210"/>
      <c r="BE79" s="217"/>
      <c r="BF79" s="211"/>
      <c r="BG79" s="213"/>
      <c r="BH79" s="213"/>
      <c r="BI79" s="213"/>
      <c r="BJ79" s="208"/>
      <c r="BK79" s="217"/>
      <c r="BL79" s="210"/>
      <c r="BM79" s="217"/>
      <c r="BN79" s="211"/>
      <c r="BO79" s="213"/>
      <c r="BP79" s="213"/>
      <c r="BQ79" s="213"/>
      <c r="BR79" s="208"/>
      <c r="BS79" s="217"/>
      <c r="BT79" s="210"/>
      <c r="BU79" s="217"/>
      <c r="BV79" s="211"/>
      <c r="BW79" s="213"/>
      <c r="BX79" s="213"/>
      <c r="BY79" s="213"/>
      <c r="BZ79" s="208"/>
      <c r="CA79" s="217"/>
      <c r="CB79" s="217"/>
      <c r="CC79" s="217"/>
      <c r="CD79" s="211"/>
      <c r="CE79" s="213"/>
      <c r="CF79" s="213"/>
      <c r="CG79" s="213"/>
      <c r="CH79" s="208"/>
      <c r="CI79" s="217"/>
      <c r="CJ79" s="217"/>
      <c r="CK79" s="217"/>
      <c r="CL79" s="211"/>
      <c r="CM79" s="213"/>
      <c r="CN79" s="213"/>
      <c r="CO79" s="213"/>
      <c r="CP79" s="208"/>
      <c r="CQ79" s="217"/>
      <c r="CR79" s="217"/>
      <c r="CS79" s="217"/>
      <c r="CT79" s="211"/>
      <c r="CU79" s="213"/>
      <c r="CV79" s="213"/>
      <c r="CW79" s="213"/>
      <c r="CX79" s="208"/>
      <c r="CY79" s="217"/>
      <c r="CZ79" s="217"/>
      <c r="DA79" s="217"/>
      <c r="DB79" s="211"/>
      <c r="DC79" s="213"/>
      <c r="DD79" s="213"/>
      <c r="DE79" s="213"/>
      <c r="DF79" s="208"/>
      <c r="DG79" s="217"/>
      <c r="DH79" s="217"/>
      <c r="DI79" s="217"/>
      <c r="DJ79" s="211"/>
      <c r="DK79" s="213"/>
      <c r="DL79" s="213"/>
      <c r="DM79" s="213"/>
      <c r="DN79" s="208"/>
      <c r="DO79" s="217"/>
      <c r="DP79" s="217"/>
      <c r="DQ79" s="217"/>
      <c r="DR79" s="211"/>
      <c r="DS79" s="213"/>
      <c r="DT79" s="213"/>
      <c r="DU79" s="213"/>
      <c r="DV79" s="208"/>
      <c r="DW79" s="217"/>
      <c r="DX79" s="217"/>
      <c r="DY79" s="217"/>
      <c r="DZ79" s="211"/>
      <c r="EA79" s="213"/>
      <c r="EB79" s="213"/>
      <c r="EC79" s="213"/>
      <c r="ED79" s="208"/>
      <c r="EE79" s="217"/>
      <c r="EF79" s="217"/>
      <c r="EG79" s="217"/>
      <c r="EH79" s="211"/>
      <c r="EI79" s="213"/>
      <c r="EJ79" s="213"/>
      <c r="EK79" s="213"/>
      <c r="EL79" s="208"/>
      <c r="EM79" s="217"/>
      <c r="EN79" s="217"/>
      <c r="EO79" s="217"/>
      <c r="EP79" s="211"/>
      <c r="EQ79" s="213"/>
      <c r="ER79" s="213"/>
      <c r="ES79" s="213"/>
      <c r="ET79" s="208"/>
      <c r="EU79" s="217"/>
      <c r="EV79" s="217"/>
      <c r="EW79" s="217"/>
      <c r="EX79" s="211"/>
      <c r="EY79" s="213"/>
      <c r="EZ79" s="213"/>
      <c r="FA79" s="213"/>
      <c r="FB79" s="208"/>
      <c r="FC79" s="217"/>
      <c r="FD79" s="217"/>
      <c r="FE79" s="217"/>
      <c r="FF79" s="211"/>
      <c r="FG79" s="213"/>
      <c r="FH79" s="213"/>
      <c r="FI79" s="213"/>
      <c r="FJ79" s="208"/>
      <c r="FK79" s="217"/>
      <c r="FL79" s="217"/>
      <c r="FM79" s="217"/>
      <c r="FN79" s="211"/>
      <c r="FO79" s="213"/>
      <c r="FP79" s="213"/>
      <c r="FQ79" s="213"/>
      <c r="FR79" s="208"/>
      <c r="FS79" s="217"/>
      <c r="FT79" s="217"/>
      <c r="FU79" s="217"/>
      <c r="FV79" s="211"/>
      <c r="FW79" s="213"/>
      <c r="FX79" s="213"/>
      <c r="FY79" s="213"/>
      <c r="FZ79" s="208"/>
      <c r="GA79" s="217"/>
      <c r="GB79" s="217"/>
      <c r="GC79" s="217"/>
      <c r="GD79" s="211"/>
      <c r="GE79" s="213"/>
      <c r="GF79" s="213"/>
      <c r="GG79" s="213"/>
      <c r="GH79" s="208"/>
      <c r="GI79" s="217"/>
      <c r="GJ79" s="217"/>
      <c r="GK79" s="217"/>
      <c r="GL79" s="211"/>
      <c r="GM79" s="213"/>
      <c r="GN79" s="213"/>
      <c r="GO79" s="213"/>
      <c r="GP79" s="208"/>
      <c r="GQ79" s="217"/>
      <c r="GR79" s="217"/>
      <c r="GS79" s="217"/>
    </row>
    <row r="80" spans="1:201" s="218" customFormat="1" ht="137.5" customHeight="1" x14ac:dyDescent="0.35">
      <c r="B80" s="245">
        <v>71</v>
      </c>
      <c r="C80" s="195"/>
      <c r="D80" s="195"/>
      <c r="E80" s="195"/>
      <c r="F80" s="195"/>
      <c r="G80" s="196"/>
      <c r="H80" s="224"/>
      <c r="I80" s="198"/>
      <c r="J80" s="199"/>
      <c r="K80" s="200"/>
      <c r="L80" s="201"/>
      <c r="M80" s="201"/>
      <c r="N80" s="202"/>
      <c r="O80" s="203">
        <f ca="1">IF(N80="Aprobado con comentarios / Emitir Rev.0",TODAY()-M80,0)</f>
        <v>0</v>
      </c>
      <c r="P80" s="203">
        <f t="shared" ref="P80:P114" ca="1" si="7">IF(N80="Revisión INN",TODAY()-L80,0)</f>
        <v>0</v>
      </c>
      <c r="Q80" s="204">
        <f>ROUNDUP(((COUNTA(R80:GS80)/4)/2),0)</f>
        <v>0</v>
      </c>
      <c r="R80" s="205"/>
      <c r="S80" s="206"/>
      <c r="T80" s="206"/>
      <c r="U80" s="207"/>
      <c r="V80" s="208"/>
      <c r="W80" s="209"/>
      <c r="X80" s="210"/>
      <c r="Y80" s="209"/>
      <c r="Z80" s="211"/>
      <c r="AA80" s="212"/>
      <c r="AB80" s="213"/>
      <c r="AC80" s="214"/>
      <c r="AD80" s="208"/>
      <c r="AE80" s="209"/>
      <c r="AF80" s="210"/>
      <c r="AG80" s="209"/>
      <c r="AH80" s="211"/>
      <c r="AI80" s="212"/>
      <c r="AJ80" s="213"/>
      <c r="AK80" s="214"/>
      <c r="AL80" s="215"/>
      <c r="AM80" s="209"/>
      <c r="AN80" s="210"/>
      <c r="AO80" s="209"/>
      <c r="AP80" s="216"/>
      <c r="AQ80" s="212"/>
      <c r="AR80" s="213"/>
      <c r="AS80" s="214"/>
      <c r="AT80" s="208"/>
      <c r="AU80" s="209"/>
      <c r="AV80" s="210"/>
      <c r="AW80" s="217"/>
      <c r="AX80" s="211"/>
      <c r="AY80" s="213"/>
      <c r="AZ80" s="213"/>
      <c r="BA80" s="213"/>
      <c r="BB80" s="208"/>
      <c r="BC80" s="217"/>
      <c r="BD80" s="210"/>
      <c r="BE80" s="217"/>
      <c r="BF80" s="211"/>
      <c r="BG80" s="213"/>
      <c r="BH80" s="213"/>
      <c r="BI80" s="213"/>
      <c r="BJ80" s="208"/>
      <c r="BK80" s="217"/>
      <c r="BL80" s="210"/>
      <c r="BM80" s="217"/>
      <c r="BN80" s="211"/>
      <c r="BO80" s="213"/>
      <c r="BP80" s="213"/>
      <c r="BQ80" s="213"/>
      <c r="BR80" s="208"/>
      <c r="BS80" s="217"/>
      <c r="BT80" s="210"/>
      <c r="BU80" s="217"/>
      <c r="BV80" s="211"/>
      <c r="BW80" s="213"/>
      <c r="BX80" s="213"/>
      <c r="BY80" s="213"/>
      <c r="BZ80" s="208"/>
      <c r="CA80" s="217"/>
      <c r="CB80" s="217"/>
      <c r="CC80" s="217"/>
      <c r="CD80" s="211"/>
      <c r="CE80" s="213"/>
      <c r="CF80" s="213"/>
      <c r="CG80" s="213"/>
      <c r="CH80" s="208"/>
      <c r="CI80" s="217"/>
      <c r="CJ80" s="217"/>
      <c r="CK80" s="217"/>
      <c r="CL80" s="211"/>
      <c r="CM80" s="213"/>
      <c r="CN80" s="213"/>
      <c r="CO80" s="213"/>
      <c r="CP80" s="208"/>
      <c r="CQ80" s="217"/>
      <c r="CR80" s="217"/>
      <c r="CS80" s="217"/>
      <c r="CT80" s="211"/>
      <c r="CU80" s="213"/>
      <c r="CV80" s="213"/>
      <c r="CW80" s="213"/>
      <c r="CX80" s="208"/>
      <c r="CY80" s="217"/>
      <c r="CZ80" s="217"/>
      <c r="DA80" s="217"/>
      <c r="DB80" s="211"/>
      <c r="DC80" s="213"/>
      <c r="DD80" s="213"/>
      <c r="DE80" s="213"/>
      <c r="DF80" s="208"/>
      <c r="DG80" s="217"/>
      <c r="DH80" s="217"/>
      <c r="DI80" s="217"/>
      <c r="DJ80" s="211"/>
      <c r="DK80" s="213"/>
      <c r="DL80" s="213"/>
      <c r="DM80" s="213"/>
      <c r="DN80" s="208"/>
      <c r="DO80" s="217"/>
      <c r="DP80" s="217"/>
      <c r="DQ80" s="217"/>
      <c r="DR80" s="211"/>
      <c r="DS80" s="213"/>
      <c r="DT80" s="213"/>
      <c r="DU80" s="213"/>
      <c r="DV80" s="208"/>
      <c r="DW80" s="217"/>
      <c r="DX80" s="217"/>
      <c r="DY80" s="217"/>
      <c r="DZ80" s="211"/>
      <c r="EA80" s="213"/>
      <c r="EB80" s="213"/>
      <c r="EC80" s="213"/>
      <c r="ED80" s="208"/>
      <c r="EE80" s="217"/>
      <c r="EF80" s="217"/>
      <c r="EG80" s="217"/>
      <c r="EH80" s="211"/>
      <c r="EI80" s="213"/>
      <c r="EJ80" s="213"/>
      <c r="EK80" s="213"/>
      <c r="EL80" s="208"/>
      <c r="EM80" s="217"/>
      <c r="EN80" s="217"/>
      <c r="EO80" s="217"/>
      <c r="EP80" s="211"/>
      <c r="EQ80" s="213"/>
      <c r="ER80" s="213"/>
      <c r="ES80" s="213"/>
      <c r="ET80" s="208"/>
      <c r="EU80" s="217"/>
      <c r="EV80" s="217"/>
      <c r="EW80" s="217"/>
      <c r="EX80" s="211"/>
      <c r="EY80" s="213"/>
      <c r="EZ80" s="213"/>
      <c r="FA80" s="213"/>
      <c r="FB80" s="208"/>
      <c r="FC80" s="217"/>
      <c r="FD80" s="217"/>
      <c r="FE80" s="217"/>
      <c r="FF80" s="211"/>
      <c r="FG80" s="213"/>
      <c r="FH80" s="213"/>
      <c r="FI80" s="213"/>
      <c r="FJ80" s="208"/>
      <c r="FK80" s="217"/>
      <c r="FL80" s="217"/>
      <c r="FM80" s="217"/>
      <c r="FN80" s="211"/>
      <c r="FO80" s="213"/>
      <c r="FP80" s="213"/>
      <c r="FQ80" s="213"/>
      <c r="FR80" s="208"/>
      <c r="FS80" s="217"/>
      <c r="FT80" s="217"/>
      <c r="FU80" s="217"/>
      <c r="FV80" s="211"/>
      <c r="FW80" s="213"/>
      <c r="FX80" s="213"/>
      <c r="FY80" s="213"/>
      <c r="FZ80" s="208"/>
      <c r="GA80" s="217"/>
      <c r="GB80" s="217"/>
      <c r="GC80" s="217"/>
      <c r="GD80" s="211"/>
      <c r="GE80" s="213"/>
      <c r="GF80" s="213"/>
      <c r="GG80" s="213"/>
      <c r="GH80" s="208"/>
      <c r="GI80" s="217"/>
      <c r="GJ80" s="217"/>
      <c r="GK80" s="217"/>
      <c r="GL80" s="211"/>
      <c r="GM80" s="213"/>
      <c r="GN80" s="213"/>
      <c r="GO80" s="213"/>
      <c r="GP80" s="208"/>
      <c r="GQ80" s="217"/>
      <c r="GR80" s="217"/>
      <c r="GS80" s="217"/>
    </row>
    <row r="81" spans="2:201" s="218" customFormat="1" ht="137.5" customHeight="1" x14ac:dyDescent="0.35">
      <c r="B81" s="245">
        <v>72</v>
      </c>
      <c r="C81" s="195"/>
      <c r="D81" s="195"/>
      <c r="E81" s="195"/>
      <c r="F81" s="195"/>
      <c r="G81" s="196"/>
      <c r="H81" s="220"/>
      <c r="I81" s="198"/>
      <c r="J81" s="199"/>
      <c r="K81" s="200"/>
      <c r="L81" s="201"/>
      <c r="M81" s="201"/>
      <c r="N81" s="202"/>
      <c r="O81" s="203">
        <f ca="1">IF(N81="Aprobado con comentarios / Emitir Rev.0",TODAY()-M81,0)</f>
        <v>0</v>
      </c>
      <c r="P81" s="203">
        <f t="shared" ca="1" si="7"/>
        <v>0</v>
      </c>
      <c r="Q81" s="204">
        <f>ROUNDUP(((COUNTA(R81:GS81)/4)/2),0)</f>
        <v>0</v>
      </c>
      <c r="R81" s="205"/>
      <c r="S81" s="206"/>
      <c r="T81" s="206"/>
      <c r="U81" s="207"/>
      <c r="V81" s="208"/>
      <c r="W81" s="209"/>
      <c r="X81" s="210"/>
      <c r="Y81" s="209"/>
      <c r="Z81" s="211"/>
      <c r="AA81" s="212"/>
      <c r="AB81" s="213"/>
      <c r="AC81" s="214"/>
      <c r="AD81" s="208"/>
      <c r="AE81" s="209"/>
      <c r="AF81" s="210"/>
      <c r="AG81" s="209"/>
      <c r="AH81" s="211"/>
      <c r="AI81" s="212"/>
      <c r="AJ81" s="213"/>
      <c r="AK81" s="214"/>
      <c r="AL81" s="215"/>
      <c r="AM81" s="209"/>
      <c r="AN81" s="210"/>
      <c r="AO81" s="209"/>
      <c r="AP81" s="216"/>
      <c r="AQ81" s="212"/>
      <c r="AR81" s="213"/>
      <c r="AS81" s="214"/>
      <c r="AT81" s="208"/>
      <c r="AU81" s="209"/>
      <c r="AV81" s="210"/>
      <c r="AW81" s="210"/>
      <c r="AX81" s="211"/>
      <c r="AY81" s="213"/>
      <c r="AZ81" s="213"/>
      <c r="BA81" s="213"/>
      <c r="BB81" s="208"/>
      <c r="BC81" s="209"/>
      <c r="BD81" s="210"/>
      <c r="BE81" s="209"/>
      <c r="BF81" s="211"/>
      <c r="BG81" s="213"/>
      <c r="BH81" s="212"/>
      <c r="BI81" s="214"/>
      <c r="BJ81" s="208"/>
      <c r="BK81" s="217"/>
      <c r="BL81" s="210"/>
      <c r="BM81" s="217"/>
      <c r="BN81" s="211"/>
      <c r="BO81" s="213"/>
      <c r="BP81" s="213"/>
      <c r="BQ81" s="213"/>
      <c r="BR81" s="208"/>
      <c r="BS81" s="217"/>
      <c r="BT81" s="210"/>
      <c r="BU81" s="217"/>
      <c r="BV81" s="211"/>
      <c r="BW81" s="213"/>
      <c r="BX81" s="213"/>
      <c r="BY81" s="213"/>
      <c r="BZ81" s="208"/>
      <c r="CA81" s="217"/>
      <c r="CB81" s="217"/>
      <c r="CC81" s="217"/>
      <c r="CD81" s="211"/>
      <c r="CE81" s="213"/>
      <c r="CF81" s="213"/>
      <c r="CG81" s="213"/>
      <c r="CH81" s="208"/>
      <c r="CI81" s="217"/>
      <c r="CJ81" s="217"/>
      <c r="CK81" s="217"/>
      <c r="CL81" s="211"/>
      <c r="CM81" s="213"/>
      <c r="CN81" s="213"/>
      <c r="CO81" s="213"/>
      <c r="CP81" s="208"/>
      <c r="CQ81" s="217"/>
      <c r="CR81" s="217"/>
      <c r="CS81" s="217"/>
      <c r="CT81" s="211"/>
      <c r="CU81" s="213"/>
      <c r="CV81" s="213"/>
      <c r="CW81" s="213"/>
      <c r="CX81" s="208"/>
      <c r="CY81" s="217"/>
      <c r="CZ81" s="217"/>
      <c r="DA81" s="217"/>
      <c r="DB81" s="211"/>
      <c r="DC81" s="213"/>
      <c r="DD81" s="213"/>
      <c r="DE81" s="213"/>
      <c r="DF81" s="208"/>
      <c r="DG81" s="217"/>
      <c r="DH81" s="217"/>
      <c r="DI81" s="217"/>
      <c r="DJ81" s="211"/>
      <c r="DK81" s="213"/>
      <c r="DL81" s="213"/>
      <c r="DM81" s="213"/>
      <c r="DN81" s="208"/>
      <c r="DO81" s="217"/>
      <c r="DP81" s="217"/>
      <c r="DQ81" s="217"/>
      <c r="DR81" s="211"/>
      <c r="DS81" s="213"/>
      <c r="DT81" s="213"/>
      <c r="DU81" s="213"/>
      <c r="DV81" s="208"/>
      <c r="DW81" s="217"/>
      <c r="DX81" s="217"/>
      <c r="DY81" s="217"/>
      <c r="DZ81" s="211"/>
      <c r="EA81" s="213"/>
      <c r="EB81" s="213"/>
      <c r="EC81" s="213"/>
      <c r="ED81" s="208"/>
      <c r="EE81" s="217"/>
      <c r="EF81" s="217"/>
      <c r="EG81" s="217"/>
      <c r="EH81" s="211"/>
      <c r="EI81" s="213"/>
      <c r="EJ81" s="213"/>
      <c r="EK81" s="213"/>
      <c r="EL81" s="208"/>
      <c r="EM81" s="217"/>
      <c r="EN81" s="217"/>
      <c r="EO81" s="217"/>
      <c r="EP81" s="211"/>
      <c r="EQ81" s="213"/>
      <c r="ER81" s="213"/>
      <c r="ES81" s="213"/>
      <c r="ET81" s="208"/>
      <c r="EU81" s="217"/>
      <c r="EV81" s="217"/>
      <c r="EW81" s="217"/>
      <c r="EX81" s="211"/>
      <c r="EY81" s="213"/>
      <c r="EZ81" s="213"/>
      <c r="FA81" s="213"/>
      <c r="FB81" s="208"/>
      <c r="FC81" s="217"/>
      <c r="FD81" s="217"/>
      <c r="FE81" s="217"/>
      <c r="FF81" s="211"/>
      <c r="FG81" s="213"/>
      <c r="FH81" s="213"/>
      <c r="FI81" s="213"/>
      <c r="FJ81" s="208"/>
      <c r="FK81" s="217"/>
      <c r="FL81" s="217"/>
      <c r="FM81" s="217"/>
      <c r="FN81" s="211"/>
      <c r="FO81" s="213"/>
      <c r="FP81" s="213"/>
      <c r="FQ81" s="213"/>
      <c r="FR81" s="208"/>
      <c r="FS81" s="217"/>
      <c r="FT81" s="217"/>
      <c r="FU81" s="217"/>
      <c r="FV81" s="211"/>
      <c r="FW81" s="213"/>
      <c r="FX81" s="213"/>
      <c r="FY81" s="213"/>
      <c r="FZ81" s="208"/>
      <c r="GA81" s="217"/>
      <c r="GB81" s="217"/>
      <c r="GC81" s="217"/>
      <c r="GD81" s="211"/>
      <c r="GE81" s="213"/>
      <c r="GF81" s="213"/>
      <c r="GG81" s="213"/>
      <c r="GH81" s="208"/>
      <c r="GI81" s="217"/>
      <c r="GJ81" s="217"/>
      <c r="GK81" s="217"/>
      <c r="GL81" s="211"/>
      <c r="GM81" s="213"/>
      <c r="GN81" s="213"/>
      <c r="GO81" s="213"/>
      <c r="GP81" s="208"/>
      <c r="GQ81" s="217"/>
      <c r="GR81" s="217"/>
      <c r="GS81" s="217"/>
    </row>
    <row r="82" spans="2:201" s="218" customFormat="1" ht="137.5" customHeight="1" x14ac:dyDescent="0.35">
      <c r="B82" s="245">
        <v>73</v>
      </c>
      <c r="C82" s="194"/>
      <c r="D82" s="195"/>
      <c r="E82" s="195"/>
      <c r="F82" s="195"/>
      <c r="G82" s="196"/>
      <c r="H82" s="228"/>
      <c r="I82" s="198"/>
      <c r="J82" s="199"/>
      <c r="K82" s="219"/>
      <c r="L82" s="201"/>
      <c r="M82" s="201"/>
      <c r="N82" s="202"/>
      <c r="O82" s="203">
        <f ca="1">IF(N82="Comentado / Emitir Rev.0",TODAY()-M82,0)</f>
        <v>0</v>
      </c>
      <c r="P82" s="203">
        <f t="shared" ca="1" si="7"/>
        <v>0</v>
      </c>
      <c r="Q82" s="204">
        <f>ROUNDUP(((COUNTA(R82:GS82)/4)/2),0)</f>
        <v>0</v>
      </c>
      <c r="R82" s="205"/>
      <c r="S82" s="206"/>
      <c r="T82" s="206"/>
      <c r="U82" s="207"/>
      <c r="V82" s="208"/>
      <c r="W82" s="209"/>
      <c r="X82" s="210"/>
      <c r="Y82" s="209"/>
      <c r="Z82" s="211"/>
      <c r="AA82" s="212"/>
      <c r="AB82" s="213"/>
      <c r="AC82" s="214"/>
      <c r="AD82" s="210"/>
      <c r="AE82" s="209"/>
      <c r="AF82" s="210"/>
      <c r="AG82" s="202"/>
      <c r="AH82" s="211"/>
      <c r="AI82" s="213"/>
      <c r="AJ82" s="213"/>
      <c r="AK82" s="214"/>
      <c r="AL82" s="215"/>
      <c r="AM82" s="209"/>
      <c r="AN82" s="210"/>
      <c r="AO82" s="209"/>
      <c r="AP82" s="216"/>
      <c r="AQ82" s="212"/>
      <c r="AR82" s="213"/>
      <c r="AS82" s="214"/>
      <c r="AT82" s="208"/>
      <c r="AU82" s="209"/>
      <c r="AV82" s="210"/>
      <c r="AW82" s="217"/>
      <c r="AX82" s="216"/>
      <c r="AY82" s="213"/>
      <c r="AZ82" s="213"/>
      <c r="BA82" s="214"/>
      <c r="BB82" s="208"/>
      <c r="BC82" s="209"/>
      <c r="BD82" s="210"/>
      <c r="BE82" s="217"/>
      <c r="BF82" s="211"/>
      <c r="BG82" s="213"/>
      <c r="BH82" s="213"/>
      <c r="BI82" s="213"/>
      <c r="BJ82" s="208"/>
      <c r="BK82" s="217"/>
      <c r="BL82" s="210"/>
      <c r="BM82" s="217"/>
      <c r="BN82" s="211"/>
      <c r="BO82" s="213"/>
      <c r="BP82" s="213"/>
      <c r="BQ82" s="213"/>
      <c r="BR82" s="208"/>
      <c r="BS82" s="217"/>
      <c r="BT82" s="210"/>
      <c r="BU82" s="217"/>
      <c r="BV82" s="211"/>
      <c r="BW82" s="213"/>
      <c r="BX82" s="213"/>
      <c r="BY82" s="213"/>
      <c r="BZ82" s="208"/>
      <c r="CA82" s="217"/>
      <c r="CB82" s="217"/>
      <c r="CC82" s="217"/>
      <c r="CD82" s="211"/>
      <c r="CE82" s="213"/>
      <c r="CF82" s="213"/>
      <c r="CG82" s="213"/>
      <c r="CH82" s="208"/>
      <c r="CI82" s="217"/>
      <c r="CJ82" s="217"/>
      <c r="CK82" s="217"/>
      <c r="CL82" s="211"/>
      <c r="CM82" s="213"/>
      <c r="CN82" s="213"/>
      <c r="CO82" s="213"/>
      <c r="CP82" s="208"/>
      <c r="CQ82" s="217"/>
      <c r="CR82" s="217"/>
      <c r="CS82" s="217"/>
      <c r="CT82" s="211"/>
      <c r="CU82" s="213"/>
      <c r="CV82" s="213"/>
      <c r="CW82" s="213"/>
      <c r="CX82" s="208"/>
      <c r="CY82" s="217"/>
      <c r="CZ82" s="217"/>
      <c r="DA82" s="217"/>
      <c r="DB82" s="211"/>
      <c r="DC82" s="213"/>
      <c r="DD82" s="213"/>
      <c r="DE82" s="213"/>
      <c r="DF82" s="208"/>
      <c r="DG82" s="217"/>
      <c r="DH82" s="217"/>
      <c r="DI82" s="217"/>
      <c r="DJ82" s="211"/>
      <c r="DK82" s="213"/>
      <c r="DL82" s="213"/>
      <c r="DM82" s="213"/>
      <c r="DN82" s="208"/>
      <c r="DO82" s="217"/>
      <c r="DP82" s="217"/>
      <c r="DQ82" s="217"/>
      <c r="DR82" s="211"/>
      <c r="DS82" s="213"/>
      <c r="DT82" s="213"/>
      <c r="DU82" s="213"/>
      <c r="DV82" s="208"/>
      <c r="DW82" s="217"/>
      <c r="DX82" s="217"/>
      <c r="DY82" s="217"/>
      <c r="DZ82" s="211"/>
      <c r="EA82" s="213"/>
      <c r="EB82" s="213"/>
      <c r="EC82" s="213"/>
      <c r="ED82" s="208"/>
      <c r="EE82" s="217"/>
      <c r="EF82" s="217"/>
      <c r="EG82" s="217"/>
      <c r="EH82" s="211"/>
      <c r="EI82" s="213"/>
      <c r="EJ82" s="213"/>
      <c r="EK82" s="213"/>
      <c r="EL82" s="208"/>
      <c r="EM82" s="217"/>
      <c r="EN82" s="217"/>
      <c r="EO82" s="217"/>
      <c r="EP82" s="211"/>
      <c r="EQ82" s="213"/>
      <c r="ER82" s="213"/>
      <c r="ES82" s="213"/>
      <c r="ET82" s="208"/>
      <c r="EU82" s="217"/>
      <c r="EV82" s="217"/>
      <c r="EW82" s="217"/>
      <c r="EX82" s="211"/>
      <c r="EY82" s="213"/>
      <c r="EZ82" s="213"/>
      <c r="FA82" s="213"/>
      <c r="FB82" s="208"/>
      <c r="FC82" s="217"/>
      <c r="FD82" s="217"/>
      <c r="FE82" s="217"/>
      <c r="FF82" s="211"/>
      <c r="FG82" s="213"/>
      <c r="FH82" s="213"/>
      <c r="FI82" s="213"/>
      <c r="FJ82" s="208"/>
      <c r="FK82" s="217"/>
      <c r="FL82" s="217"/>
      <c r="FM82" s="217"/>
      <c r="FN82" s="211"/>
      <c r="FO82" s="213"/>
      <c r="FP82" s="213"/>
      <c r="FQ82" s="213"/>
      <c r="FR82" s="208"/>
      <c r="FS82" s="217"/>
      <c r="FT82" s="217"/>
      <c r="FU82" s="217"/>
      <c r="FV82" s="211"/>
      <c r="FW82" s="213"/>
      <c r="FX82" s="213"/>
      <c r="FY82" s="213"/>
      <c r="FZ82" s="208"/>
      <c r="GA82" s="217"/>
      <c r="GB82" s="217"/>
      <c r="GC82" s="217"/>
      <c r="GD82" s="211"/>
      <c r="GE82" s="213"/>
      <c r="GF82" s="213"/>
      <c r="GG82" s="213"/>
      <c r="GH82" s="208"/>
      <c r="GI82" s="217"/>
      <c r="GJ82" s="217"/>
      <c r="GK82" s="217"/>
      <c r="GL82" s="211"/>
      <c r="GM82" s="213"/>
      <c r="GN82" s="213"/>
      <c r="GO82" s="213"/>
      <c r="GP82" s="208"/>
      <c r="GQ82" s="217"/>
      <c r="GR82" s="217"/>
      <c r="GS82" s="217"/>
    </row>
    <row r="83" spans="2:201" s="218" customFormat="1" ht="137.5" customHeight="1" x14ac:dyDescent="0.35">
      <c r="B83" s="245">
        <v>74</v>
      </c>
      <c r="C83" s="195"/>
      <c r="D83" s="195"/>
      <c r="E83" s="195"/>
      <c r="F83" s="195"/>
      <c r="G83" s="196"/>
      <c r="H83" s="197"/>
      <c r="I83" s="198"/>
      <c r="J83" s="199"/>
      <c r="K83" s="200"/>
      <c r="L83" s="201"/>
      <c r="M83" s="201"/>
      <c r="N83" s="202"/>
      <c r="O83" s="203">
        <f ca="1">IF(N83="Aprobado con comentarios / Emitir Rev.0",TODAY()-M83,0)</f>
        <v>0</v>
      </c>
      <c r="P83" s="203">
        <f t="shared" ca="1" si="7"/>
        <v>0</v>
      </c>
      <c r="Q83" s="204">
        <f>ROUNDUP(((COUNTA(R83:GS83)/4)/2),0)</f>
        <v>0</v>
      </c>
      <c r="R83" s="205"/>
      <c r="S83" s="206"/>
      <c r="T83" s="206"/>
      <c r="U83" s="207"/>
      <c r="V83" s="208"/>
      <c r="W83" s="209"/>
      <c r="X83" s="210"/>
      <c r="Y83" s="209"/>
      <c r="Z83" s="211"/>
      <c r="AA83" s="213"/>
      <c r="AB83" s="213"/>
      <c r="AC83" s="214"/>
      <c r="AD83" s="215"/>
      <c r="AE83" s="209"/>
      <c r="AF83" s="210"/>
      <c r="AG83" s="209"/>
      <c r="AH83" s="211"/>
      <c r="AI83" s="212"/>
      <c r="AJ83" s="213"/>
      <c r="AK83" s="214"/>
      <c r="AL83" s="215"/>
      <c r="AM83" s="209"/>
      <c r="AN83" s="210"/>
      <c r="AO83" s="209"/>
      <c r="AP83" s="216"/>
      <c r="AQ83" s="212"/>
      <c r="AR83" s="213"/>
      <c r="AS83" s="214"/>
      <c r="AT83" s="208"/>
      <c r="AU83" s="217"/>
      <c r="AV83" s="210"/>
      <c r="AW83" s="217"/>
      <c r="AX83" s="211"/>
      <c r="AY83" s="213"/>
      <c r="AZ83" s="213"/>
      <c r="BA83" s="213"/>
      <c r="BB83" s="208"/>
      <c r="BC83" s="217"/>
      <c r="BD83" s="210"/>
      <c r="BE83" s="217"/>
      <c r="BF83" s="211"/>
      <c r="BG83" s="213"/>
      <c r="BH83" s="213"/>
      <c r="BI83" s="213"/>
      <c r="BJ83" s="208"/>
      <c r="BK83" s="217"/>
      <c r="BL83" s="210"/>
      <c r="BM83" s="217"/>
      <c r="BN83" s="211"/>
      <c r="BO83" s="213"/>
      <c r="BP83" s="213"/>
      <c r="BQ83" s="213"/>
      <c r="BR83" s="208"/>
      <c r="BS83" s="217"/>
      <c r="BT83" s="210"/>
      <c r="BU83" s="217"/>
      <c r="BV83" s="211"/>
      <c r="BW83" s="213"/>
      <c r="BX83" s="213"/>
      <c r="BY83" s="213"/>
      <c r="BZ83" s="208"/>
      <c r="CA83" s="217"/>
      <c r="CB83" s="217"/>
      <c r="CC83" s="217"/>
      <c r="CD83" s="211"/>
      <c r="CE83" s="213"/>
      <c r="CF83" s="213"/>
      <c r="CG83" s="213"/>
      <c r="CH83" s="208"/>
      <c r="CI83" s="217"/>
      <c r="CJ83" s="217"/>
      <c r="CK83" s="217"/>
      <c r="CL83" s="211"/>
      <c r="CM83" s="213"/>
      <c r="CN83" s="213"/>
      <c r="CO83" s="213"/>
      <c r="CP83" s="208"/>
      <c r="CQ83" s="217"/>
      <c r="CR83" s="217"/>
      <c r="CS83" s="217"/>
      <c r="CT83" s="211"/>
      <c r="CU83" s="213"/>
      <c r="CV83" s="213"/>
      <c r="CW83" s="213"/>
      <c r="CX83" s="208"/>
      <c r="CY83" s="217"/>
      <c r="CZ83" s="217"/>
      <c r="DA83" s="217"/>
      <c r="DB83" s="211"/>
      <c r="DC83" s="213"/>
      <c r="DD83" s="213"/>
      <c r="DE83" s="213"/>
      <c r="DF83" s="208"/>
      <c r="DG83" s="217"/>
      <c r="DH83" s="217"/>
      <c r="DI83" s="217"/>
      <c r="DJ83" s="211"/>
      <c r="DK83" s="213"/>
      <c r="DL83" s="213"/>
      <c r="DM83" s="213"/>
      <c r="DN83" s="208"/>
      <c r="DO83" s="217"/>
      <c r="DP83" s="217"/>
      <c r="DQ83" s="217"/>
      <c r="DR83" s="211"/>
      <c r="DS83" s="213"/>
      <c r="DT83" s="213"/>
      <c r="DU83" s="213"/>
      <c r="DV83" s="208"/>
      <c r="DW83" s="217"/>
      <c r="DX83" s="217"/>
      <c r="DY83" s="217"/>
      <c r="DZ83" s="211"/>
      <c r="EA83" s="213"/>
      <c r="EB83" s="213"/>
      <c r="EC83" s="213"/>
      <c r="ED83" s="208"/>
      <c r="EE83" s="217"/>
      <c r="EF83" s="217"/>
      <c r="EG83" s="217"/>
      <c r="EH83" s="211"/>
      <c r="EI83" s="213"/>
      <c r="EJ83" s="213"/>
      <c r="EK83" s="213"/>
      <c r="EL83" s="208"/>
      <c r="EM83" s="217"/>
      <c r="EN83" s="217"/>
      <c r="EO83" s="217"/>
      <c r="EP83" s="211"/>
      <c r="EQ83" s="213"/>
      <c r="ER83" s="213"/>
      <c r="ES83" s="213"/>
      <c r="ET83" s="208"/>
      <c r="EU83" s="217"/>
      <c r="EV83" s="217"/>
      <c r="EW83" s="217"/>
      <c r="EX83" s="211"/>
      <c r="EY83" s="213"/>
      <c r="EZ83" s="213"/>
      <c r="FA83" s="213"/>
      <c r="FB83" s="208"/>
      <c r="FC83" s="217"/>
      <c r="FD83" s="217"/>
      <c r="FE83" s="217"/>
      <c r="FF83" s="211"/>
      <c r="FG83" s="213"/>
      <c r="FH83" s="213"/>
      <c r="FI83" s="213"/>
      <c r="FJ83" s="208"/>
      <c r="FK83" s="217"/>
      <c r="FL83" s="217"/>
      <c r="FM83" s="217"/>
      <c r="FN83" s="211"/>
      <c r="FO83" s="213"/>
      <c r="FP83" s="213"/>
      <c r="FQ83" s="213"/>
      <c r="FR83" s="208"/>
      <c r="FS83" s="217"/>
      <c r="FT83" s="217"/>
      <c r="FU83" s="217"/>
      <c r="FV83" s="211"/>
      <c r="FW83" s="213"/>
      <c r="FX83" s="213"/>
      <c r="FY83" s="213"/>
      <c r="FZ83" s="208"/>
      <c r="GA83" s="217"/>
      <c r="GB83" s="217"/>
      <c r="GC83" s="217"/>
      <c r="GD83" s="211"/>
      <c r="GE83" s="213"/>
      <c r="GF83" s="213"/>
      <c r="GG83" s="213"/>
      <c r="GH83" s="208"/>
      <c r="GI83" s="217"/>
      <c r="GJ83" s="217"/>
      <c r="GK83" s="217"/>
      <c r="GL83" s="211"/>
      <c r="GM83" s="213"/>
      <c r="GN83" s="213"/>
      <c r="GO83" s="213"/>
      <c r="GP83" s="208"/>
      <c r="GQ83" s="217"/>
      <c r="GR83" s="217"/>
      <c r="GS83" s="217"/>
    </row>
    <row r="84" spans="2:201" s="218" customFormat="1" ht="137.5" customHeight="1" x14ac:dyDescent="0.35">
      <c r="B84" s="245">
        <v>75</v>
      </c>
      <c r="C84" s="195"/>
      <c r="D84" s="195"/>
      <c r="E84" s="195"/>
      <c r="F84" s="195"/>
      <c r="G84" s="196"/>
      <c r="H84" s="197"/>
      <c r="I84" s="198"/>
      <c r="J84" s="199"/>
      <c r="K84" s="219"/>
      <c r="L84" s="201"/>
      <c r="M84" s="201"/>
      <c r="N84" s="202"/>
      <c r="O84" s="203">
        <f ca="1">IF(N84="Aprobado con comentarios / Emitir Rev.0",TODAY()-M84,0)</f>
        <v>0</v>
      </c>
      <c r="P84" s="203">
        <f t="shared" ca="1" si="7"/>
        <v>0</v>
      </c>
      <c r="Q84" s="204"/>
      <c r="R84" s="205"/>
      <c r="S84" s="206"/>
      <c r="T84" s="206"/>
      <c r="U84" s="207"/>
      <c r="V84" s="208"/>
      <c r="W84" s="209"/>
      <c r="X84" s="210"/>
      <c r="Y84" s="209"/>
      <c r="Z84" s="211"/>
      <c r="AA84" s="212"/>
      <c r="AB84" s="213"/>
      <c r="AC84" s="214"/>
      <c r="AD84" s="208"/>
      <c r="AE84" s="209"/>
      <c r="AF84" s="210"/>
      <c r="AG84" s="209"/>
      <c r="AH84" s="211"/>
      <c r="AI84" s="212"/>
      <c r="AJ84" s="213"/>
      <c r="AK84" s="214"/>
      <c r="AL84" s="215"/>
      <c r="AM84" s="209"/>
      <c r="AN84" s="210"/>
      <c r="AO84" s="209"/>
      <c r="AP84" s="216"/>
      <c r="AQ84" s="212"/>
      <c r="AR84" s="213"/>
      <c r="AS84" s="214"/>
      <c r="AT84" s="208"/>
      <c r="AU84" s="209"/>
      <c r="AV84" s="210"/>
      <c r="AW84" s="217"/>
      <c r="AX84" s="211"/>
      <c r="AY84" s="213"/>
      <c r="AZ84" s="213"/>
      <c r="BA84" s="213"/>
      <c r="BB84" s="208"/>
      <c r="BC84" s="217"/>
      <c r="BD84" s="210"/>
      <c r="BE84" s="217"/>
      <c r="BF84" s="211"/>
      <c r="BG84" s="213"/>
      <c r="BH84" s="213"/>
      <c r="BI84" s="213"/>
      <c r="BJ84" s="208"/>
      <c r="BK84" s="217"/>
      <c r="BL84" s="210"/>
      <c r="BM84" s="217"/>
      <c r="BN84" s="211"/>
      <c r="BO84" s="213"/>
      <c r="BP84" s="213"/>
      <c r="BQ84" s="213"/>
      <c r="BR84" s="208"/>
      <c r="BS84" s="217"/>
      <c r="BT84" s="210"/>
      <c r="BU84" s="217"/>
      <c r="BV84" s="211"/>
      <c r="BW84" s="213"/>
      <c r="BX84" s="213"/>
      <c r="BY84" s="213"/>
      <c r="BZ84" s="208"/>
      <c r="CA84" s="217"/>
      <c r="CB84" s="217"/>
      <c r="CC84" s="217"/>
      <c r="CD84" s="211"/>
      <c r="CE84" s="213"/>
      <c r="CF84" s="213"/>
      <c r="CG84" s="213"/>
      <c r="CH84" s="208"/>
      <c r="CI84" s="217"/>
      <c r="CJ84" s="217"/>
      <c r="CK84" s="217"/>
      <c r="CL84" s="211"/>
      <c r="CM84" s="213"/>
      <c r="CN84" s="213"/>
      <c r="CO84" s="213"/>
      <c r="CP84" s="208"/>
      <c r="CQ84" s="217"/>
      <c r="CR84" s="217"/>
      <c r="CS84" s="217"/>
      <c r="CT84" s="211"/>
      <c r="CU84" s="213"/>
      <c r="CV84" s="213"/>
      <c r="CW84" s="213"/>
      <c r="CX84" s="208"/>
      <c r="CY84" s="217"/>
      <c r="CZ84" s="217"/>
      <c r="DA84" s="217"/>
      <c r="DB84" s="211"/>
      <c r="DC84" s="213"/>
      <c r="DD84" s="213"/>
      <c r="DE84" s="213"/>
      <c r="DF84" s="208"/>
      <c r="DG84" s="217"/>
      <c r="DH84" s="217"/>
      <c r="DI84" s="217"/>
      <c r="DJ84" s="211"/>
      <c r="DK84" s="213"/>
      <c r="DL84" s="213"/>
      <c r="DM84" s="213"/>
      <c r="DN84" s="208"/>
      <c r="DO84" s="217"/>
      <c r="DP84" s="217"/>
      <c r="DQ84" s="217"/>
      <c r="DR84" s="211"/>
      <c r="DS84" s="213"/>
      <c r="DT84" s="213"/>
      <c r="DU84" s="213"/>
      <c r="DV84" s="208"/>
      <c r="DW84" s="217"/>
      <c r="DX84" s="217"/>
      <c r="DY84" s="217"/>
      <c r="DZ84" s="211"/>
      <c r="EA84" s="213"/>
      <c r="EB84" s="213"/>
      <c r="EC84" s="213"/>
      <c r="ED84" s="208"/>
      <c r="EE84" s="217"/>
      <c r="EF84" s="217"/>
      <c r="EG84" s="217"/>
      <c r="EH84" s="211"/>
      <c r="EI84" s="213"/>
      <c r="EJ84" s="213"/>
      <c r="EK84" s="213"/>
      <c r="EL84" s="208"/>
      <c r="EM84" s="217"/>
      <c r="EN84" s="217"/>
      <c r="EO84" s="217"/>
      <c r="EP84" s="211"/>
      <c r="EQ84" s="213"/>
      <c r="ER84" s="213"/>
      <c r="ES84" s="213"/>
      <c r="ET84" s="208"/>
      <c r="EU84" s="217"/>
      <c r="EV84" s="217"/>
      <c r="EW84" s="217"/>
      <c r="EX84" s="211"/>
      <c r="EY84" s="213"/>
      <c r="EZ84" s="213"/>
      <c r="FA84" s="213"/>
      <c r="FB84" s="208"/>
      <c r="FC84" s="217"/>
      <c r="FD84" s="217"/>
      <c r="FE84" s="217"/>
      <c r="FF84" s="211"/>
      <c r="FG84" s="213"/>
      <c r="FH84" s="213"/>
      <c r="FI84" s="213"/>
      <c r="FJ84" s="208"/>
      <c r="FK84" s="217"/>
      <c r="FL84" s="217"/>
      <c r="FM84" s="217"/>
      <c r="FN84" s="211"/>
      <c r="FO84" s="213"/>
      <c r="FP84" s="213"/>
      <c r="FQ84" s="213"/>
      <c r="FR84" s="208"/>
      <c r="FS84" s="217"/>
      <c r="FT84" s="217"/>
      <c r="FU84" s="217"/>
      <c r="FV84" s="211"/>
      <c r="FW84" s="213"/>
      <c r="FX84" s="213"/>
      <c r="FY84" s="213"/>
      <c r="FZ84" s="208"/>
      <c r="GA84" s="217"/>
      <c r="GB84" s="217"/>
      <c r="GC84" s="217"/>
      <c r="GD84" s="211"/>
      <c r="GE84" s="213"/>
      <c r="GF84" s="213"/>
      <c r="GG84" s="213"/>
      <c r="GH84" s="208"/>
      <c r="GI84" s="217"/>
      <c r="GJ84" s="217"/>
      <c r="GK84" s="217"/>
      <c r="GL84" s="211"/>
      <c r="GM84" s="213"/>
      <c r="GN84" s="213"/>
      <c r="GO84" s="213"/>
      <c r="GP84" s="208"/>
      <c r="GQ84" s="217"/>
      <c r="GR84" s="217"/>
      <c r="GS84" s="217"/>
    </row>
    <row r="85" spans="2:201" s="218" customFormat="1" ht="137.5" customHeight="1" x14ac:dyDescent="0.35">
      <c r="B85" s="245">
        <v>76</v>
      </c>
      <c r="C85" s="195"/>
      <c r="D85" s="195"/>
      <c r="E85" s="195"/>
      <c r="F85" s="195"/>
      <c r="G85" s="196"/>
      <c r="H85" s="221"/>
      <c r="I85" s="198"/>
      <c r="J85" s="199"/>
      <c r="K85" s="200"/>
      <c r="L85" s="201"/>
      <c r="M85" s="201"/>
      <c r="N85" s="202"/>
      <c r="O85" s="203">
        <f ca="1">IF(N85="Aprobado con comentarios / Emitir Rev.0",TODAY()-M85,0)</f>
        <v>0</v>
      </c>
      <c r="P85" s="203">
        <f t="shared" ca="1" si="7"/>
        <v>0</v>
      </c>
      <c r="Q85" s="204">
        <f t="shared" ref="Q85:Q121" si="8">ROUNDUP(((COUNTA(R85:GS85)/4)/2),0)</f>
        <v>0</v>
      </c>
      <c r="R85" s="205"/>
      <c r="S85" s="206"/>
      <c r="T85" s="206"/>
      <c r="U85" s="207"/>
      <c r="V85" s="208"/>
      <c r="W85" s="209"/>
      <c r="X85" s="210"/>
      <c r="Y85" s="209"/>
      <c r="Z85" s="211"/>
      <c r="AA85" s="212"/>
      <c r="AB85" s="213"/>
      <c r="AC85" s="214"/>
      <c r="AD85" s="208"/>
      <c r="AE85" s="209"/>
      <c r="AF85" s="210"/>
      <c r="AG85" s="209"/>
      <c r="AH85" s="211"/>
      <c r="AI85" s="212"/>
      <c r="AJ85" s="213"/>
      <c r="AK85" s="214"/>
      <c r="AL85" s="215"/>
      <c r="AM85" s="209"/>
      <c r="AN85" s="210"/>
      <c r="AO85" s="209"/>
      <c r="AP85" s="216"/>
      <c r="AQ85" s="212"/>
      <c r="AR85" s="213"/>
      <c r="AS85" s="214"/>
      <c r="AT85" s="208"/>
      <c r="AU85" s="209"/>
      <c r="AV85" s="210"/>
      <c r="AW85" s="217"/>
      <c r="AX85" s="211"/>
      <c r="AY85" s="213"/>
      <c r="AZ85" s="213"/>
      <c r="BA85" s="213"/>
      <c r="BB85" s="208"/>
      <c r="BC85" s="217"/>
      <c r="BD85" s="210"/>
      <c r="BE85" s="217"/>
      <c r="BF85" s="211"/>
      <c r="BG85" s="213"/>
      <c r="BH85" s="213"/>
      <c r="BI85" s="213"/>
      <c r="BJ85" s="208"/>
      <c r="BK85" s="217"/>
      <c r="BL85" s="210"/>
      <c r="BM85" s="217"/>
      <c r="BN85" s="211"/>
      <c r="BO85" s="213"/>
      <c r="BP85" s="213"/>
      <c r="BQ85" s="213"/>
      <c r="BR85" s="208"/>
      <c r="BS85" s="217"/>
      <c r="BT85" s="210"/>
      <c r="BU85" s="217"/>
      <c r="BV85" s="211"/>
      <c r="BW85" s="213"/>
      <c r="BX85" s="213"/>
      <c r="BY85" s="213"/>
      <c r="BZ85" s="208"/>
      <c r="CA85" s="217"/>
      <c r="CB85" s="217"/>
      <c r="CC85" s="217"/>
      <c r="CD85" s="211"/>
      <c r="CE85" s="213"/>
      <c r="CF85" s="213"/>
      <c r="CG85" s="213"/>
      <c r="CH85" s="208"/>
      <c r="CI85" s="217"/>
      <c r="CJ85" s="217"/>
      <c r="CK85" s="217"/>
      <c r="CL85" s="211"/>
      <c r="CM85" s="213"/>
      <c r="CN85" s="213"/>
      <c r="CO85" s="213"/>
      <c r="CP85" s="208"/>
      <c r="CQ85" s="217"/>
      <c r="CR85" s="217"/>
      <c r="CS85" s="217"/>
      <c r="CT85" s="211"/>
      <c r="CU85" s="213"/>
      <c r="CV85" s="213"/>
      <c r="CW85" s="213"/>
      <c r="CX85" s="208"/>
      <c r="CY85" s="217"/>
      <c r="CZ85" s="217"/>
      <c r="DA85" s="217"/>
      <c r="DB85" s="211"/>
      <c r="DC85" s="213"/>
      <c r="DD85" s="213"/>
      <c r="DE85" s="213"/>
      <c r="DF85" s="208"/>
      <c r="DG85" s="217"/>
      <c r="DH85" s="217"/>
      <c r="DI85" s="217"/>
      <c r="DJ85" s="211"/>
      <c r="DK85" s="213"/>
      <c r="DL85" s="213"/>
      <c r="DM85" s="213"/>
      <c r="DN85" s="208"/>
      <c r="DO85" s="217"/>
      <c r="DP85" s="217"/>
      <c r="DQ85" s="217"/>
      <c r="DR85" s="211"/>
      <c r="DS85" s="213"/>
      <c r="DT85" s="213"/>
      <c r="DU85" s="213"/>
      <c r="DV85" s="208"/>
      <c r="DW85" s="217"/>
      <c r="DX85" s="217"/>
      <c r="DY85" s="217"/>
      <c r="DZ85" s="211"/>
      <c r="EA85" s="213"/>
      <c r="EB85" s="213"/>
      <c r="EC85" s="213"/>
      <c r="ED85" s="208"/>
      <c r="EE85" s="217"/>
      <c r="EF85" s="217"/>
      <c r="EG85" s="217"/>
      <c r="EH85" s="211"/>
      <c r="EI85" s="213"/>
      <c r="EJ85" s="213"/>
      <c r="EK85" s="213"/>
      <c r="EL85" s="208"/>
      <c r="EM85" s="217"/>
      <c r="EN85" s="217"/>
      <c r="EO85" s="217"/>
      <c r="EP85" s="211"/>
      <c r="EQ85" s="213"/>
      <c r="ER85" s="213"/>
      <c r="ES85" s="213"/>
      <c r="ET85" s="208"/>
      <c r="EU85" s="217"/>
      <c r="EV85" s="217"/>
      <c r="EW85" s="217"/>
      <c r="EX85" s="211"/>
      <c r="EY85" s="213"/>
      <c r="EZ85" s="213"/>
      <c r="FA85" s="213"/>
      <c r="FB85" s="208"/>
      <c r="FC85" s="217"/>
      <c r="FD85" s="217"/>
      <c r="FE85" s="217"/>
      <c r="FF85" s="211"/>
      <c r="FG85" s="213"/>
      <c r="FH85" s="213"/>
      <c r="FI85" s="213"/>
      <c r="FJ85" s="208"/>
      <c r="FK85" s="217"/>
      <c r="FL85" s="217"/>
      <c r="FM85" s="217"/>
      <c r="FN85" s="211"/>
      <c r="FO85" s="213"/>
      <c r="FP85" s="213"/>
      <c r="FQ85" s="213"/>
      <c r="FR85" s="208"/>
      <c r="FS85" s="217"/>
      <c r="FT85" s="217"/>
      <c r="FU85" s="217"/>
      <c r="FV85" s="211"/>
      <c r="FW85" s="213"/>
      <c r="FX85" s="213"/>
      <c r="FY85" s="213"/>
      <c r="FZ85" s="208"/>
      <c r="GA85" s="217"/>
      <c r="GB85" s="217"/>
      <c r="GC85" s="217"/>
      <c r="GD85" s="211"/>
      <c r="GE85" s="213"/>
      <c r="GF85" s="213"/>
      <c r="GG85" s="213"/>
      <c r="GH85" s="208"/>
      <c r="GI85" s="217"/>
      <c r="GJ85" s="217"/>
      <c r="GK85" s="217"/>
      <c r="GL85" s="211"/>
      <c r="GM85" s="213"/>
      <c r="GN85" s="213"/>
      <c r="GO85" s="213"/>
      <c r="GP85" s="208"/>
      <c r="GQ85" s="217"/>
      <c r="GR85" s="217"/>
      <c r="GS85" s="217"/>
    </row>
    <row r="86" spans="2:201" s="218" customFormat="1" ht="137.5" customHeight="1" x14ac:dyDescent="0.35">
      <c r="B86" s="245">
        <v>77</v>
      </c>
      <c r="C86" s="195"/>
      <c r="D86" s="195"/>
      <c r="E86" s="195"/>
      <c r="F86" s="195"/>
      <c r="G86" s="196"/>
      <c r="H86" s="221"/>
      <c r="I86" s="198"/>
      <c r="J86" s="199"/>
      <c r="K86" s="200"/>
      <c r="L86" s="201"/>
      <c r="M86" s="201"/>
      <c r="N86" s="202"/>
      <c r="O86" s="203">
        <f ca="1">IF(N86="Aprobado con comentarios / Emitir Rev.0",TODAY()-M86,0)</f>
        <v>0</v>
      </c>
      <c r="P86" s="203">
        <f t="shared" ca="1" si="7"/>
        <v>0</v>
      </c>
      <c r="Q86" s="204">
        <f t="shared" si="8"/>
        <v>0</v>
      </c>
      <c r="R86" s="205"/>
      <c r="S86" s="206"/>
      <c r="T86" s="206"/>
      <c r="U86" s="207"/>
      <c r="V86" s="208"/>
      <c r="W86" s="209"/>
      <c r="X86" s="210"/>
      <c r="Y86" s="209"/>
      <c r="Z86" s="211"/>
      <c r="AA86" s="212"/>
      <c r="AB86" s="213"/>
      <c r="AC86" s="214"/>
      <c r="AD86" s="208"/>
      <c r="AE86" s="209"/>
      <c r="AF86" s="210"/>
      <c r="AG86" s="209"/>
      <c r="AH86" s="211"/>
      <c r="AI86" s="212"/>
      <c r="AJ86" s="213"/>
      <c r="AK86" s="214"/>
      <c r="AL86" s="215"/>
      <c r="AM86" s="209"/>
      <c r="AN86" s="210"/>
      <c r="AO86" s="209"/>
      <c r="AP86" s="216"/>
      <c r="AQ86" s="212"/>
      <c r="AR86" s="213"/>
      <c r="AS86" s="214"/>
      <c r="AT86" s="208"/>
      <c r="AU86" s="209"/>
      <c r="AV86" s="210"/>
      <c r="AW86" s="217"/>
      <c r="AX86" s="211"/>
      <c r="AY86" s="213"/>
      <c r="AZ86" s="213"/>
      <c r="BA86" s="213"/>
      <c r="BB86" s="208"/>
      <c r="BC86" s="217"/>
      <c r="BD86" s="210"/>
      <c r="BE86" s="217"/>
      <c r="BF86" s="211"/>
      <c r="BG86" s="213"/>
      <c r="BH86" s="213"/>
      <c r="BI86" s="213"/>
      <c r="BJ86" s="208"/>
      <c r="BK86" s="217"/>
      <c r="BL86" s="210"/>
      <c r="BM86" s="217"/>
      <c r="BN86" s="211"/>
      <c r="BO86" s="213"/>
      <c r="BP86" s="213"/>
      <c r="BQ86" s="213"/>
      <c r="BR86" s="208"/>
      <c r="BS86" s="217"/>
      <c r="BT86" s="210"/>
      <c r="BU86" s="217"/>
      <c r="BV86" s="211"/>
      <c r="BW86" s="213"/>
      <c r="BX86" s="213"/>
      <c r="BY86" s="213"/>
      <c r="BZ86" s="208"/>
      <c r="CA86" s="217"/>
      <c r="CB86" s="217"/>
      <c r="CC86" s="217"/>
      <c r="CD86" s="211"/>
      <c r="CE86" s="213"/>
      <c r="CF86" s="213"/>
      <c r="CG86" s="213"/>
      <c r="CH86" s="208"/>
      <c r="CI86" s="217"/>
      <c r="CJ86" s="217"/>
      <c r="CK86" s="217"/>
      <c r="CL86" s="211"/>
      <c r="CM86" s="213"/>
      <c r="CN86" s="213"/>
      <c r="CO86" s="213"/>
      <c r="CP86" s="208"/>
      <c r="CQ86" s="217"/>
      <c r="CR86" s="217"/>
      <c r="CS86" s="217"/>
      <c r="CT86" s="211"/>
      <c r="CU86" s="213"/>
      <c r="CV86" s="213"/>
      <c r="CW86" s="213"/>
      <c r="CX86" s="208"/>
      <c r="CY86" s="217"/>
      <c r="CZ86" s="217"/>
      <c r="DA86" s="217"/>
      <c r="DB86" s="211"/>
      <c r="DC86" s="213"/>
      <c r="DD86" s="213"/>
      <c r="DE86" s="213"/>
      <c r="DF86" s="208"/>
      <c r="DG86" s="217"/>
      <c r="DH86" s="217"/>
      <c r="DI86" s="217"/>
      <c r="DJ86" s="211"/>
      <c r="DK86" s="213"/>
      <c r="DL86" s="213"/>
      <c r="DM86" s="213"/>
      <c r="DN86" s="208"/>
      <c r="DO86" s="217"/>
      <c r="DP86" s="217"/>
      <c r="DQ86" s="217"/>
      <c r="DR86" s="211"/>
      <c r="DS86" s="213"/>
      <c r="DT86" s="213"/>
      <c r="DU86" s="213"/>
      <c r="DV86" s="208"/>
      <c r="DW86" s="217"/>
      <c r="DX86" s="217"/>
      <c r="DY86" s="217"/>
      <c r="DZ86" s="211"/>
      <c r="EA86" s="213"/>
      <c r="EB86" s="213"/>
      <c r="EC86" s="213"/>
      <c r="ED86" s="208"/>
      <c r="EE86" s="217"/>
      <c r="EF86" s="217"/>
      <c r="EG86" s="217"/>
      <c r="EH86" s="211"/>
      <c r="EI86" s="213"/>
      <c r="EJ86" s="213"/>
      <c r="EK86" s="213"/>
      <c r="EL86" s="208"/>
      <c r="EM86" s="217"/>
      <c r="EN86" s="217"/>
      <c r="EO86" s="217"/>
      <c r="EP86" s="211"/>
      <c r="EQ86" s="213"/>
      <c r="ER86" s="213"/>
      <c r="ES86" s="213"/>
      <c r="ET86" s="208"/>
      <c r="EU86" s="217"/>
      <c r="EV86" s="217"/>
      <c r="EW86" s="217"/>
      <c r="EX86" s="211"/>
      <c r="EY86" s="213"/>
      <c r="EZ86" s="213"/>
      <c r="FA86" s="213"/>
      <c r="FB86" s="208"/>
      <c r="FC86" s="217"/>
      <c r="FD86" s="217"/>
      <c r="FE86" s="217"/>
      <c r="FF86" s="211"/>
      <c r="FG86" s="213"/>
      <c r="FH86" s="213"/>
      <c r="FI86" s="213"/>
      <c r="FJ86" s="208"/>
      <c r="FK86" s="217"/>
      <c r="FL86" s="217"/>
      <c r="FM86" s="217"/>
      <c r="FN86" s="211"/>
      <c r="FO86" s="213"/>
      <c r="FP86" s="213"/>
      <c r="FQ86" s="213"/>
      <c r="FR86" s="208"/>
      <c r="FS86" s="217"/>
      <c r="FT86" s="217"/>
      <c r="FU86" s="217"/>
      <c r="FV86" s="211"/>
      <c r="FW86" s="213"/>
      <c r="FX86" s="213"/>
      <c r="FY86" s="213"/>
      <c r="FZ86" s="208"/>
      <c r="GA86" s="217"/>
      <c r="GB86" s="217"/>
      <c r="GC86" s="217"/>
      <c r="GD86" s="211"/>
      <c r="GE86" s="213"/>
      <c r="GF86" s="213"/>
      <c r="GG86" s="213"/>
      <c r="GH86" s="208"/>
      <c r="GI86" s="217"/>
      <c r="GJ86" s="217"/>
      <c r="GK86" s="217"/>
      <c r="GL86" s="211"/>
      <c r="GM86" s="213"/>
      <c r="GN86" s="213"/>
      <c r="GO86" s="213"/>
      <c r="GP86" s="208"/>
      <c r="GQ86" s="217"/>
      <c r="GR86" s="217"/>
      <c r="GS86" s="217"/>
    </row>
    <row r="87" spans="2:201" s="218" customFormat="1" ht="137.5" customHeight="1" x14ac:dyDescent="0.35">
      <c r="B87" s="245">
        <v>78</v>
      </c>
      <c r="C87" s="195"/>
      <c r="D87" s="195"/>
      <c r="E87" s="195"/>
      <c r="F87" s="195"/>
      <c r="G87" s="196"/>
      <c r="H87" s="224"/>
      <c r="I87" s="198"/>
      <c r="J87" s="199"/>
      <c r="K87" s="200"/>
      <c r="L87" s="201"/>
      <c r="M87" s="201"/>
      <c r="N87" s="202"/>
      <c r="O87" s="203">
        <f ca="1">IF(N87="Aprobado con comentarios / Emitir Rev.0",TODAY()-M87,0)</f>
        <v>0</v>
      </c>
      <c r="P87" s="203">
        <f t="shared" ca="1" si="7"/>
        <v>0</v>
      </c>
      <c r="Q87" s="204">
        <f t="shared" si="8"/>
        <v>0</v>
      </c>
      <c r="R87" s="205"/>
      <c r="S87" s="206"/>
      <c r="T87" s="206"/>
      <c r="U87" s="207"/>
      <c r="V87" s="208"/>
      <c r="W87" s="209"/>
      <c r="X87" s="210"/>
      <c r="Y87" s="209"/>
      <c r="Z87" s="211"/>
      <c r="AA87" s="213"/>
      <c r="AB87" s="213"/>
      <c r="AC87" s="214"/>
      <c r="AD87" s="215"/>
      <c r="AE87" s="209"/>
      <c r="AF87" s="210"/>
      <c r="AG87" s="209"/>
      <c r="AH87" s="211"/>
      <c r="AI87" s="212"/>
      <c r="AJ87" s="213"/>
      <c r="AK87" s="214"/>
      <c r="AL87" s="215"/>
      <c r="AM87" s="209"/>
      <c r="AN87" s="210"/>
      <c r="AO87" s="209"/>
      <c r="AP87" s="216"/>
      <c r="AQ87" s="212"/>
      <c r="AR87" s="213"/>
      <c r="AS87" s="214"/>
      <c r="AT87" s="208"/>
      <c r="AU87" s="209"/>
      <c r="AV87" s="210"/>
      <c r="AW87" s="209"/>
      <c r="AX87" s="211"/>
      <c r="AY87" s="213"/>
      <c r="AZ87" s="212"/>
      <c r="BA87" s="214"/>
      <c r="BB87" s="208"/>
      <c r="BC87" s="209"/>
      <c r="BD87" s="210"/>
      <c r="BE87" s="209"/>
      <c r="BF87" s="211"/>
      <c r="BG87" s="213"/>
      <c r="BH87" s="213"/>
      <c r="BI87" s="214"/>
      <c r="BJ87" s="215"/>
      <c r="BK87" s="209"/>
      <c r="BL87" s="210"/>
      <c r="BM87" s="209"/>
      <c r="BN87" s="211"/>
      <c r="BO87" s="213"/>
      <c r="BP87" s="213"/>
      <c r="BQ87" s="214"/>
      <c r="BR87" s="208"/>
      <c r="BS87" s="217"/>
      <c r="BT87" s="210"/>
      <c r="BU87" s="217"/>
      <c r="BV87" s="216"/>
      <c r="BW87" s="212"/>
      <c r="BX87" s="236"/>
      <c r="BY87" s="214"/>
      <c r="BZ87" s="208"/>
      <c r="CA87" s="209"/>
      <c r="CB87" s="217"/>
      <c r="CC87" s="217"/>
      <c r="CD87" s="211"/>
      <c r="CE87" s="213"/>
      <c r="CF87" s="213"/>
      <c r="CG87" s="213"/>
      <c r="CH87" s="208"/>
      <c r="CI87" s="217"/>
      <c r="CJ87" s="217"/>
      <c r="CK87" s="217"/>
      <c r="CL87" s="211"/>
      <c r="CM87" s="213"/>
      <c r="CN87" s="213"/>
      <c r="CO87" s="213"/>
      <c r="CP87" s="208"/>
      <c r="CQ87" s="217"/>
      <c r="CR87" s="217"/>
      <c r="CS87" s="217"/>
      <c r="CT87" s="211"/>
      <c r="CU87" s="213"/>
      <c r="CV87" s="213"/>
      <c r="CW87" s="213"/>
      <c r="CX87" s="208"/>
      <c r="CY87" s="217"/>
      <c r="CZ87" s="217"/>
      <c r="DA87" s="217"/>
      <c r="DB87" s="211"/>
      <c r="DC87" s="213"/>
      <c r="DD87" s="213"/>
      <c r="DE87" s="213"/>
      <c r="DF87" s="208"/>
      <c r="DG87" s="217"/>
      <c r="DH87" s="217"/>
      <c r="DI87" s="217"/>
      <c r="DJ87" s="211"/>
      <c r="DK87" s="213"/>
      <c r="DL87" s="213"/>
      <c r="DM87" s="213"/>
      <c r="DN87" s="208"/>
      <c r="DO87" s="217"/>
      <c r="DP87" s="217"/>
      <c r="DQ87" s="217"/>
      <c r="DR87" s="211"/>
      <c r="DS87" s="213"/>
      <c r="DT87" s="213"/>
      <c r="DU87" s="213"/>
      <c r="DV87" s="208"/>
      <c r="DW87" s="217"/>
      <c r="DX87" s="217"/>
      <c r="DY87" s="217"/>
      <c r="DZ87" s="211"/>
      <c r="EA87" s="213"/>
      <c r="EB87" s="213"/>
      <c r="EC87" s="213"/>
      <c r="ED87" s="208"/>
      <c r="EE87" s="217"/>
      <c r="EF87" s="217"/>
      <c r="EG87" s="217"/>
      <c r="EH87" s="211"/>
      <c r="EI87" s="213"/>
      <c r="EJ87" s="213"/>
      <c r="EK87" s="213"/>
      <c r="EL87" s="208"/>
      <c r="EM87" s="217"/>
      <c r="EN87" s="217"/>
      <c r="EO87" s="217"/>
      <c r="EP87" s="211"/>
      <c r="EQ87" s="213"/>
      <c r="ER87" s="213"/>
      <c r="ES87" s="213"/>
      <c r="ET87" s="208"/>
      <c r="EU87" s="217"/>
      <c r="EV87" s="217"/>
      <c r="EW87" s="217"/>
      <c r="EX87" s="211"/>
      <c r="EY87" s="213"/>
      <c r="EZ87" s="213"/>
      <c r="FA87" s="213"/>
      <c r="FB87" s="208"/>
      <c r="FC87" s="217"/>
      <c r="FD87" s="217"/>
      <c r="FE87" s="217"/>
      <c r="FF87" s="211"/>
      <c r="FG87" s="213"/>
      <c r="FH87" s="213"/>
      <c r="FI87" s="213"/>
      <c r="FJ87" s="208"/>
      <c r="FK87" s="217"/>
      <c r="FL87" s="217"/>
      <c r="FM87" s="217"/>
      <c r="FN87" s="211"/>
      <c r="FO87" s="213"/>
      <c r="FP87" s="213"/>
      <c r="FQ87" s="213"/>
      <c r="FR87" s="208"/>
      <c r="FS87" s="217"/>
      <c r="FT87" s="217"/>
      <c r="FU87" s="217"/>
      <c r="FV87" s="211"/>
      <c r="FW87" s="213"/>
      <c r="FX87" s="213"/>
      <c r="FY87" s="213"/>
      <c r="FZ87" s="208"/>
      <c r="GA87" s="217"/>
      <c r="GB87" s="217"/>
      <c r="GC87" s="217"/>
      <c r="GD87" s="211"/>
      <c r="GE87" s="213"/>
      <c r="GF87" s="213"/>
      <c r="GG87" s="213"/>
      <c r="GH87" s="208"/>
      <c r="GI87" s="217"/>
      <c r="GJ87" s="217"/>
      <c r="GK87" s="217"/>
      <c r="GL87" s="211"/>
      <c r="GM87" s="213"/>
      <c r="GN87" s="213"/>
      <c r="GO87" s="213"/>
      <c r="GP87" s="208"/>
      <c r="GQ87" s="217"/>
      <c r="GR87" s="217"/>
      <c r="GS87" s="217"/>
    </row>
    <row r="88" spans="2:201" s="218" customFormat="1" ht="137.5" customHeight="1" x14ac:dyDescent="0.35">
      <c r="B88" s="245">
        <v>79</v>
      </c>
      <c r="C88" s="194"/>
      <c r="D88" s="195"/>
      <c r="E88" s="195"/>
      <c r="F88" s="195"/>
      <c r="G88" s="196"/>
      <c r="H88" s="220"/>
      <c r="I88" s="198"/>
      <c r="J88" s="199"/>
      <c r="K88" s="200"/>
      <c r="L88" s="201"/>
      <c r="M88" s="201"/>
      <c r="N88" s="202"/>
      <c r="O88" s="203">
        <f ca="1">IF(N88="Aprobado con comentarios / Emitir Rev.1",TODAY()-M88,0)</f>
        <v>0</v>
      </c>
      <c r="P88" s="203">
        <f t="shared" ca="1" si="7"/>
        <v>0</v>
      </c>
      <c r="Q88" s="204">
        <f t="shared" si="8"/>
        <v>0</v>
      </c>
      <c r="R88" s="205"/>
      <c r="S88" s="206"/>
      <c r="T88" s="206"/>
      <c r="U88" s="207"/>
      <c r="V88" s="208"/>
      <c r="W88" s="209"/>
      <c r="X88" s="210"/>
      <c r="Y88" s="209"/>
      <c r="Z88" s="211"/>
      <c r="AA88" s="213"/>
      <c r="AB88" s="213"/>
      <c r="AC88" s="214"/>
      <c r="AD88" s="208"/>
      <c r="AE88" s="209"/>
      <c r="AF88" s="210"/>
      <c r="AG88" s="209"/>
      <c r="AH88" s="211"/>
      <c r="AI88" s="212"/>
      <c r="AJ88" s="213"/>
      <c r="AK88" s="214"/>
      <c r="AL88" s="215"/>
      <c r="AM88" s="209"/>
      <c r="AN88" s="210"/>
      <c r="AO88" s="209"/>
      <c r="AP88" s="216"/>
      <c r="AQ88" s="213"/>
      <c r="AR88" s="213"/>
      <c r="AS88" s="214"/>
      <c r="AT88" s="208"/>
      <c r="AU88" s="209"/>
      <c r="AV88" s="210"/>
      <c r="AW88" s="217"/>
      <c r="AX88" s="211"/>
      <c r="AY88" s="213"/>
      <c r="AZ88" s="213"/>
      <c r="BA88" s="214"/>
      <c r="BB88" s="208"/>
      <c r="BC88" s="217"/>
      <c r="BD88" s="210"/>
      <c r="BE88" s="217"/>
      <c r="BF88" s="211"/>
      <c r="BG88" s="213"/>
      <c r="BH88" s="213"/>
      <c r="BI88" s="214"/>
      <c r="BJ88" s="208"/>
      <c r="BK88" s="209"/>
      <c r="BL88" s="210"/>
      <c r="BM88" s="217"/>
      <c r="BN88" s="211"/>
      <c r="BO88" s="213"/>
      <c r="BP88" s="213"/>
      <c r="BQ88" s="214"/>
      <c r="BR88" s="208"/>
      <c r="BS88" s="209"/>
      <c r="BT88" s="210"/>
      <c r="BU88" s="217"/>
      <c r="BV88" s="211"/>
      <c r="BW88" s="213"/>
      <c r="BX88" s="213"/>
      <c r="BY88" s="214"/>
      <c r="BZ88" s="208"/>
      <c r="CA88" s="209"/>
      <c r="CB88" s="217"/>
      <c r="CC88" s="217"/>
      <c r="CD88" s="211"/>
      <c r="CE88" s="213"/>
      <c r="CF88" s="213"/>
      <c r="CG88" s="213"/>
      <c r="CH88" s="208"/>
      <c r="CI88" s="217"/>
      <c r="CJ88" s="217"/>
      <c r="CK88" s="217"/>
      <c r="CL88" s="211"/>
      <c r="CM88" s="213"/>
      <c r="CN88" s="213"/>
      <c r="CO88" s="213"/>
      <c r="CP88" s="208"/>
      <c r="CQ88" s="217"/>
      <c r="CR88" s="217"/>
      <c r="CS88" s="217"/>
      <c r="CT88" s="211"/>
      <c r="CU88" s="213"/>
      <c r="CV88" s="213"/>
      <c r="CW88" s="213"/>
      <c r="CX88" s="208"/>
      <c r="CY88" s="217"/>
      <c r="CZ88" s="217"/>
      <c r="DA88" s="217"/>
      <c r="DB88" s="211"/>
      <c r="DC88" s="213"/>
      <c r="DD88" s="213"/>
      <c r="DE88" s="213"/>
      <c r="DF88" s="208"/>
      <c r="DG88" s="217"/>
      <c r="DH88" s="217"/>
      <c r="DI88" s="217"/>
      <c r="DJ88" s="211"/>
      <c r="DK88" s="213"/>
      <c r="DL88" s="213"/>
      <c r="DM88" s="213"/>
      <c r="DN88" s="208"/>
      <c r="DO88" s="217"/>
      <c r="DP88" s="217"/>
      <c r="DQ88" s="217"/>
      <c r="DR88" s="211"/>
      <c r="DS88" s="213"/>
      <c r="DT88" s="213"/>
      <c r="DU88" s="213"/>
      <c r="DV88" s="208"/>
      <c r="DW88" s="217"/>
      <c r="DX88" s="217"/>
      <c r="DY88" s="217"/>
      <c r="DZ88" s="211"/>
      <c r="EA88" s="213"/>
      <c r="EB88" s="213"/>
      <c r="EC88" s="213"/>
      <c r="ED88" s="208"/>
      <c r="EE88" s="217"/>
      <c r="EF88" s="217"/>
      <c r="EG88" s="217"/>
      <c r="EH88" s="211"/>
      <c r="EI88" s="213"/>
      <c r="EJ88" s="213"/>
      <c r="EK88" s="213"/>
      <c r="EL88" s="208"/>
      <c r="EM88" s="217"/>
      <c r="EN88" s="217"/>
      <c r="EO88" s="217"/>
      <c r="EP88" s="211"/>
      <c r="EQ88" s="213"/>
      <c r="ER88" s="213"/>
      <c r="ES88" s="213"/>
      <c r="ET88" s="208"/>
      <c r="EU88" s="217"/>
      <c r="EV88" s="217"/>
      <c r="EW88" s="217"/>
      <c r="EX88" s="211"/>
      <c r="EY88" s="213"/>
      <c r="EZ88" s="213"/>
      <c r="FA88" s="213"/>
      <c r="FB88" s="208"/>
      <c r="FC88" s="217"/>
      <c r="FD88" s="217"/>
      <c r="FE88" s="217"/>
      <c r="FF88" s="211"/>
      <c r="FG88" s="213"/>
      <c r="FH88" s="213"/>
      <c r="FI88" s="213"/>
      <c r="FJ88" s="208"/>
      <c r="FK88" s="217"/>
      <c r="FL88" s="217"/>
      <c r="FM88" s="217"/>
      <c r="FN88" s="211"/>
      <c r="FO88" s="213"/>
      <c r="FP88" s="213"/>
      <c r="FQ88" s="213"/>
      <c r="FR88" s="208"/>
      <c r="FS88" s="217"/>
      <c r="FT88" s="217"/>
      <c r="FU88" s="217"/>
      <c r="FV88" s="211"/>
      <c r="FW88" s="213"/>
      <c r="FX88" s="213"/>
      <c r="FY88" s="213"/>
      <c r="FZ88" s="208"/>
      <c r="GA88" s="217"/>
      <c r="GB88" s="217"/>
      <c r="GC88" s="217"/>
      <c r="GD88" s="211"/>
      <c r="GE88" s="213"/>
      <c r="GF88" s="213"/>
      <c r="GG88" s="213"/>
      <c r="GH88" s="208"/>
      <c r="GI88" s="217"/>
      <c r="GJ88" s="217"/>
      <c r="GK88" s="217"/>
      <c r="GL88" s="211"/>
      <c r="GM88" s="213"/>
      <c r="GN88" s="213"/>
      <c r="GO88" s="213"/>
      <c r="GP88" s="208"/>
      <c r="GQ88" s="217"/>
      <c r="GR88" s="217"/>
      <c r="GS88" s="217"/>
    </row>
    <row r="89" spans="2:201" s="218" customFormat="1" ht="137.5" customHeight="1" x14ac:dyDescent="0.35">
      <c r="B89" s="245">
        <v>80</v>
      </c>
      <c r="C89" s="194"/>
      <c r="D89" s="195"/>
      <c r="E89" s="195"/>
      <c r="F89" s="195"/>
      <c r="G89" s="196"/>
      <c r="H89" s="220"/>
      <c r="I89" s="198"/>
      <c r="J89" s="199"/>
      <c r="K89" s="200"/>
      <c r="L89" s="201"/>
      <c r="M89" s="201"/>
      <c r="N89" s="202"/>
      <c r="O89" s="203">
        <f ca="1">IF(N89="Aprobado con comentarios / Emitir Rev.1",TODAY()-M89,0)</f>
        <v>0</v>
      </c>
      <c r="P89" s="203">
        <f t="shared" ca="1" si="7"/>
        <v>0</v>
      </c>
      <c r="Q89" s="204">
        <f t="shared" si="8"/>
        <v>0</v>
      </c>
      <c r="R89" s="205"/>
      <c r="S89" s="206"/>
      <c r="T89" s="206"/>
      <c r="U89" s="207"/>
      <c r="V89" s="208"/>
      <c r="W89" s="209"/>
      <c r="X89" s="210"/>
      <c r="Y89" s="209"/>
      <c r="Z89" s="211"/>
      <c r="AA89" s="213"/>
      <c r="AB89" s="213"/>
      <c r="AC89" s="214"/>
      <c r="AD89" s="215"/>
      <c r="AE89" s="209"/>
      <c r="AF89" s="210"/>
      <c r="AG89" s="209"/>
      <c r="AH89" s="211"/>
      <c r="AI89" s="212"/>
      <c r="AJ89" s="213"/>
      <c r="AK89" s="214"/>
      <c r="AL89" s="215"/>
      <c r="AM89" s="209"/>
      <c r="AN89" s="210"/>
      <c r="AO89" s="209"/>
      <c r="AP89" s="216"/>
      <c r="AQ89" s="213"/>
      <c r="AR89" s="213"/>
      <c r="AS89" s="214"/>
      <c r="AT89" s="208"/>
      <c r="AU89" s="209"/>
      <c r="AV89" s="210"/>
      <c r="AW89" s="217"/>
      <c r="AX89" s="211"/>
      <c r="AY89" s="213"/>
      <c r="AZ89" s="213"/>
      <c r="BA89" s="214"/>
      <c r="BB89" s="208"/>
      <c r="BC89" s="209"/>
      <c r="BD89" s="210"/>
      <c r="BE89" s="217"/>
      <c r="BF89" s="211"/>
      <c r="BG89" s="213"/>
      <c r="BH89" s="213"/>
      <c r="BI89" s="214"/>
      <c r="BJ89" s="208"/>
      <c r="BK89" s="209"/>
      <c r="BL89" s="210"/>
      <c r="BM89" s="217"/>
      <c r="BN89" s="211"/>
      <c r="BO89" s="213"/>
      <c r="BP89" s="213"/>
      <c r="BQ89" s="214"/>
      <c r="BR89" s="208"/>
      <c r="BS89" s="209"/>
      <c r="BT89" s="210"/>
      <c r="BU89" s="217"/>
      <c r="BV89" s="211"/>
      <c r="BW89" s="213"/>
      <c r="BX89" s="213"/>
      <c r="BY89" s="214"/>
      <c r="BZ89" s="208"/>
      <c r="CA89" s="209"/>
      <c r="CB89" s="217"/>
      <c r="CC89" s="217"/>
      <c r="CD89" s="211"/>
      <c r="CE89" s="213"/>
      <c r="CF89" s="213"/>
      <c r="CG89" s="213"/>
      <c r="CH89" s="208"/>
      <c r="CI89" s="217"/>
      <c r="CJ89" s="217"/>
      <c r="CK89" s="217"/>
      <c r="CL89" s="211"/>
      <c r="CM89" s="213"/>
      <c r="CN89" s="213"/>
      <c r="CO89" s="213"/>
      <c r="CP89" s="208"/>
      <c r="CQ89" s="217"/>
      <c r="CR89" s="217"/>
      <c r="CS89" s="217"/>
      <c r="CT89" s="211"/>
      <c r="CU89" s="213"/>
      <c r="CV89" s="213"/>
      <c r="CW89" s="213"/>
      <c r="CX89" s="208"/>
      <c r="CY89" s="217"/>
      <c r="CZ89" s="217"/>
      <c r="DA89" s="217"/>
      <c r="DB89" s="211"/>
      <c r="DC89" s="213"/>
      <c r="DD89" s="213"/>
      <c r="DE89" s="213"/>
      <c r="DF89" s="208"/>
      <c r="DG89" s="217"/>
      <c r="DH89" s="217"/>
      <c r="DI89" s="217"/>
      <c r="DJ89" s="211"/>
      <c r="DK89" s="213"/>
      <c r="DL89" s="213"/>
      <c r="DM89" s="213"/>
      <c r="DN89" s="208"/>
      <c r="DO89" s="217"/>
      <c r="DP89" s="217"/>
      <c r="DQ89" s="217"/>
      <c r="DR89" s="211"/>
      <c r="DS89" s="213"/>
      <c r="DT89" s="213"/>
      <c r="DU89" s="213"/>
      <c r="DV89" s="208"/>
      <c r="DW89" s="217"/>
      <c r="DX89" s="217"/>
      <c r="DY89" s="217"/>
      <c r="DZ89" s="211"/>
      <c r="EA89" s="213"/>
      <c r="EB89" s="213"/>
      <c r="EC89" s="213"/>
      <c r="ED89" s="208"/>
      <c r="EE89" s="217"/>
      <c r="EF89" s="217"/>
      <c r="EG89" s="217"/>
      <c r="EH89" s="211"/>
      <c r="EI89" s="213"/>
      <c r="EJ89" s="213"/>
      <c r="EK89" s="213"/>
      <c r="EL89" s="208"/>
      <c r="EM89" s="217"/>
      <c r="EN89" s="217"/>
      <c r="EO89" s="217"/>
      <c r="EP89" s="211"/>
      <c r="EQ89" s="213"/>
      <c r="ER89" s="213"/>
      <c r="ES89" s="213"/>
      <c r="ET89" s="208"/>
      <c r="EU89" s="217"/>
      <c r="EV89" s="217"/>
      <c r="EW89" s="217"/>
      <c r="EX89" s="211"/>
      <c r="EY89" s="213"/>
      <c r="EZ89" s="213"/>
      <c r="FA89" s="213"/>
      <c r="FB89" s="208"/>
      <c r="FC89" s="217"/>
      <c r="FD89" s="217"/>
      <c r="FE89" s="217"/>
      <c r="FF89" s="211"/>
      <c r="FG89" s="213"/>
      <c r="FH89" s="213"/>
      <c r="FI89" s="213"/>
      <c r="FJ89" s="208"/>
      <c r="FK89" s="217"/>
      <c r="FL89" s="217"/>
      <c r="FM89" s="217"/>
      <c r="FN89" s="211"/>
      <c r="FO89" s="213"/>
      <c r="FP89" s="213"/>
      <c r="FQ89" s="213"/>
      <c r="FR89" s="208"/>
      <c r="FS89" s="217"/>
      <c r="FT89" s="217"/>
      <c r="FU89" s="217"/>
      <c r="FV89" s="211"/>
      <c r="FW89" s="213"/>
      <c r="FX89" s="213"/>
      <c r="FY89" s="213"/>
      <c r="FZ89" s="208"/>
      <c r="GA89" s="217"/>
      <c r="GB89" s="217"/>
      <c r="GC89" s="217"/>
      <c r="GD89" s="211"/>
      <c r="GE89" s="213"/>
      <c r="GF89" s="213"/>
      <c r="GG89" s="213"/>
      <c r="GH89" s="208"/>
      <c r="GI89" s="217"/>
      <c r="GJ89" s="217"/>
      <c r="GK89" s="217"/>
      <c r="GL89" s="211"/>
      <c r="GM89" s="213"/>
      <c r="GN89" s="213"/>
      <c r="GO89" s="213"/>
      <c r="GP89" s="208"/>
      <c r="GQ89" s="217"/>
      <c r="GR89" s="217"/>
      <c r="GS89" s="217"/>
    </row>
    <row r="90" spans="2:201" s="218" customFormat="1" ht="137.5" customHeight="1" x14ac:dyDescent="0.35">
      <c r="B90" s="194"/>
      <c r="C90" s="195"/>
      <c r="D90" s="195"/>
      <c r="E90" s="195"/>
      <c r="F90" s="195"/>
      <c r="G90" s="196"/>
      <c r="H90" s="228"/>
      <c r="I90" s="198"/>
      <c r="J90" s="199"/>
      <c r="K90" s="200"/>
      <c r="L90" s="201"/>
      <c r="M90" s="201"/>
      <c r="N90" s="202"/>
      <c r="O90" s="203">
        <f t="shared" ref="O90:O117" ca="1" si="9">IF(N90="Aprobado con comentarios / Emitir Rev.0",TODAY()-M90,0)</f>
        <v>0</v>
      </c>
      <c r="P90" s="203">
        <f t="shared" ca="1" si="7"/>
        <v>0</v>
      </c>
      <c r="Q90" s="204">
        <f t="shared" si="8"/>
        <v>0</v>
      </c>
      <c r="R90" s="205"/>
      <c r="S90" s="206"/>
      <c r="T90" s="206"/>
      <c r="U90" s="207"/>
      <c r="V90" s="208"/>
      <c r="W90" s="209"/>
      <c r="X90" s="210"/>
      <c r="Y90" s="209"/>
      <c r="Z90" s="211"/>
      <c r="AA90" s="212"/>
      <c r="AB90" s="213"/>
      <c r="AC90" s="214"/>
      <c r="AD90" s="208"/>
      <c r="AE90" s="209"/>
      <c r="AF90" s="210"/>
      <c r="AG90" s="209"/>
      <c r="AH90" s="211"/>
      <c r="AI90" s="212"/>
      <c r="AJ90" s="213"/>
      <c r="AK90" s="214"/>
      <c r="AL90" s="208"/>
      <c r="AM90" s="209"/>
      <c r="AN90" s="210"/>
      <c r="AO90" s="209"/>
      <c r="AP90" s="216"/>
      <c r="AQ90" s="213"/>
      <c r="AR90" s="212"/>
      <c r="AS90" s="214"/>
      <c r="AT90" s="208"/>
      <c r="AU90" s="209"/>
      <c r="AV90" s="210"/>
      <c r="AW90" s="217"/>
      <c r="AX90" s="211"/>
      <c r="AY90" s="213"/>
      <c r="AZ90" s="213"/>
      <c r="BA90" s="213"/>
      <c r="BB90" s="208"/>
      <c r="BC90" s="217"/>
      <c r="BD90" s="210"/>
      <c r="BE90" s="217"/>
      <c r="BF90" s="211"/>
      <c r="BG90" s="213"/>
      <c r="BH90" s="213"/>
      <c r="BI90" s="213"/>
      <c r="BJ90" s="208"/>
      <c r="BK90" s="217"/>
      <c r="BL90" s="210"/>
      <c r="BM90" s="217"/>
      <c r="BN90" s="211"/>
      <c r="BO90" s="213"/>
      <c r="BP90" s="213"/>
      <c r="BQ90" s="213"/>
      <c r="BR90" s="208"/>
      <c r="BS90" s="217"/>
      <c r="BT90" s="210"/>
      <c r="BU90" s="217"/>
      <c r="BV90" s="211"/>
      <c r="BW90" s="213"/>
      <c r="BX90" s="213"/>
      <c r="BY90" s="213"/>
      <c r="BZ90" s="208"/>
      <c r="CA90" s="217"/>
      <c r="CB90" s="217"/>
      <c r="CC90" s="217"/>
      <c r="CD90" s="211"/>
      <c r="CE90" s="213"/>
      <c r="CF90" s="213"/>
      <c r="CG90" s="213"/>
      <c r="CH90" s="208"/>
      <c r="CI90" s="217"/>
      <c r="CJ90" s="217"/>
      <c r="CK90" s="217"/>
      <c r="CL90" s="211"/>
      <c r="CM90" s="213"/>
      <c r="CN90" s="213"/>
      <c r="CO90" s="213"/>
      <c r="CP90" s="208"/>
      <c r="CQ90" s="217"/>
      <c r="CR90" s="217"/>
      <c r="CS90" s="217"/>
      <c r="CT90" s="211"/>
      <c r="CU90" s="213"/>
      <c r="CV90" s="213"/>
      <c r="CW90" s="213"/>
      <c r="CX90" s="208"/>
      <c r="CY90" s="217"/>
      <c r="CZ90" s="217"/>
      <c r="DA90" s="217"/>
      <c r="DB90" s="211"/>
      <c r="DC90" s="213"/>
      <c r="DD90" s="213"/>
      <c r="DE90" s="213"/>
      <c r="DF90" s="208"/>
      <c r="DG90" s="217"/>
      <c r="DH90" s="217"/>
      <c r="DI90" s="217"/>
      <c r="DJ90" s="211"/>
      <c r="DK90" s="213"/>
      <c r="DL90" s="213"/>
      <c r="DM90" s="213"/>
      <c r="DN90" s="208"/>
      <c r="DO90" s="217"/>
      <c r="DP90" s="217"/>
      <c r="DQ90" s="217"/>
      <c r="DR90" s="211"/>
      <c r="DS90" s="213"/>
      <c r="DT90" s="213"/>
      <c r="DU90" s="213"/>
      <c r="DV90" s="208"/>
      <c r="DW90" s="217"/>
      <c r="DX90" s="217"/>
      <c r="DY90" s="217"/>
      <c r="DZ90" s="211"/>
      <c r="EA90" s="213"/>
      <c r="EB90" s="213"/>
      <c r="EC90" s="213"/>
      <c r="ED90" s="208"/>
      <c r="EE90" s="217"/>
      <c r="EF90" s="217"/>
      <c r="EG90" s="217"/>
      <c r="EH90" s="211"/>
      <c r="EI90" s="213"/>
      <c r="EJ90" s="213"/>
      <c r="EK90" s="213"/>
      <c r="EL90" s="208"/>
      <c r="EM90" s="217"/>
      <c r="EN90" s="217"/>
      <c r="EO90" s="217"/>
      <c r="EP90" s="211"/>
      <c r="EQ90" s="213"/>
      <c r="ER90" s="213"/>
      <c r="ES90" s="213"/>
      <c r="ET90" s="208"/>
      <c r="EU90" s="217"/>
      <c r="EV90" s="217"/>
      <c r="EW90" s="217"/>
      <c r="EX90" s="211"/>
      <c r="EY90" s="213"/>
      <c r="EZ90" s="213"/>
      <c r="FA90" s="213"/>
      <c r="FB90" s="208"/>
      <c r="FC90" s="217"/>
      <c r="FD90" s="217"/>
      <c r="FE90" s="217"/>
      <c r="FF90" s="211"/>
      <c r="FG90" s="213"/>
      <c r="FH90" s="213"/>
      <c r="FI90" s="213"/>
      <c r="FJ90" s="208"/>
      <c r="FK90" s="217"/>
      <c r="FL90" s="217"/>
      <c r="FM90" s="217"/>
      <c r="FN90" s="211"/>
      <c r="FO90" s="213"/>
      <c r="FP90" s="213"/>
      <c r="FQ90" s="213"/>
      <c r="FR90" s="208"/>
      <c r="FS90" s="217"/>
      <c r="FT90" s="217"/>
      <c r="FU90" s="217"/>
      <c r="FV90" s="211"/>
      <c r="FW90" s="213"/>
      <c r="FX90" s="213"/>
      <c r="FY90" s="213"/>
      <c r="FZ90" s="208"/>
      <c r="GA90" s="217"/>
      <c r="GB90" s="217"/>
      <c r="GC90" s="217"/>
      <c r="GD90" s="211"/>
      <c r="GE90" s="213"/>
      <c r="GF90" s="213"/>
      <c r="GG90" s="213"/>
      <c r="GH90" s="208"/>
      <c r="GI90" s="217"/>
      <c r="GJ90" s="217"/>
      <c r="GK90" s="217"/>
      <c r="GL90" s="211"/>
      <c r="GM90" s="213"/>
      <c r="GN90" s="213"/>
      <c r="GO90" s="213"/>
      <c r="GP90" s="208"/>
      <c r="GQ90" s="217"/>
      <c r="GR90" s="217"/>
      <c r="GS90" s="217"/>
    </row>
    <row r="91" spans="2:201" s="218" customFormat="1" ht="137.5" customHeight="1" x14ac:dyDescent="0.35">
      <c r="B91" s="194"/>
      <c r="C91" s="195"/>
      <c r="D91" s="195"/>
      <c r="E91" s="195"/>
      <c r="F91" s="195"/>
      <c r="G91" s="196"/>
      <c r="H91" s="197"/>
      <c r="I91" s="198"/>
      <c r="J91" s="199"/>
      <c r="K91" s="200"/>
      <c r="L91" s="201"/>
      <c r="M91" s="201"/>
      <c r="N91" s="202"/>
      <c r="O91" s="203">
        <f t="shared" ca="1" si="9"/>
        <v>0</v>
      </c>
      <c r="P91" s="203">
        <f t="shared" ca="1" si="7"/>
        <v>0</v>
      </c>
      <c r="Q91" s="204">
        <f t="shared" si="8"/>
        <v>0</v>
      </c>
      <c r="R91" s="205"/>
      <c r="S91" s="206"/>
      <c r="T91" s="206"/>
      <c r="U91" s="207"/>
      <c r="V91" s="208"/>
      <c r="W91" s="209"/>
      <c r="X91" s="210"/>
      <c r="Y91" s="209"/>
      <c r="Z91" s="211"/>
      <c r="AA91" s="212"/>
      <c r="AB91" s="213"/>
      <c r="AC91" s="214"/>
      <c r="AD91" s="208"/>
      <c r="AE91" s="209"/>
      <c r="AF91" s="210"/>
      <c r="AG91" s="209"/>
      <c r="AH91" s="211"/>
      <c r="AI91" s="212"/>
      <c r="AJ91" s="213"/>
      <c r="AK91" s="214"/>
      <c r="AL91" s="208"/>
      <c r="AM91" s="209"/>
      <c r="AN91" s="210"/>
      <c r="AO91" s="209"/>
      <c r="AP91" s="216"/>
      <c r="AQ91" s="213"/>
      <c r="AR91" s="212"/>
      <c r="AS91" s="214"/>
      <c r="AT91" s="208"/>
      <c r="AU91" s="209"/>
      <c r="AV91" s="210"/>
      <c r="AW91" s="217"/>
      <c r="AX91" s="211"/>
      <c r="AY91" s="213"/>
      <c r="AZ91" s="213"/>
      <c r="BA91" s="213"/>
      <c r="BB91" s="208"/>
      <c r="BC91" s="217"/>
      <c r="BD91" s="210"/>
      <c r="BE91" s="217"/>
      <c r="BF91" s="211"/>
      <c r="BG91" s="213"/>
      <c r="BH91" s="213"/>
      <c r="BI91" s="213"/>
      <c r="BJ91" s="208"/>
      <c r="BK91" s="217"/>
      <c r="BL91" s="210"/>
      <c r="BM91" s="217"/>
      <c r="BN91" s="211"/>
      <c r="BO91" s="213"/>
      <c r="BP91" s="213"/>
      <c r="BQ91" s="213"/>
      <c r="BR91" s="208"/>
      <c r="BS91" s="217"/>
      <c r="BT91" s="210"/>
      <c r="BU91" s="217"/>
      <c r="BV91" s="211"/>
      <c r="BW91" s="213"/>
      <c r="BX91" s="213"/>
      <c r="BY91" s="213"/>
      <c r="BZ91" s="208"/>
      <c r="CA91" s="217"/>
      <c r="CB91" s="217"/>
      <c r="CC91" s="217"/>
      <c r="CD91" s="211"/>
      <c r="CE91" s="213"/>
      <c r="CF91" s="213"/>
      <c r="CG91" s="213"/>
      <c r="CH91" s="208"/>
      <c r="CI91" s="217"/>
      <c r="CJ91" s="217"/>
      <c r="CK91" s="217"/>
      <c r="CL91" s="211"/>
      <c r="CM91" s="213"/>
      <c r="CN91" s="213"/>
      <c r="CO91" s="213"/>
      <c r="CP91" s="208"/>
      <c r="CQ91" s="217"/>
      <c r="CR91" s="217"/>
      <c r="CS91" s="217"/>
      <c r="CT91" s="211"/>
      <c r="CU91" s="213"/>
      <c r="CV91" s="213"/>
      <c r="CW91" s="213"/>
      <c r="CX91" s="208"/>
      <c r="CY91" s="217"/>
      <c r="CZ91" s="217"/>
      <c r="DA91" s="217"/>
      <c r="DB91" s="211"/>
      <c r="DC91" s="213"/>
      <c r="DD91" s="213"/>
      <c r="DE91" s="213"/>
      <c r="DF91" s="208"/>
      <c r="DG91" s="217"/>
      <c r="DH91" s="217"/>
      <c r="DI91" s="217"/>
      <c r="DJ91" s="211"/>
      <c r="DK91" s="213"/>
      <c r="DL91" s="213"/>
      <c r="DM91" s="213"/>
      <c r="DN91" s="208"/>
      <c r="DO91" s="217"/>
      <c r="DP91" s="217"/>
      <c r="DQ91" s="217"/>
      <c r="DR91" s="211"/>
      <c r="DS91" s="213"/>
      <c r="DT91" s="213"/>
      <c r="DU91" s="213"/>
      <c r="DV91" s="208"/>
      <c r="DW91" s="217"/>
      <c r="DX91" s="217"/>
      <c r="DY91" s="217"/>
      <c r="DZ91" s="211"/>
      <c r="EA91" s="213"/>
      <c r="EB91" s="213"/>
      <c r="EC91" s="213"/>
      <c r="ED91" s="208"/>
      <c r="EE91" s="217"/>
      <c r="EF91" s="217"/>
      <c r="EG91" s="217"/>
      <c r="EH91" s="211"/>
      <c r="EI91" s="213"/>
      <c r="EJ91" s="213"/>
      <c r="EK91" s="213"/>
      <c r="EL91" s="208"/>
      <c r="EM91" s="217"/>
      <c r="EN91" s="217"/>
      <c r="EO91" s="217"/>
      <c r="EP91" s="211"/>
      <c r="EQ91" s="213"/>
      <c r="ER91" s="213"/>
      <c r="ES91" s="213"/>
      <c r="ET91" s="208"/>
      <c r="EU91" s="217"/>
      <c r="EV91" s="217"/>
      <c r="EW91" s="217"/>
      <c r="EX91" s="211"/>
      <c r="EY91" s="213"/>
      <c r="EZ91" s="213"/>
      <c r="FA91" s="213"/>
      <c r="FB91" s="208"/>
      <c r="FC91" s="217"/>
      <c r="FD91" s="217"/>
      <c r="FE91" s="217"/>
      <c r="FF91" s="211"/>
      <c r="FG91" s="213"/>
      <c r="FH91" s="213"/>
      <c r="FI91" s="213"/>
      <c r="FJ91" s="208"/>
      <c r="FK91" s="217"/>
      <c r="FL91" s="217"/>
      <c r="FM91" s="217"/>
      <c r="FN91" s="211"/>
      <c r="FO91" s="213"/>
      <c r="FP91" s="213"/>
      <c r="FQ91" s="213"/>
      <c r="FR91" s="208"/>
      <c r="FS91" s="217"/>
      <c r="FT91" s="217"/>
      <c r="FU91" s="217"/>
      <c r="FV91" s="211"/>
      <c r="FW91" s="213"/>
      <c r="FX91" s="213"/>
      <c r="FY91" s="213"/>
      <c r="FZ91" s="208"/>
      <c r="GA91" s="217"/>
      <c r="GB91" s="217"/>
      <c r="GC91" s="217"/>
      <c r="GD91" s="211"/>
      <c r="GE91" s="213"/>
      <c r="GF91" s="213"/>
      <c r="GG91" s="213"/>
      <c r="GH91" s="208"/>
      <c r="GI91" s="217"/>
      <c r="GJ91" s="217"/>
      <c r="GK91" s="217"/>
      <c r="GL91" s="211"/>
      <c r="GM91" s="213"/>
      <c r="GN91" s="213"/>
      <c r="GO91" s="213"/>
      <c r="GP91" s="208"/>
      <c r="GQ91" s="217"/>
      <c r="GR91" s="217"/>
      <c r="GS91" s="217"/>
    </row>
    <row r="92" spans="2:201" s="218" customFormat="1" ht="137.5" customHeight="1" x14ac:dyDescent="0.35">
      <c r="B92" s="194"/>
      <c r="C92" s="195"/>
      <c r="D92" s="195"/>
      <c r="E92" s="195"/>
      <c r="F92" s="195"/>
      <c r="G92" s="196"/>
      <c r="H92" s="221"/>
      <c r="I92" s="198"/>
      <c r="J92" s="199"/>
      <c r="K92" s="200"/>
      <c r="L92" s="201"/>
      <c r="M92" s="201"/>
      <c r="N92" s="202"/>
      <c r="O92" s="203">
        <f t="shared" ca="1" si="9"/>
        <v>0</v>
      </c>
      <c r="P92" s="203">
        <f t="shared" ca="1" si="7"/>
        <v>0</v>
      </c>
      <c r="Q92" s="204">
        <f t="shared" si="8"/>
        <v>0</v>
      </c>
      <c r="R92" s="205"/>
      <c r="S92" s="206"/>
      <c r="T92" s="206"/>
      <c r="U92" s="207"/>
      <c r="V92" s="208"/>
      <c r="W92" s="209"/>
      <c r="X92" s="210"/>
      <c r="Y92" s="209"/>
      <c r="Z92" s="211"/>
      <c r="AA92" s="212"/>
      <c r="AB92" s="213"/>
      <c r="AC92" s="214"/>
      <c r="AD92" s="208"/>
      <c r="AE92" s="209"/>
      <c r="AF92" s="210"/>
      <c r="AG92" s="209"/>
      <c r="AH92" s="211"/>
      <c r="AI92" s="212"/>
      <c r="AJ92" s="213"/>
      <c r="AK92" s="214"/>
      <c r="AL92" s="215"/>
      <c r="AM92" s="209"/>
      <c r="AN92" s="210"/>
      <c r="AO92" s="209"/>
      <c r="AP92" s="216"/>
      <c r="AQ92" s="212"/>
      <c r="AR92" s="213"/>
      <c r="AS92" s="214"/>
      <c r="AT92" s="208"/>
      <c r="AU92" s="209"/>
      <c r="AV92" s="210"/>
      <c r="AW92" s="217"/>
      <c r="AX92" s="211"/>
      <c r="AY92" s="213"/>
      <c r="AZ92" s="213"/>
      <c r="BA92" s="213"/>
      <c r="BB92" s="208"/>
      <c r="BC92" s="217"/>
      <c r="BD92" s="210"/>
      <c r="BE92" s="217"/>
      <c r="BF92" s="211"/>
      <c r="BG92" s="213"/>
      <c r="BH92" s="213"/>
      <c r="BI92" s="213"/>
      <c r="BJ92" s="208"/>
      <c r="BK92" s="217"/>
      <c r="BL92" s="210"/>
      <c r="BM92" s="217"/>
      <c r="BN92" s="211"/>
      <c r="BO92" s="213"/>
      <c r="BP92" s="213"/>
      <c r="BQ92" s="213"/>
      <c r="BR92" s="208"/>
      <c r="BS92" s="217"/>
      <c r="BT92" s="210"/>
      <c r="BU92" s="217"/>
      <c r="BV92" s="211"/>
      <c r="BW92" s="213"/>
      <c r="BX92" s="213"/>
      <c r="BY92" s="213"/>
      <c r="BZ92" s="208"/>
      <c r="CA92" s="217"/>
      <c r="CB92" s="217"/>
      <c r="CC92" s="217"/>
      <c r="CD92" s="211"/>
      <c r="CE92" s="213"/>
      <c r="CF92" s="213"/>
      <c r="CG92" s="213"/>
      <c r="CH92" s="208"/>
      <c r="CI92" s="217"/>
      <c r="CJ92" s="217"/>
      <c r="CK92" s="217"/>
      <c r="CL92" s="211"/>
      <c r="CM92" s="213"/>
      <c r="CN92" s="213"/>
      <c r="CO92" s="213"/>
      <c r="CP92" s="208"/>
      <c r="CQ92" s="217"/>
      <c r="CR92" s="217"/>
      <c r="CS92" s="217"/>
      <c r="CT92" s="211"/>
      <c r="CU92" s="213"/>
      <c r="CV92" s="213"/>
      <c r="CW92" s="213"/>
      <c r="CX92" s="208"/>
      <c r="CY92" s="217"/>
      <c r="CZ92" s="217"/>
      <c r="DA92" s="217"/>
      <c r="DB92" s="211"/>
      <c r="DC92" s="213"/>
      <c r="DD92" s="213"/>
      <c r="DE92" s="213"/>
      <c r="DF92" s="208"/>
      <c r="DG92" s="217"/>
      <c r="DH92" s="217"/>
      <c r="DI92" s="217"/>
      <c r="DJ92" s="211"/>
      <c r="DK92" s="213"/>
      <c r="DL92" s="213"/>
      <c r="DM92" s="213"/>
      <c r="DN92" s="208"/>
      <c r="DO92" s="217"/>
      <c r="DP92" s="217"/>
      <c r="DQ92" s="217"/>
      <c r="DR92" s="211"/>
      <c r="DS92" s="213"/>
      <c r="DT92" s="213"/>
      <c r="DU92" s="213"/>
      <c r="DV92" s="208"/>
      <c r="DW92" s="217"/>
      <c r="DX92" s="217"/>
      <c r="DY92" s="217"/>
      <c r="DZ92" s="211"/>
      <c r="EA92" s="213"/>
      <c r="EB92" s="213"/>
      <c r="EC92" s="213"/>
      <c r="ED92" s="208"/>
      <c r="EE92" s="217"/>
      <c r="EF92" s="217"/>
      <c r="EG92" s="217"/>
      <c r="EH92" s="211"/>
      <c r="EI92" s="213"/>
      <c r="EJ92" s="213"/>
      <c r="EK92" s="213"/>
      <c r="EL92" s="208"/>
      <c r="EM92" s="217"/>
      <c r="EN92" s="217"/>
      <c r="EO92" s="217"/>
      <c r="EP92" s="211"/>
      <c r="EQ92" s="213"/>
      <c r="ER92" s="213"/>
      <c r="ES92" s="213"/>
      <c r="ET92" s="208"/>
      <c r="EU92" s="217"/>
      <c r="EV92" s="217"/>
      <c r="EW92" s="217"/>
      <c r="EX92" s="211"/>
      <c r="EY92" s="213"/>
      <c r="EZ92" s="213"/>
      <c r="FA92" s="213"/>
      <c r="FB92" s="208"/>
      <c r="FC92" s="217"/>
      <c r="FD92" s="217"/>
      <c r="FE92" s="217"/>
      <c r="FF92" s="211"/>
      <c r="FG92" s="213"/>
      <c r="FH92" s="213"/>
      <c r="FI92" s="213"/>
      <c r="FJ92" s="208"/>
      <c r="FK92" s="217"/>
      <c r="FL92" s="217"/>
      <c r="FM92" s="217"/>
      <c r="FN92" s="211"/>
      <c r="FO92" s="213"/>
      <c r="FP92" s="213"/>
      <c r="FQ92" s="213"/>
      <c r="FR92" s="208"/>
      <c r="FS92" s="217"/>
      <c r="FT92" s="217"/>
      <c r="FU92" s="217"/>
      <c r="FV92" s="211"/>
      <c r="FW92" s="213"/>
      <c r="FX92" s="213"/>
      <c r="FY92" s="213"/>
      <c r="FZ92" s="208"/>
      <c r="GA92" s="217"/>
      <c r="GB92" s="217"/>
      <c r="GC92" s="217"/>
      <c r="GD92" s="211"/>
      <c r="GE92" s="213"/>
      <c r="GF92" s="213"/>
      <c r="GG92" s="213"/>
      <c r="GH92" s="208"/>
      <c r="GI92" s="217"/>
      <c r="GJ92" s="217"/>
      <c r="GK92" s="217"/>
      <c r="GL92" s="211"/>
      <c r="GM92" s="213"/>
      <c r="GN92" s="213"/>
      <c r="GO92" s="213"/>
      <c r="GP92" s="208"/>
      <c r="GQ92" s="217"/>
      <c r="GR92" s="217"/>
      <c r="GS92" s="217"/>
    </row>
    <row r="93" spans="2:201" s="218" customFormat="1" ht="137.5" customHeight="1" x14ac:dyDescent="0.35">
      <c r="B93" s="194"/>
      <c r="C93" s="195"/>
      <c r="D93" s="195"/>
      <c r="E93" s="195"/>
      <c r="F93" s="195"/>
      <c r="G93" s="196"/>
      <c r="H93" s="195"/>
      <c r="I93" s="198"/>
      <c r="J93" s="199"/>
      <c r="K93" s="200"/>
      <c r="L93" s="201"/>
      <c r="M93" s="201"/>
      <c r="N93" s="202"/>
      <c r="O93" s="203">
        <f t="shared" ca="1" si="9"/>
        <v>0</v>
      </c>
      <c r="P93" s="203">
        <f t="shared" ca="1" si="7"/>
        <v>0</v>
      </c>
      <c r="Q93" s="204">
        <f t="shared" si="8"/>
        <v>0</v>
      </c>
      <c r="R93" s="205"/>
      <c r="S93" s="206"/>
      <c r="T93" s="206"/>
      <c r="U93" s="207"/>
      <c r="V93" s="208"/>
      <c r="W93" s="209"/>
      <c r="X93" s="210"/>
      <c r="Y93" s="209"/>
      <c r="Z93" s="211"/>
      <c r="AA93" s="212"/>
      <c r="AB93" s="213"/>
      <c r="AC93" s="214"/>
      <c r="AD93" s="208"/>
      <c r="AE93" s="209"/>
      <c r="AF93" s="210"/>
      <c r="AG93" s="209"/>
      <c r="AH93" s="211"/>
      <c r="AI93" s="212"/>
      <c r="AJ93" s="213"/>
      <c r="AK93" s="214"/>
      <c r="AL93" s="215"/>
      <c r="AM93" s="209"/>
      <c r="AN93" s="210"/>
      <c r="AO93" s="209"/>
      <c r="AP93" s="216"/>
      <c r="AQ93" s="212"/>
      <c r="AR93" s="213"/>
      <c r="AS93" s="214"/>
      <c r="AT93" s="208"/>
      <c r="AU93" s="209"/>
      <c r="AV93" s="210"/>
      <c r="AW93" s="217"/>
      <c r="AX93" s="211"/>
      <c r="AY93" s="213"/>
      <c r="AZ93" s="213"/>
      <c r="BA93" s="213"/>
      <c r="BB93" s="208"/>
      <c r="BC93" s="217"/>
      <c r="BD93" s="210"/>
      <c r="BE93" s="217"/>
      <c r="BF93" s="211"/>
      <c r="BG93" s="213"/>
      <c r="BH93" s="213"/>
      <c r="BI93" s="213"/>
      <c r="BJ93" s="208"/>
      <c r="BK93" s="217"/>
      <c r="BL93" s="210"/>
      <c r="BM93" s="217"/>
      <c r="BN93" s="211"/>
      <c r="BO93" s="213"/>
      <c r="BP93" s="213"/>
      <c r="BQ93" s="213"/>
      <c r="BR93" s="208"/>
      <c r="BS93" s="217"/>
      <c r="BT93" s="210"/>
      <c r="BU93" s="217"/>
      <c r="BV93" s="211"/>
      <c r="BW93" s="213"/>
      <c r="BX93" s="213"/>
      <c r="BY93" s="213"/>
      <c r="BZ93" s="208"/>
      <c r="CA93" s="217"/>
      <c r="CB93" s="217"/>
      <c r="CC93" s="217"/>
      <c r="CD93" s="211"/>
      <c r="CE93" s="213"/>
      <c r="CF93" s="213"/>
      <c r="CG93" s="213"/>
      <c r="CH93" s="208"/>
      <c r="CI93" s="217"/>
      <c r="CJ93" s="217"/>
      <c r="CK93" s="217"/>
      <c r="CL93" s="211"/>
      <c r="CM93" s="213"/>
      <c r="CN93" s="213"/>
      <c r="CO93" s="213"/>
      <c r="CP93" s="208"/>
      <c r="CQ93" s="217"/>
      <c r="CR93" s="217"/>
      <c r="CS93" s="217"/>
      <c r="CT93" s="211"/>
      <c r="CU93" s="213"/>
      <c r="CV93" s="213"/>
      <c r="CW93" s="213"/>
      <c r="CX93" s="208"/>
      <c r="CY93" s="217"/>
      <c r="CZ93" s="217"/>
      <c r="DA93" s="217"/>
      <c r="DB93" s="211"/>
      <c r="DC93" s="213"/>
      <c r="DD93" s="213"/>
      <c r="DE93" s="213"/>
      <c r="DF93" s="208"/>
      <c r="DG93" s="217"/>
      <c r="DH93" s="217"/>
      <c r="DI93" s="217"/>
      <c r="DJ93" s="211"/>
      <c r="DK93" s="213"/>
      <c r="DL93" s="213"/>
      <c r="DM93" s="213"/>
      <c r="DN93" s="208"/>
      <c r="DO93" s="217"/>
      <c r="DP93" s="217"/>
      <c r="DQ93" s="217"/>
      <c r="DR93" s="211"/>
      <c r="DS93" s="213"/>
      <c r="DT93" s="213"/>
      <c r="DU93" s="213"/>
      <c r="DV93" s="208"/>
      <c r="DW93" s="217"/>
      <c r="DX93" s="217"/>
      <c r="DY93" s="217"/>
      <c r="DZ93" s="211"/>
      <c r="EA93" s="213"/>
      <c r="EB93" s="213"/>
      <c r="EC93" s="213"/>
      <c r="ED93" s="208"/>
      <c r="EE93" s="217"/>
      <c r="EF93" s="217"/>
      <c r="EG93" s="217"/>
      <c r="EH93" s="211"/>
      <c r="EI93" s="213"/>
      <c r="EJ93" s="213"/>
      <c r="EK93" s="213"/>
      <c r="EL93" s="208"/>
      <c r="EM93" s="217"/>
      <c r="EN93" s="217"/>
      <c r="EO93" s="217"/>
      <c r="EP93" s="211"/>
      <c r="EQ93" s="213"/>
      <c r="ER93" s="213"/>
      <c r="ES93" s="213"/>
      <c r="ET93" s="208"/>
      <c r="EU93" s="217"/>
      <c r="EV93" s="217"/>
      <c r="EW93" s="217"/>
      <c r="EX93" s="211"/>
      <c r="EY93" s="213"/>
      <c r="EZ93" s="213"/>
      <c r="FA93" s="213"/>
      <c r="FB93" s="208"/>
      <c r="FC93" s="217"/>
      <c r="FD93" s="217"/>
      <c r="FE93" s="217"/>
      <c r="FF93" s="211"/>
      <c r="FG93" s="213"/>
      <c r="FH93" s="213"/>
      <c r="FI93" s="213"/>
      <c r="FJ93" s="208"/>
      <c r="FK93" s="217"/>
      <c r="FL93" s="217"/>
      <c r="FM93" s="217"/>
      <c r="FN93" s="211"/>
      <c r="FO93" s="213"/>
      <c r="FP93" s="213"/>
      <c r="FQ93" s="213"/>
      <c r="FR93" s="208"/>
      <c r="FS93" s="217"/>
      <c r="FT93" s="217"/>
      <c r="FU93" s="217"/>
      <c r="FV93" s="211"/>
      <c r="FW93" s="213"/>
      <c r="FX93" s="213"/>
      <c r="FY93" s="213"/>
      <c r="FZ93" s="208"/>
      <c r="GA93" s="217"/>
      <c r="GB93" s="217"/>
      <c r="GC93" s="217"/>
      <c r="GD93" s="211"/>
      <c r="GE93" s="213"/>
      <c r="GF93" s="213"/>
      <c r="GG93" s="213"/>
      <c r="GH93" s="208"/>
      <c r="GI93" s="217"/>
      <c r="GJ93" s="217"/>
      <c r="GK93" s="217"/>
      <c r="GL93" s="211"/>
      <c r="GM93" s="213"/>
      <c r="GN93" s="213"/>
      <c r="GO93" s="213"/>
      <c r="GP93" s="208"/>
      <c r="GQ93" s="217"/>
      <c r="GR93" s="217"/>
      <c r="GS93" s="217"/>
    </row>
    <row r="94" spans="2:201" s="218" customFormat="1" ht="137.5" customHeight="1" x14ac:dyDescent="0.35">
      <c r="B94" s="194"/>
      <c r="C94" s="195"/>
      <c r="D94" s="195"/>
      <c r="E94" s="195"/>
      <c r="F94" s="195"/>
      <c r="G94" s="196"/>
      <c r="H94" s="221"/>
      <c r="I94" s="198"/>
      <c r="J94" s="199"/>
      <c r="K94" s="200"/>
      <c r="L94" s="201"/>
      <c r="M94" s="201"/>
      <c r="N94" s="202"/>
      <c r="O94" s="203">
        <f t="shared" ca="1" si="9"/>
        <v>0</v>
      </c>
      <c r="P94" s="203">
        <f t="shared" ca="1" si="7"/>
        <v>0</v>
      </c>
      <c r="Q94" s="204">
        <f t="shared" si="8"/>
        <v>0</v>
      </c>
      <c r="R94" s="205"/>
      <c r="S94" s="206"/>
      <c r="T94" s="206"/>
      <c r="U94" s="207"/>
      <c r="V94" s="208"/>
      <c r="W94" s="209"/>
      <c r="X94" s="210"/>
      <c r="Y94" s="209"/>
      <c r="Z94" s="211"/>
      <c r="AA94" s="212"/>
      <c r="AB94" s="213"/>
      <c r="AC94" s="214"/>
      <c r="AD94" s="208"/>
      <c r="AE94" s="209"/>
      <c r="AF94" s="210"/>
      <c r="AG94" s="209"/>
      <c r="AH94" s="211"/>
      <c r="AI94" s="212"/>
      <c r="AJ94" s="213"/>
      <c r="AK94" s="214"/>
      <c r="AL94" s="215"/>
      <c r="AM94" s="209"/>
      <c r="AN94" s="210"/>
      <c r="AO94" s="209"/>
      <c r="AP94" s="216"/>
      <c r="AQ94" s="212"/>
      <c r="AR94" s="213"/>
      <c r="AS94" s="214"/>
      <c r="AT94" s="208"/>
      <c r="AU94" s="209"/>
      <c r="AV94" s="210"/>
      <c r="AW94" s="217"/>
      <c r="AX94" s="211"/>
      <c r="AY94" s="213"/>
      <c r="AZ94" s="213"/>
      <c r="BA94" s="213"/>
      <c r="BB94" s="208"/>
      <c r="BC94" s="217"/>
      <c r="BD94" s="210"/>
      <c r="BE94" s="217"/>
      <c r="BF94" s="211"/>
      <c r="BG94" s="213"/>
      <c r="BH94" s="213"/>
      <c r="BI94" s="213"/>
      <c r="BJ94" s="208"/>
      <c r="BK94" s="217"/>
      <c r="BL94" s="210"/>
      <c r="BM94" s="217"/>
      <c r="BN94" s="211"/>
      <c r="BO94" s="213"/>
      <c r="BP94" s="213"/>
      <c r="BQ94" s="213"/>
      <c r="BR94" s="208"/>
      <c r="BS94" s="217"/>
      <c r="BT94" s="210"/>
      <c r="BU94" s="217"/>
      <c r="BV94" s="211"/>
      <c r="BW94" s="213"/>
      <c r="BX94" s="213"/>
      <c r="BY94" s="213"/>
      <c r="BZ94" s="208"/>
      <c r="CA94" s="217"/>
      <c r="CB94" s="217"/>
      <c r="CC94" s="217"/>
      <c r="CD94" s="211"/>
      <c r="CE94" s="213"/>
      <c r="CF94" s="213"/>
      <c r="CG94" s="213"/>
      <c r="CH94" s="208"/>
      <c r="CI94" s="217"/>
      <c r="CJ94" s="217"/>
      <c r="CK94" s="217"/>
      <c r="CL94" s="211"/>
      <c r="CM94" s="213"/>
      <c r="CN94" s="213"/>
      <c r="CO94" s="213"/>
      <c r="CP94" s="208"/>
      <c r="CQ94" s="217"/>
      <c r="CR94" s="217"/>
      <c r="CS94" s="217"/>
      <c r="CT94" s="211"/>
      <c r="CU94" s="213"/>
      <c r="CV94" s="213"/>
      <c r="CW94" s="213"/>
      <c r="CX94" s="208"/>
      <c r="CY94" s="217"/>
      <c r="CZ94" s="217"/>
      <c r="DA94" s="217"/>
      <c r="DB94" s="211"/>
      <c r="DC94" s="213"/>
      <c r="DD94" s="213"/>
      <c r="DE94" s="213"/>
      <c r="DF94" s="208"/>
      <c r="DG94" s="217"/>
      <c r="DH94" s="217"/>
      <c r="DI94" s="217"/>
      <c r="DJ94" s="211"/>
      <c r="DK94" s="213"/>
      <c r="DL94" s="213"/>
      <c r="DM94" s="213"/>
      <c r="DN94" s="208"/>
      <c r="DO94" s="217"/>
      <c r="DP94" s="217"/>
      <c r="DQ94" s="217"/>
      <c r="DR94" s="211"/>
      <c r="DS94" s="213"/>
      <c r="DT94" s="213"/>
      <c r="DU94" s="213"/>
      <c r="DV94" s="208"/>
      <c r="DW94" s="217"/>
      <c r="DX94" s="217"/>
      <c r="DY94" s="217"/>
      <c r="DZ94" s="211"/>
      <c r="EA94" s="213"/>
      <c r="EB94" s="213"/>
      <c r="EC94" s="213"/>
      <c r="ED94" s="208"/>
      <c r="EE94" s="217"/>
      <c r="EF94" s="217"/>
      <c r="EG94" s="217"/>
      <c r="EH94" s="211"/>
      <c r="EI94" s="213"/>
      <c r="EJ94" s="213"/>
      <c r="EK94" s="213"/>
      <c r="EL94" s="208"/>
      <c r="EM94" s="217"/>
      <c r="EN94" s="217"/>
      <c r="EO94" s="217"/>
      <c r="EP94" s="211"/>
      <c r="EQ94" s="213"/>
      <c r="ER94" s="213"/>
      <c r="ES94" s="213"/>
      <c r="ET94" s="208"/>
      <c r="EU94" s="217"/>
      <c r="EV94" s="217"/>
      <c r="EW94" s="217"/>
      <c r="EX94" s="211"/>
      <c r="EY94" s="213"/>
      <c r="EZ94" s="213"/>
      <c r="FA94" s="213"/>
      <c r="FB94" s="208"/>
      <c r="FC94" s="217"/>
      <c r="FD94" s="217"/>
      <c r="FE94" s="217"/>
      <c r="FF94" s="211"/>
      <c r="FG94" s="213"/>
      <c r="FH94" s="213"/>
      <c r="FI94" s="213"/>
      <c r="FJ94" s="208"/>
      <c r="FK94" s="217"/>
      <c r="FL94" s="217"/>
      <c r="FM94" s="217"/>
      <c r="FN94" s="211"/>
      <c r="FO94" s="213"/>
      <c r="FP94" s="213"/>
      <c r="FQ94" s="213"/>
      <c r="FR94" s="208"/>
      <c r="FS94" s="217"/>
      <c r="FT94" s="217"/>
      <c r="FU94" s="217"/>
      <c r="FV94" s="211"/>
      <c r="FW94" s="213"/>
      <c r="FX94" s="213"/>
      <c r="FY94" s="213"/>
      <c r="FZ94" s="208"/>
      <c r="GA94" s="217"/>
      <c r="GB94" s="217"/>
      <c r="GC94" s="217"/>
      <c r="GD94" s="211"/>
      <c r="GE94" s="213"/>
      <c r="GF94" s="213"/>
      <c r="GG94" s="213"/>
      <c r="GH94" s="208"/>
      <c r="GI94" s="217"/>
      <c r="GJ94" s="217"/>
      <c r="GK94" s="217"/>
      <c r="GL94" s="211"/>
      <c r="GM94" s="213"/>
      <c r="GN94" s="213"/>
      <c r="GO94" s="213"/>
      <c r="GP94" s="208"/>
      <c r="GQ94" s="217"/>
      <c r="GR94" s="217"/>
      <c r="GS94" s="217"/>
    </row>
    <row r="95" spans="2:201" s="218" customFormat="1" ht="137.5" customHeight="1" x14ac:dyDescent="0.35">
      <c r="B95" s="194"/>
      <c r="C95" s="195"/>
      <c r="D95" s="195"/>
      <c r="E95" s="195"/>
      <c r="F95" s="195"/>
      <c r="G95" s="196"/>
      <c r="H95" s="221"/>
      <c r="I95" s="198"/>
      <c r="J95" s="199"/>
      <c r="K95" s="200"/>
      <c r="L95" s="201"/>
      <c r="M95" s="201"/>
      <c r="N95" s="202"/>
      <c r="O95" s="203">
        <f t="shared" ca="1" si="9"/>
        <v>0</v>
      </c>
      <c r="P95" s="203">
        <f t="shared" ca="1" si="7"/>
        <v>0</v>
      </c>
      <c r="Q95" s="204">
        <f t="shared" si="8"/>
        <v>0</v>
      </c>
      <c r="R95" s="205"/>
      <c r="S95" s="206"/>
      <c r="T95" s="206"/>
      <c r="U95" s="207"/>
      <c r="V95" s="208"/>
      <c r="W95" s="209"/>
      <c r="X95" s="210"/>
      <c r="Y95" s="209"/>
      <c r="Z95" s="211"/>
      <c r="AA95" s="212"/>
      <c r="AB95" s="213"/>
      <c r="AC95" s="214"/>
      <c r="AD95" s="208"/>
      <c r="AE95" s="209"/>
      <c r="AF95" s="210"/>
      <c r="AG95" s="209"/>
      <c r="AH95" s="211"/>
      <c r="AI95" s="212"/>
      <c r="AJ95" s="213"/>
      <c r="AK95" s="214"/>
      <c r="AL95" s="215"/>
      <c r="AM95" s="209"/>
      <c r="AN95" s="210"/>
      <c r="AO95" s="209"/>
      <c r="AP95" s="216"/>
      <c r="AQ95" s="212"/>
      <c r="AR95" s="213"/>
      <c r="AS95" s="214"/>
      <c r="AT95" s="208"/>
      <c r="AU95" s="209"/>
      <c r="AV95" s="210"/>
      <c r="AW95" s="217"/>
      <c r="AX95" s="211"/>
      <c r="AY95" s="213"/>
      <c r="AZ95" s="213"/>
      <c r="BA95" s="213"/>
      <c r="BB95" s="208"/>
      <c r="BC95" s="217"/>
      <c r="BD95" s="210"/>
      <c r="BE95" s="217"/>
      <c r="BF95" s="211"/>
      <c r="BG95" s="213"/>
      <c r="BH95" s="213"/>
      <c r="BI95" s="213"/>
      <c r="BJ95" s="208"/>
      <c r="BK95" s="217"/>
      <c r="BL95" s="210"/>
      <c r="BM95" s="217"/>
      <c r="BN95" s="211"/>
      <c r="BO95" s="213"/>
      <c r="BP95" s="213"/>
      <c r="BQ95" s="213"/>
      <c r="BR95" s="208"/>
      <c r="BS95" s="217"/>
      <c r="BT95" s="210"/>
      <c r="BU95" s="217"/>
      <c r="BV95" s="211"/>
      <c r="BW95" s="213"/>
      <c r="BX95" s="213"/>
      <c r="BY95" s="213"/>
      <c r="BZ95" s="208"/>
      <c r="CA95" s="217"/>
      <c r="CB95" s="217"/>
      <c r="CC95" s="217"/>
      <c r="CD95" s="211"/>
      <c r="CE95" s="213"/>
      <c r="CF95" s="213"/>
      <c r="CG95" s="213"/>
      <c r="CH95" s="208"/>
      <c r="CI95" s="217"/>
      <c r="CJ95" s="217"/>
      <c r="CK95" s="217"/>
      <c r="CL95" s="211"/>
      <c r="CM95" s="213"/>
      <c r="CN95" s="213"/>
      <c r="CO95" s="213"/>
      <c r="CP95" s="208"/>
      <c r="CQ95" s="217"/>
      <c r="CR95" s="217"/>
      <c r="CS95" s="217"/>
      <c r="CT95" s="211"/>
      <c r="CU95" s="213"/>
      <c r="CV95" s="213"/>
      <c r="CW95" s="213"/>
      <c r="CX95" s="208"/>
      <c r="CY95" s="217"/>
      <c r="CZ95" s="217"/>
      <c r="DA95" s="217"/>
      <c r="DB95" s="211"/>
      <c r="DC95" s="213"/>
      <c r="DD95" s="213"/>
      <c r="DE95" s="213"/>
      <c r="DF95" s="208"/>
      <c r="DG95" s="217"/>
      <c r="DH95" s="217"/>
      <c r="DI95" s="217"/>
      <c r="DJ95" s="211"/>
      <c r="DK95" s="213"/>
      <c r="DL95" s="213"/>
      <c r="DM95" s="213"/>
      <c r="DN95" s="208"/>
      <c r="DO95" s="217"/>
      <c r="DP95" s="217"/>
      <c r="DQ95" s="217"/>
      <c r="DR95" s="211"/>
      <c r="DS95" s="213"/>
      <c r="DT95" s="213"/>
      <c r="DU95" s="213"/>
      <c r="DV95" s="208"/>
      <c r="DW95" s="217"/>
      <c r="DX95" s="217"/>
      <c r="DY95" s="217"/>
      <c r="DZ95" s="211"/>
      <c r="EA95" s="213"/>
      <c r="EB95" s="213"/>
      <c r="EC95" s="213"/>
      <c r="ED95" s="208"/>
      <c r="EE95" s="217"/>
      <c r="EF95" s="217"/>
      <c r="EG95" s="217"/>
      <c r="EH95" s="211"/>
      <c r="EI95" s="213"/>
      <c r="EJ95" s="213"/>
      <c r="EK95" s="213"/>
      <c r="EL95" s="208"/>
      <c r="EM95" s="217"/>
      <c r="EN95" s="217"/>
      <c r="EO95" s="217"/>
      <c r="EP95" s="211"/>
      <c r="EQ95" s="213"/>
      <c r="ER95" s="213"/>
      <c r="ES95" s="213"/>
      <c r="ET95" s="208"/>
      <c r="EU95" s="217"/>
      <c r="EV95" s="217"/>
      <c r="EW95" s="217"/>
      <c r="EX95" s="211"/>
      <c r="EY95" s="213"/>
      <c r="EZ95" s="213"/>
      <c r="FA95" s="213"/>
      <c r="FB95" s="208"/>
      <c r="FC95" s="217"/>
      <c r="FD95" s="217"/>
      <c r="FE95" s="217"/>
      <c r="FF95" s="211"/>
      <c r="FG95" s="213"/>
      <c r="FH95" s="213"/>
      <c r="FI95" s="213"/>
      <c r="FJ95" s="208"/>
      <c r="FK95" s="217"/>
      <c r="FL95" s="217"/>
      <c r="FM95" s="217"/>
      <c r="FN95" s="211"/>
      <c r="FO95" s="213"/>
      <c r="FP95" s="213"/>
      <c r="FQ95" s="213"/>
      <c r="FR95" s="208"/>
      <c r="FS95" s="217"/>
      <c r="FT95" s="217"/>
      <c r="FU95" s="217"/>
      <c r="FV95" s="211"/>
      <c r="FW95" s="213"/>
      <c r="FX95" s="213"/>
      <c r="FY95" s="213"/>
      <c r="FZ95" s="208"/>
      <c r="GA95" s="217"/>
      <c r="GB95" s="217"/>
      <c r="GC95" s="217"/>
      <c r="GD95" s="211"/>
      <c r="GE95" s="213"/>
      <c r="GF95" s="213"/>
      <c r="GG95" s="213"/>
      <c r="GH95" s="208"/>
      <c r="GI95" s="217"/>
      <c r="GJ95" s="217"/>
      <c r="GK95" s="217"/>
      <c r="GL95" s="211"/>
      <c r="GM95" s="213"/>
      <c r="GN95" s="213"/>
      <c r="GO95" s="213"/>
      <c r="GP95" s="208"/>
      <c r="GQ95" s="217"/>
      <c r="GR95" s="217"/>
      <c r="GS95" s="217"/>
    </row>
    <row r="96" spans="2:201" s="218" customFormat="1" ht="137.5" customHeight="1" x14ac:dyDescent="0.35">
      <c r="B96" s="194"/>
      <c r="C96" s="195"/>
      <c r="D96" s="195"/>
      <c r="E96" s="195"/>
      <c r="F96" s="195"/>
      <c r="G96" s="196"/>
      <c r="H96" s="220"/>
      <c r="I96" s="198"/>
      <c r="J96" s="199"/>
      <c r="K96" s="200"/>
      <c r="L96" s="201"/>
      <c r="M96" s="201"/>
      <c r="N96" s="202"/>
      <c r="O96" s="203">
        <f t="shared" ca="1" si="9"/>
        <v>0</v>
      </c>
      <c r="P96" s="203">
        <f t="shared" ca="1" si="7"/>
        <v>0</v>
      </c>
      <c r="Q96" s="204">
        <f t="shared" si="8"/>
        <v>0</v>
      </c>
      <c r="R96" s="205"/>
      <c r="S96" s="206"/>
      <c r="T96" s="206"/>
      <c r="U96" s="207"/>
      <c r="V96" s="208"/>
      <c r="W96" s="209"/>
      <c r="X96" s="210"/>
      <c r="Y96" s="209"/>
      <c r="Z96" s="211"/>
      <c r="AA96" s="212"/>
      <c r="AB96" s="213"/>
      <c r="AC96" s="207"/>
      <c r="AD96" s="208"/>
      <c r="AE96" s="209"/>
      <c r="AF96" s="210"/>
      <c r="AG96" s="209"/>
      <c r="AH96" s="211"/>
      <c r="AI96" s="212"/>
      <c r="AJ96" s="213"/>
      <c r="AK96" s="214"/>
      <c r="AL96" s="215"/>
      <c r="AM96" s="209"/>
      <c r="AN96" s="210"/>
      <c r="AO96" s="209"/>
      <c r="AP96" s="216"/>
      <c r="AQ96" s="212"/>
      <c r="AR96" s="213"/>
      <c r="AS96" s="214"/>
      <c r="AT96" s="208"/>
      <c r="AU96" s="209"/>
      <c r="AV96" s="210"/>
      <c r="AW96" s="217"/>
      <c r="AX96" s="211"/>
      <c r="AY96" s="213"/>
      <c r="AZ96" s="213"/>
      <c r="BA96" s="213"/>
      <c r="BB96" s="208"/>
      <c r="BC96" s="217"/>
      <c r="BD96" s="210"/>
      <c r="BE96" s="217"/>
      <c r="BF96" s="211"/>
      <c r="BG96" s="213"/>
      <c r="BH96" s="213"/>
      <c r="BI96" s="213"/>
      <c r="BJ96" s="208"/>
      <c r="BK96" s="217"/>
      <c r="BL96" s="210"/>
      <c r="BM96" s="217"/>
      <c r="BN96" s="211"/>
      <c r="BO96" s="213"/>
      <c r="BP96" s="213"/>
      <c r="BQ96" s="213"/>
      <c r="BR96" s="208"/>
      <c r="BS96" s="217"/>
      <c r="BT96" s="210"/>
      <c r="BU96" s="217"/>
      <c r="BV96" s="211"/>
      <c r="BW96" s="213"/>
      <c r="BX96" s="213"/>
      <c r="BY96" s="213"/>
      <c r="BZ96" s="208"/>
      <c r="CA96" s="217"/>
      <c r="CB96" s="217"/>
      <c r="CC96" s="217"/>
      <c r="CD96" s="211"/>
      <c r="CE96" s="213"/>
      <c r="CF96" s="213"/>
      <c r="CG96" s="213"/>
      <c r="CH96" s="208"/>
      <c r="CI96" s="217"/>
      <c r="CJ96" s="217"/>
      <c r="CK96" s="217"/>
      <c r="CL96" s="211"/>
      <c r="CM96" s="213"/>
      <c r="CN96" s="213"/>
      <c r="CO96" s="213"/>
      <c r="CP96" s="208"/>
      <c r="CQ96" s="217"/>
      <c r="CR96" s="217"/>
      <c r="CS96" s="217"/>
      <c r="CT96" s="211"/>
      <c r="CU96" s="213"/>
      <c r="CV96" s="213"/>
      <c r="CW96" s="213"/>
      <c r="CX96" s="208"/>
      <c r="CY96" s="217"/>
      <c r="CZ96" s="217"/>
      <c r="DA96" s="217"/>
      <c r="DB96" s="211"/>
      <c r="DC96" s="213"/>
      <c r="DD96" s="213"/>
      <c r="DE96" s="213"/>
      <c r="DF96" s="208"/>
      <c r="DG96" s="217"/>
      <c r="DH96" s="217"/>
      <c r="DI96" s="217"/>
      <c r="DJ96" s="211"/>
      <c r="DK96" s="213"/>
      <c r="DL96" s="213"/>
      <c r="DM96" s="213"/>
      <c r="DN96" s="208"/>
      <c r="DO96" s="217"/>
      <c r="DP96" s="217"/>
      <c r="DQ96" s="217"/>
      <c r="DR96" s="211"/>
      <c r="DS96" s="213"/>
      <c r="DT96" s="213"/>
      <c r="DU96" s="213"/>
      <c r="DV96" s="208"/>
      <c r="DW96" s="217"/>
      <c r="DX96" s="217"/>
      <c r="DY96" s="217"/>
      <c r="DZ96" s="211"/>
      <c r="EA96" s="213"/>
      <c r="EB96" s="213"/>
      <c r="EC96" s="213"/>
      <c r="ED96" s="208"/>
      <c r="EE96" s="217"/>
      <c r="EF96" s="217"/>
      <c r="EG96" s="217"/>
      <c r="EH96" s="211"/>
      <c r="EI96" s="213"/>
      <c r="EJ96" s="213"/>
      <c r="EK96" s="213"/>
      <c r="EL96" s="208"/>
      <c r="EM96" s="217"/>
      <c r="EN96" s="217"/>
      <c r="EO96" s="217"/>
      <c r="EP96" s="211"/>
      <c r="EQ96" s="213"/>
      <c r="ER96" s="213"/>
      <c r="ES96" s="213"/>
      <c r="ET96" s="208"/>
      <c r="EU96" s="217"/>
      <c r="EV96" s="217"/>
      <c r="EW96" s="217"/>
      <c r="EX96" s="211"/>
      <c r="EY96" s="213"/>
      <c r="EZ96" s="213"/>
      <c r="FA96" s="213"/>
      <c r="FB96" s="208"/>
      <c r="FC96" s="217"/>
      <c r="FD96" s="217"/>
      <c r="FE96" s="217"/>
      <c r="FF96" s="211"/>
      <c r="FG96" s="213"/>
      <c r="FH96" s="213"/>
      <c r="FI96" s="213"/>
      <c r="FJ96" s="208"/>
      <c r="FK96" s="217"/>
      <c r="FL96" s="217"/>
      <c r="FM96" s="217"/>
      <c r="FN96" s="211"/>
      <c r="FO96" s="213"/>
      <c r="FP96" s="213"/>
      <c r="FQ96" s="213"/>
      <c r="FR96" s="208"/>
      <c r="FS96" s="217"/>
      <c r="FT96" s="217"/>
      <c r="FU96" s="217"/>
      <c r="FV96" s="211"/>
      <c r="FW96" s="213"/>
      <c r="FX96" s="213"/>
      <c r="FY96" s="213"/>
      <c r="FZ96" s="208"/>
      <c r="GA96" s="217"/>
      <c r="GB96" s="217"/>
      <c r="GC96" s="217"/>
      <c r="GD96" s="211"/>
      <c r="GE96" s="213"/>
      <c r="GF96" s="213"/>
      <c r="GG96" s="213"/>
      <c r="GH96" s="208"/>
      <c r="GI96" s="217"/>
      <c r="GJ96" s="217"/>
      <c r="GK96" s="217"/>
      <c r="GL96" s="211"/>
      <c r="GM96" s="213"/>
      <c r="GN96" s="213"/>
      <c r="GO96" s="213"/>
      <c r="GP96" s="208"/>
      <c r="GQ96" s="217"/>
      <c r="GR96" s="217"/>
      <c r="GS96" s="217"/>
    </row>
    <row r="97" spans="2:201" s="146" customFormat="1" ht="137.5" customHeight="1" x14ac:dyDescent="0.35">
      <c r="B97" s="147"/>
      <c r="C97" s="148"/>
      <c r="D97" s="148"/>
      <c r="E97" s="148"/>
      <c r="F97" s="148"/>
      <c r="G97" s="171"/>
      <c r="H97" s="176"/>
      <c r="I97" s="150"/>
      <c r="J97" s="151"/>
      <c r="K97" s="152"/>
      <c r="L97" s="153"/>
      <c r="M97" s="153"/>
      <c r="N97" s="154"/>
      <c r="O97" s="155">
        <f t="shared" ca="1" si="9"/>
        <v>0</v>
      </c>
      <c r="P97" s="155">
        <f t="shared" ca="1" si="7"/>
        <v>0</v>
      </c>
      <c r="Q97" s="156">
        <f t="shared" si="8"/>
        <v>0</v>
      </c>
      <c r="R97" s="157"/>
      <c r="S97" s="158"/>
      <c r="T97" s="158"/>
      <c r="U97" s="159"/>
      <c r="V97" s="160"/>
      <c r="W97" s="161"/>
      <c r="X97" s="162"/>
      <c r="Y97" s="161"/>
      <c r="Z97" s="163"/>
      <c r="AA97" s="164"/>
      <c r="AB97" s="165"/>
      <c r="AC97" s="166"/>
      <c r="AD97" s="160"/>
      <c r="AE97" s="161"/>
      <c r="AF97" s="162"/>
      <c r="AG97" s="161"/>
      <c r="AH97" s="163"/>
      <c r="AI97" s="164"/>
      <c r="AJ97" s="165"/>
      <c r="AK97" s="166"/>
      <c r="AL97" s="167"/>
      <c r="AM97" s="161"/>
      <c r="AN97" s="162"/>
      <c r="AO97" s="161"/>
      <c r="AP97" s="170"/>
      <c r="AQ97" s="164"/>
      <c r="AR97" s="165"/>
      <c r="AS97" s="166"/>
      <c r="AT97" s="160"/>
      <c r="AU97" s="161"/>
      <c r="AV97" s="162"/>
      <c r="AW97" s="168"/>
      <c r="AX97" s="163"/>
      <c r="AY97" s="165"/>
      <c r="AZ97" s="165"/>
      <c r="BA97" s="165"/>
      <c r="BB97" s="160"/>
      <c r="BC97" s="168"/>
      <c r="BD97" s="162"/>
      <c r="BE97" s="168"/>
      <c r="BF97" s="163"/>
      <c r="BG97" s="165"/>
      <c r="BH97" s="165"/>
      <c r="BI97" s="165"/>
      <c r="BJ97" s="160"/>
      <c r="BK97" s="168"/>
      <c r="BL97" s="162"/>
      <c r="BM97" s="168"/>
      <c r="BN97" s="163"/>
      <c r="BO97" s="165"/>
      <c r="BP97" s="165"/>
      <c r="BQ97" s="165"/>
      <c r="BR97" s="160"/>
      <c r="BS97" s="168"/>
      <c r="BT97" s="162"/>
      <c r="BU97" s="168"/>
      <c r="BV97" s="163"/>
      <c r="BW97" s="165"/>
      <c r="BX97" s="165"/>
      <c r="BY97" s="165"/>
      <c r="BZ97" s="160"/>
      <c r="CA97" s="168"/>
      <c r="CB97" s="168"/>
      <c r="CC97" s="168"/>
      <c r="CD97" s="163"/>
      <c r="CE97" s="165"/>
      <c r="CF97" s="165"/>
      <c r="CG97" s="165"/>
      <c r="CH97" s="160"/>
      <c r="CI97" s="168"/>
      <c r="CJ97" s="168"/>
      <c r="CK97" s="168"/>
      <c r="CL97" s="163"/>
      <c r="CM97" s="165"/>
      <c r="CN97" s="165"/>
      <c r="CO97" s="165"/>
      <c r="CP97" s="160"/>
      <c r="CQ97" s="168"/>
      <c r="CR97" s="168"/>
      <c r="CS97" s="168"/>
      <c r="CT97" s="163"/>
      <c r="CU97" s="165"/>
      <c r="CV97" s="165"/>
      <c r="CW97" s="165"/>
      <c r="CX97" s="160"/>
      <c r="CY97" s="168"/>
      <c r="CZ97" s="168"/>
      <c r="DA97" s="168"/>
      <c r="DB97" s="163"/>
      <c r="DC97" s="165"/>
      <c r="DD97" s="165"/>
      <c r="DE97" s="165"/>
      <c r="DF97" s="160"/>
      <c r="DG97" s="168"/>
      <c r="DH97" s="168"/>
      <c r="DI97" s="168"/>
      <c r="DJ97" s="163"/>
      <c r="DK97" s="165"/>
      <c r="DL97" s="165"/>
      <c r="DM97" s="165"/>
      <c r="DN97" s="160"/>
      <c r="DO97" s="168"/>
      <c r="DP97" s="168"/>
      <c r="DQ97" s="168"/>
      <c r="DR97" s="163"/>
      <c r="DS97" s="165"/>
      <c r="DT97" s="165"/>
      <c r="DU97" s="165"/>
      <c r="DV97" s="160"/>
      <c r="DW97" s="168"/>
      <c r="DX97" s="168"/>
      <c r="DY97" s="168"/>
      <c r="DZ97" s="163"/>
      <c r="EA97" s="165"/>
      <c r="EB97" s="165"/>
      <c r="EC97" s="165"/>
      <c r="ED97" s="160"/>
      <c r="EE97" s="168"/>
      <c r="EF97" s="168"/>
      <c r="EG97" s="168"/>
      <c r="EH97" s="163"/>
      <c r="EI97" s="165"/>
      <c r="EJ97" s="165"/>
      <c r="EK97" s="165"/>
      <c r="EL97" s="160"/>
      <c r="EM97" s="168"/>
      <c r="EN97" s="168"/>
      <c r="EO97" s="168"/>
      <c r="EP97" s="163"/>
      <c r="EQ97" s="165"/>
      <c r="ER97" s="165"/>
      <c r="ES97" s="165"/>
      <c r="ET97" s="160"/>
      <c r="EU97" s="168"/>
      <c r="EV97" s="168"/>
      <c r="EW97" s="168"/>
      <c r="EX97" s="163"/>
      <c r="EY97" s="165"/>
      <c r="EZ97" s="165"/>
      <c r="FA97" s="165"/>
      <c r="FB97" s="160"/>
      <c r="FC97" s="168"/>
      <c r="FD97" s="168"/>
      <c r="FE97" s="168"/>
      <c r="FF97" s="163"/>
      <c r="FG97" s="165"/>
      <c r="FH97" s="165"/>
      <c r="FI97" s="165"/>
      <c r="FJ97" s="160"/>
      <c r="FK97" s="168"/>
      <c r="FL97" s="168"/>
      <c r="FM97" s="168"/>
      <c r="FN97" s="163"/>
      <c r="FO97" s="165"/>
      <c r="FP97" s="165"/>
      <c r="FQ97" s="165"/>
      <c r="FR97" s="160"/>
      <c r="FS97" s="168"/>
      <c r="FT97" s="168"/>
      <c r="FU97" s="168"/>
      <c r="FV97" s="163"/>
      <c r="FW97" s="165"/>
      <c r="FX97" s="165"/>
      <c r="FY97" s="165"/>
      <c r="FZ97" s="160"/>
      <c r="GA97" s="168"/>
      <c r="GB97" s="168"/>
      <c r="GC97" s="168"/>
      <c r="GD97" s="163"/>
      <c r="GE97" s="165"/>
      <c r="GF97" s="165"/>
      <c r="GG97" s="165"/>
      <c r="GH97" s="160"/>
      <c r="GI97" s="168"/>
      <c r="GJ97" s="168"/>
      <c r="GK97" s="168"/>
      <c r="GL97" s="163"/>
      <c r="GM97" s="165"/>
      <c r="GN97" s="165"/>
      <c r="GO97" s="165"/>
      <c r="GP97" s="160"/>
      <c r="GQ97" s="168"/>
      <c r="GR97" s="168"/>
      <c r="GS97" s="168"/>
    </row>
    <row r="98" spans="2:201" s="146" customFormat="1" ht="137.5" customHeight="1" x14ac:dyDescent="0.35">
      <c r="B98" s="147"/>
      <c r="C98" s="147"/>
      <c r="D98" s="148"/>
      <c r="E98" s="148"/>
      <c r="F98" s="148"/>
      <c r="G98" s="265"/>
      <c r="H98" s="190"/>
      <c r="I98" s="150"/>
      <c r="J98" s="151"/>
      <c r="K98" s="172"/>
      <c r="L98" s="153"/>
      <c r="M98" s="153"/>
      <c r="N98" s="154"/>
      <c r="O98" s="155">
        <f t="shared" ca="1" si="9"/>
        <v>0</v>
      </c>
      <c r="P98" s="155">
        <f t="shared" ca="1" si="7"/>
        <v>0</v>
      </c>
      <c r="Q98" s="156">
        <f t="shared" si="8"/>
        <v>0</v>
      </c>
      <c r="R98" s="157"/>
      <c r="S98" s="158"/>
      <c r="T98" s="158"/>
      <c r="U98" s="159"/>
      <c r="V98" s="160"/>
      <c r="W98" s="161"/>
      <c r="X98" s="162"/>
      <c r="Y98" s="161"/>
      <c r="Z98" s="163"/>
      <c r="AA98" s="164"/>
      <c r="AB98" s="165"/>
      <c r="AC98" s="166"/>
      <c r="AD98" s="160"/>
      <c r="AE98" s="161"/>
      <c r="AF98" s="162"/>
      <c r="AG98" s="161"/>
      <c r="AH98" s="163"/>
      <c r="AI98" s="164"/>
      <c r="AJ98" s="165"/>
      <c r="AK98" s="166"/>
      <c r="AL98" s="167"/>
      <c r="AM98" s="161"/>
      <c r="AN98" s="162"/>
      <c r="AO98" s="161"/>
      <c r="AP98" s="170"/>
      <c r="AQ98" s="164"/>
      <c r="AR98" s="165"/>
      <c r="AS98" s="166"/>
      <c r="AT98" s="160"/>
      <c r="AU98" s="161"/>
      <c r="AV98" s="162"/>
      <c r="AW98" s="168"/>
      <c r="AX98" s="163"/>
      <c r="AY98" s="165"/>
      <c r="AZ98" s="165"/>
      <c r="BA98" s="165"/>
      <c r="BB98" s="160"/>
      <c r="BC98" s="168"/>
      <c r="BD98" s="162"/>
      <c r="BE98" s="168"/>
      <c r="BF98" s="163"/>
      <c r="BG98" s="165"/>
      <c r="BH98" s="165"/>
      <c r="BI98" s="165"/>
      <c r="BJ98" s="160"/>
      <c r="BK98" s="168"/>
      <c r="BL98" s="162"/>
      <c r="BM98" s="168"/>
      <c r="BN98" s="163"/>
      <c r="BO98" s="165"/>
      <c r="BP98" s="165"/>
      <c r="BQ98" s="165"/>
      <c r="BR98" s="160"/>
      <c r="BS98" s="168"/>
      <c r="BT98" s="162"/>
      <c r="BU98" s="168"/>
      <c r="BV98" s="163"/>
      <c r="BW98" s="165"/>
      <c r="BX98" s="165"/>
      <c r="BY98" s="165"/>
      <c r="BZ98" s="160"/>
      <c r="CA98" s="168"/>
      <c r="CB98" s="168"/>
      <c r="CC98" s="168"/>
      <c r="CD98" s="163"/>
      <c r="CE98" s="165"/>
      <c r="CF98" s="165"/>
      <c r="CG98" s="165"/>
      <c r="CH98" s="160"/>
      <c r="CI98" s="168"/>
      <c r="CJ98" s="168"/>
      <c r="CK98" s="168"/>
      <c r="CL98" s="163"/>
      <c r="CM98" s="165"/>
      <c r="CN98" s="165"/>
      <c r="CO98" s="165"/>
      <c r="CP98" s="160"/>
      <c r="CQ98" s="168"/>
      <c r="CR98" s="168"/>
      <c r="CS98" s="168"/>
      <c r="CT98" s="163"/>
      <c r="CU98" s="165"/>
      <c r="CV98" s="165"/>
      <c r="CW98" s="165"/>
      <c r="CX98" s="160"/>
      <c r="CY98" s="168"/>
      <c r="CZ98" s="168"/>
      <c r="DA98" s="168"/>
      <c r="DB98" s="163"/>
      <c r="DC98" s="165"/>
      <c r="DD98" s="165"/>
      <c r="DE98" s="165"/>
      <c r="DF98" s="160"/>
      <c r="DG98" s="168"/>
      <c r="DH98" s="168"/>
      <c r="DI98" s="168"/>
      <c r="DJ98" s="163"/>
      <c r="DK98" s="165"/>
      <c r="DL98" s="165"/>
      <c r="DM98" s="165"/>
      <c r="DN98" s="160"/>
      <c r="DO98" s="168"/>
      <c r="DP98" s="168"/>
      <c r="DQ98" s="168"/>
      <c r="DR98" s="163"/>
      <c r="DS98" s="165"/>
      <c r="DT98" s="165"/>
      <c r="DU98" s="165"/>
      <c r="DV98" s="160"/>
      <c r="DW98" s="168"/>
      <c r="DX98" s="168"/>
      <c r="DY98" s="168"/>
      <c r="DZ98" s="163"/>
      <c r="EA98" s="165"/>
      <c r="EB98" s="165"/>
      <c r="EC98" s="165"/>
      <c r="ED98" s="160"/>
      <c r="EE98" s="168"/>
      <c r="EF98" s="168"/>
      <c r="EG98" s="168"/>
      <c r="EH98" s="163"/>
      <c r="EI98" s="165"/>
      <c r="EJ98" s="165"/>
      <c r="EK98" s="165"/>
      <c r="EL98" s="160"/>
      <c r="EM98" s="168"/>
      <c r="EN98" s="168"/>
      <c r="EO98" s="168"/>
      <c r="EP98" s="163"/>
      <c r="EQ98" s="165"/>
      <c r="ER98" s="165"/>
      <c r="ES98" s="165"/>
      <c r="ET98" s="160"/>
      <c r="EU98" s="168"/>
      <c r="EV98" s="168"/>
      <c r="EW98" s="168"/>
      <c r="EX98" s="163"/>
      <c r="EY98" s="165"/>
      <c r="EZ98" s="165"/>
      <c r="FA98" s="165"/>
      <c r="FB98" s="160"/>
      <c r="FC98" s="168"/>
      <c r="FD98" s="168"/>
      <c r="FE98" s="168"/>
      <c r="FF98" s="163"/>
      <c r="FG98" s="165"/>
      <c r="FH98" s="165"/>
      <c r="FI98" s="165"/>
      <c r="FJ98" s="160"/>
      <c r="FK98" s="168"/>
      <c r="FL98" s="168"/>
      <c r="FM98" s="168"/>
      <c r="FN98" s="163"/>
      <c r="FO98" s="165"/>
      <c r="FP98" s="165"/>
      <c r="FQ98" s="165"/>
      <c r="FR98" s="160"/>
      <c r="FS98" s="168"/>
      <c r="FT98" s="168"/>
      <c r="FU98" s="168"/>
      <c r="FV98" s="163"/>
      <c r="FW98" s="165"/>
      <c r="FX98" s="165"/>
      <c r="FY98" s="165"/>
      <c r="FZ98" s="160"/>
      <c r="GA98" s="168"/>
      <c r="GB98" s="168"/>
      <c r="GC98" s="168"/>
      <c r="GD98" s="163"/>
      <c r="GE98" s="165"/>
      <c r="GF98" s="165"/>
      <c r="GG98" s="165"/>
      <c r="GH98" s="160"/>
      <c r="GI98" s="168"/>
      <c r="GJ98" s="168"/>
      <c r="GK98" s="168"/>
      <c r="GL98" s="163"/>
      <c r="GM98" s="165"/>
      <c r="GN98" s="165"/>
      <c r="GO98" s="165"/>
      <c r="GP98" s="160"/>
      <c r="GQ98" s="168"/>
      <c r="GR98" s="168"/>
      <c r="GS98" s="168"/>
    </row>
    <row r="99" spans="2:201" s="146" customFormat="1" ht="137.5" customHeight="1" x14ac:dyDescent="0.35">
      <c r="B99" s="147"/>
      <c r="C99" s="148"/>
      <c r="D99" s="148"/>
      <c r="E99" s="148"/>
      <c r="F99" s="148"/>
      <c r="G99" s="265"/>
      <c r="H99" s="190"/>
      <c r="I99" s="150"/>
      <c r="J99" s="151"/>
      <c r="K99" s="177"/>
      <c r="L99" s="178"/>
      <c r="M99" s="153"/>
      <c r="N99" s="154"/>
      <c r="O99" s="155">
        <f t="shared" ca="1" si="9"/>
        <v>0</v>
      </c>
      <c r="P99" s="155">
        <f t="shared" ca="1" si="7"/>
        <v>0</v>
      </c>
      <c r="Q99" s="156">
        <f t="shared" si="8"/>
        <v>0</v>
      </c>
      <c r="R99" s="157"/>
      <c r="S99" s="158"/>
      <c r="T99" s="158"/>
      <c r="U99" s="159"/>
      <c r="V99" s="160"/>
      <c r="W99" s="161"/>
      <c r="X99" s="162"/>
      <c r="Y99" s="161"/>
      <c r="Z99" s="163"/>
      <c r="AA99" s="165"/>
      <c r="AB99" s="165"/>
      <c r="AC99" s="166"/>
      <c r="AD99" s="160"/>
      <c r="AE99" s="161"/>
      <c r="AF99" s="162"/>
      <c r="AG99" s="154"/>
      <c r="AH99" s="163"/>
      <c r="AI99" s="165"/>
      <c r="AJ99" s="165"/>
      <c r="AK99" s="166"/>
      <c r="AL99" s="160"/>
      <c r="AM99" s="161"/>
      <c r="AN99" s="162"/>
      <c r="AO99" s="161"/>
      <c r="AP99" s="170"/>
      <c r="AQ99" s="164"/>
      <c r="AR99" s="165"/>
      <c r="AS99" s="166"/>
      <c r="AT99" s="160"/>
      <c r="AU99" s="161"/>
      <c r="AV99" s="162"/>
      <c r="AW99" s="168"/>
      <c r="AX99" s="163"/>
      <c r="AY99" s="165"/>
      <c r="AZ99" s="165"/>
      <c r="BA99" s="165"/>
      <c r="BB99" s="160"/>
      <c r="BC99" s="168"/>
      <c r="BD99" s="162"/>
      <c r="BE99" s="168"/>
      <c r="BF99" s="163"/>
      <c r="BG99" s="165"/>
      <c r="BH99" s="165"/>
      <c r="BI99" s="165"/>
      <c r="BJ99" s="160"/>
      <c r="BK99" s="168"/>
      <c r="BL99" s="162"/>
      <c r="BM99" s="168"/>
      <c r="BN99" s="163"/>
      <c r="BO99" s="165"/>
      <c r="BP99" s="165"/>
      <c r="BQ99" s="165"/>
      <c r="BR99" s="160"/>
      <c r="BS99" s="168"/>
      <c r="BT99" s="162"/>
      <c r="BU99" s="168"/>
      <c r="BV99" s="163"/>
      <c r="BW99" s="165"/>
      <c r="BX99" s="165"/>
      <c r="BY99" s="165"/>
      <c r="BZ99" s="160"/>
      <c r="CA99" s="168"/>
      <c r="CB99" s="168"/>
      <c r="CC99" s="168"/>
      <c r="CD99" s="163"/>
      <c r="CE99" s="165"/>
      <c r="CF99" s="165"/>
      <c r="CG99" s="165"/>
      <c r="CH99" s="160"/>
      <c r="CI99" s="168"/>
      <c r="CJ99" s="168"/>
      <c r="CK99" s="168"/>
      <c r="CL99" s="163"/>
      <c r="CM99" s="165"/>
      <c r="CN99" s="165"/>
      <c r="CO99" s="165"/>
      <c r="CP99" s="160"/>
      <c r="CQ99" s="168"/>
      <c r="CR99" s="168"/>
      <c r="CS99" s="168"/>
      <c r="CT99" s="163"/>
      <c r="CU99" s="165"/>
      <c r="CV99" s="165"/>
      <c r="CW99" s="165"/>
      <c r="CX99" s="160"/>
      <c r="CY99" s="168"/>
      <c r="CZ99" s="168"/>
      <c r="DA99" s="168"/>
      <c r="DB99" s="163"/>
      <c r="DC99" s="165"/>
      <c r="DD99" s="165"/>
      <c r="DE99" s="165"/>
      <c r="DF99" s="160"/>
      <c r="DG99" s="168"/>
      <c r="DH99" s="168"/>
      <c r="DI99" s="168"/>
      <c r="DJ99" s="163"/>
      <c r="DK99" s="165"/>
      <c r="DL99" s="165"/>
      <c r="DM99" s="165"/>
      <c r="DN99" s="160"/>
      <c r="DO99" s="168"/>
      <c r="DP99" s="168"/>
      <c r="DQ99" s="168"/>
      <c r="DR99" s="163"/>
      <c r="DS99" s="165"/>
      <c r="DT99" s="165"/>
      <c r="DU99" s="165"/>
      <c r="DV99" s="160"/>
      <c r="DW99" s="168"/>
      <c r="DX99" s="168"/>
      <c r="DY99" s="168"/>
      <c r="DZ99" s="163"/>
      <c r="EA99" s="165"/>
      <c r="EB99" s="165"/>
      <c r="EC99" s="165"/>
      <c r="ED99" s="160"/>
      <c r="EE99" s="168"/>
      <c r="EF99" s="168"/>
      <c r="EG99" s="168"/>
      <c r="EH99" s="163"/>
      <c r="EI99" s="165"/>
      <c r="EJ99" s="165"/>
      <c r="EK99" s="165"/>
      <c r="EL99" s="160"/>
      <c r="EM99" s="168"/>
      <c r="EN99" s="168"/>
      <c r="EO99" s="168"/>
      <c r="EP99" s="163"/>
      <c r="EQ99" s="165"/>
      <c r="ER99" s="165"/>
      <c r="ES99" s="165"/>
      <c r="ET99" s="160"/>
      <c r="EU99" s="168"/>
      <c r="EV99" s="168"/>
      <c r="EW99" s="168"/>
      <c r="EX99" s="163"/>
      <c r="EY99" s="165"/>
      <c r="EZ99" s="165"/>
      <c r="FA99" s="165"/>
      <c r="FB99" s="160"/>
      <c r="FC99" s="168"/>
      <c r="FD99" s="168"/>
      <c r="FE99" s="168"/>
      <c r="FF99" s="163"/>
      <c r="FG99" s="165"/>
      <c r="FH99" s="165"/>
      <c r="FI99" s="165"/>
      <c r="FJ99" s="160"/>
      <c r="FK99" s="168"/>
      <c r="FL99" s="168"/>
      <c r="FM99" s="168"/>
      <c r="FN99" s="163"/>
      <c r="FO99" s="165"/>
      <c r="FP99" s="165"/>
      <c r="FQ99" s="165"/>
      <c r="FR99" s="160"/>
      <c r="FS99" s="168"/>
      <c r="FT99" s="168"/>
      <c r="FU99" s="168"/>
      <c r="FV99" s="163"/>
      <c r="FW99" s="165"/>
      <c r="FX99" s="165"/>
      <c r="FY99" s="165"/>
      <c r="FZ99" s="160"/>
      <c r="GA99" s="168"/>
      <c r="GB99" s="168"/>
      <c r="GC99" s="168"/>
      <c r="GD99" s="163"/>
      <c r="GE99" s="165"/>
      <c r="GF99" s="165"/>
      <c r="GG99" s="165"/>
      <c r="GH99" s="160"/>
      <c r="GI99" s="168"/>
      <c r="GJ99" s="168"/>
      <c r="GK99" s="168"/>
      <c r="GL99" s="163"/>
      <c r="GM99" s="165"/>
      <c r="GN99" s="165"/>
      <c r="GO99" s="165"/>
      <c r="GP99" s="160"/>
      <c r="GQ99" s="168"/>
      <c r="GR99" s="168"/>
      <c r="GS99" s="168"/>
    </row>
    <row r="100" spans="2:201" s="146" customFormat="1" ht="137.5" customHeight="1" x14ac:dyDescent="0.35">
      <c r="B100" s="147"/>
      <c r="C100" s="147"/>
      <c r="D100" s="148"/>
      <c r="E100" s="148"/>
      <c r="F100" s="148"/>
      <c r="G100" s="265"/>
      <c r="H100" s="190"/>
      <c r="I100" s="150"/>
      <c r="J100" s="151"/>
      <c r="K100" s="172"/>
      <c r="L100" s="153"/>
      <c r="M100" s="153"/>
      <c r="N100" s="154"/>
      <c r="O100" s="155">
        <f t="shared" ca="1" si="9"/>
        <v>0</v>
      </c>
      <c r="P100" s="155">
        <f t="shared" ca="1" si="7"/>
        <v>0</v>
      </c>
      <c r="Q100" s="156">
        <f t="shared" si="8"/>
        <v>0</v>
      </c>
      <c r="R100" s="157"/>
      <c r="S100" s="158"/>
      <c r="T100" s="158"/>
      <c r="U100" s="159"/>
      <c r="V100" s="160"/>
      <c r="W100" s="161"/>
      <c r="X100" s="162"/>
      <c r="Y100" s="161"/>
      <c r="Z100" s="163"/>
      <c r="AA100" s="165"/>
      <c r="AB100" s="165"/>
      <c r="AC100" s="166"/>
      <c r="AD100" s="160"/>
      <c r="AE100" s="161"/>
      <c r="AF100" s="162"/>
      <c r="AG100" s="161"/>
      <c r="AH100" s="163"/>
      <c r="AI100" s="164"/>
      <c r="AJ100" s="165"/>
      <c r="AK100" s="166"/>
      <c r="AL100" s="174"/>
      <c r="AM100" s="161"/>
      <c r="AN100" s="162"/>
      <c r="AO100" s="161"/>
      <c r="AP100" s="175"/>
      <c r="AQ100" s="166"/>
      <c r="AR100" s="165"/>
      <c r="AS100" s="166"/>
      <c r="AT100" s="160"/>
      <c r="AU100" s="168"/>
      <c r="AV100" s="162"/>
      <c r="AW100" s="168"/>
      <c r="AX100" s="163"/>
      <c r="AY100" s="165"/>
      <c r="AZ100" s="165"/>
      <c r="BA100" s="165"/>
      <c r="BB100" s="160"/>
      <c r="BC100" s="168"/>
      <c r="BD100" s="162"/>
      <c r="BE100" s="168"/>
      <c r="BF100" s="163"/>
      <c r="BG100" s="165"/>
      <c r="BH100" s="165"/>
      <c r="BI100" s="165"/>
      <c r="BJ100" s="160"/>
      <c r="BK100" s="168"/>
      <c r="BL100" s="162"/>
      <c r="BM100" s="168"/>
      <c r="BN100" s="163"/>
      <c r="BO100" s="165"/>
      <c r="BP100" s="165"/>
      <c r="BQ100" s="165"/>
      <c r="BR100" s="160"/>
      <c r="BS100" s="168"/>
      <c r="BT100" s="162"/>
      <c r="BU100" s="168"/>
      <c r="BV100" s="163"/>
      <c r="BW100" s="165"/>
      <c r="BX100" s="165"/>
      <c r="BY100" s="165"/>
      <c r="BZ100" s="160"/>
      <c r="CA100" s="168"/>
      <c r="CB100" s="168"/>
      <c r="CC100" s="168"/>
      <c r="CD100" s="163"/>
      <c r="CE100" s="165"/>
      <c r="CF100" s="165"/>
      <c r="CG100" s="165"/>
      <c r="CH100" s="160"/>
      <c r="CI100" s="168"/>
      <c r="CJ100" s="168"/>
      <c r="CK100" s="168"/>
      <c r="CL100" s="163"/>
      <c r="CM100" s="165"/>
      <c r="CN100" s="165"/>
      <c r="CO100" s="165"/>
      <c r="CP100" s="160"/>
      <c r="CQ100" s="168"/>
      <c r="CR100" s="168"/>
      <c r="CS100" s="168"/>
      <c r="CT100" s="163"/>
      <c r="CU100" s="165"/>
      <c r="CV100" s="165"/>
      <c r="CW100" s="165"/>
      <c r="CX100" s="160"/>
      <c r="CY100" s="168"/>
      <c r="CZ100" s="168"/>
      <c r="DA100" s="168"/>
      <c r="DB100" s="163"/>
      <c r="DC100" s="165"/>
      <c r="DD100" s="165"/>
      <c r="DE100" s="165"/>
      <c r="DF100" s="160"/>
      <c r="DG100" s="168"/>
      <c r="DH100" s="168"/>
      <c r="DI100" s="168"/>
      <c r="DJ100" s="163"/>
      <c r="DK100" s="165"/>
      <c r="DL100" s="165"/>
      <c r="DM100" s="165"/>
      <c r="DN100" s="160"/>
      <c r="DO100" s="168"/>
      <c r="DP100" s="168"/>
      <c r="DQ100" s="168"/>
      <c r="DR100" s="163"/>
      <c r="DS100" s="165"/>
      <c r="DT100" s="165"/>
      <c r="DU100" s="165"/>
      <c r="DV100" s="160"/>
      <c r="DW100" s="168"/>
      <c r="DX100" s="168"/>
      <c r="DY100" s="168"/>
      <c r="DZ100" s="163"/>
      <c r="EA100" s="165"/>
      <c r="EB100" s="165"/>
      <c r="EC100" s="165"/>
      <c r="ED100" s="160"/>
      <c r="EE100" s="168"/>
      <c r="EF100" s="168"/>
      <c r="EG100" s="168"/>
      <c r="EH100" s="163"/>
      <c r="EI100" s="165"/>
      <c r="EJ100" s="165"/>
      <c r="EK100" s="165"/>
      <c r="EL100" s="160"/>
      <c r="EM100" s="168"/>
      <c r="EN100" s="168"/>
      <c r="EO100" s="168"/>
      <c r="EP100" s="163"/>
      <c r="EQ100" s="165"/>
      <c r="ER100" s="165"/>
      <c r="ES100" s="165"/>
      <c r="ET100" s="160"/>
      <c r="EU100" s="168"/>
      <c r="EV100" s="168"/>
      <c r="EW100" s="168"/>
      <c r="EX100" s="163"/>
      <c r="EY100" s="165"/>
      <c r="EZ100" s="165"/>
      <c r="FA100" s="165"/>
      <c r="FB100" s="160"/>
      <c r="FC100" s="168"/>
      <c r="FD100" s="168"/>
      <c r="FE100" s="168"/>
      <c r="FF100" s="163"/>
      <c r="FG100" s="165"/>
      <c r="FH100" s="165"/>
      <c r="FI100" s="165"/>
      <c r="FJ100" s="160"/>
      <c r="FK100" s="168"/>
      <c r="FL100" s="168"/>
      <c r="FM100" s="168"/>
      <c r="FN100" s="163"/>
      <c r="FO100" s="165"/>
      <c r="FP100" s="165"/>
      <c r="FQ100" s="165"/>
      <c r="FR100" s="160"/>
      <c r="FS100" s="168"/>
      <c r="FT100" s="168"/>
      <c r="FU100" s="168"/>
      <c r="FV100" s="163"/>
      <c r="FW100" s="165"/>
      <c r="FX100" s="165"/>
      <c r="FY100" s="165"/>
      <c r="FZ100" s="160"/>
      <c r="GA100" s="168"/>
      <c r="GB100" s="168"/>
      <c r="GC100" s="168"/>
      <c r="GD100" s="163"/>
      <c r="GE100" s="165"/>
      <c r="GF100" s="165"/>
      <c r="GG100" s="165"/>
      <c r="GH100" s="160"/>
      <c r="GI100" s="168"/>
      <c r="GJ100" s="168"/>
      <c r="GK100" s="168"/>
      <c r="GL100" s="163"/>
      <c r="GM100" s="165"/>
      <c r="GN100" s="165"/>
      <c r="GO100" s="165"/>
      <c r="GP100" s="160"/>
      <c r="GQ100" s="168"/>
      <c r="GR100" s="168"/>
      <c r="GS100" s="168"/>
    </row>
    <row r="101" spans="2:201" s="146" customFormat="1" ht="137.5" customHeight="1" x14ac:dyDescent="0.35">
      <c r="B101" s="147"/>
      <c r="C101" s="148"/>
      <c r="D101" s="148"/>
      <c r="E101" s="148"/>
      <c r="F101" s="148"/>
      <c r="G101" s="265"/>
      <c r="H101" s="191"/>
      <c r="I101" s="150"/>
      <c r="J101" s="151"/>
      <c r="K101" s="152"/>
      <c r="L101" s="153"/>
      <c r="M101" s="153"/>
      <c r="N101" s="154"/>
      <c r="O101" s="155">
        <f t="shared" ca="1" si="9"/>
        <v>0</v>
      </c>
      <c r="P101" s="155">
        <f t="shared" ca="1" si="7"/>
        <v>0</v>
      </c>
      <c r="Q101" s="156">
        <f t="shared" si="8"/>
        <v>0</v>
      </c>
      <c r="R101" s="157"/>
      <c r="S101" s="158"/>
      <c r="T101" s="158"/>
      <c r="U101" s="159"/>
      <c r="V101" s="160"/>
      <c r="W101" s="161"/>
      <c r="X101" s="162"/>
      <c r="Y101" s="161"/>
      <c r="Z101" s="163"/>
      <c r="AA101" s="164"/>
      <c r="AB101" s="165"/>
      <c r="AC101" s="166"/>
      <c r="AD101" s="160"/>
      <c r="AE101" s="161"/>
      <c r="AF101" s="162"/>
      <c r="AG101" s="161"/>
      <c r="AH101" s="163"/>
      <c r="AI101" s="164"/>
      <c r="AJ101" s="165"/>
      <c r="AK101" s="166"/>
      <c r="AL101" s="167"/>
      <c r="AM101" s="161"/>
      <c r="AN101" s="162"/>
      <c r="AO101" s="161"/>
      <c r="AP101" s="170"/>
      <c r="AQ101" s="164"/>
      <c r="AR101" s="165"/>
      <c r="AS101" s="166"/>
      <c r="AT101" s="160"/>
      <c r="AU101" s="161"/>
      <c r="AV101" s="162"/>
      <c r="AW101" s="168"/>
      <c r="AX101" s="163"/>
      <c r="AY101" s="165"/>
      <c r="AZ101" s="165"/>
      <c r="BA101" s="165"/>
      <c r="BB101" s="160"/>
      <c r="BC101" s="168"/>
      <c r="BD101" s="162"/>
      <c r="BE101" s="168"/>
      <c r="BF101" s="163"/>
      <c r="BG101" s="165"/>
      <c r="BH101" s="165"/>
      <c r="BI101" s="165"/>
      <c r="BJ101" s="160"/>
      <c r="BK101" s="168"/>
      <c r="BL101" s="162"/>
      <c r="BM101" s="168"/>
      <c r="BN101" s="163"/>
      <c r="BO101" s="165"/>
      <c r="BP101" s="165"/>
      <c r="BQ101" s="165"/>
      <c r="BR101" s="160"/>
      <c r="BS101" s="168"/>
      <c r="BT101" s="162"/>
      <c r="BU101" s="168"/>
      <c r="BV101" s="163"/>
      <c r="BW101" s="165"/>
      <c r="BX101" s="165"/>
      <c r="BY101" s="165"/>
      <c r="BZ101" s="160"/>
      <c r="CA101" s="168"/>
      <c r="CB101" s="168"/>
      <c r="CC101" s="168"/>
      <c r="CD101" s="163"/>
      <c r="CE101" s="165"/>
      <c r="CF101" s="165"/>
      <c r="CG101" s="165"/>
      <c r="CH101" s="160"/>
      <c r="CI101" s="168"/>
      <c r="CJ101" s="168"/>
      <c r="CK101" s="168"/>
      <c r="CL101" s="163"/>
      <c r="CM101" s="165"/>
      <c r="CN101" s="165"/>
      <c r="CO101" s="165"/>
      <c r="CP101" s="160"/>
      <c r="CQ101" s="168"/>
      <c r="CR101" s="168"/>
      <c r="CS101" s="168"/>
      <c r="CT101" s="163"/>
      <c r="CU101" s="165"/>
      <c r="CV101" s="165"/>
      <c r="CW101" s="165"/>
      <c r="CX101" s="160"/>
      <c r="CY101" s="168"/>
      <c r="CZ101" s="168"/>
      <c r="DA101" s="168"/>
      <c r="DB101" s="163"/>
      <c r="DC101" s="165"/>
      <c r="DD101" s="165"/>
      <c r="DE101" s="165"/>
      <c r="DF101" s="160"/>
      <c r="DG101" s="168"/>
      <c r="DH101" s="168"/>
      <c r="DI101" s="168"/>
      <c r="DJ101" s="163"/>
      <c r="DK101" s="165"/>
      <c r="DL101" s="165"/>
      <c r="DM101" s="165"/>
      <c r="DN101" s="160"/>
      <c r="DO101" s="168"/>
      <c r="DP101" s="168"/>
      <c r="DQ101" s="168"/>
      <c r="DR101" s="163"/>
      <c r="DS101" s="165"/>
      <c r="DT101" s="165"/>
      <c r="DU101" s="165"/>
      <c r="DV101" s="160"/>
      <c r="DW101" s="168"/>
      <c r="DX101" s="168"/>
      <c r="DY101" s="168"/>
      <c r="DZ101" s="163"/>
      <c r="EA101" s="165"/>
      <c r="EB101" s="165"/>
      <c r="EC101" s="165"/>
      <c r="ED101" s="160"/>
      <c r="EE101" s="168"/>
      <c r="EF101" s="168"/>
      <c r="EG101" s="168"/>
      <c r="EH101" s="163"/>
      <c r="EI101" s="165"/>
      <c r="EJ101" s="165"/>
      <c r="EK101" s="165"/>
      <c r="EL101" s="160"/>
      <c r="EM101" s="168"/>
      <c r="EN101" s="168"/>
      <c r="EO101" s="168"/>
      <c r="EP101" s="163"/>
      <c r="EQ101" s="165"/>
      <c r="ER101" s="165"/>
      <c r="ES101" s="165"/>
      <c r="ET101" s="160"/>
      <c r="EU101" s="168"/>
      <c r="EV101" s="168"/>
      <c r="EW101" s="168"/>
      <c r="EX101" s="163"/>
      <c r="EY101" s="165"/>
      <c r="EZ101" s="165"/>
      <c r="FA101" s="165"/>
      <c r="FB101" s="160"/>
      <c r="FC101" s="168"/>
      <c r="FD101" s="168"/>
      <c r="FE101" s="168"/>
      <c r="FF101" s="163"/>
      <c r="FG101" s="165"/>
      <c r="FH101" s="165"/>
      <c r="FI101" s="165"/>
      <c r="FJ101" s="160"/>
      <c r="FK101" s="168"/>
      <c r="FL101" s="168"/>
      <c r="FM101" s="168"/>
      <c r="FN101" s="163"/>
      <c r="FO101" s="165"/>
      <c r="FP101" s="165"/>
      <c r="FQ101" s="165"/>
      <c r="FR101" s="160"/>
      <c r="FS101" s="168"/>
      <c r="FT101" s="168"/>
      <c r="FU101" s="168"/>
      <c r="FV101" s="163"/>
      <c r="FW101" s="165"/>
      <c r="FX101" s="165"/>
      <c r="FY101" s="165"/>
      <c r="FZ101" s="160"/>
      <c r="GA101" s="168"/>
      <c r="GB101" s="168"/>
      <c r="GC101" s="168"/>
      <c r="GD101" s="163"/>
      <c r="GE101" s="165"/>
      <c r="GF101" s="165"/>
      <c r="GG101" s="165"/>
      <c r="GH101" s="160"/>
      <c r="GI101" s="168"/>
      <c r="GJ101" s="168"/>
      <c r="GK101" s="168"/>
      <c r="GL101" s="163"/>
      <c r="GM101" s="165"/>
      <c r="GN101" s="165"/>
      <c r="GO101" s="165"/>
      <c r="GP101" s="160"/>
      <c r="GQ101" s="168"/>
      <c r="GR101" s="168"/>
      <c r="GS101" s="168"/>
    </row>
    <row r="102" spans="2:201" s="146" customFormat="1" ht="137.5" customHeight="1" x14ac:dyDescent="0.35">
      <c r="B102" s="147"/>
      <c r="C102" s="147"/>
      <c r="D102" s="148"/>
      <c r="E102" s="148"/>
      <c r="F102" s="148"/>
      <c r="G102" s="265"/>
      <c r="H102" s="191"/>
      <c r="I102" s="150"/>
      <c r="J102" s="151"/>
      <c r="K102" s="172"/>
      <c r="L102" s="153"/>
      <c r="M102" s="153"/>
      <c r="N102" s="154"/>
      <c r="O102" s="155">
        <f t="shared" ca="1" si="9"/>
        <v>0</v>
      </c>
      <c r="P102" s="155">
        <f t="shared" ca="1" si="7"/>
        <v>0</v>
      </c>
      <c r="Q102" s="156">
        <f t="shared" si="8"/>
        <v>0</v>
      </c>
      <c r="R102" s="157"/>
      <c r="S102" s="158"/>
      <c r="T102" s="158"/>
      <c r="U102" s="159"/>
      <c r="V102" s="160"/>
      <c r="W102" s="161"/>
      <c r="X102" s="162"/>
      <c r="Y102" s="161"/>
      <c r="Z102" s="163"/>
      <c r="AA102" s="164"/>
      <c r="AB102" s="165"/>
      <c r="AC102" s="166"/>
      <c r="AD102" s="174"/>
      <c r="AE102" s="161"/>
      <c r="AF102" s="162"/>
      <c r="AG102" s="161"/>
      <c r="AH102" s="163"/>
      <c r="AI102" s="164"/>
      <c r="AJ102" s="165"/>
      <c r="AK102" s="166"/>
      <c r="AL102" s="167"/>
      <c r="AM102" s="161"/>
      <c r="AN102" s="162"/>
      <c r="AO102" s="161"/>
      <c r="AP102" s="175"/>
      <c r="AQ102" s="166"/>
      <c r="AR102" s="165"/>
      <c r="AS102" s="166"/>
      <c r="AT102" s="160"/>
      <c r="AU102" s="168"/>
      <c r="AV102" s="162"/>
      <c r="AW102" s="168"/>
      <c r="AX102" s="163"/>
      <c r="AY102" s="165"/>
      <c r="AZ102" s="165"/>
      <c r="BA102" s="165"/>
      <c r="BB102" s="160"/>
      <c r="BC102" s="168"/>
      <c r="BD102" s="162"/>
      <c r="BE102" s="168"/>
      <c r="BF102" s="163"/>
      <c r="BG102" s="165"/>
      <c r="BH102" s="165"/>
      <c r="BI102" s="165"/>
      <c r="BJ102" s="160"/>
      <c r="BK102" s="168"/>
      <c r="BL102" s="162"/>
      <c r="BM102" s="168"/>
      <c r="BN102" s="163"/>
      <c r="BO102" s="165"/>
      <c r="BP102" s="165"/>
      <c r="BQ102" s="165"/>
      <c r="BR102" s="160"/>
      <c r="BS102" s="168"/>
      <c r="BT102" s="162"/>
      <c r="BU102" s="168"/>
      <c r="BV102" s="163"/>
      <c r="BW102" s="165"/>
      <c r="BX102" s="165"/>
      <c r="BY102" s="165"/>
      <c r="BZ102" s="160"/>
      <c r="CA102" s="168"/>
      <c r="CB102" s="168"/>
      <c r="CC102" s="168"/>
      <c r="CD102" s="163"/>
      <c r="CE102" s="165"/>
      <c r="CF102" s="165"/>
      <c r="CG102" s="165"/>
      <c r="CH102" s="160"/>
      <c r="CI102" s="168"/>
      <c r="CJ102" s="168"/>
      <c r="CK102" s="168"/>
      <c r="CL102" s="163"/>
      <c r="CM102" s="165"/>
      <c r="CN102" s="165"/>
      <c r="CO102" s="165"/>
      <c r="CP102" s="160"/>
      <c r="CQ102" s="168"/>
      <c r="CR102" s="168"/>
      <c r="CS102" s="168"/>
      <c r="CT102" s="163"/>
      <c r="CU102" s="165"/>
      <c r="CV102" s="165"/>
      <c r="CW102" s="165"/>
      <c r="CX102" s="160"/>
      <c r="CY102" s="168"/>
      <c r="CZ102" s="168"/>
      <c r="DA102" s="168"/>
      <c r="DB102" s="163"/>
      <c r="DC102" s="165"/>
      <c r="DD102" s="165"/>
      <c r="DE102" s="165"/>
      <c r="DF102" s="160"/>
      <c r="DG102" s="168"/>
      <c r="DH102" s="168"/>
      <c r="DI102" s="168"/>
      <c r="DJ102" s="163"/>
      <c r="DK102" s="165"/>
      <c r="DL102" s="165"/>
      <c r="DM102" s="165"/>
      <c r="DN102" s="160"/>
      <c r="DO102" s="168"/>
      <c r="DP102" s="168"/>
      <c r="DQ102" s="168"/>
      <c r="DR102" s="163"/>
      <c r="DS102" s="165"/>
      <c r="DT102" s="165"/>
      <c r="DU102" s="165"/>
      <c r="DV102" s="160"/>
      <c r="DW102" s="168"/>
      <c r="DX102" s="168"/>
      <c r="DY102" s="168"/>
      <c r="DZ102" s="163"/>
      <c r="EA102" s="165"/>
      <c r="EB102" s="165"/>
      <c r="EC102" s="165"/>
      <c r="ED102" s="160"/>
      <c r="EE102" s="168"/>
      <c r="EF102" s="168"/>
      <c r="EG102" s="168"/>
      <c r="EH102" s="163"/>
      <c r="EI102" s="165"/>
      <c r="EJ102" s="165"/>
      <c r="EK102" s="165"/>
      <c r="EL102" s="160"/>
      <c r="EM102" s="168"/>
      <c r="EN102" s="168"/>
      <c r="EO102" s="168"/>
      <c r="EP102" s="163"/>
      <c r="EQ102" s="165"/>
      <c r="ER102" s="165"/>
      <c r="ES102" s="165"/>
      <c r="ET102" s="160"/>
      <c r="EU102" s="168"/>
      <c r="EV102" s="168"/>
      <c r="EW102" s="168"/>
      <c r="EX102" s="163"/>
      <c r="EY102" s="165"/>
      <c r="EZ102" s="165"/>
      <c r="FA102" s="165"/>
      <c r="FB102" s="160"/>
      <c r="FC102" s="168"/>
      <c r="FD102" s="168"/>
      <c r="FE102" s="168"/>
      <c r="FF102" s="163"/>
      <c r="FG102" s="165"/>
      <c r="FH102" s="165"/>
      <c r="FI102" s="165"/>
      <c r="FJ102" s="160"/>
      <c r="FK102" s="168"/>
      <c r="FL102" s="168"/>
      <c r="FM102" s="168"/>
      <c r="FN102" s="163"/>
      <c r="FO102" s="165"/>
      <c r="FP102" s="165"/>
      <c r="FQ102" s="165"/>
      <c r="FR102" s="160"/>
      <c r="FS102" s="168"/>
      <c r="FT102" s="168"/>
      <c r="FU102" s="168"/>
      <c r="FV102" s="163"/>
      <c r="FW102" s="165"/>
      <c r="FX102" s="165"/>
      <c r="FY102" s="165"/>
      <c r="FZ102" s="160"/>
      <c r="GA102" s="168"/>
      <c r="GB102" s="168"/>
      <c r="GC102" s="168"/>
      <c r="GD102" s="163"/>
      <c r="GE102" s="165"/>
      <c r="GF102" s="165"/>
      <c r="GG102" s="165"/>
      <c r="GH102" s="160"/>
      <c r="GI102" s="168"/>
      <c r="GJ102" s="168"/>
      <c r="GK102" s="168"/>
      <c r="GL102" s="163"/>
      <c r="GM102" s="165"/>
      <c r="GN102" s="165"/>
      <c r="GO102" s="165"/>
      <c r="GP102" s="160"/>
      <c r="GQ102" s="168"/>
      <c r="GR102" s="168"/>
      <c r="GS102" s="168"/>
    </row>
    <row r="103" spans="2:201" s="146" customFormat="1" ht="137.5" customHeight="1" x14ac:dyDescent="0.35">
      <c r="B103" s="147"/>
      <c r="C103" s="148"/>
      <c r="D103" s="148"/>
      <c r="E103" s="148"/>
      <c r="F103" s="148"/>
      <c r="G103" s="171"/>
      <c r="H103" s="148"/>
      <c r="I103" s="150"/>
      <c r="J103" s="151"/>
      <c r="K103" s="172"/>
      <c r="L103" s="153"/>
      <c r="M103" s="153"/>
      <c r="N103" s="154"/>
      <c r="O103" s="155">
        <f t="shared" ca="1" si="9"/>
        <v>0</v>
      </c>
      <c r="P103" s="155">
        <f t="shared" ca="1" si="7"/>
        <v>0</v>
      </c>
      <c r="Q103" s="156">
        <f t="shared" si="8"/>
        <v>0</v>
      </c>
      <c r="R103" s="157"/>
      <c r="S103" s="158"/>
      <c r="T103" s="158"/>
      <c r="U103" s="159"/>
      <c r="V103" s="160"/>
      <c r="W103" s="161"/>
      <c r="X103" s="162"/>
      <c r="Y103" s="161"/>
      <c r="Z103" s="163"/>
      <c r="AA103" s="164"/>
      <c r="AB103" s="165"/>
      <c r="AC103" s="166"/>
      <c r="AD103" s="160"/>
      <c r="AE103" s="161"/>
      <c r="AF103" s="162"/>
      <c r="AG103" s="161"/>
      <c r="AH103" s="163"/>
      <c r="AI103" s="164"/>
      <c r="AJ103" s="165"/>
      <c r="AK103" s="166"/>
      <c r="AL103" s="167"/>
      <c r="AM103" s="161"/>
      <c r="AN103" s="162"/>
      <c r="AO103" s="161"/>
      <c r="AP103" s="170"/>
      <c r="AQ103" s="164"/>
      <c r="AR103" s="165"/>
      <c r="AS103" s="166"/>
      <c r="AT103" s="160"/>
      <c r="AU103" s="161"/>
      <c r="AV103" s="162"/>
      <c r="AW103" s="168"/>
      <c r="AX103" s="163"/>
      <c r="AY103" s="165"/>
      <c r="AZ103" s="165"/>
      <c r="BA103" s="165"/>
      <c r="BB103" s="160"/>
      <c r="BC103" s="168"/>
      <c r="BD103" s="162"/>
      <c r="BE103" s="168"/>
      <c r="BF103" s="163"/>
      <c r="BG103" s="165"/>
      <c r="BH103" s="165"/>
      <c r="BI103" s="165"/>
      <c r="BJ103" s="160"/>
      <c r="BK103" s="168"/>
      <c r="BL103" s="162"/>
      <c r="BM103" s="168"/>
      <c r="BN103" s="163"/>
      <c r="BO103" s="165"/>
      <c r="BP103" s="165"/>
      <c r="BQ103" s="165"/>
      <c r="BR103" s="160"/>
      <c r="BS103" s="168"/>
      <c r="BT103" s="162"/>
      <c r="BU103" s="168"/>
      <c r="BV103" s="163"/>
      <c r="BW103" s="165"/>
      <c r="BX103" s="165"/>
      <c r="BY103" s="165"/>
      <c r="BZ103" s="160"/>
      <c r="CA103" s="168"/>
      <c r="CB103" s="168"/>
      <c r="CC103" s="168"/>
      <c r="CD103" s="163"/>
      <c r="CE103" s="165"/>
      <c r="CF103" s="165"/>
      <c r="CG103" s="165"/>
      <c r="CH103" s="160"/>
      <c r="CI103" s="168"/>
      <c r="CJ103" s="168"/>
      <c r="CK103" s="168"/>
      <c r="CL103" s="163"/>
      <c r="CM103" s="165"/>
      <c r="CN103" s="165"/>
      <c r="CO103" s="165"/>
      <c r="CP103" s="160"/>
      <c r="CQ103" s="168"/>
      <c r="CR103" s="168"/>
      <c r="CS103" s="168"/>
      <c r="CT103" s="163"/>
      <c r="CU103" s="165"/>
      <c r="CV103" s="165"/>
      <c r="CW103" s="165"/>
      <c r="CX103" s="160"/>
      <c r="CY103" s="168"/>
      <c r="CZ103" s="168"/>
      <c r="DA103" s="168"/>
      <c r="DB103" s="163"/>
      <c r="DC103" s="165"/>
      <c r="DD103" s="165"/>
      <c r="DE103" s="165"/>
      <c r="DF103" s="160"/>
      <c r="DG103" s="168"/>
      <c r="DH103" s="168"/>
      <c r="DI103" s="168"/>
      <c r="DJ103" s="163"/>
      <c r="DK103" s="165"/>
      <c r="DL103" s="165"/>
      <c r="DM103" s="165"/>
      <c r="DN103" s="160"/>
      <c r="DO103" s="168"/>
      <c r="DP103" s="168"/>
      <c r="DQ103" s="168"/>
      <c r="DR103" s="163"/>
      <c r="DS103" s="165"/>
      <c r="DT103" s="165"/>
      <c r="DU103" s="165"/>
      <c r="DV103" s="160"/>
      <c r="DW103" s="168"/>
      <c r="DX103" s="168"/>
      <c r="DY103" s="168"/>
      <c r="DZ103" s="163"/>
      <c r="EA103" s="165"/>
      <c r="EB103" s="165"/>
      <c r="EC103" s="165"/>
      <c r="ED103" s="160"/>
      <c r="EE103" s="168"/>
      <c r="EF103" s="168"/>
      <c r="EG103" s="168"/>
      <c r="EH103" s="163"/>
      <c r="EI103" s="165"/>
      <c r="EJ103" s="165"/>
      <c r="EK103" s="165"/>
      <c r="EL103" s="160"/>
      <c r="EM103" s="168"/>
      <c r="EN103" s="168"/>
      <c r="EO103" s="168"/>
      <c r="EP103" s="163"/>
      <c r="EQ103" s="165"/>
      <c r="ER103" s="165"/>
      <c r="ES103" s="165"/>
      <c r="ET103" s="160"/>
      <c r="EU103" s="168"/>
      <c r="EV103" s="168"/>
      <c r="EW103" s="168"/>
      <c r="EX103" s="163"/>
      <c r="EY103" s="165"/>
      <c r="EZ103" s="165"/>
      <c r="FA103" s="165"/>
      <c r="FB103" s="160"/>
      <c r="FC103" s="168"/>
      <c r="FD103" s="168"/>
      <c r="FE103" s="168"/>
      <c r="FF103" s="163"/>
      <c r="FG103" s="165"/>
      <c r="FH103" s="165"/>
      <c r="FI103" s="165"/>
      <c r="FJ103" s="160"/>
      <c r="FK103" s="168"/>
      <c r="FL103" s="168"/>
      <c r="FM103" s="168"/>
      <c r="FN103" s="163"/>
      <c r="FO103" s="165"/>
      <c r="FP103" s="165"/>
      <c r="FQ103" s="165"/>
      <c r="FR103" s="160"/>
      <c r="FS103" s="168"/>
      <c r="FT103" s="168"/>
      <c r="FU103" s="168"/>
      <c r="FV103" s="163"/>
      <c r="FW103" s="165"/>
      <c r="FX103" s="165"/>
      <c r="FY103" s="165"/>
      <c r="FZ103" s="160"/>
      <c r="GA103" s="168"/>
      <c r="GB103" s="168"/>
      <c r="GC103" s="168"/>
      <c r="GD103" s="163"/>
      <c r="GE103" s="165"/>
      <c r="GF103" s="165"/>
      <c r="GG103" s="165"/>
      <c r="GH103" s="160"/>
      <c r="GI103" s="168"/>
      <c r="GJ103" s="168"/>
      <c r="GK103" s="168"/>
      <c r="GL103" s="163"/>
      <c r="GM103" s="165"/>
      <c r="GN103" s="165"/>
      <c r="GO103" s="165"/>
      <c r="GP103" s="160"/>
      <c r="GQ103" s="168"/>
      <c r="GR103" s="168"/>
      <c r="GS103" s="168"/>
    </row>
    <row r="104" spans="2:201" s="146" customFormat="1" ht="137.5" customHeight="1" x14ac:dyDescent="0.35">
      <c r="B104" s="147"/>
      <c r="C104" s="148"/>
      <c r="D104" s="148"/>
      <c r="E104" s="148"/>
      <c r="F104" s="148"/>
      <c r="G104" s="171"/>
      <c r="H104" s="148"/>
      <c r="I104" s="150"/>
      <c r="J104" s="151"/>
      <c r="K104" s="152"/>
      <c r="L104" s="153"/>
      <c r="M104" s="154"/>
      <c r="N104" s="154"/>
      <c r="O104" s="155">
        <f t="shared" ca="1" si="9"/>
        <v>0</v>
      </c>
      <c r="P104" s="155">
        <f t="shared" ca="1" si="7"/>
        <v>0</v>
      </c>
      <c r="Q104" s="156">
        <f t="shared" si="8"/>
        <v>0</v>
      </c>
      <c r="R104" s="157"/>
      <c r="S104" s="158"/>
      <c r="T104" s="158"/>
      <c r="U104" s="159"/>
      <c r="V104" s="160"/>
      <c r="W104" s="161"/>
      <c r="X104" s="162"/>
      <c r="Y104" s="161"/>
      <c r="Z104" s="163"/>
      <c r="AA104" s="164"/>
      <c r="AB104" s="165"/>
      <c r="AC104" s="166"/>
      <c r="AD104" s="160"/>
      <c r="AE104" s="161"/>
      <c r="AF104" s="162"/>
      <c r="AG104" s="161"/>
      <c r="AH104" s="163"/>
      <c r="AI104" s="164"/>
      <c r="AJ104" s="165"/>
      <c r="AK104" s="166"/>
      <c r="AL104" s="167"/>
      <c r="AM104" s="161"/>
      <c r="AN104" s="162"/>
      <c r="AO104" s="161"/>
      <c r="AP104" s="170"/>
      <c r="AQ104" s="164"/>
      <c r="AR104" s="165"/>
      <c r="AS104" s="166"/>
      <c r="AT104" s="160"/>
      <c r="AU104" s="161"/>
      <c r="AV104" s="162"/>
      <c r="AW104" s="168"/>
      <c r="AX104" s="163"/>
      <c r="AY104" s="165"/>
      <c r="AZ104" s="165"/>
      <c r="BA104" s="165"/>
      <c r="BB104" s="160"/>
      <c r="BC104" s="168"/>
      <c r="BD104" s="162"/>
      <c r="BE104" s="168"/>
      <c r="BF104" s="163"/>
      <c r="BG104" s="165"/>
      <c r="BH104" s="165"/>
      <c r="BI104" s="165"/>
      <c r="BJ104" s="160"/>
      <c r="BK104" s="168"/>
      <c r="BL104" s="162"/>
      <c r="BM104" s="168"/>
      <c r="BN104" s="163"/>
      <c r="BO104" s="165"/>
      <c r="BP104" s="165"/>
      <c r="BQ104" s="165"/>
      <c r="BR104" s="160"/>
      <c r="BS104" s="168"/>
      <c r="BT104" s="162"/>
      <c r="BU104" s="168"/>
      <c r="BV104" s="163"/>
      <c r="BW104" s="165"/>
      <c r="BX104" s="165"/>
      <c r="BY104" s="165"/>
      <c r="BZ104" s="160"/>
      <c r="CA104" s="168"/>
      <c r="CB104" s="168"/>
      <c r="CC104" s="168"/>
      <c r="CD104" s="163"/>
      <c r="CE104" s="165"/>
      <c r="CF104" s="165"/>
      <c r="CG104" s="165"/>
      <c r="CH104" s="160"/>
      <c r="CI104" s="168"/>
      <c r="CJ104" s="168"/>
      <c r="CK104" s="168"/>
      <c r="CL104" s="163"/>
      <c r="CM104" s="165"/>
      <c r="CN104" s="165"/>
      <c r="CO104" s="165"/>
      <c r="CP104" s="160"/>
      <c r="CQ104" s="168"/>
      <c r="CR104" s="168"/>
      <c r="CS104" s="168"/>
      <c r="CT104" s="163"/>
      <c r="CU104" s="165"/>
      <c r="CV104" s="165"/>
      <c r="CW104" s="165"/>
      <c r="CX104" s="160"/>
      <c r="CY104" s="168"/>
      <c r="CZ104" s="168"/>
      <c r="DA104" s="168"/>
      <c r="DB104" s="163"/>
      <c r="DC104" s="165"/>
      <c r="DD104" s="165"/>
      <c r="DE104" s="165"/>
      <c r="DF104" s="160"/>
      <c r="DG104" s="168"/>
      <c r="DH104" s="168"/>
      <c r="DI104" s="168"/>
      <c r="DJ104" s="163"/>
      <c r="DK104" s="165"/>
      <c r="DL104" s="165"/>
      <c r="DM104" s="165"/>
      <c r="DN104" s="160"/>
      <c r="DO104" s="168"/>
      <c r="DP104" s="168"/>
      <c r="DQ104" s="168"/>
      <c r="DR104" s="163"/>
      <c r="DS104" s="165"/>
      <c r="DT104" s="165"/>
      <c r="DU104" s="165"/>
      <c r="DV104" s="160"/>
      <c r="DW104" s="168"/>
      <c r="DX104" s="168"/>
      <c r="DY104" s="168"/>
      <c r="DZ104" s="163"/>
      <c r="EA104" s="165"/>
      <c r="EB104" s="165"/>
      <c r="EC104" s="165"/>
      <c r="ED104" s="160"/>
      <c r="EE104" s="168"/>
      <c r="EF104" s="168"/>
      <c r="EG104" s="168"/>
      <c r="EH104" s="163"/>
      <c r="EI104" s="165"/>
      <c r="EJ104" s="165"/>
      <c r="EK104" s="165"/>
      <c r="EL104" s="160"/>
      <c r="EM104" s="168"/>
      <c r="EN104" s="168"/>
      <c r="EO104" s="168"/>
      <c r="EP104" s="163"/>
      <c r="EQ104" s="165"/>
      <c r="ER104" s="165"/>
      <c r="ES104" s="165"/>
      <c r="ET104" s="160"/>
      <c r="EU104" s="168"/>
      <c r="EV104" s="168"/>
      <c r="EW104" s="168"/>
      <c r="EX104" s="163"/>
      <c r="EY104" s="165"/>
      <c r="EZ104" s="165"/>
      <c r="FA104" s="165"/>
      <c r="FB104" s="160"/>
      <c r="FC104" s="168"/>
      <c r="FD104" s="168"/>
      <c r="FE104" s="168"/>
      <c r="FF104" s="163"/>
      <c r="FG104" s="165"/>
      <c r="FH104" s="165"/>
      <c r="FI104" s="165"/>
      <c r="FJ104" s="160"/>
      <c r="FK104" s="168"/>
      <c r="FL104" s="168"/>
      <c r="FM104" s="168"/>
      <c r="FN104" s="163"/>
      <c r="FO104" s="165"/>
      <c r="FP104" s="165"/>
      <c r="FQ104" s="165"/>
      <c r="FR104" s="160"/>
      <c r="FS104" s="168"/>
      <c r="FT104" s="168"/>
      <c r="FU104" s="168"/>
      <c r="FV104" s="163"/>
      <c r="FW104" s="165"/>
      <c r="FX104" s="165"/>
      <c r="FY104" s="165"/>
      <c r="FZ104" s="160"/>
      <c r="GA104" s="168"/>
      <c r="GB104" s="168"/>
      <c r="GC104" s="168"/>
      <c r="GD104" s="163"/>
      <c r="GE104" s="165"/>
      <c r="GF104" s="165"/>
      <c r="GG104" s="165"/>
      <c r="GH104" s="160"/>
      <c r="GI104" s="168"/>
      <c r="GJ104" s="168"/>
      <c r="GK104" s="168"/>
      <c r="GL104" s="163"/>
      <c r="GM104" s="165"/>
      <c r="GN104" s="165"/>
      <c r="GO104" s="165"/>
      <c r="GP104" s="160"/>
      <c r="GQ104" s="168"/>
      <c r="GR104" s="168"/>
      <c r="GS104" s="168"/>
    </row>
    <row r="105" spans="2:201" s="146" customFormat="1" ht="137.5" customHeight="1" x14ac:dyDescent="0.35">
      <c r="B105" s="147"/>
      <c r="C105" s="148"/>
      <c r="D105" s="148"/>
      <c r="E105" s="148"/>
      <c r="F105" s="148"/>
      <c r="G105" s="171"/>
      <c r="H105" s="148"/>
      <c r="I105" s="150"/>
      <c r="J105" s="151"/>
      <c r="K105" s="152"/>
      <c r="L105" s="153"/>
      <c r="M105" s="153"/>
      <c r="N105" s="154"/>
      <c r="O105" s="155">
        <f t="shared" ca="1" si="9"/>
        <v>0</v>
      </c>
      <c r="P105" s="155">
        <f t="shared" ca="1" si="7"/>
        <v>0</v>
      </c>
      <c r="Q105" s="156">
        <f t="shared" si="8"/>
        <v>0</v>
      </c>
      <c r="R105" s="157"/>
      <c r="S105" s="158"/>
      <c r="T105" s="158"/>
      <c r="U105" s="159"/>
      <c r="V105" s="160"/>
      <c r="W105" s="161"/>
      <c r="X105" s="162"/>
      <c r="Y105" s="161"/>
      <c r="Z105" s="163"/>
      <c r="AA105" s="164"/>
      <c r="AB105" s="165"/>
      <c r="AC105" s="159"/>
      <c r="AD105" s="160"/>
      <c r="AE105" s="161"/>
      <c r="AF105" s="162"/>
      <c r="AG105" s="161"/>
      <c r="AH105" s="163"/>
      <c r="AI105" s="164"/>
      <c r="AJ105" s="165"/>
      <c r="AK105" s="166"/>
      <c r="AL105" s="167"/>
      <c r="AM105" s="161"/>
      <c r="AN105" s="162"/>
      <c r="AO105" s="161"/>
      <c r="AP105" s="170"/>
      <c r="AQ105" s="164"/>
      <c r="AR105" s="165"/>
      <c r="AS105" s="166"/>
      <c r="AT105" s="160"/>
      <c r="AU105" s="161"/>
      <c r="AV105" s="162"/>
      <c r="AW105" s="168"/>
      <c r="AX105" s="163"/>
      <c r="AY105" s="165"/>
      <c r="AZ105" s="165"/>
      <c r="BA105" s="165"/>
      <c r="BB105" s="160"/>
      <c r="BC105" s="168"/>
      <c r="BD105" s="162"/>
      <c r="BE105" s="168"/>
      <c r="BF105" s="163"/>
      <c r="BG105" s="165"/>
      <c r="BH105" s="165"/>
      <c r="BI105" s="165"/>
      <c r="BJ105" s="160"/>
      <c r="BK105" s="168"/>
      <c r="BL105" s="162"/>
      <c r="BM105" s="168"/>
      <c r="BN105" s="163"/>
      <c r="BO105" s="165"/>
      <c r="BP105" s="165"/>
      <c r="BQ105" s="165"/>
      <c r="BR105" s="160"/>
      <c r="BS105" s="168"/>
      <c r="BT105" s="162"/>
      <c r="BU105" s="168"/>
      <c r="BV105" s="163"/>
      <c r="BW105" s="165"/>
      <c r="BX105" s="165"/>
      <c r="BY105" s="165"/>
      <c r="BZ105" s="160"/>
      <c r="CA105" s="168"/>
      <c r="CB105" s="168"/>
      <c r="CC105" s="168"/>
      <c r="CD105" s="163"/>
      <c r="CE105" s="165"/>
      <c r="CF105" s="165"/>
      <c r="CG105" s="165"/>
      <c r="CH105" s="160"/>
      <c r="CI105" s="168"/>
      <c r="CJ105" s="168"/>
      <c r="CK105" s="168"/>
      <c r="CL105" s="163"/>
      <c r="CM105" s="165"/>
      <c r="CN105" s="165"/>
      <c r="CO105" s="165"/>
      <c r="CP105" s="160"/>
      <c r="CQ105" s="168"/>
      <c r="CR105" s="168"/>
      <c r="CS105" s="168"/>
      <c r="CT105" s="163"/>
      <c r="CU105" s="165"/>
      <c r="CV105" s="165"/>
      <c r="CW105" s="165"/>
      <c r="CX105" s="160"/>
      <c r="CY105" s="168"/>
      <c r="CZ105" s="168"/>
      <c r="DA105" s="168"/>
      <c r="DB105" s="163"/>
      <c r="DC105" s="165"/>
      <c r="DD105" s="165"/>
      <c r="DE105" s="165"/>
      <c r="DF105" s="160"/>
      <c r="DG105" s="168"/>
      <c r="DH105" s="168"/>
      <c r="DI105" s="168"/>
      <c r="DJ105" s="163"/>
      <c r="DK105" s="165"/>
      <c r="DL105" s="165"/>
      <c r="DM105" s="165"/>
      <c r="DN105" s="160"/>
      <c r="DO105" s="168"/>
      <c r="DP105" s="168"/>
      <c r="DQ105" s="168"/>
      <c r="DR105" s="163"/>
      <c r="DS105" s="165"/>
      <c r="DT105" s="165"/>
      <c r="DU105" s="165"/>
      <c r="DV105" s="160"/>
      <c r="DW105" s="168"/>
      <c r="DX105" s="168"/>
      <c r="DY105" s="168"/>
      <c r="DZ105" s="163"/>
      <c r="EA105" s="165"/>
      <c r="EB105" s="165"/>
      <c r="EC105" s="165"/>
      <c r="ED105" s="160"/>
      <c r="EE105" s="168"/>
      <c r="EF105" s="168"/>
      <c r="EG105" s="168"/>
      <c r="EH105" s="163"/>
      <c r="EI105" s="165"/>
      <c r="EJ105" s="165"/>
      <c r="EK105" s="165"/>
      <c r="EL105" s="160"/>
      <c r="EM105" s="168"/>
      <c r="EN105" s="168"/>
      <c r="EO105" s="168"/>
      <c r="EP105" s="163"/>
      <c r="EQ105" s="165"/>
      <c r="ER105" s="165"/>
      <c r="ES105" s="165"/>
      <c r="ET105" s="160"/>
      <c r="EU105" s="168"/>
      <c r="EV105" s="168"/>
      <c r="EW105" s="168"/>
      <c r="EX105" s="163"/>
      <c r="EY105" s="165"/>
      <c r="EZ105" s="165"/>
      <c r="FA105" s="165"/>
      <c r="FB105" s="160"/>
      <c r="FC105" s="168"/>
      <c r="FD105" s="168"/>
      <c r="FE105" s="168"/>
      <c r="FF105" s="163"/>
      <c r="FG105" s="165"/>
      <c r="FH105" s="165"/>
      <c r="FI105" s="165"/>
      <c r="FJ105" s="160"/>
      <c r="FK105" s="168"/>
      <c r="FL105" s="168"/>
      <c r="FM105" s="168"/>
      <c r="FN105" s="163"/>
      <c r="FO105" s="165"/>
      <c r="FP105" s="165"/>
      <c r="FQ105" s="165"/>
      <c r="FR105" s="160"/>
      <c r="FS105" s="168"/>
      <c r="FT105" s="168"/>
      <c r="FU105" s="168"/>
      <c r="FV105" s="163"/>
      <c r="FW105" s="165"/>
      <c r="FX105" s="165"/>
      <c r="FY105" s="165"/>
      <c r="FZ105" s="160"/>
      <c r="GA105" s="168"/>
      <c r="GB105" s="168"/>
      <c r="GC105" s="168"/>
      <c r="GD105" s="163"/>
      <c r="GE105" s="165"/>
      <c r="GF105" s="165"/>
      <c r="GG105" s="165"/>
      <c r="GH105" s="160"/>
      <c r="GI105" s="168"/>
      <c r="GJ105" s="168"/>
      <c r="GK105" s="168"/>
      <c r="GL105" s="163"/>
      <c r="GM105" s="165"/>
      <c r="GN105" s="165"/>
      <c r="GO105" s="165"/>
      <c r="GP105" s="160"/>
      <c r="GQ105" s="168"/>
      <c r="GR105" s="168"/>
      <c r="GS105" s="168"/>
    </row>
    <row r="106" spans="2:201" s="146" customFormat="1" ht="137.5" customHeight="1" x14ac:dyDescent="0.35">
      <c r="B106" s="147"/>
      <c r="C106" s="148"/>
      <c r="D106" s="148"/>
      <c r="E106" s="148"/>
      <c r="F106" s="148"/>
      <c r="G106" s="171"/>
      <c r="H106" s="148"/>
      <c r="I106" s="150"/>
      <c r="J106" s="151"/>
      <c r="K106" s="152"/>
      <c r="L106" s="153"/>
      <c r="M106" s="153"/>
      <c r="N106" s="154"/>
      <c r="O106" s="155">
        <f t="shared" ca="1" si="9"/>
        <v>0</v>
      </c>
      <c r="P106" s="155">
        <f t="shared" ca="1" si="7"/>
        <v>0</v>
      </c>
      <c r="Q106" s="156">
        <f t="shared" si="8"/>
        <v>0</v>
      </c>
      <c r="R106" s="157"/>
      <c r="S106" s="158"/>
      <c r="T106" s="158"/>
      <c r="U106" s="159"/>
      <c r="V106" s="160"/>
      <c r="W106" s="161"/>
      <c r="X106" s="162"/>
      <c r="Y106" s="161"/>
      <c r="Z106" s="163"/>
      <c r="AA106" s="164"/>
      <c r="AB106" s="165"/>
      <c r="AC106" s="159"/>
      <c r="AD106" s="160"/>
      <c r="AE106" s="161"/>
      <c r="AF106" s="162"/>
      <c r="AG106" s="161"/>
      <c r="AH106" s="163"/>
      <c r="AI106" s="164"/>
      <c r="AJ106" s="165"/>
      <c r="AK106" s="166"/>
      <c r="AL106" s="167"/>
      <c r="AM106" s="161"/>
      <c r="AN106" s="162"/>
      <c r="AO106" s="161"/>
      <c r="AP106" s="170"/>
      <c r="AQ106" s="164"/>
      <c r="AR106" s="165"/>
      <c r="AS106" s="166"/>
      <c r="AT106" s="160"/>
      <c r="AU106" s="161"/>
      <c r="AV106" s="162"/>
      <c r="AW106" s="168"/>
      <c r="AX106" s="163"/>
      <c r="AY106" s="165"/>
      <c r="AZ106" s="165"/>
      <c r="BA106" s="165"/>
      <c r="BB106" s="160"/>
      <c r="BC106" s="168"/>
      <c r="BD106" s="162"/>
      <c r="BE106" s="168"/>
      <c r="BF106" s="163"/>
      <c r="BG106" s="165"/>
      <c r="BH106" s="165"/>
      <c r="BI106" s="165"/>
      <c r="BJ106" s="160"/>
      <c r="BK106" s="168"/>
      <c r="BL106" s="162"/>
      <c r="BM106" s="168"/>
      <c r="BN106" s="163"/>
      <c r="BO106" s="165"/>
      <c r="BP106" s="165"/>
      <c r="BQ106" s="165"/>
      <c r="BR106" s="160"/>
      <c r="BS106" s="168"/>
      <c r="BT106" s="162"/>
      <c r="BU106" s="168"/>
      <c r="BV106" s="163"/>
      <c r="BW106" s="165"/>
      <c r="BX106" s="165"/>
      <c r="BY106" s="165"/>
      <c r="BZ106" s="160"/>
      <c r="CA106" s="168"/>
      <c r="CB106" s="168"/>
      <c r="CC106" s="168"/>
      <c r="CD106" s="163"/>
      <c r="CE106" s="165"/>
      <c r="CF106" s="165"/>
      <c r="CG106" s="165"/>
      <c r="CH106" s="160"/>
      <c r="CI106" s="168"/>
      <c r="CJ106" s="168"/>
      <c r="CK106" s="168"/>
      <c r="CL106" s="163"/>
      <c r="CM106" s="165"/>
      <c r="CN106" s="165"/>
      <c r="CO106" s="165"/>
      <c r="CP106" s="160"/>
      <c r="CQ106" s="168"/>
      <c r="CR106" s="168"/>
      <c r="CS106" s="168"/>
      <c r="CT106" s="163"/>
      <c r="CU106" s="165"/>
      <c r="CV106" s="165"/>
      <c r="CW106" s="165"/>
      <c r="CX106" s="160"/>
      <c r="CY106" s="168"/>
      <c r="CZ106" s="168"/>
      <c r="DA106" s="168"/>
      <c r="DB106" s="163"/>
      <c r="DC106" s="165"/>
      <c r="DD106" s="165"/>
      <c r="DE106" s="165"/>
      <c r="DF106" s="160"/>
      <c r="DG106" s="168"/>
      <c r="DH106" s="168"/>
      <c r="DI106" s="168"/>
      <c r="DJ106" s="163"/>
      <c r="DK106" s="165"/>
      <c r="DL106" s="165"/>
      <c r="DM106" s="165"/>
      <c r="DN106" s="160"/>
      <c r="DO106" s="168"/>
      <c r="DP106" s="168"/>
      <c r="DQ106" s="168"/>
      <c r="DR106" s="163"/>
      <c r="DS106" s="165"/>
      <c r="DT106" s="165"/>
      <c r="DU106" s="165"/>
      <c r="DV106" s="160"/>
      <c r="DW106" s="168"/>
      <c r="DX106" s="168"/>
      <c r="DY106" s="168"/>
      <c r="DZ106" s="163"/>
      <c r="EA106" s="165"/>
      <c r="EB106" s="165"/>
      <c r="EC106" s="165"/>
      <c r="ED106" s="160"/>
      <c r="EE106" s="168"/>
      <c r="EF106" s="168"/>
      <c r="EG106" s="168"/>
      <c r="EH106" s="163"/>
      <c r="EI106" s="165"/>
      <c r="EJ106" s="165"/>
      <c r="EK106" s="165"/>
      <c r="EL106" s="160"/>
      <c r="EM106" s="168"/>
      <c r="EN106" s="168"/>
      <c r="EO106" s="168"/>
      <c r="EP106" s="163"/>
      <c r="EQ106" s="165"/>
      <c r="ER106" s="165"/>
      <c r="ES106" s="165"/>
      <c r="ET106" s="160"/>
      <c r="EU106" s="168"/>
      <c r="EV106" s="168"/>
      <c r="EW106" s="168"/>
      <c r="EX106" s="163"/>
      <c r="EY106" s="165"/>
      <c r="EZ106" s="165"/>
      <c r="FA106" s="165"/>
      <c r="FB106" s="160"/>
      <c r="FC106" s="168"/>
      <c r="FD106" s="168"/>
      <c r="FE106" s="168"/>
      <c r="FF106" s="163"/>
      <c r="FG106" s="165"/>
      <c r="FH106" s="165"/>
      <c r="FI106" s="165"/>
      <c r="FJ106" s="160"/>
      <c r="FK106" s="168"/>
      <c r="FL106" s="168"/>
      <c r="FM106" s="168"/>
      <c r="FN106" s="163"/>
      <c r="FO106" s="165"/>
      <c r="FP106" s="165"/>
      <c r="FQ106" s="165"/>
      <c r="FR106" s="160"/>
      <c r="FS106" s="168"/>
      <c r="FT106" s="168"/>
      <c r="FU106" s="168"/>
      <c r="FV106" s="163"/>
      <c r="FW106" s="165"/>
      <c r="FX106" s="165"/>
      <c r="FY106" s="165"/>
      <c r="FZ106" s="160"/>
      <c r="GA106" s="168"/>
      <c r="GB106" s="168"/>
      <c r="GC106" s="168"/>
      <c r="GD106" s="163"/>
      <c r="GE106" s="165"/>
      <c r="GF106" s="165"/>
      <c r="GG106" s="165"/>
      <c r="GH106" s="160"/>
      <c r="GI106" s="168"/>
      <c r="GJ106" s="168"/>
      <c r="GK106" s="168"/>
      <c r="GL106" s="163"/>
      <c r="GM106" s="165"/>
      <c r="GN106" s="165"/>
      <c r="GO106" s="165"/>
      <c r="GP106" s="160"/>
      <c r="GQ106" s="168"/>
      <c r="GR106" s="168"/>
      <c r="GS106" s="168"/>
    </row>
    <row r="107" spans="2:201" s="146" customFormat="1" ht="137.5" customHeight="1" x14ac:dyDescent="0.35">
      <c r="B107" s="147"/>
      <c r="C107" s="148"/>
      <c r="D107" s="148"/>
      <c r="E107" s="148"/>
      <c r="F107" s="148"/>
      <c r="G107" s="171"/>
      <c r="H107" s="148"/>
      <c r="I107" s="150"/>
      <c r="J107" s="151"/>
      <c r="K107" s="152"/>
      <c r="L107" s="153"/>
      <c r="M107" s="153"/>
      <c r="N107" s="154"/>
      <c r="O107" s="155">
        <f t="shared" ca="1" si="9"/>
        <v>0</v>
      </c>
      <c r="P107" s="155">
        <f t="shared" ca="1" si="7"/>
        <v>0</v>
      </c>
      <c r="Q107" s="156">
        <f t="shared" si="8"/>
        <v>0</v>
      </c>
      <c r="R107" s="157"/>
      <c r="S107" s="158"/>
      <c r="T107" s="158"/>
      <c r="U107" s="159"/>
      <c r="V107" s="160"/>
      <c r="W107" s="161"/>
      <c r="X107" s="162"/>
      <c r="Y107" s="161"/>
      <c r="Z107" s="163"/>
      <c r="AA107" s="164"/>
      <c r="AB107" s="165"/>
      <c r="AC107" s="159"/>
      <c r="AD107" s="160"/>
      <c r="AE107" s="161"/>
      <c r="AF107" s="162"/>
      <c r="AG107" s="161"/>
      <c r="AH107" s="163"/>
      <c r="AI107" s="164"/>
      <c r="AJ107" s="165"/>
      <c r="AK107" s="166"/>
      <c r="AL107" s="167"/>
      <c r="AM107" s="161"/>
      <c r="AN107" s="162"/>
      <c r="AO107" s="161"/>
      <c r="AP107" s="170"/>
      <c r="AQ107" s="164"/>
      <c r="AR107" s="165"/>
      <c r="AS107" s="166"/>
      <c r="AT107" s="160"/>
      <c r="AU107" s="161"/>
      <c r="AV107" s="162"/>
      <c r="AW107" s="168"/>
      <c r="AX107" s="163"/>
      <c r="AY107" s="165"/>
      <c r="AZ107" s="165"/>
      <c r="BA107" s="165"/>
      <c r="BB107" s="160"/>
      <c r="BC107" s="168"/>
      <c r="BD107" s="162"/>
      <c r="BE107" s="168"/>
      <c r="BF107" s="163"/>
      <c r="BG107" s="165"/>
      <c r="BH107" s="165"/>
      <c r="BI107" s="165"/>
      <c r="BJ107" s="160"/>
      <c r="BK107" s="168"/>
      <c r="BL107" s="162"/>
      <c r="BM107" s="168"/>
      <c r="BN107" s="163"/>
      <c r="BO107" s="165"/>
      <c r="BP107" s="165"/>
      <c r="BQ107" s="165"/>
      <c r="BR107" s="160"/>
      <c r="BS107" s="168"/>
      <c r="BT107" s="162"/>
      <c r="BU107" s="168"/>
      <c r="BV107" s="163"/>
      <c r="BW107" s="165"/>
      <c r="BX107" s="165"/>
      <c r="BY107" s="165"/>
      <c r="BZ107" s="160"/>
      <c r="CA107" s="168"/>
      <c r="CB107" s="168"/>
      <c r="CC107" s="168"/>
      <c r="CD107" s="163"/>
      <c r="CE107" s="165"/>
      <c r="CF107" s="165"/>
      <c r="CG107" s="165"/>
      <c r="CH107" s="160"/>
      <c r="CI107" s="168"/>
      <c r="CJ107" s="168"/>
      <c r="CK107" s="168"/>
      <c r="CL107" s="163"/>
      <c r="CM107" s="165"/>
      <c r="CN107" s="165"/>
      <c r="CO107" s="165"/>
      <c r="CP107" s="160"/>
      <c r="CQ107" s="168"/>
      <c r="CR107" s="168"/>
      <c r="CS107" s="168"/>
      <c r="CT107" s="163"/>
      <c r="CU107" s="165"/>
      <c r="CV107" s="165"/>
      <c r="CW107" s="165"/>
      <c r="CX107" s="160"/>
      <c r="CY107" s="168"/>
      <c r="CZ107" s="168"/>
      <c r="DA107" s="168"/>
      <c r="DB107" s="163"/>
      <c r="DC107" s="165"/>
      <c r="DD107" s="165"/>
      <c r="DE107" s="165"/>
      <c r="DF107" s="160"/>
      <c r="DG107" s="168"/>
      <c r="DH107" s="168"/>
      <c r="DI107" s="168"/>
      <c r="DJ107" s="163"/>
      <c r="DK107" s="165"/>
      <c r="DL107" s="165"/>
      <c r="DM107" s="165"/>
      <c r="DN107" s="160"/>
      <c r="DO107" s="168"/>
      <c r="DP107" s="168"/>
      <c r="DQ107" s="168"/>
      <c r="DR107" s="163"/>
      <c r="DS107" s="165"/>
      <c r="DT107" s="165"/>
      <c r="DU107" s="165"/>
      <c r="DV107" s="160"/>
      <c r="DW107" s="168"/>
      <c r="DX107" s="168"/>
      <c r="DY107" s="168"/>
      <c r="DZ107" s="163"/>
      <c r="EA107" s="165"/>
      <c r="EB107" s="165"/>
      <c r="EC107" s="165"/>
      <c r="ED107" s="160"/>
      <c r="EE107" s="168"/>
      <c r="EF107" s="168"/>
      <c r="EG107" s="168"/>
      <c r="EH107" s="163"/>
      <c r="EI107" s="165"/>
      <c r="EJ107" s="165"/>
      <c r="EK107" s="165"/>
      <c r="EL107" s="160"/>
      <c r="EM107" s="168"/>
      <c r="EN107" s="168"/>
      <c r="EO107" s="168"/>
      <c r="EP107" s="163"/>
      <c r="EQ107" s="165"/>
      <c r="ER107" s="165"/>
      <c r="ES107" s="165"/>
      <c r="ET107" s="160"/>
      <c r="EU107" s="168"/>
      <c r="EV107" s="168"/>
      <c r="EW107" s="168"/>
      <c r="EX107" s="163"/>
      <c r="EY107" s="165"/>
      <c r="EZ107" s="165"/>
      <c r="FA107" s="165"/>
      <c r="FB107" s="160"/>
      <c r="FC107" s="168"/>
      <c r="FD107" s="168"/>
      <c r="FE107" s="168"/>
      <c r="FF107" s="163"/>
      <c r="FG107" s="165"/>
      <c r="FH107" s="165"/>
      <c r="FI107" s="165"/>
      <c r="FJ107" s="160"/>
      <c r="FK107" s="168"/>
      <c r="FL107" s="168"/>
      <c r="FM107" s="168"/>
      <c r="FN107" s="163"/>
      <c r="FO107" s="165"/>
      <c r="FP107" s="165"/>
      <c r="FQ107" s="165"/>
      <c r="FR107" s="160"/>
      <c r="FS107" s="168"/>
      <c r="FT107" s="168"/>
      <c r="FU107" s="168"/>
      <c r="FV107" s="163"/>
      <c r="FW107" s="165"/>
      <c r="FX107" s="165"/>
      <c r="FY107" s="165"/>
      <c r="FZ107" s="160"/>
      <c r="GA107" s="168"/>
      <c r="GB107" s="168"/>
      <c r="GC107" s="168"/>
      <c r="GD107" s="163"/>
      <c r="GE107" s="165"/>
      <c r="GF107" s="165"/>
      <c r="GG107" s="165"/>
      <c r="GH107" s="160"/>
      <c r="GI107" s="168"/>
      <c r="GJ107" s="168"/>
      <c r="GK107" s="168"/>
      <c r="GL107" s="163"/>
      <c r="GM107" s="165"/>
      <c r="GN107" s="165"/>
      <c r="GO107" s="165"/>
      <c r="GP107" s="160"/>
      <c r="GQ107" s="168"/>
      <c r="GR107" s="168"/>
      <c r="GS107" s="168"/>
    </row>
    <row r="108" spans="2:201" s="146" customFormat="1" ht="137.5" customHeight="1" x14ac:dyDescent="0.35">
      <c r="B108" s="147"/>
      <c r="C108" s="148"/>
      <c r="D108" s="148"/>
      <c r="E108" s="148"/>
      <c r="F108" s="148"/>
      <c r="G108" s="171"/>
      <c r="H108" s="176"/>
      <c r="I108" s="150"/>
      <c r="J108" s="151"/>
      <c r="K108" s="152"/>
      <c r="L108" s="153"/>
      <c r="M108" s="153"/>
      <c r="N108" s="154"/>
      <c r="O108" s="155">
        <f t="shared" ca="1" si="9"/>
        <v>0</v>
      </c>
      <c r="P108" s="155">
        <f t="shared" ca="1" si="7"/>
        <v>0</v>
      </c>
      <c r="Q108" s="156">
        <f t="shared" si="8"/>
        <v>0</v>
      </c>
      <c r="R108" s="157"/>
      <c r="S108" s="158"/>
      <c r="T108" s="158"/>
      <c r="U108" s="159"/>
      <c r="V108" s="160"/>
      <c r="W108" s="161"/>
      <c r="X108" s="162"/>
      <c r="Y108" s="161"/>
      <c r="Z108" s="163"/>
      <c r="AA108" s="164"/>
      <c r="AB108" s="165"/>
      <c r="AC108" s="166"/>
      <c r="AD108" s="160"/>
      <c r="AE108" s="161"/>
      <c r="AF108" s="162"/>
      <c r="AG108" s="161"/>
      <c r="AH108" s="163"/>
      <c r="AI108" s="164"/>
      <c r="AJ108" s="165"/>
      <c r="AK108" s="166"/>
      <c r="AL108" s="167"/>
      <c r="AM108" s="161"/>
      <c r="AN108" s="162"/>
      <c r="AO108" s="161"/>
      <c r="AP108" s="170"/>
      <c r="AQ108" s="164"/>
      <c r="AR108" s="165"/>
      <c r="AS108" s="166"/>
      <c r="AT108" s="160"/>
      <c r="AU108" s="161"/>
      <c r="AV108" s="162"/>
      <c r="AW108" s="168"/>
      <c r="AX108" s="163"/>
      <c r="AY108" s="165"/>
      <c r="AZ108" s="165"/>
      <c r="BA108" s="165"/>
      <c r="BB108" s="160"/>
      <c r="BC108" s="168"/>
      <c r="BD108" s="162"/>
      <c r="BE108" s="168"/>
      <c r="BF108" s="163"/>
      <c r="BG108" s="165"/>
      <c r="BH108" s="165"/>
      <c r="BI108" s="165"/>
      <c r="BJ108" s="160"/>
      <c r="BK108" s="168"/>
      <c r="BL108" s="162"/>
      <c r="BM108" s="168"/>
      <c r="BN108" s="163"/>
      <c r="BO108" s="165"/>
      <c r="BP108" s="165"/>
      <c r="BQ108" s="165"/>
      <c r="BR108" s="160"/>
      <c r="BS108" s="168"/>
      <c r="BT108" s="162"/>
      <c r="BU108" s="168"/>
      <c r="BV108" s="163"/>
      <c r="BW108" s="165"/>
      <c r="BX108" s="165"/>
      <c r="BY108" s="165"/>
      <c r="BZ108" s="160"/>
      <c r="CA108" s="168"/>
      <c r="CB108" s="168"/>
      <c r="CC108" s="168"/>
      <c r="CD108" s="163"/>
      <c r="CE108" s="165"/>
      <c r="CF108" s="165"/>
      <c r="CG108" s="165"/>
      <c r="CH108" s="160"/>
      <c r="CI108" s="168"/>
      <c r="CJ108" s="168"/>
      <c r="CK108" s="168"/>
      <c r="CL108" s="163"/>
      <c r="CM108" s="165"/>
      <c r="CN108" s="165"/>
      <c r="CO108" s="165"/>
      <c r="CP108" s="160"/>
      <c r="CQ108" s="168"/>
      <c r="CR108" s="168"/>
      <c r="CS108" s="168"/>
      <c r="CT108" s="163"/>
      <c r="CU108" s="165"/>
      <c r="CV108" s="165"/>
      <c r="CW108" s="165"/>
      <c r="CX108" s="160"/>
      <c r="CY108" s="168"/>
      <c r="CZ108" s="168"/>
      <c r="DA108" s="168"/>
      <c r="DB108" s="163"/>
      <c r="DC108" s="165"/>
      <c r="DD108" s="165"/>
      <c r="DE108" s="165"/>
      <c r="DF108" s="160"/>
      <c r="DG108" s="168"/>
      <c r="DH108" s="168"/>
      <c r="DI108" s="168"/>
      <c r="DJ108" s="163"/>
      <c r="DK108" s="165"/>
      <c r="DL108" s="165"/>
      <c r="DM108" s="165"/>
      <c r="DN108" s="160"/>
      <c r="DO108" s="168"/>
      <c r="DP108" s="168"/>
      <c r="DQ108" s="168"/>
      <c r="DR108" s="163"/>
      <c r="DS108" s="165"/>
      <c r="DT108" s="165"/>
      <c r="DU108" s="165"/>
      <c r="DV108" s="160"/>
      <c r="DW108" s="168"/>
      <c r="DX108" s="168"/>
      <c r="DY108" s="168"/>
      <c r="DZ108" s="163"/>
      <c r="EA108" s="165"/>
      <c r="EB108" s="165"/>
      <c r="EC108" s="165"/>
      <c r="ED108" s="160"/>
      <c r="EE108" s="168"/>
      <c r="EF108" s="168"/>
      <c r="EG108" s="168"/>
      <c r="EH108" s="163"/>
      <c r="EI108" s="165"/>
      <c r="EJ108" s="165"/>
      <c r="EK108" s="165"/>
      <c r="EL108" s="160"/>
      <c r="EM108" s="168"/>
      <c r="EN108" s="168"/>
      <c r="EO108" s="168"/>
      <c r="EP108" s="163"/>
      <c r="EQ108" s="165"/>
      <c r="ER108" s="165"/>
      <c r="ES108" s="165"/>
      <c r="ET108" s="160"/>
      <c r="EU108" s="168"/>
      <c r="EV108" s="168"/>
      <c r="EW108" s="168"/>
      <c r="EX108" s="163"/>
      <c r="EY108" s="165"/>
      <c r="EZ108" s="165"/>
      <c r="FA108" s="165"/>
      <c r="FB108" s="160"/>
      <c r="FC108" s="168"/>
      <c r="FD108" s="168"/>
      <c r="FE108" s="168"/>
      <c r="FF108" s="163"/>
      <c r="FG108" s="165"/>
      <c r="FH108" s="165"/>
      <c r="FI108" s="165"/>
      <c r="FJ108" s="160"/>
      <c r="FK108" s="168"/>
      <c r="FL108" s="168"/>
      <c r="FM108" s="168"/>
      <c r="FN108" s="163"/>
      <c r="FO108" s="165"/>
      <c r="FP108" s="165"/>
      <c r="FQ108" s="165"/>
      <c r="FR108" s="160"/>
      <c r="FS108" s="168"/>
      <c r="FT108" s="168"/>
      <c r="FU108" s="168"/>
      <c r="FV108" s="163"/>
      <c r="FW108" s="165"/>
      <c r="FX108" s="165"/>
      <c r="FY108" s="165"/>
      <c r="FZ108" s="160"/>
      <c r="GA108" s="168"/>
      <c r="GB108" s="168"/>
      <c r="GC108" s="168"/>
      <c r="GD108" s="163"/>
      <c r="GE108" s="165"/>
      <c r="GF108" s="165"/>
      <c r="GG108" s="165"/>
      <c r="GH108" s="160"/>
      <c r="GI108" s="168"/>
      <c r="GJ108" s="168"/>
      <c r="GK108" s="168"/>
      <c r="GL108" s="163"/>
      <c r="GM108" s="165"/>
      <c r="GN108" s="165"/>
      <c r="GO108" s="165"/>
      <c r="GP108" s="160"/>
      <c r="GQ108" s="168"/>
      <c r="GR108" s="168"/>
      <c r="GS108" s="168"/>
    </row>
    <row r="109" spans="2:201" s="146" customFormat="1" ht="137.5" customHeight="1" x14ac:dyDescent="0.35">
      <c r="B109" s="147"/>
      <c r="C109" s="148"/>
      <c r="D109" s="148"/>
      <c r="E109" s="148"/>
      <c r="F109" s="148"/>
      <c r="G109" s="171"/>
      <c r="H109" s="176"/>
      <c r="I109" s="150"/>
      <c r="J109" s="151"/>
      <c r="K109" s="152"/>
      <c r="L109" s="153"/>
      <c r="M109" s="153"/>
      <c r="N109" s="154"/>
      <c r="O109" s="155">
        <f t="shared" ca="1" si="9"/>
        <v>0</v>
      </c>
      <c r="P109" s="155">
        <f t="shared" ca="1" si="7"/>
        <v>0</v>
      </c>
      <c r="Q109" s="156">
        <f t="shared" si="8"/>
        <v>0</v>
      </c>
      <c r="R109" s="157"/>
      <c r="S109" s="158"/>
      <c r="T109" s="158"/>
      <c r="U109" s="159"/>
      <c r="V109" s="160"/>
      <c r="W109" s="161"/>
      <c r="X109" s="162"/>
      <c r="Y109" s="161"/>
      <c r="Z109" s="163"/>
      <c r="AA109" s="164"/>
      <c r="AB109" s="165"/>
      <c r="AC109" s="166"/>
      <c r="AD109" s="160"/>
      <c r="AE109" s="161"/>
      <c r="AF109" s="162"/>
      <c r="AG109" s="161"/>
      <c r="AH109" s="163"/>
      <c r="AI109" s="164"/>
      <c r="AJ109" s="165"/>
      <c r="AK109" s="166"/>
      <c r="AL109" s="167"/>
      <c r="AM109" s="161"/>
      <c r="AN109" s="162"/>
      <c r="AO109" s="161"/>
      <c r="AP109" s="170"/>
      <c r="AQ109" s="164"/>
      <c r="AR109" s="165"/>
      <c r="AS109" s="166"/>
      <c r="AT109" s="160"/>
      <c r="AU109" s="161"/>
      <c r="AV109" s="162"/>
      <c r="AW109" s="168"/>
      <c r="AX109" s="163"/>
      <c r="AY109" s="165"/>
      <c r="AZ109" s="165"/>
      <c r="BA109" s="165"/>
      <c r="BB109" s="160"/>
      <c r="BC109" s="168"/>
      <c r="BD109" s="162"/>
      <c r="BE109" s="168"/>
      <c r="BF109" s="163"/>
      <c r="BG109" s="165"/>
      <c r="BH109" s="165"/>
      <c r="BI109" s="165"/>
      <c r="BJ109" s="160"/>
      <c r="BK109" s="168"/>
      <c r="BL109" s="162"/>
      <c r="BM109" s="168"/>
      <c r="BN109" s="163"/>
      <c r="BO109" s="165"/>
      <c r="BP109" s="165"/>
      <c r="BQ109" s="165"/>
      <c r="BR109" s="160"/>
      <c r="BS109" s="168"/>
      <c r="BT109" s="162"/>
      <c r="BU109" s="168"/>
      <c r="BV109" s="163"/>
      <c r="BW109" s="165"/>
      <c r="BX109" s="165"/>
      <c r="BY109" s="165"/>
      <c r="BZ109" s="160"/>
      <c r="CA109" s="168"/>
      <c r="CB109" s="168"/>
      <c r="CC109" s="168"/>
      <c r="CD109" s="163"/>
      <c r="CE109" s="165"/>
      <c r="CF109" s="165"/>
      <c r="CG109" s="165"/>
      <c r="CH109" s="160"/>
      <c r="CI109" s="168"/>
      <c r="CJ109" s="168"/>
      <c r="CK109" s="168"/>
      <c r="CL109" s="163"/>
      <c r="CM109" s="165"/>
      <c r="CN109" s="165"/>
      <c r="CO109" s="165"/>
      <c r="CP109" s="160"/>
      <c r="CQ109" s="168"/>
      <c r="CR109" s="168"/>
      <c r="CS109" s="168"/>
      <c r="CT109" s="163"/>
      <c r="CU109" s="165"/>
      <c r="CV109" s="165"/>
      <c r="CW109" s="165"/>
      <c r="CX109" s="160"/>
      <c r="CY109" s="168"/>
      <c r="CZ109" s="168"/>
      <c r="DA109" s="168"/>
      <c r="DB109" s="163"/>
      <c r="DC109" s="165"/>
      <c r="DD109" s="165"/>
      <c r="DE109" s="165"/>
      <c r="DF109" s="160"/>
      <c r="DG109" s="168"/>
      <c r="DH109" s="168"/>
      <c r="DI109" s="168"/>
      <c r="DJ109" s="163"/>
      <c r="DK109" s="165"/>
      <c r="DL109" s="165"/>
      <c r="DM109" s="165"/>
      <c r="DN109" s="160"/>
      <c r="DO109" s="168"/>
      <c r="DP109" s="168"/>
      <c r="DQ109" s="168"/>
      <c r="DR109" s="163"/>
      <c r="DS109" s="165"/>
      <c r="DT109" s="165"/>
      <c r="DU109" s="165"/>
      <c r="DV109" s="160"/>
      <c r="DW109" s="168"/>
      <c r="DX109" s="168"/>
      <c r="DY109" s="168"/>
      <c r="DZ109" s="163"/>
      <c r="EA109" s="165"/>
      <c r="EB109" s="165"/>
      <c r="EC109" s="165"/>
      <c r="ED109" s="160"/>
      <c r="EE109" s="168"/>
      <c r="EF109" s="168"/>
      <c r="EG109" s="168"/>
      <c r="EH109" s="163"/>
      <c r="EI109" s="165"/>
      <c r="EJ109" s="165"/>
      <c r="EK109" s="165"/>
      <c r="EL109" s="160"/>
      <c r="EM109" s="168"/>
      <c r="EN109" s="168"/>
      <c r="EO109" s="168"/>
      <c r="EP109" s="163"/>
      <c r="EQ109" s="165"/>
      <c r="ER109" s="165"/>
      <c r="ES109" s="165"/>
      <c r="ET109" s="160"/>
      <c r="EU109" s="168"/>
      <c r="EV109" s="168"/>
      <c r="EW109" s="168"/>
      <c r="EX109" s="163"/>
      <c r="EY109" s="165"/>
      <c r="EZ109" s="165"/>
      <c r="FA109" s="165"/>
      <c r="FB109" s="160"/>
      <c r="FC109" s="168"/>
      <c r="FD109" s="168"/>
      <c r="FE109" s="168"/>
      <c r="FF109" s="163"/>
      <c r="FG109" s="165"/>
      <c r="FH109" s="165"/>
      <c r="FI109" s="165"/>
      <c r="FJ109" s="160"/>
      <c r="FK109" s="168"/>
      <c r="FL109" s="168"/>
      <c r="FM109" s="168"/>
      <c r="FN109" s="163"/>
      <c r="FO109" s="165"/>
      <c r="FP109" s="165"/>
      <c r="FQ109" s="165"/>
      <c r="FR109" s="160"/>
      <c r="FS109" s="168"/>
      <c r="FT109" s="168"/>
      <c r="FU109" s="168"/>
      <c r="FV109" s="163"/>
      <c r="FW109" s="165"/>
      <c r="FX109" s="165"/>
      <c r="FY109" s="165"/>
      <c r="FZ109" s="160"/>
      <c r="GA109" s="168"/>
      <c r="GB109" s="168"/>
      <c r="GC109" s="168"/>
      <c r="GD109" s="163"/>
      <c r="GE109" s="165"/>
      <c r="GF109" s="165"/>
      <c r="GG109" s="165"/>
      <c r="GH109" s="160"/>
      <c r="GI109" s="168"/>
      <c r="GJ109" s="168"/>
      <c r="GK109" s="168"/>
      <c r="GL109" s="163"/>
      <c r="GM109" s="165"/>
      <c r="GN109" s="165"/>
      <c r="GO109" s="165"/>
      <c r="GP109" s="160"/>
      <c r="GQ109" s="168"/>
      <c r="GR109" s="168"/>
      <c r="GS109" s="168"/>
    </row>
    <row r="110" spans="2:201" s="146" customFormat="1" ht="137.5" customHeight="1" x14ac:dyDescent="0.35">
      <c r="B110" s="147"/>
      <c r="C110" s="148"/>
      <c r="D110" s="148"/>
      <c r="E110" s="148"/>
      <c r="F110" s="148"/>
      <c r="G110" s="171"/>
      <c r="H110" s="176"/>
      <c r="I110" s="150"/>
      <c r="J110" s="151"/>
      <c r="K110" s="152"/>
      <c r="L110" s="153"/>
      <c r="M110" s="153"/>
      <c r="N110" s="154"/>
      <c r="O110" s="155">
        <f t="shared" ca="1" si="9"/>
        <v>0</v>
      </c>
      <c r="P110" s="155">
        <f t="shared" ca="1" si="7"/>
        <v>0</v>
      </c>
      <c r="Q110" s="156">
        <f t="shared" si="8"/>
        <v>0</v>
      </c>
      <c r="R110" s="157"/>
      <c r="S110" s="158"/>
      <c r="T110" s="158"/>
      <c r="U110" s="159"/>
      <c r="V110" s="160"/>
      <c r="W110" s="161"/>
      <c r="X110" s="162"/>
      <c r="Y110" s="161"/>
      <c r="Z110" s="163"/>
      <c r="AA110" s="164"/>
      <c r="AB110" s="165"/>
      <c r="AC110" s="166"/>
      <c r="AD110" s="160"/>
      <c r="AE110" s="161"/>
      <c r="AF110" s="162"/>
      <c r="AG110" s="161"/>
      <c r="AH110" s="163"/>
      <c r="AI110" s="164"/>
      <c r="AJ110" s="165"/>
      <c r="AK110" s="166"/>
      <c r="AL110" s="167"/>
      <c r="AM110" s="161"/>
      <c r="AN110" s="162"/>
      <c r="AO110" s="161"/>
      <c r="AP110" s="170"/>
      <c r="AQ110" s="164"/>
      <c r="AR110" s="165"/>
      <c r="AS110" s="166"/>
      <c r="AT110" s="160"/>
      <c r="AU110" s="161"/>
      <c r="AV110" s="162"/>
      <c r="AW110" s="168"/>
      <c r="AX110" s="163"/>
      <c r="AY110" s="165"/>
      <c r="AZ110" s="165"/>
      <c r="BA110" s="165"/>
      <c r="BB110" s="160"/>
      <c r="BC110" s="168"/>
      <c r="BD110" s="162"/>
      <c r="BE110" s="168"/>
      <c r="BF110" s="163"/>
      <c r="BG110" s="165"/>
      <c r="BH110" s="165"/>
      <c r="BI110" s="165"/>
      <c r="BJ110" s="160"/>
      <c r="BK110" s="168"/>
      <c r="BL110" s="162"/>
      <c r="BM110" s="168"/>
      <c r="BN110" s="163"/>
      <c r="BO110" s="165"/>
      <c r="BP110" s="165"/>
      <c r="BQ110" s="165"/>
      <c r="BR110" s="160"/>
      <c r="BS110" s="168"/>
      <c r="BT110" s="162"/>
      <c r="BU110" s="168"/>
      <c r="BV110" s="163"/>
      <c r="BW110" s="165"/>
      <c r="BX110" s="165"/>
      <c r="BY110" s="165"/>
      <c r="BZ110" s="160"/>
      <c r="CA110" s="168"/>
      <c r="CB110" s="168"/>
      <c r="CC110" s="168"/>
      <c r="CD110" s="163"/>
      <c r="CE110" s="165"/>
      <c r="CF110" s="165"/>
      <c r="CG110" s="165"/>
      <c r="CH110" s="160"/>
      <c r="CI110" s="168"/>
      <c r="CJ110" s="168"/>
      <c r="CK110" s="168"/>
      <c r="CL110" s="163"/>
      <c r="CM110" s="165"/>
      <c r="CN110" s="165"/>
      <c r="CO110" s="165"/>
      <c r="CP110" s="160"/>
      <c r="CQ110" s="168"/>
      <c r="CR110" s="168"/>
      <c r="CS110" s="168"/>
      <c r="CT110" s="163"/>
      <c r="CU110" s="165"/>
      <c r="CV110" s="165"/>
      <c r="CW110" s="165"/>
      <c r="CX110" s="160"/>
      <c r="CY110" s="168"/>
      <c r="CZ110" s="168"/>
      <c r="DA110" s="168"/>
      <c r="DB110" s="163"/>
      <c r="DC110" s="165"/>
      <c r="DD110" s="165"/>
      <c r="DE110" s="165"/>
      <c r="DF110" s="160"/>
      <c r="DG110" s="168"/>
      <c r="DH110" s="168"/>
      <c r="DI110" s="168"/>
      <c r="DJ110" s="163"/>
      <c r="DK110" s="165"/>
      <c r="DL110" s="165"/>
      <c r="DM110" s="165"/>
      <c r="DN110" s="160"/>
      <c r="DO110" s="168"/>
      <c r="DP110" s="168"/>
      <c r="DQ110" s="168"/>
      <c r="DR110" s="163"/>
      <c r="DS110" s="165"/>
      <c r="DT110" s="165"/>
      <c r="DU110" s="165"/>
      <c r="DV110" s="160"/>
      <c r="DW110" s="168"/>
      <c r="DX110" s="168"/>
      <c r="DY110" s="168"/>
      <c r="DZ110" s="163"/>
      <c r="EA110" s="165"/>
      <c r="EB110" s="165"/>
      <c r="EC110" s="165"/>
      <c r="ED110" s="160"/>
      <c r="EE110" s="168"/>
      <c r="EF110" s="168"/>
      <c r="EG110" s="168"/>
      <c r="EH110" s="163"/>
      <c r="EI110" s="165"/>
      <c r="EJ110" s="165"/>
      <c r="EK110" s="165"/>
      <c r="EL110" s="160"/>
      <c r="EM110" s="168"/>
      <c r="EN110" s="168"/>
      <c r="EO110" s="168"/>
      <c r="EP110" s="163"/>
      <c r="EQ110" s="165"/>
      <c r="ER110" s="165"/>
      <c r="ES110" s="165"/>
      <c r="ET110" s="160"/>
      <c r="EU110" s="168"/>
      <c r="EV110" s="168"/>
      <c r="EW110" s="168"/>
      <c r="EX110" s="163"/>
      <c r="EY110" s="165"/>
      <c r="EZ110" s="165"/>
      <c r="FA110" s="165"/>
      <c r="FB110" s="160"/>
      <c r="FC110" s="168"/>
      <c r="FD110" s="168"/>
      <c r="FE110" s="168"/>
      <c r="FF110" s="163"/>
      <c r="FG110" s="165"/>
      <c r="FH110" s="165"/>
      <c r="FI110" s="165"/>
      <c r="FJ110" s="160"/>
      <c r="FK110" s="168"/>
      <c r="FL110" s="168"/>
      <c r="FM110" s="168"/>
      <c r="FN110" s="163"/>
      <c r="FO110" s="165"/>
      <c r="FP110" s="165"/>
      <c r="FQ110" s="165"/>
      <c r="FR110" s="160"/>
      <c r="FS110" s="168"/>
      <c r="FT110" s="168"/>
      <c r="FU110" s="168"/>
      <c r="FV110" s="163"/>
      <c r="FW110" s="165"/>
      <c r="FX110" s="165"/>
      <c r="FY110" s="165"/>
      <c r="FZ110" s="160"/>
      <c r="GA110" s="168"/>
      <c r="GB110" s="168"/>
      <c r="GC110" s="168"/>
      <c r="GD110" s="163"/>
      <c r="GE110" s="165"/>
      <c r="GF110" s="165"/>
      <c r="GG110" s="165"/>
      <c r="GH110" s="160"/>
      <c r="GI110" s="168"/>
      <c r="GJ110" s="168"/>
      <c r="GK110" s="168"/>
      <c r="GL110" s="163"/>
      <c r="GM110" s="165"/>
      <c r="GN110" s="165"/>
      <c r="GO110" s="165"/>
      <c r="GP110" s="160"/>
      <c r="GQ110" s="168"/>
      <c r="GR110" s="168"/>
      <c r="GS110" s="168"/>
    </row>
    <row r="111" spans="2:201" s="146" customFormat="1" ht="137.5" customHeight="1" x14ac:dyDescent="0.35">
      <c r="B111" s="147"/>
      <c r="C111" s="148"/>
      <c r="D111" s="148"/>
      <c r="E111" s="148"/>
      <c r="F111" s="148"/>
      <c r="G111" s="171"/>
      <c r="H111" s="176"/>
      <c r="I111" s="150"/>
      <c r="J111" s="151"/>
      <c r="K111" s="152"/>
      <c r="L111" s="153"/>
      <c r="M111" s="153"/>
      <c r="N111" s="154"/>
      <c r="O111" s="155">
        <f t="shared" ca="1" si="9"/>
        <v>0</v>
      </c>
      <c r="P111" s="155">
        <f t="shared" ca="1" si="7"/>
        <v>0</v>
      </c>
      <c r="Q111" s="156">
        <f t="shared" si="8"/>
        <v>0</v>
      </c>
      <c r="R111" s="157"/>
      <c r="S111" s="158"/>
      <c r="T111" s="158"/>
      <c r="U111" s="159"/>
      <c r="V111" s="160"/>
      <c r="W111" s="161"/>
      <c r="X111" s="162"/>
      <c r="Y111" s="161"/>
      <c r="Z111" s="163"/>
      <c r="AA111" s="164"/>
      <c r="AB111" s="165"/>
      <c r="AC111" s="166"/>
      <c r="AD111" s="160"/>
      <c r="AE111" s="161"/>
      <c r="AF111" s="162"/>
      <c r="AG111" s="161"/>
      <c r="AH111" s="163"/>
      <c r="AI111" s="164"/>
      <c r="AJ111" s="165"/>
      <c r="AK111" s="166"/>
      <c r="AL111" s="167"/>
      <c r="AM111" s="161"/>
      <c r="AN111" s="162"/>
      <c r="AO111" s="161"/>
      <c r="AP111" s="170"/>
      <c r="AQ111" s="164"/>
      <c r="AR111" s="165"/>
      <c r="AS111" s="166"/>
      <c r="AT111" s="160"/>
      <c r="AU111" s="161"/>
      <c r="AV111" s="162"/>
      <c r="AW111" s="168"/>
      <c r="AX111" s="163"/>
      <c r="AY111" s="165"/>
      <c r="AZ111" s="165"/>
      <c r="BA111" s="165"/>
      <c r="BB111" s="160"/>
      <c r="BC111" s="168"/>
      <c r="BD111" s="162"/>
      <c r="BE111" s="168"/>
      <c r="BF111" s="163"/>
      <c r="BG111" s="165"/>
      <c r="BH111" s="165"/>
      <c r="BI111" s="165"/>
      <c r="BJ111" s="160"/>
      <c r="BK111" s="168"/>
      <c r="BL111" s="162"/>
      <c r="BM111" s="168"/>
      <c r="BN111" s="163"/>
      <c r="BO111" s="165"/>
      <c r="BP111" s="165"/>
      <c r="BQ111" s="165"/>
      <c r="BR111" s="160"/>
      <c r="BS111" s="168"/>
      <c r="BT111" s="162"/>
      <c r="BU111" s="168"/>
      <c r="BV111" s="163"/>
      <c r="BW111" s="165"/>
      <c r="BX111" s="165"/>
      <c r="BY111" s="165"/>
      <c r="BZ111" s="160"/>
      <c r="CA111" s="168"/>
      <c r="CB111" s="168"/>
      <c r="CC111" s="168"/>
      <c r="CD111" s="163"/>
      <c r="CE111" s="165"/>
      <c r="CF111" s="165"/>
      <c r="CG111" s="165"/>
      <c r="CH111" s="160"/>
      <c r="CI111" s="168"/>
      <c r="CJ111" s="168"/>
      <c r="CK111" s="168"/>
      <c r="CL111" s="163"/>
      <c r="CM111" s="165"/>
      <c r="CN111" s="165"/>
      <c r="CO111" s="165"/>
      <c r="CP111" s="160"/>
      <c r="CQ111" s="168"/>
      <c r="CR111" s="168"/>
      <c r="CS111" s="168"/>
      <c r="CT111" s="163"/>
      <c r="CU111" s="165"/>
      <c r="CV111" s="165"/>
      <c r="CW111" s="165"/>
      <c r="CX111" s="160"/>
      <c r="CY111" s="168"/>
      <c r="CZ111" s="168"/>
      <c r="DA111" s="168"/>
      <c r="DB111" s="163"/>
      <c r="DC111" s="165"/>
      <c r="DD111" s="165"/>
      <c r="DE111" s="165"/>
      <c r="DF111" s="160"/>
      <c r="DG111" s="168"/>
      <c r="DH111" s="168"/>
      <c r="DI111" s="168"/>
      <c r="DJ111" s="163"/>
      <c r="DK111" s="165"/>
      <c r="DL111" s="165"/>
      <c r="DM111" s="165"/>
      <c r="DN111" s="160"/>
      <c r="DO111" s="168"/>
      <c r="DP111" s="168"/>
      <c r="DQ111" s="168"/>
      <c r="DR111" s="163"/>
      <c r="DS111" s="165"/>
      <c r="DT111" s="165"/>
      <c r="DU111" s="165"/>
      <c r="DV111" s="160"/>
      <c r="DW111" s="168"/>
      <c r="DX111" s="168"/>
      <c r="DY111" s="168"/>
      <c r="DZ111" s="163"/>
      <c r="EA111" s="165"/>
      <c r="EB111" s="165"/>
      <c r="EC111" s="165"/>
      <c r="ED111" s="160"/>
      <c r="EE111" s="168"/>
      <c r="EF111" s="168"/>
      <c r="EG111" s="168"/>
      <c r="EH111" s="163"/>
      <c r="EI111" s="165"/>
      <c r="EJ111" s="165"/>
      <c r="EK111" s="165"/>
      <c r="EL111" s="160"/>
      <c r="EM111" s="168"/>
      <c r="EN111" s="168"/>
      <c r="EO111" s="168"/>
      <c r="EP111" s="163"/>
      <c r="EQ111" s="165"/>
      <c r="ER111" s="165"/>
      <c r="ES111" s="165"/>
      <c r="ET111" s="160"/>
      <c r="EU111" s="168"/>
      <c r="EV111" s="168"/>
      <c r="EW111" s="168"/>
      <c r="EX111" s="163"/>
      <c r="EY111" s="165"/>
      <c r="EZ111" s="165"/>
      <c r="FA111" s="165"/>
      <c r="FB111" s="160"/>
      <c r="FC111" s="168"/>
      <c r="FD111" s="168"/>
      <c r="FE111" s="168"/>
      <c r="FF111" s="163"/>
      <c r="FG111" s="165"/>
      <c r="FH111" s="165"/>
      <c r="FI111" s="165"/>
      <c r="FJ111" s="160"/>
      <c r="FK111" s="168"/>
      <c r="FL111" s="168"/>
      <c r="FM111" s="168"/>
      <c r="FN111" s="163"/>
      <c r="FO111" s="165"/>
      <c r="FP111" s="165"/>
      <c r="FQ111" s="165"/>
      <c r="FR111" s="160"/>
      <c r="FS111" s="168"/>
      <c r="FT111" s="168"/>
      <c r="FU111" s="168"/>
      <c r="FV111" s="163"/>
      <c r="FW111" s="165"/>
      <c r="FX111" s="165"/>
      <c r="FY111" s="165"/>
      <c r="FZ111" s="160"/>
      <c r="GA111" s="168"/>
      <c r="GB111" s="168"/>
      <c r="GC111" s="168"/>
      <c r="GD111" s="163"/>
      <c r="GE111" s="165"/>
      <c r="GF111" s="165"/>
      <c r="GG111" s="165"/>
      <c r="GH111" s="160"/>
      <c r="GI111" s="168"/>
      <c r="GJ111" s="168"/>
      <c r="GK111" s="168"/>
      <c r="GL111" s="163"/>
      <c r="GM111" s="165"/>
      <c r="GN111" s="165"/>
      <c r="GO111" s="165"/>
      <c r="GP111" s="160"/>
      <c r="GQ111" s="168"/>
      <c r="GR111" s="168"/>
      <c r="GS111" s="168"/>
    </row>
    <row r="112" spans="2:201" s="146" customFormat="1" ht="137.5" customHeight="1" x14ac:dyDescent="0.35">
      <c r="B112" s="147"/>
      <c r="C112" s="148"/>
      <c r="D112" s="148"/>
      <c r="E112" s="148"/>
      <c r="F112" s="148"/>
      <c r="G112" s="171"/>
      <c r="H112" s="176"/>
      <c r="I112" s="150"/>
      <c r="J112" s="151"/>
      <c r="K112" s="152"/>
      <c r="L112" s="153"/>
      <c r="M112" s="153"/>
      <c r="N112" s="154"/>
      <c r="O112" s="155">
        <f t="shared" ca="1" si="9"/>
        <v>0</v>
      </c>
      <c r="P112" s="155">
        <f t="shared" ca="1" si="7"/>
        <v>0</v>
      </c>
      <c r="Q112" s="156">
        <f t="shared" si="8"/>
        <v>0</v>
      </c>
      <c r="R112" s="157"/>
      <c r="S112" s="158"/>
      <c r="T112" s="158"/>
      <c r="U112" s="159"/>
      <c r="V112" s="160"/>
      <c r="W112" s="161"/>
      <c r="X112" s="162"/>
      <c r="Y112" s="161"/>
      <c r="Z112" s="163"/>
      <c r="AA112" s="164"/>
      <c r="AB112" s="165"/>
      <c r="AC112" s="166"/>
      <c r="AD112" s="160"/>
      <c r="AE112" s="161"/>
      <c r="AF112" s="162"/>
      <c r="AG112" s="161"/>
      <c r="AH112" s="163"/>
      <c r="AI112" s="164"/>
      <c r="AJ112" s="165"/>
      <c r="AK112" s="166"/>
      <c r="AL112" s="167"/>
      <c r="AM112" s="161"/>
      <c r="AN112" s="162"/>
      <c r="AO112" s="161"/>
      <c r="AP112" s="170"/>
      <c r="AQ112" s="164"/>
      <c r="AR112" s="165"/>
      <c r="AS112" s="166"/>
      <c r="AT112" s="160"/>
      <c r="AU112" s="161"/>
      <c r="AV112" s="162"/>
      <c r="AW112" s="168"/>
      <c r="AX112" s="163"/>
      <c r="AY112" s="165"/>
      <c r="AZ112" s="165"/>
      <c r="BA112" s="165"/>
      <c r="BB112" s="160"/>
      <c r="BC112" s="168"/>
      <c r="BD112" s="162"/>
      <c r="BE112" s="168"/>
      <c r="BF112" s="163"/>
      <c r="BG112" s="165"/>
      <c r="BH112" s="165"/>
      <c r="BI112" s="165"/>
      <c r="BJ112" s="160"/>
      <c r="BK112" s="168"/>
      <c r="BL112" s="162"/>
      <c r="BM112" s="168"/>
      <c r="BN112" s="163"/>
      <c r="BO112" s="165"/>
      <c r="BP112" s="165"/>
      <c r="BQ112" s="165"/>
      <c r="BR112" s="160"/>
      <c r="BS112" s="168"/>
      <c r="BT112" s="162"/>
      <c r="BU112" s="168"/>
      <c r="BV112" s="163"/>
      <c r="BW112" s="165"/>
      <c r="BX112" s="165"/>
      <c r="BY112" s="165"/>
      <c r="BZ112" s="160"/>
      <c r="CA112" s="168"/>
      <c r="CB112" s="168"/>
      <c r="CC112" s="168"/>
      <c r="CD112" s="163"/>
      <c r="CE112" s="165"/>
      <c r="CF112" s="165"/>
      <c r="CG112" s="165"/>
      <c r="CH112" s="160"/>
      <c r="CI112" s="168"/>
      <c r="CJ112" s="168"/>
      <c r="CK112" s="168"/>
      <c r="CL112" s="163"/>
      <c r="CM112" s="165"/>
      <c r="CN112" s="165"/>
      <c r="CO112" s="165"/>
      <c r="CP112" s="160"/>
      <c r="CQ112" s="168"/>
      <c r="CR112" s="168"/>
      <c r="CS112" s="168"/>
      <c r="CT112" s="163"/>
      <c r="CU112" s="165"/>
      <c r="CV112" s="165"/>
      <c r="CW112" s="165"/>
      <c r="CX112" s="160"/>
      <c r="CY112" s="168"/>
      <c r="CZ112" s="168"/>
      <c r="DA112" s="168"/>
      <c r="DB112" s="163"/>
      <c r="DC112" s="165"/>
      <c r="DD112" s="165"/>
      <c r="DE112" s="165"/>
      <c r="DF112" s="160"/>
      <c r="DG112" s="168"/>
      <c r="DH112" s="168"/>
      <c r="DI112" s="168"/>
      <c r="DJ112" s="163"/>
      <c r="DK112" s="165"/>
      <c r="DL112" s="165"/>
      <c r="DM112" s="165"/>
      <c r="DN112" s="160"/>
      <c r="DO112" s="168"/>
      <c r="DP112" s="168"/>
      <c r="DQ112" s="168"/>
      <c r="DR112" s="163"/>
      <c r="DS112" s="165"/>
      <c r="DT112" s="165"/>
      <c r="DU112" s="165"/>
      <c r="DV112" s="160"/>
      <c r="DW112" s="168"/>
      <c r="DX112" s="168"/>
      <c r="DY112" s="168"/>
      <c r="DZ112" s="163"/>
      <c r="EA112" s="165"/>
      <c r="EB112" s="165"/>
      <c r="EC112" s="165"/>
      <c r="ED112" s="160"/>
      <c r="EE112" s="168"/>
      <c r="EF112" s="168"/>
      <c r="EG112" s="168"/>
      <c r="EH112" s="163"/>
      <c r="EI112" s="165"/>
      <c r="EJ112" s="165"/>
      <c r="EK112" s="165"/>
      <c r="EL112" s="160"/>
      <c r="EM112" s="168"/>
      <c r="EN112" s="168"/>
      <c r="EO112" s="168"/>
      <c r="EP112" s="163"/>
      <c r="EQ112" s="165"/>
      <c r="ER112" s="165"/>
      <c r="ES112" s="165"/>
      <c r="ET112" s="160"/>
      <c r="EU112" s="168"/>
      <c r="EV112" s="168"/>
      <c r="EW112" s="168"/>
      <c r="EX112" s="163"/>
      <c r="EY112" s="165"/>
      <c r="EZ112" s="165"/>
      <c r="FA112" s="165"/>
      <c r="FB112" s="160"/>
      <c r="FC112" s="168"/>
      <c r="FD112" s="168"/>
      <c r="FE112" s="168"/>
      <c r="FF112" s="163"/>
      <c r="FG112" s="165"/>
      <c r="FH112" s="165"/>
      <c r="FI112" s="165"/>
      <c r="FJ112" s="160"/>
      <c r="FK112" s="168"/>
      <c r="FL112" s="168"/>
      <c r="FM112" s="168"/>
      <c r="FN112" s="163"/>
      <c r="FO112" s="165"/>
      <c r="FP112" s="165"/>
      <c r="FQ112" s="165"/>
      <c r="FR112" s="160"/>
      <c r="FS112" s="168"/>
      <c r="FT112" s="168"/>
      <c r="FU112" s="168"/>
      <c r="FV112" s="163"/>
      <c r="FW112" s="165"/>
      <c r="FX112" s="165"/>
      <c r="FY112" s="165"/>
      <c r="FZ112" s="160"/>
      <c r="GA112" s="168"/>
      <c r="GB112" s="168"/>
      <c r="GC112" s="168"/>
      <c r="GD112" s="163"/>
      <c r="GE112" s="165"/>
      <c r="GF112" s="165"/>
      <c r="GG112" s="165"/>
      <c r="GH112" s="160"/>
      <c r="GI112" s="168"/>
      <c r="GJ112" s="168"/>
      <c r="GK112" s="168"/>
      <c r="GL112" s="163"/>
      <c r="GM112" s="165"/>
      <c r="GN112" s="165"/>
      <c r="GO112" s="165"/>
      <c r="GP112" s="160"/>
      <c r="GQ112" s="168"/>
      <c r="GR112" s="168"/>
      <c r="GS112" s="168"/>
    </row>
    <row r="113" spans="2:201" s="146" customFormat="1" ht="137.5" customHeight="1" x14ac:dyDescent="0.35">
      <c r="B113" s="147"/>
      <c r="C113" s="148"/>
      <c r="D113" s="148"/>
      <c r="E113" s="148"/>
      <c r="F113" s="148"/>
      <c r="G113" s="171"/>
      <c r="H113" s="176"/>
      <c r="I113" s="150"/>
      <c r="J113" s="151"/>
      <c r="K113" s="152"/>
      <c r="L113" s="153"/>
      <c r="M113" s="153"/>
      <c r="N113" s="154"/>
      <c r="O113" s="155">
        <f t="shared" ca="1" si="9"/>
        <v>0</v>
      </c>
      <c r="P113" s="155">
        <f t="shared" ca="1" si="7"/>
        <v>0</v>
      </c>
      <c r="Q113" s="156">
        <f t="shared" si="8"/>
        <v>0</v>
      </c>
      <c r="R113" s="157"/>
      <c r="S113" s="158"/>
      <c r="T113" s="158"/>
      <c r="U113" s="159"/>
      <c r="V113" s="160"/>
      <c r="W113" s="161"/>
      <c r="X113" s="162"/>
      <c r="Y113" s="161"/>
      <c r="Z113" s="163"/>
      <c r="AA113" s="164"/>
      <c r="AB113" s="165"/>
      <c r="AC113" s="166"/>
      <c r="AD113" s="160"/>
      <c r="AE113" s="161"/>
      <c r="AF113" s="162"/>
      <c r="AG113" s="161"/>
      <c r="AH113" s="163"/>
      <c r="AI113" s="164"/>
      <c r="AJ113" s="165"/>
      <c r="AK113" s="166"/>
      <c r="AL113" s="167"/>
      <c r="AM113" s="161"/>
      <c r="AN113" s="162"/>
      <c r="AO113" s="161"/>
      <c r="AP113" s="170"/>
      <c r="AQ113" s="164"/>
      <c r="AR113" s="165"/>
      <c r="AS113" s="166"/>
      <c r="AT113" s="160"/>
      <c r="AU113" s="161"/>
      <c r="AV113" s="162"/>
      <c r="AW113" s="168"/>
      <c r="AX113" s="163"/>
      <c r="AY113" s="165"/>
      <c r="AZ113" s="165"/>
      <c r="BA113" s="165"/>
      <c r="BB113" s="160"/>
      <c r="BC113" s="168"/>
      <c r="BD113" s="162"/>
      <c r="BE113" s="168"/>
      <c r="BF113" s="163"/>
      <c r="BG113" s="165"/>
      <c r="BH113" s="165"/>
      <c r="BI113" s="165"/>
      <c r="BJ113" s="160"/>
      <c r="BK113" s="168"/>
      <c r="BL113" s="162"/>
      <c r="BM113" s="168"/>
      <c r="BN113" s="163"/>
      <c r="BO113" s="165"/>
      <c r="BP113" s="165"/>
      <c r="BQ113" s="165"/>
      <c r="BR113" s="160"/>
      <c r="BS113" s="168"/>
      <c r="BT113" s="162"/>
      <c r="BU113" s="168"/>
      <c r="BV113" s="163"/>
      <c r="BW113" s="165"/>
      <c r="BX113" s="165"/>
      <c r="BY113" s="165"/>
      <c r="BZ113" s="160"/>
      <c r="CA113" s="168"/>
      <c r="CB113" s="168"/>
      <c r="CC113" s="168"/>
      <c r="CD113" s="163"/>
      <c r="CE113" s="165"/>
      <c r="CF113" s="165"/>
      <c r="CG113" s="165"/>
      <c r="CH113" s="160"/>
      <c r="CI113" s="168"/>
      <c r="CJ113" s="168"/>
      <c r="CK113" s="168"/>
      <c r="CL113" s="163"/>
      <c r="CM113" s="165"/>
      <c r="CN113" s="165"/>
      <c r="CO113" s="165"/>
      <c r="CP113" s="160"/>
      <c r="CQ113" s="168"/>
      <c r="CR113" s="168"/>
      <c r="CS113" s="168"/>
      <c r="CT113" s="163"/>
      <c r="CU113" s="165"/>
      <c r="CV113" s="165"/>
      <c r="CW113" s="165"/>
      <c r="CX113" s="160"/>
      <c r="CY113" s="168"/>
      <c r="CZ113" s="168"/>
      <c r="DA113" s="168"/>
      <c r="DB113" s="163"/>
      <c r="DC113" s="165"/>
      <c r="DD113" s="165"/>
      <c r="DE113" s="165"/>
      <c r="DF113" s="160"/>
      <c r="DG113" s="168"/>
      <c r="DH113" s="168"/>
      <c r="DI113" s="168"/>
      <c r="DJ113" s="163"/>
      <c r="DK113" s="165"/>
      <c r="DL113" s="165"/>
      <c r="DM113" s="165"/>
      <c r="DN113" s="160"/>
      <c r="DO113" s="168"/>
      <c r="DP113" s="168"/>
      <c r="DQ113" s="168"/>
      <c r="DR113" s="163"/>
      <c r="DS113" s="165"/>
      <c r="DT113" s="165"/>
      <c r="DU113" s="165"/>
      <c r="DV113" s="160"/>
      <c r="DW113" s="168"/>
      <c r="DX113" s="168"/>
      <c r="DY113" s="168"/>
      <c r="DZ113" s="163"/>
      <c r="EA113" s="165"/>
      <c r="EB113" s="165"/>
      <c r="EC113" s="165"/>
      <c r="ED113" s="160"/>
      <c r="EE113" s="168"/>
      <c r="EF113" s="168"/>
      <c r="EG113" s="168"/>
      <c r="EH113" s="163"/>
      <c r="EI113" s="165"/>
      <c r="EJ113" s="165"/>
      <c r="EK113" s="165"/>
      <c r="EL113" s="160"/>
      <c r="EM113" s="168"/>
      <c r="EN113" s="168"/>
      <c r="EO113" s="168"/>
      <c r="EP113" s="163"/>
      <c r="EQ113" s="165"/>
      <c r="ER113" s="165"/>
      <c r="ES113" s="165"/>
      <c r="ET113" s="160"/>
      <c r="EU113" s="168"/>
      <c r="EV113" s="168"/>
      <c r="EW113" s="168"/>
      <c r="EX113" s="163"/>
      <c r="EY113" s="165"/>
      <c r="EZ113" s="165"/>
      <c r="FA113" s="165"/>
      <c r="FB113" s="160"/>
      <c r="FC113" s="168"/>
      <c r="FD113" s="168"/>
      <c r="FE113" s="168"/>
      <c r="FF113" s="163"/>
      <c r="FG113" s="165"/>
      <c r="FH113" s="165"/>
      <c r="FI113" s="165"/>
      <c r="FJ113" s="160"/>
      <c r="FK113" s="168"/>
      <c r="FL113" s="168"/>
      <c r="FM113" s="168"/>
      <c r="FN113" s="163"/>
      <c r="FO113" s="165"/>
      <c r="FP113" s="165"/>
      <c r="FQ113" s="165"/>
      <c r="FR113" s="160"/>
      <c r="FS113" s="168"/>
      <c r="FT113" s="168"/>
      <c r="FU113" s="168"/>
      <c r="FV113" s="163"/>
      <c r="FW113" s="165"/>
      <c r="FX113" s="165"/>
      <c r="FY113" s="165"/>
      <c r="FZ113" s="160"/>
      <c r="GA113" s="168"/>
      <c r="GB113" s="168"/>
      <c r="GC113" s="168"/>
      <c r="GD113" s="163"/>
      <c r="GE113" s="165"/>
      <c r="GF113" s="165"/>
      <c r="GG113" s="165"/>
      <c r="GH113" s="160"/>
      <c r="GI113" s="168"/>
      <c r="GJ113" s="168"/>
      <c r="GK113" s="168"/>
      <c r="GL113" s="163"/>
      <c r="GM113" s="165"/>
      <c r="GN113" s="165"/>
      <c r="GO113" s="165"/>
      <c r="GP113" s="160"/>
      <c r="GQ113" s="168"/>
      <c r="GR113" s="168"/>
      <c r="GS113" s="168"/>
    </row>
    <row r="114" spans="2:201" s="146" customFormat="1" ht="137.5" customHeight="1" x14ac:dyDescent="0.35">
      <c r="B114" s="147"/>
      <c r="C114" s="147"/>
      <c r="D114" s="148"/>
      <c r="E114" s="148"/>
      <c r="F114" s="148"/>
      <c r="G114" s="171"/>
      <c r="H114" s="149"/>
      <c r="I114" s="150"/>
      <c r="J114" s="151"/>
      <c r="K114" s="152"/>
      <c r="L114" s="153"/>
      <c r="M114" s="153"/>
      <c r="N114" s="154"/>
      <c r="O114" s="155">
        <f t="shared" ca="1" si="9"/>
        <v>0</v>
      </c>
      <c r="P114" s="155">
        <f t="shared" ca="1" si="7"/>
        <v>0</v>
      </c>
      <c r="Q114" s="156">
        <f t="shared" si="8"/>
        <v>0</v>
      </c>
      <c r="R114" s="157"/>
      <c r="S114" s="158"/>
      <c r="T114" s="158"/>
      <c r="U114" s="159"/>
      <c r="V114" s="160"/>
      <c r="W114" s="161"/>
      <c r="X114" s="162"/>
      <c r="Y114" s="161"/>
      <c r="Z114" s="163"/>
      <c r="AA114" s="164"/>
      <c r="AB114" s="165"/>
      <c r="AC114" s="159"/>
      <c r="AD114" s="152"/>
      <c r="AE114" s="161"/>
      <c r="AF114" s="162"/>
      <c r="AG114" s="154"/>
      <c r="AH114" s="163"/>
      <c r="AI114" s="164"/>
      <c r="AJ114" s="165"/>
      <c r="AK114" s="166"/>
      <c r="AL114" s="167"/>
      <c r="AM114" s="161"/>
      <c r="AN114" s="162"/>
      <c r="AO114" s="161"/>
      <c r="AP114" s="163"/>
      <c r="AQ114" s="165"/>
      <c r="AR114" s="165"/>
      <c r="AS114" s="166"/>
      <c r="AT114" s="160"/>
      <c r="AU114" s="161"/>
      <c r="AV114" s="162"/>
      <c r="AW114" s="168"/>
      <c r="AX114" s="163"/>
      <c r="AY114" s="165"/>
      <c r="AZ114" s="165"/>
      <c r="BA114" s="166"/>
      <c r="BB114" s="160"/>
      <c r="BC114" s="161"/>
      <c r="BD114" s="162"/>
      <c r="BE114" s="168"/>
      <c r="BF114" s="163"/>
      <c r="BG114" s="165"/>
      <c r="BH114" s="165"/>
      <c r="BI114" s="166"/>
      <c r="BJ114" s="160"/>
      <c r="BK114" s="161"/>
      <c r="BL114" s="162"/>
      <c r="BM114" s="168"/>
      <c r="BN114" s="163"/>
      <c r="BO114" s="165"/>
      <c r="BP114" s="165"/>
      <c r="BQ114" s="165"/>
      <c r="BR114" s="160"/>
      <c r="BS114" s="168"/>
      <c r="BT114" s="162"/>
      <c r="BU114" s="168"/>
      <c r="BV114" s="163"/>
      <c r="BW114" s="165"/>
      <c r="BX114" s="165"/>
      <c r="BY114" s="165"/>
      <c r="BZ114" s="160"/>
      <c r="CA114" s="168"/>
      <c r="CB114" s="168"/>
      <c r="CC114" s="168"/>
      <c r="CD114" s="163"/>
      <c r="CE114" s="165"/>
      <c r="CF114" s="165"/>
      <c r="CG114" s="165"/>
      <c r="CH114" s="160"/>
      <c r="CI114" s="168"/>
      <c r="CJ114" s="168"/>
      <c r="CK114" s="168"/>
      <c r="CL114" s="163"/>
      <c r="CM114" s="165"/>
      <c r="CN114" s="165"/>
      <c r="CO114" s="165"/>
      <c r="CP114" s="160"/>
      <c r="CQ114" s="168"/>
      <c r="CR114" s="168"/>
      <c r="CS114" s="168"/>
      <c r="CT114" s="163"/>
      <c r="CU114" s="165"/>
      <c r="CV114" s="165"/>
      <c r="CW114" s="165"/>
      <c r="CX114" s="160"/>
      <c r="CY114" s="168"/>
      <c r="CZ114" s="168"/>
      <c r="DA114" s="168"/>
      <c r="DB114" s="163"/>
      <c r="DC114" s="165"/>
      <c r="DD114" s="165"/>
      <c r="DE114" s="165"/>
      <c r="DF114" s="160"/>
      <c r="DG114" s="168"/>
      <c r="DH114" s="168"/>
      <c r="DI114" s="168"/>
      <c r="DJ114" s="163"/>
      <c r="DK114" s="165"/>
      <c r="DL114" s="165"/>
      <c r="DM114" s="165"/>
      <c r="DN114" s="160"/>
      <c r="DO114" s="168"/>
      <c r="DP114" s="168"/>
      <c r="DQ114" s="168"/>
      <c r="DR114" s="163"/>
      <c r="DS114" s="165"/>
      <c r="DT114" s="165"/>
      <c r="DU114" s="165"/>
      <c r="DV114" s="160"/>
      <c r="DW114" s="168"/>
      <c r="DX114" s="168"/>
      <c r="DY114" s="168"/>
      <c r="DZ114" s="163"/>
      <c r="EA114" s="165"/>
      <c r="EB114" s="165"/>
      <c r="EC114" s="165"/>
      <c r="ED114" s="160"/>
      <c r="EE114" s="168"/>
      <c r="EF114" s="168"/>
      <c r="EG114" s="168"/>
      <c r="EH114" s="163"/>
      <c r="EI114" s="165"/>
      <c r="EJ114" s="165"/>
      <c r="EK114" s="165"/>
      <c r="EL114" s="160"/>
      <c r="EM114" s="168"/>
      <c r="EN114" s="168"/>
      <c r="EO114" s="168"/>
      <c r="EP114" s="163"/>
      <c r="EQ114" s="165"/>
      <c r="ER114" s="165"/>
      <c r="ES114" s="165"/>
      <c r="ET114" s="160"/>
      <c r="EU114" s="168"/>
      <c r="EV114" s="168"/>
      <c r="EW114" s="168"/>
      <c r="EX114" s="163"/>
      <c r="EY114" s="165"/>
      <c r="EZ114" s="165"/>
      <c r="FA114" s="165"/>
      <c r="FB114" s="160"/>
      <c r="FC114" s="168"/>
      <c r="FD114" s="168"/>
      <c r="FE114" s="168"/>
      <c r="FF114" s="163"/>
      <c r="FG114" s="165"/>
      <c r="FH114" s="165"/>
      <c r="FI114" s="165"/>
      <c r="FJ114" s="160"/>
      <c r="FK114" s="168"/>
      <c r="FL114" s="168"/>
      <c r="FM114" s="168"/>
      <c r="FN114" s="163"/>
      <c r="FO114" s="165"/>
      <c r="FP114" s="165"/>
      <c r="FQ114" s="165"/>
      <c r="FR114" s="160"/>
      <c r="FS114" s="168"/>
      <c r="FT114" s="168"/>
      <c r="FU114" s="168"/>
      <c r="FV114" s="163"/>
      <c r="FW114" s="165"/>
      <c r="FX114" s="165"/>
      <c r="FY114" s="165"/>
      <c r="FZ114" s="160"/>
      <c r="GA114" s="168"/>
      <c r="GB114" s="168"/>
      <c r="GC114" s="168"/>
      <c r="GD114" s="163"/>
      <c r="GE114" s="165"/>
      <c r="GF114" s="165"/>
      <c r="GG114" s="165"/>
      <c r="GH114" s="160"/>
      <c r="GI114" s="168"/>
      <c r="GJ114" s="168"/>
      <c r="GK114" s="168"/>
      <c r="GL114" s="163"/>
      <c r="GM114" s="165"/>
      <c r="GN114" s="165"/>
      <c r="GO114" s="165"/>
      <c r="GP114" s="160"/>
      <c r="GQ114" s="168"/>
      <c r="GR114" s="168"/>
      <c r="GS114" s="168"/>
    </row>
    <row r="115" spans="2:201" s="146" customFormat="1" ht="137.5" customHeight="1" x14ac:dyDescent="0.35">
      <c r="B115" s="147"/>
      <c r="C115" s="147"/>
      <c r="D115" s="148"/>
      <c r="E115" s="148"/>
      <c r="F115" s="148"/>
      <c r="G115" s="171"/>
      <c r="H115" s="148"/>
      <c r="I115" s="169"/>
      <c r="J115" s="151"/>
      <c r="K115" s="152"/>
      <c r="L115" s="153"/>
      <c r="M115" s="153"/>
      <c r="N115" s="154"/>
      <c r="O115" s="155">
        <f t="shared" ca="1" si="9"/>
        <v>0</v>
      </c>
      <c r="P115" s="155">
        <f ca="1">IF(N115="REQUIERE RESPUESTA",TODAY()-L115,0)</f>
        <v>0</v>
      </c>
      <c r="Q115" s="156">
        <f t="shared" si="8"/>
        <v>0</v>
      </c>
      <c r="R115" s="157"/>
      <c r="S115" s="158"/>
      <c r="T115" s="158"/>
      <c r="U115" s="159"/>
      <c r="V115" s="160"/>
      <c r="W115" s="161"/>
      <c r="X115" s="162"/>
      <c r="Y115" s="161"/>
      <c r="Z115" s="163"/>
      <c r="AA115" s="164"/>
      <c r="AB115" s="165"/>
      <c r="AC115" s="166"/>
      <c r="AD115" s="160"/>
      <c r="AE115" s="161"/>
      <c r="AF115" s="162"/>
      <c r="AG115" s="161"/>
      <c r="AH115" s="163"/>
      <c r="AI115" s="164"/>
      <c r="AJ115" s="165"/>
      <c r="AK115" s="166"/>
      <c r="AL115" s="167"/>
      <c r="AM115" s="161"/>
      <c r="AN115" s="162"/>
      <c r="AO115" s="161"/>
      <c r="AP115" s="170"/>
      <c r="AQ115" s="164"/>
      <c r="AR115" s="165"/>
      <c r="AS115" s="166"/>
      <c r="AT115" s="160"/>
      <c r="AU115" s="161"/>
      <c r="AV115" s="162"/>
      <c r="AW115" s="168"/>
      <c r="AX115" s="163"/>
      <c r="AY115" s="165"/>
      <c r="AZ115" s="165"/>
      <c r="BA115" s="165"/>
      <c r="BB115" s="160"/>
      <c r="BC115" s="168"/>
      <c r="BD115" s="162"/>
      <c r="BE115" s="168"/>
      <c r="BF115" s="163"/>
      <c r="BG115" s="165"/>
      <c r="BH115" s="165"/>
      <c r="BI115" s="165"/>
      <c r="BJ115" s="160"/>
      <c r="BK115" s="168"/>
      <c r="BL115" s="162"/>
      <c r="BM115" s="168"/>
      <c r="BN115" s="163"/>
      <c r="BO115" s="165"/>
      <c r="BP115" s="165"/>
      <c r="BQ115" s="165"/>
      <c r="BR115" s="160"/>
      <c r="BS115" s="168"/>
      <c r="BT115" s="162"/>
      <c r="BU115" s="168"/>
      <c r="BV115" s="163"/>
      <c r="BW115" s="165"/>
      <c r="BX115" s="165"/>
      <c r="BY115" s="165"/>
      <c r="BZ115" s="160"/>
      <c r="CA115" s="168"/>
      <c r="CB115" s="168"/>
      <c r="CC115" s="168"/>
      <c r="CD115" s="163"/>
      <c r="CE115" s="165"/>
      <c r="CF115" s="165"/>
      <c r="CG115" s="165"/>
      <c r="CH115" s="160"/>
      <c r="CI115" s="168"/>
      <c r="CJ115" s="168"/>
      <c r="CK115" s="168"/>
      <c r="CL115" s="163"/>
      <c r="CM115" s="165"/>
      <c r="CN115" s="165"/>
      <c r="CO115" s="165"/>
      <c r="CP115" s="160"/>
      <c r="CQ115" s="168"/>
      <c r="CR115" s="168"/>
      <c r="CS115" s="168"/>
      <c r="CT115" s="163"/>
      <c r="CU115" s="165"/>
      <c r="CV115" s="165"/>
      <c r="CW115" s="165"/>
      <c r="CX115" s="160"/>
      <c r="CY115" s="168"/>
      <c r="CZ115" s="168"/>
      <c r="DA115" s="168"/>
      <c r="DB115" s="163"/>
      <c r="DC115" s="165"/>
      <c r="DD115" s="165"/>
      <c r="DE115" s="165"/>
      <c r="DF115" s="160"/>
      <c r="DG115" s="168"/>
      <c r="DH115" s="168"/>
      <c r="DI115" s="168"/>
      <c r="DJ115" s="163"/>
      <c r="DK115" s="165"/>
      <c r="DL115" s="165"/>
      <c r="DM115" s="165"/>
      <c r="DN115" s="160"/>
      <c r="DO115" s="168"/>
      <c r="DP115" s="168"/>
      <c r="DQ115" s="168"/>
      <c r="DR115" s="163"/>
      <c r="DS115" s="165"/>
      <c r="DT115" s="165"/>
      <c r="DU115" s="165"/>
      <c r="DV115" s="160"/>
      <c r="DW115" s="168"/>
      <c r="DX115" s="168"/>
      <c r="DY115" s="168"/>
      <c r="DZ115" s="163"/>
      <c r="EA115" s="165"/>
      <c r="EB115" s="165"/>
      <c r="EC115" s="165"/>
      <c r="ED115" s="160"/>
      <c r="EE115" s="168"/>
      <c r="EF115" s="168"/>
      <c r="EG115" s="168"/>
      <c r="EH115" s="163"/>
      <c r="EI115" s="165"/>
      <c r="EJ115" s="165"/>
      <c r="EK115" s="165"/>
      <c r="EL115" s="160"/>
      <c r="EM115" s="168"/>
      <c r="EN115" s="168"/>
      <c r="EO115" s="168"/>
      <c r="EP115" s="163"/>
      <c r="EQ115" s="165"/>
      <c r="ER115" s="165"/>
      <c r="ES115" s="165"/>
      <c r="ET115" s="160"/>
      <c r="EU115" s="168"/>
      <c r="EV115" s="168"/>
      <c r="EW115" s="168"/>
      <c r="EX115" s="163"/>
      <c r="EY115" s="165"/>
      <c r="EZ115" s="165"/>
      <c r="FA115" s="165"/>
      <c r="FB115" s="160"/>
      <c r="FC115" s="168"/>
      <c r="FD115" s="168"/>
      <c r="FE115" s="168"/>
      <c r="FF115" s="163"/>
      <c r="FG115" s="165"/>
      <c r="FH115" s="165"/>
      <c r="FI115" s="165"/>
      <c r="FJ115" s="160"/>
      <c r="FK115" s="168"/>
      <c r="FL115" s="168"/>
      <c r="FM115" s="168"/>
      <c r="FN115" s="163"/>
      <c r="FO115" s="165"/>
      <c r="FP115" s="165"/>
      <c r="FQ115" s="165"/>
      <c r="FR115" s="160"/>
      <c r="FS115" s="168"/>
      <c r="FT115" s="168"/>
      <c r="FU115" s="168"/>
      <c r="FV115" s="163"/>
      <c r="FW115" s="165"/>
      <c r="FX115" s="165"/>
      <c r="FY115" s="165"/>
      <c r="FZ115" s="160"/>
      <c r="GA115" s="168"/>
      <c r="GB115" s="168"/>
      <c r="GC115" s="168"/>
      <c r="GD115" s="163"/>
      <c r="GE115" s="165"/>
      <c r="GF115" s="165"/>
      <c r="GG115" s="165"/>
      <c r="GH115" s="160"/>
      <c r="GI115" s="168"/>
      <c r="GJ115" s="168"/>
      <c r="GK115" s="168"/>
      <c r="GL115" s="163"/>
      <c r="GM115" s="165"/>
      <c r="GN115" s="165"/>
      <c r="GO115" s="165"/>
      <c r="GP115" s="160"/>
      <c r="GQ115" s="168"/>
      <c r="GR115" s="168"/>
      <c r="GS115" s="168"/>
    </row>
    <row r="116" spans="2:201" s="146" customFormat="1" ht="137.5" customHeight="1" x14ac:dyDescent="0.35">
      <c r="B116" s="147"/>
      <c r="C116" s="148"/>
      <c r="D116" s="148"/>
      <c r="E116" s="148"/>
      <c r="F116" s="148"/>
      <c r="G116" s="171"/>
      <c r="H116" s="189"/>
      <c r="I116" s="150"/>
      <c r="J116" s="151"/>
      <c r="K116" s="152"/>
      <c r="L116" s="153"/>
      <c r="M116" s="153"/>
      <c r="N116" s="154"/>
      <c r="O116" s="155">
        <f t="shared" ca="1" si="9"/>
        <v>0</v>
      </c>
      <c r="P116" s="155">
        <f t="shared" ref="P116:P125" ca="1" si="10">IF(N116="Revisión INN",TODAY()-L116,0)</f>
        <v>0</v>
      </c>
      <c r="Q116" s="156">
        <f t="shared" si="8"/>
        <v>0</v>
      </c>
      <c r="R116" s="157"/>
      <c r="S116" s="158"/>
      <c r="T116" s="158"/>
      <c r="U116" s="159"/>
      <c r="V116" s="160"/>
      <c r="W116" s="161"/>
      <c r="X116" s="162"/>
      <c r="Y116" s="161"/>
      <c r="Z116" s="163"/>
      <c r="AA116" s="164"/>
      <c r="AB116" s="165"/>
      <c r="AC116" s="159"/>
      <c r="AD116" s="160"/>
      <c r="AE116" s="161"/>
      <c r="AF116" s="162"/>
      <c r="AG116" s="161"/>
      <c r="AH116" s="163"/>
      <c r="AI116" s="164"/>
      <c r="AJ116" s="165"/>
      <c r="AK116" s="166"/>
      <c r="AL116" s="167"/>
      <c r="AM116" s="161"/>
      <c r="AN116" s="162"/>
      <c r="AO116" s="161"/>
      <c r="AP116" s="170"/>
      <c r="AQ116" s="164"/>
      <c r="AR116" s="165"/>
      <c r="AS116" s="166"/>
      <c r="AT116" s="160"/>
      <c r="AU116" s="161"/>
      <c r="AV116" s="162"/>
      <c r="AW116" s="168"/>
      <c r="AX116" s="163"/>
      <c r="AY116" s="165"/>
      <c r="AZ116" s="165"/>
      <c r="BA116" s="165"/>
      <c r="BB116" s="160"/>
      <c r="BC116" s="168"/>
      <c r="BD116" s="162"/>
      <c r="BE116" s="168"/>
      <c r="BF116" s="163"/>
      <c r="BG116" s="165"/>
      <c r="BH116" s="165"/>
      <c r="BI116" s="165"/>
      <c r="BJ116" s="160"/>
      <c r="BK116" s="168"/>
      <c r="BL116" s="162"/>
      <c r="BM116" s="168"/>
      <c r="BN116" s="163"/>
      <c r="BO116" s="165"/>
      <c r="BP116" s="165"/>
      <c r="BQ116" s="165"/>
      <c r="BR116" s="160"/>
      <c r="BS116" s="168"/>
      <c r="BT116" s="162"/>
      <c r="BU116" s="168"/>
      <c r="BV116" s="163"/>
      <c r="BW116" s="165"/>
      <c r="BX116" s="165"/>
      <c r="BY116" s="165"/>
      <c r="BZ116" s="160"/>
      <c r="CA116" s="168"/>
      <c r="CB116" s="168"/>
      <c r="CC116" s="168"/>
      <c r="CD116" s="163"/>
      <c r="CE116" s="165"/>
      <c r="CF116" s="165"/>
      <c r="CG116" s="165"/>
      <c r="CH116" s="160"/>
      <c r="CI116" s="168"/>
      <c r="CJ116" s="168"/>
      <c r="CK116" s="168"/>
      <c r="CL116" s="163"/>
      <c r="CM116" s="165"/>
      <c r="CN116" s="165"/>
      <c r="CO116" s="165"/>
      <c r="CP116" s="160"/>
      <c r="CQ116" s="168"/>
      <c r="CR116" s="168"/>
      <c r="CS116" s="168"/>
      <c r="CT116" s="163"/>
      <c r="CU116" s="165"/>
      <c r="CV116" s="165"/>
      <c r="CW116" s="165"/>
      <c r="CX116" s="160"/>
      <c r="CY116" s="168"/>
      <c r="CZ116" s="168"/>
      <c r="DA116" s="168"/>
      <c r="DB116" s="163"/>
      <c r="DC116" s="165"/>
      <c r="DD116" s="165"/>
      <c r="DE116" s="165"/>
      <c r="DF116" s="160"/>
      <c r="DG116" s="168"/>
      <c r="DH116" s="168"/>
      <c r="DI116" s="168"/>
      <c r="DJ116" s="163"/>
      <c r="DK116" s="165"/>
      <c r="DL116" s="165"/>
      <c r="DM116" s="165"/>
      <c r="DN116" s="160"/>
      <c r="DO116" s="168"/>
      <c r="DP116" s="168"/>
      <c r="DQ116" s="168"/>
      <c r="DR116" s="163"/>
      <c r="DS116" s="165"/>
      <c r="DT116" s="165"/>
      <c r="DU116" s="165"/>
      <c r="DV116" s="160"/>
      <c r="DW116" s="168"/>
      <c r="DX116" s="168"/>
      <c r="DY116" s="168"/>
      <c r="DZ116" s="163"/>
      <c r="EA116" s="165"/>
      <c r="EB116" s="165"/>
      <c r="EC116" s="165"/>
      <c r="ED116" s="160"/>
      <c r="EE116" s="168"/>
      <c r="EF116" s="168"/>
      <c r="EG116" s="168"/>
      <c r="EH116" s="163"/>
      <c r="EI116" s="165"/>
      <c r="EJ116" s="165"/>
      <c r="EK116" s="165"/>
      <c r="EL116" s="160"/>
      <c r="EM116" s="168"/>
      <c r="EN116" s="168"/>
      <c r="EO116" s="168"/>
      <c r="EP116" s="163"/>
      <c r="EQ116" s="165"/>
      <c r="ER116" s="165"/>
      <c r="ES116" s="165"/>
      <c r="ET116" s="160"/>
      <c r="EU116" s="168"/>
      <c r="EV116" s="168"/>
      <c r="EW116" s="168"/>
      <c r="EX116" s="163"/>
      <c r="EY116" s="165"/>
      <c r="EZ116" s="165"/>
      <c r="FA116" s="165"/>
      <c r="FB116" s="160"/>
      <c r="FC116" s="168"/>
      <c r="FD116" s="168"/>
      <c r="FE116" s="168"/>
      <c r="FF116" s="163"/>
      <c r="FG116" s="165"/>
      <c r="FH116" s="165"/>
      <c r="FI116" s="165"/>
      <c r="FJ116" s="160"/>
      <c r="FK116" s="168"/>
      <c r="FL116" s="168"/>
      <c r="FM116" s="168"/>
      <c r="FN116" s="163"/>
      <c r="FO116" s="165"/>
      <c r="FP116" s="165"/>
      <c r="FQ116" s="165"/>
      <c r="FR116" s="160"/>
      <c r="FS116" s="168"/>
      <c r="FT116" s="168"/>
      <c r="FU116" s="168"/>
      <c r="FV116" s="163"/>
      <c r="FW116" s="165"/>
      <c r="FX116" s="165"/>
      <c r="FY116" s="165"/>
      <c r="FZ116" s="160"/>
      <c r="GA116" s="168"/>
      <c r="GB116" s="168"/>
      <c r="GC116" s="168"/>
      <c r="GD116" s="163"/>
      <c r="GE116" s="165"/>
      <c r="GF116" s="165"/>
      <c r="GG116" s="165"/>
      <c r="GH116" s="160"/>
      <c r="GI116" s="168"/>
      <c r="GJ116" s="168"/>
      <c r="GK116" s="168"/>
      <c r="GL116" s="163"/>
      <c r="GM116" s="165"/>
      <c r="GN116" s="165"/>
      <c r="GO116" s="165"/>
      <c r="GP116" s="160"/>
      <c r="GQ116" s="168"/>
      <c r="GR116" s="168"/>
      <c r="GS116" s="168"/>
    </row>
    <row r="117" spans="2:201" s="146" customFormat="1" ht="137.5" customHeight="1" x14ac:dyDescent="0.35">
      <c r="B117" s="147"/>
      <c r="C117" s="148"/>
      <c r="D117" s="148"/>
      <c r="E117" s="148"/>
      <c r="F117" s="148"/>
      <c r="G117" s="171"/>
      <c r="H117" s="173"/>
      <c r="I117" s="150"/>
      <c r="J117" s="151"/>
      <c r="K117" s="152"/>
      <c r="L117" s="153"/>
      <c r="M117" s="153"/>
      <c r="N117" s="154"/>
      <c r="O117" s="155">
        <f t="shared" ca="1" si="9"/>
        <v>0</v>
      </c>
      <c r="P117" s="155">
        <f t="shared" ca="1" si="10"/>
        <v>0</v>
      </c>
      <c r="Q117" s="156">
        <f t="shared" si="8"/>
        <v>0</v>
      </c>
      <c r="R117" s="157"/>
      <c r="S117" s="158"/>
      <c r="T117" s="158"/>
      <c r="U117" s="159"/>
      <c r="V117" s="160"/>
      <c r="W117" s="161"/>
      <c r="X117" s="162"/>
      <c r="Y117" s="161"/>
      <c r="Z117" s="163"/>
      <c r="AA117" s="164"/>
      <c r="AB117" s="165"/>
      <c r="AC117" s="166"/>
      <c r="AD117" s="160"/>
      <c r="AE117" s="161"/>
      <c r="AF117" s="162"/>
      <c r="AG117" s="161"/>
      <c r="AH117" s="163"/>
      <c r="AI117" s="164"/>
      <c r="AJ117" s="165"/>
      <c r="AK117" s="166"/>
      <c r="AL117" s="167"/>
      <c r="AM117" s="161"/>
      <c r="AN117" s="162"/>
      <c r="AO117" s="161"/>
      <c r="AP117" s="170"/>
      <c r="AQ117" s="164"/>
      <c r="AR117" s="165"/>
      <c r="AS117" s="166"/>
      <c r="AT117" s="160"/>
      <c r="AU117" s="161"/>
      <c r="AV117" s="162"/>
      <c r="AW117" s="168"/>
      <c r="AX117" s="163"/>
      <c r="AY117" s="165"/>
      <c r="AZ117" s="165"/>
      <c r="BA117" s="165"/>
      <c r="BB117" s="160"/>
      <c r="BC117" s="168"/>
      <c r="BD117" s="162"/>
      <c r="BE117" s="168"/>
      <c r="BF117" s="163"/>
      <c r="BG117" s="165"/>
      <c r="BH117" s="165"/>
      <c r="BI117" s="165"/>
      <c r="BJ117" s="160"/>
      <c r="BK117" s="168"/>
      <c r="BL117" s="162"/>
      <c r="BM117" s="168"/>
      <c r="BN117" s="163"/>
      <c r="BO117" s="165"/>
      <c r="BP117" s="165"/>
      <c r="BQ117" s="165"/>
      <c r="BR117" s="160"/>
      <c r="BS117" s="168"/>
      <c r="BT117" s="162"/>
      <c r="BU117" s="168"/>
      <c r="BV117" s="163"/>
      <c r="BW117" s="165"/>
      <c r="BX117" s="165"/>
      <c r="BY117" s="165"/>
      <c r="BZ117" s="160"/>
      <c r="CA117" s="168"/>
      <c r="CB117" s="168"/>
      <c r="CC117" s="168"/>
      <c r="CD117" s="163"/>
      <c r="CE117" s="165"/>
      <c r="CF117" s="165"/>
      <c r="CG117" s="165"/>
      <c r="CH117" s="160"/>
      <c r="CI117" s="168"/>
      <c r="CJ117" s="168"/>
      <c r="CK117" s="168"/>
      <c r="CL117" s="163"/>
      <c r="CM117" s="165"/>
      <c r="CN117" s="165"/>
      <c r="CO117" s="165"/>
      <c r="CP117" s="160"/>
      <c r="CQ117" s="168"/>
      <c r="CR117" s="168"/>
      <c r="CS117" s="168"/>
      <c r="CT117" s="163"/>
      <c r="CU117" s="165"/>
      <c r="CV117" s="165"/>
      <c r="CW117" s="165"/>
      <c r="CX117" s="160"/>
      <c r="CY117" s="168"/>
      <c r="CZ117" s="168"/>
      <c r="DA117" s="168"/>
      <c r="DB117" s="163"/>
      <c r="DC117" s="165"/>
      <c r="DD117" s="165"/>
      <c r="DE117" s="165"/>
      <c r="DF117" s="160"/>
      <c r="DG117" s="168"/>
      <c r="DH117" s="168"/>
      <c r="DI117" s="168"/>
      <c r="DJ117" s="163"/>
      <c r="DK117" s="165"/>
      <c r="DL117" s="165"/>
      <c r="DM117" s="165"/>
      <c r="DN117" s="160"/>
      <c r="DO117" s="168"/>
      <c r="DP117" s="168"/>
      <c r="DQ117" s="168"/>
      <c r="DR117" s="163"/>
      <c r="DS117" s="165"/>
      <c r="DT117" s="165"/>
      <c r="DU117" s="165"/>
      <c r="DV117" s="160"/>
      <c r="DW117" s="168"/>
      <c r="DX117" s="168"/>
      <c r="DY117" s="168"/>
      <c r="DZ117" s="163"/>
      <c r="EA117" s="165"/>
      <c r="EB117" s="165"/>
      <c r="EC117" s="165"/>
      <c r="ED117" s="160"/>
      <c r="EE117" s="168"/>
      <c r="EF117" s="168"/>
      <c r="EG117" s="168"/>
      <c r="EH117" s="163"/>
      <c r="EI117" s="165"/>
      <c r="EJ117" s="165"/>
      <c r="EK117" s="165"/>
      <c r="EL117" s="160"/>
      <c r="EM117" s="168"/>
      <c r="EN117" s="168"/>
      <c r="EO117" s="168"/>
      <c r="EP117" s="163"/>
      <c r="EQ117" s="165"/>
      <c r="ER117" s="165"/>
      <c r="ES117" s="165"/>
      <c r="ET117" s="160"/>
      <c r="EU117" s="168"/>
      <c r="EV117" s="168"/>
      <c r="EW117" s="168"/>
      <c r="EX117" s="163"/>
      <c r="EY117" s="165"/>
      <c r="EZ117" s="165"/>
      <c r="FA117" s="165"/>
      <c r="FB117" s="160"/>
      <c r="FC117" s="168"/>
      <c r="FD117" s="168"/>
      <c r="FE117" s="168"/>
      <c r="FF117" s="163"/>
      <c r="FG117" s="165"/>
      <c r="FH117" s="165"/>
      <c r="FI117" s="165"/>
      <c r="FJ117" s="160"/>
      <c r="FK117" s="168"/>
      <c r="FL117" s="168"/>
      <c r="FM117" s="168"/>
      <c r="FN117" s="163"/>
      <c r="FO117" s="165"/>
      <c r="FP117" s="165"/>
      <c r="FQ117" s="165"/>
      <c r="FR117" s="160"/>
      <c r="FS117" s="168"/>
      <c r="FT117" s="168"/>
      <c r="FU117" s="168"/>
      <c r="FV117" s="163"/>
      <c r="FW117" s="165"/>
      <c r="FX117" s="165"/>
      <c r="FY117" s="165"/>
      <c r="FZ117" s="160"/>
      <c r="GA117" s="168"/>
      <c r="GB117" s="168"/>
      <c r="GC117" s="168"/>
      <c r="GD117" s="163"/>
      <c r="GE117" s="165"/>
      <c r="GF117" s="165"/>
      <c r="GG117" s="165"/>
      <c r="GH117" s="160"/>
      <c r="GI117" s="168"/>
      <c r="GJ117" s="168"/>
      <c r="GK117" s="168"/>
      <c r="GL117" s="163"/>
      <c r="GM117" s="165"/>
      <c r="GN117" s="165"/>
      <c r="GO117" s="165"/>
      <c r="GP117" s="160"/>
      <c r="GQ117" s="168"/>
      <c r="GR117" s="168"/>
      <c r="GS117" s="168"/>
    </row>
    <row r="118" spans="2:201" s="146" customFormat="1" ht="137.5" customHeight="1" x14ac:dyDescent="0.35">
      <c r="B118" s="147"/>
      <c r="C118" s="148"/>
      <c r="D118" s="148"/>
      <c r="E118" s="148"/>
      <c r="F118" s="148"/>
      <c r="G118" s="171"/>
      <c r="H118" s="176"/>
      <c r="I118" s="150"/>
      <c r="J118" s="151"/>
      <c r="K118" s="152"/>
      <c r="L118" s="153"/>
      <c r="M118" s="153"/>
      <c r="N118" s="154"/>
      <c r="O118" s="155">
        <f ca="1">IF(N118="Comentado / Reemiir Rev.0",TODAY()-M118,0)</f>
        <v>0</v>
      </c>
      <c r="P118" s="155">
        <f t="shared" ca="1" si="10"/>
        <v>0</v>
      </c>
      <c r="Q118" s="156">
        <f t="shared" si="8"/>
        <v>0</v>
      </c>
      <c r="R118" s="157"/>
      <c r="S118" s="158"/>
      <c r="T118" s="158"/>
      <c r="U118" s="159"/>
      <c r="V118" s="160"/>
      <c r="W118" s="161"/>
      <c r="X118" s="162"/>
      <c r="Y118" s="161"/>
      <c r="Z118" s="157"/>
      <c r="AA118" s="158"/>
      <c r="AB118" s="165"/>
      <c r="AC118" s="166"/>
      <c r="AD118" s="162"/>
      <c r="AE118" s="161"/>
      <c r="AF118" s="162"/>
      <c r="AG118" s="154"/>
      <c r="AH118" s="163"/>
      <c r="AI118" s="164"/>
      <c r="AJ118" s="165"/>
      <c r="AK118" s="166"/>
      <c r="AL118" s="167"/>
      <c r="AM118" s="161"/>
      <c r="AN118" s="162"/>
      <c r="AO118" s="161"/>
      <c r="AP118" s="170"/>
      <c r="AQ118" s="164"/>
      <c r="AR118" s="165"/>
      <c r="AS118" s="166"/>
      <c r="AT118" s="160"/>
      <c r="AU118" s="161"/>
      <c r="AV118" s="162"/>
      <c r="AW118" s="168"/>
      <c r="AX118" s="163"/>
      <c r="AY118" s="165"/>
      <c r="AZ118" s="165"/>
      <c r="BA118" s="165"/>
      <c r="BB118" s="160"/>
      <c r="BC118" s="168"/>
      <c r="BD118" s="162"/>
      <c r="BE118" s="168"/>
      <c r="BF118" s="163"/>
      <c r="BG118" s="165"/>
      <c r="BH118" s="165"/>
      <c r="BI118" s="165"/>
      <c r="BJ118" s="160"/>
      <c r="BK118" s="168"/>
      <c r="BL118" s="162"/>
      <c r="BM118" s="168"/>
      <c r="BN118" s="163"/>
      <c r="BO118" s="165"/>
      <c r="BP118" s="165"/>
      <c r="BQ118" s="165"/>
      <c r="BR118" s="160"/>
      <c r="BS118" s="168"/>
      <c r="BT118" s="162"/>
      <c r="BU118" s="168"/>
      <c r="BV118" s="163"/>
      <c r="BW118" s="165"/>
      <c r="BX118" s="165"/>
      <c r="BY118" s="165"/>
      <c r="BZ118" s="160"/>
      <c r="CA118" s="168"/>
      <c r="CB118" s="168"/>
      <c r="CC118" s="168"/>
      <c r="CD118" s="163"/>
      <c r="CE118" s="165"/>
      <c r="CF118" s="165"/>
      <c r="CG118" s="165"/>
      <c r="CH118" s="160"/>
      <c r="CI118" s="168"/>
      <c r="CJ118" s="168"/>
      <c r="CK118" s="168"/>
      <c r="CL118" s="163"/>
      <c r="CM118" s="165"/>
      <c r="CN118" s="165"/>
      <c r="CO118" s="165"/>
      <c r="CP118" s="160"/>
      <c r="CQ118" s="168"/>
      <c r="CR118" s="168"/>
      <c r="CS118" s="168"/>
      <c r="CT118" s="163"/>
      <c r="CU118" s="165"/>
      <c r="CV118" s="165"/>
      <c r="CW118" s="165"/>
      <c r="CX118" s="160"/>
      <c r="CY118" s="168"/>
      <c r="CZ118" s="168"/>
      <c r="DA118" s="168"/>
      <c r="DB118" s="163"/>
      <c r="DC118" s="165"/>
      <c r="DD118" s="165"/>
      <c r="DE118" s="165"/>
      <c r="DF118" s="160"/>
      <c r="DG118" s="168"/>
      <c r="DH118" s="168"/>
      <c r="DI118" s="168"/>
      <c r="DJ118" s="163"/>
      <c r="DK118" s="165"/>
      <c r="DL118" s="165"/>
      <c r="DM118" s="165"/>
      <c r="DN118" s="160"/>
      <c r="DO118" s="168"/>
      <c r="DP118" s="168"/>
      <c r="DQ118" s="168"/>
      <c r="DR118" s="163"/>
      <c r="DS118" s="165"/>
      <c r="DT118" s="165"/>
      <c r="DU118" s="165"/>
      <c r="DV118" s="160"/>
      <c r="DW118" s="168"/>
      <c r="DX118" s="168"/>
      <c r="DY118" s="168"/>
      <c r="DZ118" s="163"/>
      <c r="EA118" s="165"/>
      <c r="EB118" s="165"/>
      <c r="EC118" s="165"/>
      <c r="ED118" s="160"/>
      <c r="EE118" s="168"/>
      <c r="EF118" s="168"/>
      <c r="EG118" s="168"/>
      <c r="EH118" s="163"/>
      <c r="EI118" s="165"/>
      <c r="EJ118" s="165"/>
      <c r="EK118" s="165"/>
      <c r="EL118" s="160"/>
      <c r="EM118" s="168"/>
      <c r="EN118" s="168"/>
      <c r="EO118" s="168"/>
      <c r="EP118" s="163"/>
      <c r="EQ118" s="165"/>
      <c r="ER118" s="165"/>
      <c r="ES118" s="165"/>
      <c r="ET118" s="160"/>
      <c r="EU118" s="168"/>
      <c r="EV118" s="168"/>
      <c r="EW118" s="168"/>
      <c r="EX118" s="163"/>
      <c r="EY118" s="165"/>
      <c r="EZ118" s="165"/>
      <c r="FA118" s="165"/>
      <c r="FB118" s="160"/>
      <c r="FC118" s="168"/>
      <c r="FD118" s="168"/>
      <c r="FE118" s="168"/>
      <c r="FF118" s="163"/>
      <c r="FG118" s="165"/>
      <c r="FH118" s="165"/>
      <c r="FI118" s="165"/>
      <c r="FJ118" s="160"/>
      <c r="FK118" s="168"/>
      <c r="FL118" s="168"/>
      <c r="FM118" s="168"/>
      <c r="FN118" s="163"/>
      <c r="FO118" s="165"/>
      <c r="FP118" s="165"/>
      <c r="FQ118" s="165"/>
      <c r="FR118" s="160"/>
      <c r="FS118" s="168"/>
      <c r="FT118" s="168"/>
      <c r="FU118" s="168"/>
      <c r="FV118" s="163"/>
      <c r="FW118" s="165"/>
      <c r="FX118" s="165"/>
      <c r="FY118" s="165"/>
      <c r="FZ118" s="160"/>
      <c r="GA118" s="168"/>
      <c r="GB118" s="168"/>
      <c r="GC118" s="168"/>
      <c r="GD118" s="163"/>
      <c r="GE118" s="165"/>
      <c r="GF118" s="165"/>
      <c r="GG118" s="165"/>
      <c r="GH118" s="160"/>
      <c r="GI118" s="168"/>
      <c r="GJ118" s="168"/>
      <c r="GK118" s="168"/>
      <c r="GL118" s="163"/>
      <c r="GM118" s="165"/>
      <c r="GN118" s="165"/>
      <c r="GO118" s="165"/>
      <c r="GP118" s="160"/>
      <c r="GQ118" s="168"/>
      <c r="GR118" s="168"/>
      <c r="GS118" s="168"/>
    </row>
    <row r="119" spans="2:201" s="146" customFormat="1" ht="137.5" customHeight="1" x14ac:dyDescent="0.35">
      <c r="B119" s="147"/>
      <c r="C119" s="148"/>
      <c r="D119" s="148"/>
      <c r="E119" s="148"/>
      <c r="F119" s="148"/>
      <c r="G119" s="265"/>
      <c r="H119" s="190"/>
      <c r="I119" s="150"/>
      <c r="J119" s="151"/>
      <c r="K119" s="152"/>
      <c r="L119" s="153"/>
      <c r="M119" s="153"/>
      <c r="N119" s="154"/>
      <c r="O119" s="155">
        <f ca="1">IF(N119="Aprobado con comentarios / Emitir Rev.0",TODAY()-M119,0)</f>
        <v>0</v>
      </c>
      <c r="P119" s="155">
        <f t="shared" ca="1" si="10"/>
        <v>0</v>
      </c>
      <c r="Q119" s="156">
        <f t="shared" si="8"/>
        <v>0</v>
      </c>
      <c r="R119" s="157"/>
      <c r="S119" s="158"/>
      <c r="T119" s="158"/>
      <c r="U119" s="159"/>
      <c r="V119" s="160"/>
      <c r="W119" s="161"/>
      <c r="X119" s="162"/>
      <c r="Y119" s="161"/>
      <c r="Z119" s="163"/>
      <c r="AA119" s="164"/>
      <c r="AB119" s="165"/>
      <c r="AC119" s="166"/>
      <c r="AD119" s="160"/>
      <c r="AE119" s="161"/>
      <c r="AF119" s="162"/>
      <c r="AG119" s="161"/>
      <c r="AH119" s="163"/>
      <c r="AI119" s="164"/>
      <c r="AJ119" s="165"/>
      <c r="AK119" s="166"/>
      <c r="AL119" s="167"/>
      <c r="AM119" s="161"/>
      <c r="AN119" s="162"/>
      <c r="AO119" s="161"/>
      <c r="AP119" s="170"/>
      <c r="AQ119" s="164"/>
      <c r="AR119" s="165"/>
      <c r="AS119" s="166"/>
      <c r="AT119" s="160"/>
      <c r="AU119" s="161"/>
      <c r="AV119" s="162"/>
      <c r="AW119" s="168"/>
      <c r="AX119" s="163"/>
      <c r="AY119" s="165"/>
      <c r="AZ119" s="165"/>
      <c r="BA119" s="165"/>
      <c r="BB119" s="160"/>
      <c r="BC119" s="168"/>
      <c r="BD119" s="162"/>
      <c r="BE119" s="168"/>
      <c r="BF119" s="163"/>
      <c r="BG119" s="165"/>
      <c r="BH119" s="165"/>
      <c r="BI119" s="165"/>
      <c r="BJ119" s="160"/>
      <c r="BK119" s="168"/>
      <c r="BL119" s="162"/>
      <c r="BM119" s="168"/>
      <c r="BN119" s="163"/>
      <c r="BO119" s="165"/>
      <c r="BP119" s="165"/>
      <c r="BQ119" s="165"/>
      <c r="BR119" s="160"/>
      <c r="BS119" s="168"/>
      <c r="BT119" s="162"/>
      <c r="BU119" s="168"/>
      <c r="BV119" s="163"/>
      <c r="BW119" s="165"/>
      <c r="BX119" s="165"/>
      <c r="BY119" s="165"/>
      <c r="BZ119" s="160"/>
      <c r="CA119" s="168"/>
      <c r="CB119" s="168"/>
      <c r="CC119" s="168"/>
      <c r="CD119" s="163"/>
      <c r="CE119" s="165"/>
      <c r="CF119" s="165"/>
      <c r="CG119" s="165"/>
      <c r="CH119" s="160"/>
      <c r="CI119" s="168"/>
      <c r="CJ119" s="168"/>
      <c r="CK119" s="168"/>
      <c r="CL119" s="163"/>
      <c r="CM119" s="165"/>
      <c r="CN119" s="165"/>
      <c r="CO119" s="165"/>
      <c r="CP119" s="160"/>
      <c r="CQ119" s="168"/>
      <c r="CR119" s="168"/>
      <c r="CS119" s="168"/>
      <c r="CT119" s="163"/>
      <c r="CU119" s="165"/>
      <c r="CV119" s="165"/>
      <c r="CW119" s="165"/>
      <c r="CX119" s="160"/>
      <c r="CY119" s="168"/>
      <c r="CZ119" s="168"/>
      <c r="DA119" s="168"/>
      <c r="DB119" s="163"/>
      <c r="DC119" s="165"/>
      <c r="DD119" s="165"/>
      <c r="DE119" s="165"/>
      <c r="DF119" s="160"/>
      <c r="DG119" s="168"/>
      <c r="DH119" s="168"/>
      <c r="DI119" s="168"/>
      <c r="DJ119" s="163"/>
      <c r="DK119" s="165"/>
      <c r="DL119" s="165"/>
      <c r="DM119" s="165"/>
      <c r="DN119" s="160"/>
      <c r="DO119" s="168"/>
      <c r="DP119" s="168"/>
      <c r="DQ119" s="168"/>
      <c r="DR119" s="163"/>
      <c r="DS119" s="165"/>
      <c r="DT119" s="165"/>
      <c r="DU119" s="165"/>
      <c r="DV119" s="160"/>
      <c r="DW119" s="168"/>
      <c r="DX119" s="168"/>
      <c r="DY119" s="168"/>
      <c r="DZ119" s="163"/>
      <c r="EA119" s="165"/>
      <c r="EB119" s="165"/>
      <c r="EC119" s="165"/>
      <c r="ED119" s="160"/>
      <c r="EE119" s="168"/>
      <c r="EF119" s="168"/>
      <c r="EG119" s="168"/>
      <c r="EH119" s="163"/>
      <c r="EI119" s="165"/>
      <c r="EJ119" s="165"/>
      <c r="EK119" s="165"/>
      <c r="EL119" s="160"/>
      <c r="EM119" s="168"/>
      <c r="EN119" s="168"/>
      <c r="EO119" s="168"/>
      <c r="EP119" s="163"/>
      <c r="EQ119" s="165"/>
      <c r="ER119" s="165"/>
      <c r="ES119" s="165"/>
      <c r="ET119" s="160"/>
      <c r="EU119" s="168"/>
      <c r="EV119" s="168"/>
      <c r="EW119" s="168"/>
      <c r="EX119" s="163"/>
      <c r="EY119" s="165"/>
      <c r="EZ119" s="165"/>
      <c r="FA119" s="165"/>
      <c r="FB119" s="160"/>
      <c r="FC119" s="168"/>
      <c r="FD119" s="168"/>
      <c r="FE119" s="168"/>
      <c r="FF119" s="163"/>
      <c r="FG119" s="165"/>
      <c r="FH119" s="165"/>
      <c r="FI119" s="165"/>
      <c r="FJ119" s="160"/>
      <c r="FK119" s="168"/>
      <c r="FL119" s="168"/>
      <c r="FM119" s="168"/>
      <c r="FN119" s="163"/>
      <c r="FO119" s="165"/>
      <c r="FP119" s="165"/>
      <c r="FQ119" s="165"/>
      <c r="FR119" s="160"/>
      <c r="FS119" s="168"/>
      <c r="FT119" s="168"/>
      <c r="FU119" s="168"/>
      <c r="FV119" s="163"/>
      <c r="FW119" s="165"/>
      <c r="FX119" s="165"/>
      <c r="FY119" s="165"/>
      <c r="FZ119" s="160"/>
      <c r="GA119" s="168"/>
      <c r="GB119" s="168"/>
      <c r="GC119" s="168"/>
      <c r="GD119" s="163"/>
      <c r="GE119" s="165"/>
      <c r="GF119" s="165"/>
      <c r="GG119" s="165"/>
      <c r="GH119" s="160"/>
      <c r="GI119" s="168"/>
      <c r="GJ119" s="168"/>
      <c r="GK119" s="168"/>
      <c r="GL119" s="163"/>
      <c r="GM119" s="165"/>
      <c r="GN119" s="165"/>
      <c r="GO119" s="165"/>
      <c r="GP119" s="160"/>
      <c r="GQ119" s="168"/>
      <c r="GR119" s="168"/>
      <c r="GS119" s="168"/>
    </row>
    <row r="120" spans="2:201" s="146" customFormat="1" ht="137.5" customHeight="1" x14ac:dyDescent="0.35">
      <c r="B120" s="147"/>
      <c r="C120" s="148"/>
      <c r="D120" s="148"/>
      <c r="E120" s="148"/>
      <c r="F120" s="148"/>
      <c r="G120" s="171"/>
      <c r="H120" s="173"/>
      <c r="I120" s="150"/>
      <c r="J120" s="151"/>
      <c r="K120" s="152"/>
      <c r="L120" s="153"/>
      <c r="M120" s="153"/>
      <c r="N120" s="154"/>
      <c r="O120" s="155">
        <f ca="1">IF(N120="Aprobado con comentarios / Emitir Rev.0",TODAY()-M120,0)</f>
        <v>0</v>
      </c>
      <c r="P120" s="155">
        <f t="shared" ca="1" si="10"/>
        <v>0</v>
      </c>
      <c r="Q120" s="156">
        <f t="shared" si="8"/>
        <v>0</v>
      </c>
      <c r="R120" s="157"/>
      <c r="S120" s="158"/>
      <c r="T120" s="158"/>
      <c r="U120" s="159"/>
      <c r="V120" s="160"/>
      <c r="W120" s="161"/>
      <c r="X120" s="162"/>
      <c r="Y120" s="161"/>
      <c r="Z120" s="163"/>
      <c r="AA120" s="164"/>
      <c r="AB120" s="165"/>
      <c r="AC120" s="166"/>
      <c r="AD120" s="160"/>
      <c r="AE120" s="161"/>
      <c r="AF120" s="162"/>
      <c r="AG120" s="161"/>
      <c r="AH120" s="157"/>
      <c r="AI120" s="158"/>
      <c r="AJ120" s="158"/>
      <c r="AK120" s="159"/>
      <c r="AL120" s="167"/>
      <c r="AM120" s="161"/>
      <c r="AN120" s="162"/>
      <c r="AO120" s="161"/>
      <c r="AP120" s="170"/>
      <c r="AQ120" s="164"/>
      <c r="AR120" s="165"/>
      <c r="AS120" s="166"/>
      <c r="AT120" s="160"/>
      <c r="AU120" s="161"/>
      <c r="AV120" s="162"/>
      <c r="AW120" s="168"/>
      <c r="AX120" s="163"/>
      <c r="AY120" s="165"/>
      <c r="AZ120" s="165"/>
      <c r="BA120" s="165"/>
      <c r="BB120" s="160"/>
      <c r="BC120" s="168"/>
      <c r="BD120" s="162"/>
      <c r="BE120" s="168"/>
      <c r="BF120" s="163"/>
      <c r="BG120" s="165"/>
      <c r="BH120" s="165"/>
      <c r="BI120" s="165"/>
      <c r="BJ120" s="160"/>
      <c r="BK120" s="168"/>
      <c r="BL120" s="162"/>
      <c r="BM120" s="168"/>
      <c r="BN120" s="163"/>
      <c r="BO120" s="165"/>
      <c r="BP120" s="165"/>
      <c r="BQ120" s="165"/>
      <c r="BR120" s="160"/>
      <c r="BS120" s="168"/>
      <c r="BT120" s="162"/>
      <c r="BU120" s="168"/>
      <c r="BV120" s="163"/>
      <c r="BW120" s="165"/>
      <c r="BX120" s="165"/>
      <c r="BY120" s="165"/>
      <c r="BZ120" s="160"/>
      <c r="CA120" s="168"/>
      <c r="CB120" s="168"/>
      <c r="CC120" s="168"/>
      <c r="CD120" s="163"/>
      <c r="CE120" s="165"/>
      <c r="CF120" s="165"/>
      <c r="CG120" s="165"/>
      <c r="CH120" s="160"/>
      <c r="CI120" s="168"/>
      <c r="CJ120" s="168"/>
      <c r="CK120" s="168"/>
      <c r="CL120" s="163"/>
      <c r="CM120" s="165"/>
      <c r="CN120" s="165"/>
      <c r="CO120" s="165"/>
      <c r="CP120" s="160"/>
      <c r="CQ120" s="168"/>
      <c r="CR120" s="168"/>
      <c r="CS120" s="168"/>
      <c r="CT120" s="163"/>
      <c r="CU120" s="165"/>
      <c r="CV120" s="165"/>
      <c r="CW120" s="165"/>
      <c r="CX120" s="160"/>
      <c r="CY120" s="168"/>
      <c r="CZ120" s="168"/>
      <c r="DA120" s="168"/>
      <c r="DB120" s="163"/>
      <c r="DC120" s="165"/>
      <c r="DD120" s="165"/>
      <c r="DE120" s="165"/>
      <c r="DF120" s="160"/>
      <c r="DG120" s="168"/>
      <c r="DH120" s="168"/>
      <c r="DI120" s="168"/>
      <c r="DJ120" s="163"/>
      <c r="DK120" s="165"/>
      <c r="DL120" s="165"/>
      <c r="DM120" s="165"/>
      <c r="DN120" s="160"/>
      <c r="DO120" s="168"/>
      <c r="DP120" s="168"/>
      <c r="DQ120" s="168"/>
      <c r="DR120" s="163"/>
      <c r="DS120" s="165"/>
      <c r="DT120" s="165"/>
      <c r="DU120" s="165"/>
      <c r="DV120" s="160"/>
      <c r="DW120" s="168"/>
      <c r="DX120" s="168"/>
      <c r="DY120" s="168"/>
      <c r="DZ120" s="163"/>
      <c r="EA120" s="165"/>
      <c r="EB120" s="165"/>
      <c r="EC120" s="165"/>
      <c r="ED120" s="160"/>
      <c r="EE120" s="168"/>
      <c r="EF120" s="168"/>
      <c r="EG120" s="168"/>
      <c r="EH120" s="163"/>
      <c r="EI120" s="165"/>
      <c r="EJ120" s="165"/>
      <c r="EK120" s="165"/>
      <c r="EL120" s="160"/>
      <c r="EM120" s="168"/>
      <c r="EN120" s="168"/>
      <c r="EO120" s="168"/>
      <c r="EP120" s="163"/>
      <c r="EQ120" s="165"/>
      <c r="ER120" s="165"/>
      <c r="ES120" s="165"/>
      <c r="ET120" s="160"/>
      <c r="EU120" s="168"/>
      <c r="EV120" s="168"/>
      <c r="EW120" s="168"/>
      <c r="EX120" s="163"/>
      <c r="EY120" s="165"/>
      <c r="EZ120" s="165"/>
      <c r="FA120" s="165"/>
      <c r="FB120" s="160"/>
      <c r="FC120" s="168"/>
      <c r="FD120" s="168"/>
      <c r="FE120" s="168"/>
      <c r="FF120" s="163"/>
      <c r="FG120" s="165"/>
      <c r="FH120" s="165"/>
      <c r="FI120" s="165"/>
      <c r="FJ120" s="160"/>
      <c r="FK120" s="168"/>
      <c r="FL120" s="168"/>
      <c r="FM120" s="168"/>
      <c r="FN120" s="163"/>
      <c r="FO120" s="165"/>
      <c r="FP120" s="165"/>
      <c r="FQ120" s="165"/>
      <c r="FR120" s="160"/>
      <c r="FS120" s="168"/>
      <c r="FT120" s="168"/>
      <c r="FU120" s="168"/>
      <c r="FV120" s="163"/>
      <c r="FW120" s="165"/>
      <c r="FX120" s="165"/>
      <c r="FY120" s="165"/>
      <c r="FZ120" s="160"/>
      <c r="GA120" s="168"/>
      <c r="GB120" s="168"/>
      <c r="GC120" s="168"/>
      <c r="GD120" s="163"/>
      <c r="GE120" s="165"/>
      <c r="GF120" s="165"/>
      <c r="GG120" s="165"/>
      <c r="GH120" s="160"/>
      <c r="GI120" s="168"/>
      <c r="GJ120" s="168"/>
      <c r="GK120" s="168"/>
      <c r="GL120" s="163"/>
      <c r="GM120" s="165"/>
      <c r="GN120" s="165"/>
      <c r="GO120" s="165"/>
      <c r="GP120" s="160"/>
      <c r="GQ120" s="168"/>
      <c r="GR120" s="168"/>
      <c r="GS120" s="168"/>
    </row>
    <row r="121" spans="2:201" s="146" customFormat="1" ht="137.5" customHeight="1" x14ac:dyDescent="0.35">
      <c r="B121" s="147"/>
      <c r="C121" s="148"/>
      <c r="D121" s="148"/>
      <c r="E121" s="148"/>
      <c r="F121" s="148"/>
      <c r="G121" s="171"/>
      <c r="H121" s="176"/>
      <c r="I121" s="150"/>
      <c r="J121" s="151"/>
      <c r="K121" s="152"/>
      <c r="L121" s="153"/>
      <c r="M121" s="153"/>
      <c r="N121" s="154"/>
      <c r="O121" s="155">
        <f ca="1">IF(N121="Comentado / Reemiir Rev.0",TODAY()-M121,0)</f>
        <v>0</v>
      </c>
      <c r="P121" s="155">
        <f t="shared" ca="1" si="10"/>
        <v>0</v>
      </c>
      <c r="Q121" s="156">
        <f t="shared" si="8"/>
        <v>0</v>
      </c>
      <c r="R121" s="157"/>
      <c r="S121" s="158"/>
      <c r="T121" s="158"/>
      <c r="U121" s="159"/>
      <c r="V121" s="160"/>
      <c r="W121" s="161"/>
      <c r="X121" s="162"/>
      <c r="Y121" s="161"/>
      <c r="Z121" s="157"/>
      <c r="AA121" s="158"/>
      <c r="AB121" s="165"/>
      <c r="AC121" s="166"/>
      <c r="AD121" s="162"/>
      <c r="AE121" s="161"/>
      <c r="AF121" s="162"/>
      <c r="AG121" s="154"/>
      <c r="AH121" s="163"/>
      <c r="AI121" s="164"/>
      <c r="AJ121" s="165"/>
      <c r="AK121" s="166"/>
      <c r="AL121" s="167"/>
      <c r="AM121" s="161"/>
      <c r="AN121" s="162"/>
      <c r="AO121" s="161"/>
      <c r="AP121" s="170"/>
      <c r="AQ121" s="164"/>
      <c r="AR121" s="165"/>
      <c r="AS121" s="166"/>
      <c r="AT121" s="160"/>
      <c r="AU121" s="161"/>
      <c r="AV121" s="162"/>
      <c r="AW121" s="168"/>
      <c r="AX121" s="163"/>
      <c r="AY121" s="165"/>
      <c r="AZ121" s="165"/>
      <c r="BA121" s="165"/>
      <c r="BB121" s="160"/>
      <c r="BC121" s="168"/>
      <c r="BD121" s="162"/>
      <c r="BE121" s="168"/>
      <c r="BF121" s="163"/>
      <c r="BG121" s="165"/>
      <c r="BH121" s="165"/>
      <c r="BI121" s="165"/>
      <c r="BJ121" s="160"/>
      <c r="BK121" s="168"/>
      <c r="BL121" s="162"/>
      <c r="BM121" s="168"/>
      <c r="BN121" s="163"/>
      <c r="BO121" s="165"/>
      <c r="BP121" s="165"/>
      <c r="BQ121" s="165"/>
      <c r="BR121" s="160"/>
      <c r="BS121" s="168"/>
      <c r="BT121" s="162"/>
      <c r="BU121" s="168"/>
      <c r="BV121" s="163"/>
      <c r="BW121" s="165"/>
      <c r="BX121" s="165"/>
      <c r="BY121" s="165"/>
      <c r="BZ121" s="160"/>
      <c r="CA121" s="168"/>
      <c r="CB121" s="168"/>
      <c r="CC121" s="168"/>
      <c r="CD121" s="163"/>
      <c r="CE121" s="165"/>
      <c r="CF121" s="165"/>
      <c r="CG121" s="165"/>
      <c r="CH121" s="160"/>
      <c r="CI121" s="168"/>
      <c r="CJ121" s="168"/>
      <c r="CK121" s="168"/>
      <c r="CL121" s="163"/>
      <c r="CM121" s="165"/>
      <c r="CN121" s="165"/>
      <c r="CO121" s="165"/>
      <c r="CP121" s="160"/>
      <c r="CQ121" s="168"/>
      <c r="CR121" s="168"/>
      <c r="CS121" s="168"/>
      <c r="CT121" s="163"/>
      <c r="CU121" s="165"/>
      <c r="CV121" s="165"/>
      <c r="CW121" s="165"/>
      <c r="CX121" s="160"/>
      <c r="CY121" s="168"/>
      <c r="CZ121" s="168"/>
      <c r="DA121" s="168"/>
      <c r="DB121" s="163"/>
      <c r="DC121" s="165"/>
      <c r="DD121" s="165"/>
      <c r="DE121" s="165"/>
      <c r="DF121" s="160"/>
      <c r="DG121" s="168"/>
      <c r="DH121" s="168"/>
      <c r="DI121" s="168"/>
      <c r="DJ121" s="163"/>
      <c r="DK121" s="165"/>
      <c r="DL121" s="165"/>
      <c r="DM121" s="165"/>
      <c r="DN121" s="160"/>
      <c r="DO121" s="168"/>
      <c r="DP121" s="168"/>
      <c r="DQ121" s="168"/>
      <c r="DR121" s="163"/>
      <c r="DS121" s="165"/>
      <c r="DT121" s="165"/>
      <c r="DU121" s="165"/>
      <c r="DV121" s="160"/>
      <c r="DW121" s="168"/>
      <c r="DX121" s="168"/>
      <c r="DY121" s="168"/>
      <c r="DZ121" s="163"/>
      <c r="EA121" s="165"/>
      <c r="EB121" s="165"/>
      <c r="EC121" s="165"/>
      <c r="ED121" s="160"/>
      <c r="EE121" s="168"/>
      <c r="EF121" s="168"/>
      <c r="EG121" s="168"/>
      <c r="EH121" s="163"/>
      <c r="EI121" s="165"/>
      <c r="EJ121" s="165"/>
      <c r="EK121" s="165"/>
      <c r="EL121" s="160"/>
      <c r="EM121" s="168"/>
      <c r="EN121" s="168"/>
      <c r="EO121" s="168"/>
      <c r="EP121" s="163"/>
      <c r="EQ121" s="165"/>
      <c r="ER121" s="165"/>
      <c r="ES121" s="165"/>
      <c r="ET121" s="160"/>
      <c r="EU121" s="168"/>
      <c r="EV121" s="168"/>
      <c r="EW121" s="168"/>
      <c r="EX121" s="163"/>
      <c r="EY121" s="165"/>
      <c r="EZ121" s="165"/>
      <c r="FA121" s="165"/>
      <c r="FB121" s="160"/>
      <c r="FC121" s="168"/>
      <c r="FD121" s="168"/>
      <c r="FE121" s="168"/>
      <c r="FF121" s="163"/>
      <c r="FG121" s="165"/>
      <c r="FH121" s="165"/>
      <c r="FI121" s="165"/>
      <c r="FJ121" s="160"/>
      <c r="FK121" s="168"/>
      <c r="FL121" s="168"/>
      <c r="FM121" s="168"/>
      <c r="FN121" s="163"/>
      <c r="FO121" s="165"/>
      <c r="FP121" s="165"/>
      <c r="FQ121" s="165"/>
      <c r="FR121" s="160"/>
      <c r="FS121" s="168"/>
      <c r="FT121" s="168"/>
      <c r="FU121" s="168"/>
      <c r="FV121" s="163"/>
      <c r="FW121" s="165"/>
      <c r="FX121" s="165"/>
      <c r="FY121" s="165"/>
      <c r="FZ121" s="160"/>
      <c r="GA121" s="168"/>
      <c r="GB121" s="168"/>
      <c r="GC121" s="168"/>
      <c r="GD121" s="163"/>
      <c r="GE121" s="165"/>
      <c r="GF121" s="165"/>
      <c r="GG121" s="165"/>
      <c r="GH121" s="160"/>
      <c r="GI121" s="168"/>
      <c r="GJ121" s="168"/>
      <c r="GK121" s="168"/>
      <c r="GL121" s="163"/>
      <c r="GM121" s="165"/>
      <c r="GN121" s="165"/>
      <c r="GO121" s="165"/>
      <c r="GP121" s="160"/>
      <c r="GQ121" s="168"/>
      <c r="GR121" s="168"/>
      <c r="GS121" s="168"/>
    </row>
    <row r="122" spans="2:201" s="146" customFormat="1" ht="137.5" customHeight="1" x14ac:dyDescent="0.35">
      <c r="B122" s="147"/>
      <c r="C122" s="148"/>
      <c r="D122" s="148"/>
      <c r="E122" s="148"/>
      <c r="F122" s="148"/>
      <c r="G122" s="171"/>
      <c r="H122" s="173"/>
      <c r="I122" s="150"/>
      <c r="J122" s="151"/>
      <c r="K122" s="152"/>
      <c r="L122" s="153"/>
      <c r="M122" s="153"/>
      <c r="N122" s="154"/>
      <c r="O122" s="155">
        <f ca="1">IF(N122="Aprobado con comentarios / Emitir Rev.0",TODAY()-M122,0)</f>
        <v>0</v>
      </c>
      <c r="P122" s="155">
        <f t="shared" ca="1" si="10"/>
        <v>0</v>
      </c>
      <c r="Q122" s="156"/>
      <c r="R122" s="157"/>
      <c r="S122" s="158"/>
      <c r="T122" s="158"/>
      <c r="U122" s="159"/>
      <c r="V122" s="160"/>
      <c r="W122" s="161"/>
      <c r="X122" s="162"/>
      <c r="Y122" s="161"/>
      <c r="Z122" s="163"/>
      <c r="AA122" s="164"/>
      <c r="AB122" s="165"/>
      <c r="AC122" s="166"/>
      <c r="AD122" s="160"/>
      <c r="AE122" s="161"/>
      <c r="AF122" s="162"/>
      <c r="AG122" s="161"/>
      <c r="AH122" s="157"/>
      <c r="AI122" s="158"/>
      <c r="AJ122" s="158"/>
      <c r="AK122" s="159"/>
      <c r="AL122" s="167"/>
      <c r="AM122" s="161"/>
      <c r="AN122" s="162"/>
      <c r="AO122" s="161"/>
      <c r="AP122" s="170"/>
      <c r="AQ122" s="164"/>
      <c r="AR122" s="165"/>
      <c r="AS122" s="166"/>
      <c r="AT122" s="160"/>
      <c r="AU122" s="161"/>
      <c r="AV122" s="162"/>
      <c r="AW122" s="168"/>
      <c r="AX122" s="163"/>
      <c r="AY122" s="165"/>
      <c r="AZ122" s="165"/>
      <c r="BA122" s="165"/>
      <c r="BB122" s="160"/>
      <c r="BC122" s="168"/>
      <c r="BD122" s="162"/>
      <c r="BE122" s="168"/>
      <c r="BF122" s="163"/>
      <c r="BG122" s="165"/>
      <c r="BH122" s="165"/>
      <c r="BI122" s="165"/>
      <c r="BJ122" s="160"/>
      <c r="BK122" s="168"/>
      <c r="BL122" s="162"/>
      <c r="BM122" s="168"/>
      <c r="BN122" s="163"/>
      <c r="BO122" s="165"/>
      <c r="BP122" s="165"/>
      <c r="BQ122" s="165"/>
      <c r="BR122" s="160"/>
      <c r="BS122" s="168"/>
      <c r="BT122" s="162"/>
      <c r="BU122" s="168"/>
      <c r="BV122" s="163"/>
      <c r="BW122" s="165"/>
      <c r="BX122" s="165"/>
      <c r="BY122" s="165"/>
      <c r="BZ122" s="160"/>
      <c r="CA122" s="168"/>
      <c r="CB122" s="168"/>
      <c r="CC122" s="168"/>
      <c r="CD122" s="163"/>
      <c r="CE122" s="165"/>
      <c r="CF122" s="165"/>
      <c r="CG122" s="165"/>
      <c r="CH122" s="160"/>
      <c r="CI122" s="168"/>
      <c r="CJ122" s="168"/>
      <c r="CK122" s="168"/>
      <c r="CL122" s="163"/>
      <c r="CM122" s="165"/>
      <c r="CN122" s="165"/>
      <c r="CO122" s="165"/>
      <c r="CP122" s="160"/>
      <c r="CQ122" s="168"/>
      <c r="CR122" s="168"/>
      <c r="CS122" s="168"/>
      <c r="CT122" s="163"/>
      <c r="CU122" s="165"/>
      <c r="CV122" s="165"/>
      <c r="CW122" s="165"/>
      <c r="CX122" s="160"/>
      <c r="CY122" s="168"/>
      <c r="CZ122" s="168"/>
      <c r="DA122" s="168"/>
      <c r="DB122" s="163"/>
      <c r="DC122" s="165"/>
      <c r="DD122" s="165"/>
      <c r="DE122" s="165"/>
      <c r="DF122" s="160"/>
      <c r="DG122" s="168"/>
      <c r="DH122" s="168"/>
      <c r="DI122" s="168"/>
      <c r="DJ122" s="163"/>
      <c r="DK122" s="165"/>
      <c r="DL122" s="165"/>
      <c r="DM122" s="165"/>
      <c r="DN122" s="160"/>
      <c r="DO122" s="168"/>
      <c r="DP122" s="168"/>
      <c r="DQ122" s="168"/>
      <c r="DR122" s="163"/>
      <c r="DS122" s="165"/>
      <c r="DT122" s="165"/>
      <c r="DU122" s="165"/>
      <c r="DV122" s="160"/>
      <c r="DW122" s="168"/>
      <c r="DX122" s="168"/>
      <c r="DY122" s="168"/>
      <c r="DZ122" s="163"/>
      <c r="EA122" s="165"/>
      <c r="EB122" s="165"/>
      <c r="EC122" s="165"/>
      <c r="ED122" s="160"/>
      <c r="EE122" s="168"/>
      <c r="EF122" s="168"/>
      <c r="EG122" s="168"/>
      <c r="EH122" s="163"/>
      <c r="EI122" s="165"/>
      <c r="EJ122" s="165"/>
      <c r="EK122" s="165"/>
      <c r="EL122" s="160"/>
      <c r="EM122" s="168"/>
      <c r="EN122" s="168"/>
      <c r="EO122" s="168"/>
      <c r="EP122" s="163"/>
      <c r="EQ122" s="165"/>
      <c r="ER122" s="165"/>
      <c r="ES122" s="165"/>
      <c r="ET122" s="160"/>
      <c r="EU122" s="168"/>
      <c r="EV122" s="168"/>
      <c r="EW122" s="168"/>
      <c r="EX122" s="163"/>
      <c r="EY122" s="165"/>
      <c r="EZ122" s="165"/>
      <c r="FA122" s="165"/>
      <c r="FB122" s="160"/>
      <c r="FC122" s="168"/>
      <c r="FD122" s="168"/>
      <c r="FE122" s="168"/>
      <c r="FF122" s="163"/>
      <c r="FG122" s="165"/>
      <c r="FH122" s="165"/>
      <c r="FI122" s="165"/>
      <c r="FJ122" s="160"/>
      <c r="FK122" s="168"/>
      <c r="FL122" s="168"/>
      <c r="FM122" s="168"/>
      <c r="FN122" s="163"/>
      <c r="FO122" s="165"/>
      <c r="FP122" s="165"/>
      <c r="FQ122" s="165"/>
      <c r="FR122" s="160"/>
      <c r="FS122" s="168"/>
      <c r="FT122" s="168"/>
      <c r="FU122" s="168"/>
      <c r="FV122" s="163"/>
      <c r="FW122" s="165"/>
      <c r="FX122" s="165"/>
      <c r="FY122" s="165"/>
      <c r="FZ122" s="160"/>
      <c r="GA122" s="168"/>
      <c r="GB122" s="168"/>
      <c r="GC122" s="168"/>
      <c r="GD122" s="163"/>
      <c r="GE122" s="165"/>
      <c r="GF122" s="165"/>
      <c r="GG122" s="165"/>
      <c r="GH122" s="160"/>
      <c r="GI122" s="168"/>
      <c r="GJ122" s="168"/>
      <c r="GK122" s="168"/>
      <c r="GL122" s="163"/>
      <c r="GM122" s="165"/>
      <c r="GN122" s="165"/>
      <c r="GO122" s="165"/>
      <c r="GP122" s="160"/>
      <c r="GQ122" s="168"/>
      <c r="GR122" s="168"/>
      <c r="GS122" s="168"/>
    </row>
    <row r="123" spans="2:201" s="146" customFormat="1" ht="137.5" customHeight="1" x14ac:dyDescent="0.35">
      <c r="B123" s="147"/>
      <c r="C123" s="148"/>
      <c r="D123" s="148"/>
      <c r="E123" s="148"/>
      <c r="F123" s="148"/>
      <c r="G123" s="171"/>
      <c r="H123" s="173"/>
      <c r="I123" s="150"/>
      <c r="J123" s="151"/>
      <c r="K123" s="152"/>
      <c r="L123" s="153"/>
      <c r="M123" s="153"/>
      <c r="N123" s="154"/>
      <c r="O123" s="155">
        <f ca="1">IF(N123="Aprobado con comentarios / Emitir Rev.0",TODAY()-M123,0)</f>
        <v>0</v>
      </c>
      <c r="P123" s="155">
        <f t="shared" ca="1" si="10"/>
        <v>0</v>
      </c>
      <c r="Q123" s="156"/>
      <c r="R123" s="157"/>
      <c r="S123" s="158"/>
      <c r="T123" s="158"/>
      <c r="U123" s="159"/>
      <c r="V123" s="160"/>
      <c r="W123" s="161"/>
      <c r="X123" s="162"/>
      <c r="Y123" s="161"/>
      <c r="Z123" s="163"/>
      <c r="AA123" s="164"/>
      <c r="AB123" s="165"/>
      <c r="AC123" s="166"/>
      <c r="AD123" s="160"/>
      <c r="AE123" s="161"/>
      <c r="AF123" s="162"/>
      <c r="AG123" s="161"/>
      <c r="AH123" s="157"/>
      <c r="AI123" s="158"/>
      <c r="AJ123" s="158"/>
      <c r="AK123" s="159"/>
      <c r="AL123" s="167"/>
      <c r="AM123" s="161"/>
      <c r="AN123" s="162"/>
      <c r="AO123" s="161"/>
      <c r="AP123" s="170"/>
      <c r="AQ123" s="164"/>
      <c r="AR123" s="165"/>
      <c r="AS123" s="166"/>
      <c r="AT123" s="160"/>
      <c r="AU123" s="161"/>
      <c r="AV123" s="162"/>
      <c r="AW123" s="168"/>
      <c r="AX123" s="163"/>
      <c r="AY123" s="165"/>
      <c r="AZ123" s="165"/>
      <c r="BA123" s="165"/>
      <c r="BB123" s="160"/>
      <c r="BC123" s="168"/>
      <c r="BD123" s="162"/>
      <c r="BE123" s="168"/>
      <c r="BF123" s="163"/>
      <c r="BG123" s="165"/>
      <c r="BH123" s="165"/>
      <c r="BI123" s="165"/>
      <c r="BJ123" s="160"/>
      <c r="BK123" s="168"/>
      <c r="BL123" s="162"/>
      <c r="BM123" s="168"/>
      <c r="BN123" s="163"/>
      <c r="BO123" s="165"/>
      <c r="BP123" s="165"/>
      <c r="BQ123" s="165"/>
      <c r="BR123" s="160"/>
      <c r="BS123" s="168"/>
      <c r="BT123" s="162"/>
      <c r="BU123" s="168"/>
      <c r="BV123" s="163"/>
      <c r="BW123" s="165"/>
      <c r="BX123" s="165"/>
      <c r="BY123" s="165"/>
      <c r="BZ123" s="160"/>
      <c r="CA123" s="168"/>
      <c r="CB123" s="168"/>
      <c r="CC123" s="168"/>
      <c r="CD123" s="163"/>
      <c r="CE123" s="165"/>
      <c r="CF123" s="165"/>
      <c r="CG123" s="165"/>
      <c r="CH123" s="160"/>
      <c r="CI123" s="168"/>
      <c r="CJ123" s="168"/>
      <c r="CK123" s="168"/>
      <c r="CL123" s="163"/>
      <c r="CM123" s="165"/>
      <c r="CN123" s="165"/>
      <c r="CO123" s="165"/>
      <c r="CP123" s="160"/>
      <c r="CQ123" s="168"/>
      <c r="CR123" s="168"/>
      <c r="CS123" s="168"/>
      <c r="CT123" s="163"/>
      <c r="CU123" s="165"/>
      <c r="CV123" s="165"/>
      <c r="CW123" s="165"/>
      <c r="CX123" s="160"/>
      <c r="CY123" s="168"/>
      <c r="CZ123" s="168"/>
      <c r="DA123" s="168"/>
      <c r="DB123" s="163"/>
      <c r="DC123" s="165"/>
      <c r="DD123" s="165"/>
      <c r="DE123" s="165"/>
      <c r="DF123" s="160"/>
      <c r="DG123" s="168"/>
      <c r="DH123" s="168"/>
      <c r="DI123" s="168"/>
      <c r="DJ123" s="163"/>
      <c r="DK123" s="165"/>
      <c r="DL123" s="165"/>
      <c r="DM123" s="165"/>
      <c r="DN123" s="160"/>
      <c r="DO123" s="168"/>
      <c r="DP123" s="168"/>
      <c r="DQ123" s="168"/>
      <c r="DR123" s="163"/>
      <c r="DS123" s="165"/>
      <c r="DT123" s="165"/>
      <c r="DU123" s="165"/>
      <c r="DV123" s="160"/>
      <c r="DW123" s="168"/>
      <c r="DX123" s="168"/>
      <c r="DY123" s="168"/>
      <c r="DZ123" s="163"/>
      <c r="EA123" s="165"/>
      <c r="EB123" s="165"/>
      <c r="EC123" s="165"/>
      <c r="ED123" s="160"/>
      <c r="EE123" s="168"/>
      <c r="EF123" s="168"/>
      <c r="EG123" s="168"/>
      <c r="EH123" s="163"/>
      <c r="EI123" s="165"/>
      <c r="EJ123" s="165"/>
      <c r="EK123" s="165"/>
      <c r="EL123" s="160"/>
      <c r="EM123" s="168"/>
      <c r="EN123" s="168"/>
      <c r="EO123" s="168"/>
      <c r="EP123" s="163"/>
      <c r="EQ123" s="165"/>
      <c r="ER123" s="165"/>
      <c r="ES123" s="165"/>
      <c r="ET123" s="160"/>
      <c r="EU123" s="168"/>
      <c r="EV123" s="168"/>
      <c r="EW123" s="168"/>
      <c r="EX123" s="163"/>
      <c r="EY123" s="165"/>
      <c r="EZ123" s="165"/>
      <c r="FA123" s="165"/>
      <c r="FB123" s="160"/>
      <c r="FC123" s="168"/>
      <c r="FD123" s="168"/>
      <c r="FE123" s="168"/>
      <c r="FF123" s="163"/>
      <c r="FG123" s="165"/>
      <c r="FH123" s="165"/>
      <c r="FI123" s="165"/>
      <c r="FJ123" s="160"/>
      <c r="FK123" s="168"/>
      <c r="FL123" s="168"/>
      <c r="FM123" s="168"/>
      <c r="FN123" s="163"/>
      <c r="FO123" s="165"/>
      <c r="FP123" s="165"/>
      <c r="FQ123" s="165"/>
      <c r="FR123" s="160"/>
      <c r="FS123" s="168"/>
      <c r="FT123" s="168"/>
      <c r="FU123" s="168"/>
      <c r="FV123" s="163"/>
      <c r="FW123" s="165"/>
      <c r="FX123" s="165"/>
      <c r="FY123" s="165"/>
      <c r="FZ123" s="160"/>
      <c r="GA123" s="168"/>
      <c r="GB123" s="168"/>
      <c r="GC123" s="168"/>
      <c r="GD123" s="163"/>
      <c r="GE123" s="165"/>
      <c r="GF123" s="165"/>
      <c r="GG123" s="165"/>
      <c r="GH123" s="160"/>
      <c r="GI123" s="168"/>
      <c r="GJ123" s="168"/>
      <c r="GK123" s="168"/>
      <c r="GL123" s="163"/>
      <c r="GM123" s="165"/>
      <c r="GN123" s="165"/>
      <c r="GO123" s="165"/>
      <c r="GP123" s="160"/>
      <c r="GQ123" s="168"/>
      <c r="GR123" s="168"/>
      <c r="GS123" s="168"/>
    </row>
    <row r="124" spans="2:201" s="146" customFormat="1" ht="137.5" customHeight="1" x14ac:dyDescent="0.35">
      <c r="B124" s="147"/>
      <c r="C124" s="148"/>
      <c r="D124" s="148"/>
      <c r="E124" s="148"/>
      <c r="F124" s="148"/>
      <c r="G124" s="171"/>
      <c r="H124" s="188"/>
      <c r="I124" s="150"/>
      <c r="J124" s="151"/>
      <c r="K124" s="152"/>
      <c r="L124" s="153"/>
      <c r="M124" s="153"/>
      <c r="N124" s="154"/>
      <c r="O124" s="155">
        <f ca="1">IF(N124="Aprobado con comentarios / Emitir Rev.0",TODAY()-M124,0)</f>
        <v>0</v>
      </c>
      <c r="P124" s="155">
        <f t="shared" ca="1" si="10"/>
        <v>0</v>
      </c>
      <c r="Q124" s="156">
        <f>ROUNDUP(((COUNTA(R124:GS124)/4)/2),0)</f>
        <v>0</v>
      </c>
      <c r="R124" s="157"/>
      <c r="S124" s="158"/>
      <c r="T124" s="158"/>
      <c r="U124" s="159"/>
      <c r="V124" s="160"/>
      <c r="W124" s="161"/>
      <c r="X124" s="162"/>
      <c r="Y124" s="161"/>
      <c r="Z124" s="163"/>
      <c r="AA124" s="164"/>
      <c r="AB124" s="165"/>
      <c r="AC124" s="159"/>
      <c r="AD124" s="152"/>
      <c r="AE124" s="161"/>
      <c r="AF124" s="162"/>
      <c r="AG124" s="154"/>
      <c r="AH124" s="163"/>
      <c r="AI124" s="164"/>
      <c r="AJ124" s="165"/>
      <c r="AK124" s="166"/>
      <c r="AL124" s="167"/>
      <c r="AM124" s="161"/>
      <c r="AN124" s="162"/>
      <c r="AO124" s="161"/>
      <c r="AP124" s="163"/>
      <c r="AQ124" s="165"/>
      <c r="AR124" s="165"/>
      <c r="AS124" s="166"/>
      <c r="AT124" s="160"/>
      <c r="AU124" s="161"/>
      <c r="AV124" s="162"/>
      <c r="AW124" s="161"/>
      <c r="AX124" s="163"/>
      <c r="AY124" s="165"/>
      <c r="AZ124" s="165"/>
      <c r="BA124" s="166"/>
      <c r="BB124" s="160"/>
      <c r="BC124" s="168"/>
      <c r="BD124" s="162"/>
      <c r="BE124" s="168"/>
      <c r="BF124" s="163"/>
      <c r="BG124" s="165"/>
      <c r="BH124" s="165"/>
      <c r="BI124" s="165"/>
      <c r="BJ124" s="160"/>
      <c r="BK124" s="168"/>
      <c r="BL124" s="162"/>
      <c r="BM124" s="168"/>
      <c r="BN124" s="163"/>
      <c r="BO124" s="165"/>
      <c r="BP124" s="165"/>
      <c r="BQ124" s="165"/>
      <c r="BR124" s="160"/>
      <c r="BS124" s="168"/>
      <c r="BT124" s="162"/>
      <c r="BU124" s="168"/>
      <c r="BV124" s="163"/>
      <c r="BW124" s="165"/>
      <c r="BX124" s="165"/>
      <c r="BY124" s="165"/>
      <c r="BZ124" s="160"/>
      <c r="CA124" s="168"/>
      <c r="CB124" s="168"/>
      <c r="CC124" s="168"/>
      <c r="CD124" s="163"/>
      <c r="CE124" s="165"/>
      <c r="CF124" s="165"/>
      <c r="CG124" s="165"/>
      <c r="CH124" s="160"/>
      <c r="CI124" s="168"/>
      <c r="CJ124" s="168"/>
      <c r="CK124" s="168"/>
      <c r="CL124" s="163"/>
      <c r="CM124" s="165"/>
      <c r="CN124" s="165"/>
      <c r="CO124" s="165"/>
      <c r="CP124" s="160"/>
      <c r="CQ124" s="168"/>
      <c r="CR124" s="168"/>
      <c r="CS124" s="168"/>
      <c r="CT124" s="163"/>
      <c r="CU124" s="165"/>
      <c r="CV124" s="165"/>
      <c r="CW124" s="165"/>
      <c r="CX124" s="160"/>
      <c r="CY124" s="168"/>
      <c r="CZ124" s="168"/>
      <c r="DA124" s="168"/>
      <c r="DB124" s="163"/>
      <c r="DC124" s="165"/>
      <c r="DD124" s="165"/>
      <c r="DE124" s="165"/>
      <c r="DF124" s="160"/>
      <c r="DG124" s="168"/>
      <c r="DH124" s="168"/>
      <c r="DI124" s="168"/>
      <c r="DJ124" s="163"/>
      <c r="DK124" s="165"/>
      <c r="DL124" s="165"/>
      <c r="DM124" s="165"/>
      <c r="DN124" s="160"/>
      <c r="DO124" s="168"/>
      <c r="DP124" s="168"/>
      <c r="DQ124" s="168"/>
      <c r="DR124" s="163"/>
      <c r="DS124" s="165"/>
      <c r="DT124" s="165"/>
      <c r="DU124" s="165"/>
      <c r="DV124" s="160"/>
      <c r="DW124" s="168"/>
      <c r="DX124" s="168"/>
      <c r="DY124" s="168"/>
      <c r="DZ124" s="163"/>
      <c r="EA124" s="165"/>
      <c r="EB124" s="165"/>
      <c r="EC124" s="165"/>
      <c r="ED124" s="160"/>
      <c r="EE124" s="168"/>
      <c r="EF124" s="168"/>
      <c r="EG124" s="168"/>
      <c r="EH124" s="163"/>
      <c r="EI124" s="165"/>
      <c r="EJ124" s="165"/>
      <c r="EK124" s="165"/>
      <c r="EL124" s="160"/>
      <c r="EM124" s="168"/>
      <c r="EN124" s="168"/>
      <c r="EO124" s="168"/>
      <c r="EP124" s="163"/>
      <c r="EQ124" s="165"/>
      <c r="ER124" s="165"/>
      <c r="ES124" s="165"/>
      <c r="ET124" s="160"/>
      <c r="EU124" s="168"/>
      <c r="EV124" s="168"/>
      <c r="EW124" s="168"/>
      <c r="EX124" s="163"/>
      <c r="EY124" s="165"/>
      <c r="EZ124" s="165"/>
      <c r="FA124" s="165"/>
      <c r="FB124" s="160"/>
      <c r="FC124" s="168"/>
      <c r="FD124" s="168"/>
      <c r="FE124" s="168"/>
      <c r="FF124" s="163"/>
      <c r="FG124" s="165"/>
      <c r="FH124" s="165"/>
      <c r="FI124" s="165"/>
      <c r="FJ124" s="160"/>
      <c r="FK124" s="168"/>
      <c r="FL124" s="168"/>
      <c r="FM124" s="168"/>
      <c r="FN124" s="163"/>
      <c r="FO124" s="165"/>
      <c r="FP124" s="165"/>
      <c r="FQ124" s="165"/>
      <c r="FR124" s="160"/>
      <c r="FS124" s="168"/>
      <c r="FT124" s="168"/>
      <c r="FU124" s="168"/>
      <c r="FV124" s="163"/>
      <c r="FW124" s="165"/>
      <c r="FX124" s="165"/>
      <c r="FY124" s="165"/>
      <c r="FZ124" s="160"/>
      <c r="GA124" s="168"/>
      <c r="GB124" s="168"/>
      <c r="GC124" s="168"/>
      <c r="GD124" s="163"/>
      <c r="GE124" s="165"/>
      <c r="GF124" s="165"/>
      <c r="GG124" s="165"/>
      <c r="GH124" s="160"/>
      <c r="GI124" s="168"/>
      <c r="GJ124" s="168"/>
      <c r="GK124" s="168"/>
      <c r="GL124" s="163"/>
      <c r="GM124" s="165"/>
      <c r="GN124" s="165"/>
      <c r="GO124" s="165"/>
      <c r="GP124" s="160"/>
      <c r="GQ124" s="168"/>
      <c r="GR124" s="168"/>
      <c r="GS124" s="168"/>
    </row>
    <row r="125" spans="2:201" s="146" customFormat="1" ht="137.5" customHeight="1" x14ac:dyDescent="0.35">
      <c r="B125" s="147"/>
      <c r="C125" s="148"/>
      <c r="D125" s="148"/>
      <c r="E125" s="173"/>
      <c r="F125" s="173"/>
      <c r="G125" s="171"/>
      <c r="H125" s="189"/>
      <c r="I125" s="150"/>
      <c r="J125" s="151"/>
      <c r="K125" s="172"/>
      <c r="L125" s="153"/>
      <c r="M125" s="153"/>
      <c r="N125" s="154"/>
      <c r="O125" s="155">
        <f ca="1">IF(N125="Aprobado con comentarios / Emitir Rev.0",TODAY()-M125,0)</f>
        <v>0</v>
      </c>
      <c r="P125" s="155">
        <f t="shared" ca="1" si="10"/>
        <v>0</v>
      </c>
      <c r="Q125" s="156">
        <f>ROUNDUP(((COUNTA(R125:GS125)/4)/2),0)</f>
        <v>0</v>
      </c>
      <c r="R125" s="157"/>
      <c r="S125" s="158"/>
      <c r="T125" s="158"/>
      <c r="U125" s="159"/>
      <c r="V125" s="160"/>
      <c r="W125" s="161"/>
      <c r="X125" s="162"/>
      <c r="Y125" s="161"/>
      <c r="Z125" s="163"/>
      <c r="AA125" s="164"/>
      <c r="AB125" s="165"/>
      <c r="AC125" s="166"/>
      <c r="AD125" s="160"/>
      <c r="AE125" s="161"/>
      <c r="AF125" s="162"/>
      <c r="AG125" s="161"/>
      <c r="AH125" s="163"/>
      <c r="AI125" s="164"/>
      <c r="AJ125" s="165"/>
      <c r="AK125" s="166"/>
      <c r="AL125" s="167"/>
      <c r="AM125" s="161"/>
      <c r="AN125" s="162"/>
      <c r="AO125" s="161"/>
      <c r="AP125" s="170"/>
      <c r="AQ125" s="164"/>
      <c r="AR125" s="165"/>
      <c r="AS125" s="166"/>
      <c r="AT125" s="160"/>
      <c r="AU125" s="161"/>
      <c r="AV125" s="162"/>
      <c r="AW125" s="168"/>
      <c r="AX125" s="163"/>
      <c r="AY125" s="165"/>
      <c r="AZ125" s="165"/>
      <c r="BA125" s="165"/>
      <c r="BB125" s="160"/>
      <c r="BC125" s="168"/>
      <c r="BD125" s="162"/>
      <c r="BE125" s="168"/>
      <c r="BF125" s="163"/>
      <c r="BG125" s="165"/>
      <c r="BH125" s="165"/>
      <c r="BI125" s="165"/>
      <c r="BJ125" s="160"/>
      <c r="BK125" s="168"/>
      <c r="BL125" s="162"/>
      <c r="BM125" s="168"/>
      <c r="BN125" s="163"/>
      <c r="BO125" s="165"/>
      <c r="BP125" s="165"/>
      <c r="BQ125" s="165"/>
      <c r="BR125" s="160"/>
      <c r="BS125" s="168"/>
      <c r="BT125" s="162"/>
      <c r="BU125" s="168"/>
      <c r="BV125" s="163"/>
      <c r="BW125" s="165"/>
      <c r="BX125" s="165"/>
      <c r="BY125" s="165"/>
      <c r="BZ125" s="160"/>
      <c r="CA125" s="168"/>
      <c r="CB125" s="168"/>
      <c r="CC125" s="168"/>
      <c r="CD125" s="163"/>
      <c r="CE125" s="165"/>
      <c r="CF125" s="165"/>
      <c r="CG125" s="165"/>
      <c r="CH125" s="160"/>
      <c r="CI125" s="168"/>
      <c r="CJ125" s="168"/>
      <c r="CK125" s="168"/>
      <c r="CL125" s="163"/>
      <c r="CM125" s="165"/>
      <c r="CN125" s="165"/>
      <c r="CO125" s="165"/>
      <c r="CP125" s="160"/>
      <c r="CQ125" s="168"/>
      <c r="CR125" s="168"/>
      <c r="CS125" s="168"/>
      <c r="CT125" s="163"/>
      <c r="CU125" s="165"/>
      <c r="CV125" s="165"/>
      <c r="CW125" s="165"/>
      <c r="CX125" s="160"/>
      <c r="CY125" s="168"/>
      <c r="CZ125" s="168"/>
      <c r="DA125" s="168"/>
      <c r="DB125" s="163"/>
      <c r="DC125" s="165"/>
      <c r="DD125" s="165"/>
      <c r="DE125" s="165"/>
      <c r="DF125" s="160"/>
      <c r="DG125" s="168"/>
      <c r="DH125" s="168"/>
      <c r="DI125" s="168"/>
      <c r="DJ125" s="163"/>
      <c r="DK125" s="165"/>
      <c r="DL125" s="165"/>
      <c r="DM125" s="165"/>
      <c r="DN125" s="160"/>
      <c r="DO125" s="168"/>
      <c r="DP125" s="168"/>
      <c r="DQ125" s="168"/>
      <c r="DR125" s="163"/>
      <c r="DS125" s="165"/>
      <c r="DT125" s="165"/>
      <c r="DU125" s="165"/>
      <c r="DV125" s="160"/>
      <c r="DW125" s="168"/>
      <c r="DX125" s="168"/>
      <c r="DY125" s="168"/>
      <c r="DZ125" s="163"/>
      <c r="EA125" s="165"/>
      <c r="EB125" s="165"/>
      <c r="EC125" s="165"/>
      <c r="ED125" s="160"/>
      <c r="EE125" s="168"/>
      <c r="EF125" s="168"/>
      <c r="EG125" s="168"/>
      <c r="EH125" s="163"/>
      <c r="EI125" s="165"/>
      <c r="EJ125" s="165"/>
      <c r="EK125" s="165"/>
      <c r="EL125" s="160"/>
      <c r="EM125" s="168"/>
      <c r="EN125" s="168"/>
      <c r="EO125" s="168"/>
      <c r="EP125" s="163"/>
      <c r="EQ125" s="165"/>
      <c r="ER125" s="165"/>
      <c r="ES125" s="165"/>
      <c r="ET125" s="160"/>
      <c r="EU125" s="168"/>
      <c r="EV125" s="168"/>
      <c r="EW125" s="168"/>
      <c r="EX125" s="163"/>
      <c r="EY125" s="165"/>
      <c r="EZ125" s="165"/>
      <c r="FA125" s="165"/>
      <c r="FB125" s="160"/>
      <c r="FC125" s="168"/>
      <c r="FD125" s="168"/>
      <c r="FE125" s="168"/>
      <c r="FF125" s="163"/>
      <c r="FG125" s="165"/>
      <c r="FH125" s="165"/>
      <c r="FI125" s="165"/>
      <c r="FJ125" s="160"/>
      <c r="FK125" s="168"/>
      <c r="FL125" s="168"/>
      <c r="FM125" s="168"/>
      <c r="FN125" s="163"/>
      <c r="FO125" s="165"/>
      <c r="FP125" s="165"/>
      <c r="FQ125" s="165"/>
      <c r="FR125" s="160"/>
      <c r="FS125" s="168"/>
      <c r="FT125" s="168"/>
      <c r="FU125" s="168"/>
      <c r="FV125" s="163"/>
      <c r="FW125" s="165"/>
      <c r="FX125" s="165"/>
      <c r="FY125" s="165"/>
      <c r="FZ125" s="160"/>
      <c r="GA125" s="168"/>
      <c r="GB125" s="168"/>
      <c r="GC125" s="168"/>
      <c r="GD125" s="163"/>
      <c r="GE125" s="165"/>
      <c r="GF125" s="165"/>
      <c r="GG125" s="165"/>
      <c r="GH125" s="160"/>
      <c r="GI125" s="168"/>
      <c r="GJ125" s="168"/>
      <c r="GK125" s="168"/>
      <c r="GL125" s="163"/>
      <c r="GM125" s="165"/>
      <c r="GN125" s="165"/>
      <c r="GO125" s="165"/>
      <c r="GP125" s="160"/>
      <c r="GQ125" s="168"/>
      <c r="GR125" s="168"/>
      <c r="GS125" s="168"/>
    </row>
    <row r="126" spans="2:201" s="146" customFormat="1" ht="137.5" customHeight="1" x14ac:dyDescent="0.35">
      <c r="B126" s="147"/>
      <c r="C126" s="148"/>
      <c r="D126" s="148"/>
      <c r="E126" s="148"/>
      <c r="F126" s="148"/>
      <c r="G126" s="171"/>
      <c r="H126" s="148"/>
      <c r="I126" s="150"/>
      <c r="J126" s="151"/>
      <c r="K126" s="172"/>
      <c r="L126" s="153"/>
      <c r="M126" s="153"/>
      <c r="N126" s="154"/>
      <c r="O126" s="155"/>
      <c r="P126" s="155"/>
      <c r="Q126" s="156"/>
      <c r="R126" s="157"/>
      <c r="S126" s="158"/>
      <c r="T126" s="158"/>
      <c r="U126" s="159"/>
      <c r="V126" s="160"/>
      <c r="W126" s="161"/>
      <c r="X126" s="162"/>
      <c r="Y126" s="161"/>
      <c r="Z126" s="163"/>
      <c r="AA126" s="164"/>
      <c r="AB126" s="165"/>
      <c r="AC126" s="166"/>
      <c r="AD126" s="162"/>
      <c r="AE126" s="161"/>
      <c r="AF126" s="162"/>
      <c r="AG126" s="154"/>
      <c r="AH126" s="163"/>
      <c r="AI126" s="164"/>
      <c r="AJ126" s="165"/>
      <c r="AK126" s="166"/>
      <c r="AL126" s="167"/>
      <c r="AM126" s="161"/>
      <c r="AN126" s="162"/>
      <c r="AO126" s="161"/>
      <c r="AP126" s="170"/>
      <c r="AQ126" s="164"/>
      <c r="AR126" s="165"/>
      <c r="AS126" s="166"/>
      <c r="AT126" s="160"/>
      <c r="AU126" s="161"/>
      <c r="AV126" s="162"/>
      <c r="AW126" s="168"/>
      <c r="AX126" s="163"/>
      <c r="AY126" s="165"/>
      <c r="AZ126" s="165"/>
      <c r="BA126" s="165"/>
      <c r="BB126" s="160"/>
      <c r="BC126" s="168"/>
      <c r="BD126" s="162"/>
      <c r="BE126" s="168"/>
      <c r="BF126" s="163"/>
      <c r="BG126" s="165"/>
      <c r="BH126" s="165"/>
      <c r="BI126" s="165"/>
      <c r="BJ126" s="160"/>
      <c r="BK126" s="168"/>
      <c r="BL126" s="162"/>
      <c r="BM126" s="168"/>
      <c r="BN126" s="163"/>
      <c r="BO126" s="165"/>
      <c r="BP126" s="165"/>
      <c r="BQ126" s="165"/>
      <c r="BR126" s="160"/>
      <c r="BS126" s="168"/>
      <c r="BT126" s="162"/>
      <c r="BU126" s="168"/>
      <c r="BV126" s="163"/>
      <c r="BW126" s="165"/>
      <c r="BX126" s="165"/>
      <c r="BY126" s="165"/>
      <c r="BZ126" s="160"/>
      <c r="CA126" s="168"/>
      <c r="CB126" s="168"/>
      <c r="CC126" s="168"/>
      <c r="CD126" s="163"/>
      <c r="CE126" s="165"/>
      <c r="CF126" s="165"/>
      <c r="CG126" s="165"/>
      <c r="CH126" s="160"/>
      <c r="CI126" s="168"/>
      <c r="CJ126" s="168"/>
      <c r="CK126" s="168"/>
      <c r="CL126" s="163"/>
      <c r="CM126" s="165"/>
      <c r="CN126" s="165"/>
      <c r="CO126" s="165"/>
      <c r="CP126" s="160"/>
      <c r="CQ126" s="168"/>
      <c r="CR126" s="168"/>
      <c r="CS126" s="168"/>
      <c r="CT126" s="163"/>
      <c r="CU126" s="165"/>
      <c r="CV126" s="165"/>
      <c r="CW126" s="165"/>
      <c r="CX126" s="160"/>
      <c r="CY126" s="168"/>
      <c r="CZ126" s="168"/>
      <c r="DA126" s="168"/>
      <c r="DB126" s="163"/>
      <c r="DC126" s="165"/>
      <c r="DD126" s="165"/>
      <c r="DE126" s="165"/>
      <c r="DF126" s="160"/>
      <c r="DG126" s="168"/>
      <c r="DH126" s="168"/>
      <c r="DI126" s="168"/>
      <c r="DJ126" s="163"/>
      <c r="DK126" s="165"/>
      <c r="DL126" s="165"/>
      <c r="DM126" s="165"/>
      <c r="DN126" s="160"/>
      <c r="DO126" s="168"/>
      <c r="DP126" s="168"/>
      <c r="DQ126" s="168"/>
      <c r="DR126" s="163"/>
      <c r="DS126" s="165"/>
      <c r="DT126" s="165"/>
      <c r="DU126" s="165"/>
      <c r="DV126" s="160"/>
      <c r="DW126" s="168"/>
      <c r="DX126" s="168"/>
      <c r="DY126" s="168"/>
      <c r="DZ126" s="163"/>
      <c r="EA126" s="165"/>
      <c r="EB126" s="165"/>
      <c r="EC126" s="165"/>
      <c r="ED126" s="160"/>
      <c r="EE126" s="168"/>
      <c r="EF126" s="168"/>
      <c r="EG126" s="168"/>
      <c r="EH126" s="163"/>
      <c r="EI126" s="165"/>
      <c r="EJ126" s="165"/>
      <c r="EK126" s="165"/>
      <c r="EL126" s="160"/>
      <c r="EM126" s="168"/>
      <c r="EN126" s="168"/>
      <c r="EO126" s="168"/>
      <c r="EP126" s="163"/>
      <c r="EQ126" s="165"/>
      <c r="ER126" s="165"/>
      <c r="ES126" s="165"/>
      <c r="ET126" s="160"/>
      <c r="EU126" s="168"/>
      <c r="EV126" s="168"/>
      <c r="EW126" s="168"/>
      <c r="EX126" s="163"/>
      <c r="EY126" s="165"/>
      <c r="EZ126" s="165"/>
      <c r="FA126" s="165"/>
      <c r="FB126" s="160"/>
      <c r="FC126" s="168"/>
      <c r="FD126" s="168"/>
      <c r="FE126" s="168"/>
      <c r="FF126" s="163"/>
      <c r="FG126" s="165"/>
      <c r="FH126" s="165"/>
      <c r="FI126" s="165"/>
      <c r="FJ126" s="160"/>
      <c r="FK126" s="168"/>
      <c r="FL126" s="168"/>
      <c r="FM126" s="168"/>
      <c r="FN126" s="163"/>
      <c r="FO126" s="165"/>
      <c r="FP126" s="165"/>
      <c r="FQ126" s="165"/>
      <c r="FR126" s="160"/>
      <c r="FS126" s="168"/>
      <c r="FT126" s="168"/>
      <c r="FU126" s="168"/>
      <c r="FV126" s="163"/>
      <c r="FW126" s="165"/>
      <c r="FX126" s="165"/>
      <c r="FY126" s="165"/>
      <c r="FZ126" s="160"/>
      <c r="GA126" s="168"/>
      <c r="GB126" s="168"/>
      <c r="GC126" s="168"/>
      <c r="GD126" s="163"/>
      <c r="GE126" s="165"/>
      <c r="GF126" s="165"/>
      <c r="GG126" s="165"/>
      <c r="GH126" s="160"/>
      <c r="GI126" s="168"/>
      <c r="GJ126" s="168"/>
      <c r="GK126" s="168"/>
      <c r="GL126" s="163"/>
      <c r="GM126" s="165"/>
      <c r="GN126" s="165"/>
      <c r="GO126" s="165"/>
      <c r="GP126" s="160"/>
      <c r="GQ126" s="168"/>
      <c r="GR126" s="168"/>
      <c r="GS126" s="168"/>
    </row>
    <row r="127" spans="2:201" s="146" customFormat="1" ht="137.5" customHeight="1" x14ac:dyDescent="0.35">
      <c r="B127" s="147"/>
      <c r="C127" s="148"/>
      <c r="D127" s="148"/>
      <c r="E127" s="148"/>
      <c r="F127" s="148"/>
      <c r="G127" s="171"/>
      <c r="H127" s="148"/>
      <c r="I127" s="150"/>
      <c r="J127" s="151"/>
      <c r="K127" s="152"/>
      <c r="L127" s="153"/>
      <c r="M127" s="153"/>
      <c r="N127" s="154"/>
      <c r="O127" s="155">
        <f ca="1">IF(N127="Aprobado con comentarios / Emitir Rev.0",TODAY()-M127,0)</f>
        <v>0</v>
      </c>
      <c r="P127" s="155">
        <f ca="1">IF(N127="REQUIERE RESPUESTA",TODAY()-L127,0)</f>
        <v>0</v>
      </c>
      <c r="Q127" s="156">
        <f>ROUNDUP(((COUNTA(R127:GS127)/4)/2),0)</f>
        <v>0</v>
      </c>
      <c r="R127" s="157"/>
      <c r="S127" s="158"/>
      <c r="T127" s="158"/>
      <c r="U127" s="159"/>
      <c r="V127" s="160"/>
      <c r="W127" s="161"/>
      <c r="X127" s="162"/>
      <c r="Y127" s="161"/>
      <c r="Z127" s="163"/>
      <c r="AA127" s="164"/>
      <c r="AB127" s="165"/>
      <c r="AC127" s="159"/>
      <c r="AD127" s="160"/>
      <c r="AE127" s="161"/>
      <c r="AF127" s="162"/>
      <c r="AG127" s="161"/>
      <c r="AH127" s="163"/>
      <c r="AI127" s="164"/>
      <c r="AJ127" s="165"/>
      <c r="AK127" s="166"/>
      <c r="AL127" s="167"/>
      <c r="AM127" s="161"/>
      <c r="AN127" s="162"/>
      <c r="AO127" s="161"/>
      <c r="AP127" s="170"/>
      <c r="AQ127" s="164"/>
      <c r="AR127" s="165"/>
      <c r="AS127" s="166"/>
      <c r="AT127" s="160"/>
      <c r="AU127" s="161"/>
      <c r="AV127" s="162"/>
      <c r="AW127" s="168"/>
      <c r="AX127" s="163"/>
      <c r="AY127" s="165"/>
      <c r="AZ127" s="165"/>
      <c r="BA127" s="165"/>
      <c r="BB127" s="160"/>
      <c r="BC127" s="168"/>
      <c r="BD127" s="162"/>
      <c r="BE127" s="168"/>
      <c r="BF127" s="163"/>
      <c r="BG127" s="165"/>
      <c r="BH127" s="165"/>
      <c r="BI127" s="165"/>
      <c r="BJ127" s="160"/>
      <c r="BK127" s="168"/>
      <c r="BL127" s="162"/>
      <c r="BM127" s="168"/>
      <c r="BN127" s="163"/>
      <c r="BO127" s="165"/>
      <c r="BP127" s="165"/>
      <c r="BQ127" s="165"/>
      <c r="BR127" s="160"/>
      <c r="BS127" s="168"/>
      <c r="BT127" s="162"/>
      <c r="BU127" s="168"/>
      <c r="BV127" s="163"/>
      <c r="BW127" s="165"/>
      <c r="BX127" s="165"/>
      <c r="BY127" s="165"/>
      <c r="BZ127" s="160"/>
      <c r="CA127" s="168"/>
      <c r="CB127" s="168"/>
      <c r="CC127" s="168"/>
      <c r="CD127" s="163"/>
      <c r="CE127" s="165"/>
      <c r="CF127" s="165"/>
      <c r="CG127" s="165"/>
      <c r="CH127" s="160"/>
      <c r="CI127" s="168"/>
      <c r="CJ127" s="168"/>
      <c r="CK127" s="168"/>
      <c r="CL127" s="163"/>
      <c r="CM127" s="165"/>
      <c r="CN127" s="165"/>
      <c r="CO127" s="165"/>
      <c r="CP127" s="160"/>
      <c r="CQ127" s="168"/>
      <c r="CR127" s="168"/>
      <c r="CS127" s="168"/>
      <c r="CT127" s="163"/>
      <c r="CU127" s="165"/>
      <c r="CV127" s="165"/>
      <c r="CW127" s="165"/>
      <c r="CX127" s="160"/>
      <c r="CY127" s="168"/>
      <c r="CZ127" s="168"/>
      <c r="DA127" s="168"/>
      <c r="DB127" s="163"/>
      <c r="DC127" s="165"/>
      <c r="DD127" s="165"/>
      <c r="DE127" s="165"/>
      <c r="DF127" s="160"/>
      <c r="DG127" s="168"/>
      <c r="DH127" s="168"/>
      <c r="DI127" s="168"/>
      <c r="DJ127" s="163"/>
      <c r="DK127" s="165"/>
      <c r="DL127" s="165"/>
      <c r="DM127" s="165"/>
      <c r="DN127" s="160"/>
      <c r="DO127" s="168"/>
      <c r="DP127" s="168"/>
      <c r="DQ127" s="168"/>
      <c r="DR127" s="163"/>
      <c r="DS127" s="165"/>
      <c r="DT127" s="165"/>
      <c r="DU127" s="165"/>
      <c r="DV127" s="160"/>
      <c r="DW127" s="168"/>
      <c r="DX127" s="168"/>
      <c r="DY127" s="168"/>
      <c r="DZ127" s="163"/>
      <c r="EA127" s="165"/>
      <c r="EB127" s="165"/>
      <c r="EC127" s="165"/>
      <c r="ED127" s="160"/>
      <c r="EE127" s="168"/>
      <c r="EF127" s="168"/>
      <c r="EG127" s="168"/>
      <c r="EH127" s="163"/>
      <c r="EI127" s="165"/>
      <c r="EJ127" s="165"/>
      <c r="EK127" s="165"/>
      <c r="EL127" s="160"/>
      <c r="EM127" s="168"/>
      <c r="EN127" s="168"/>
      <c r="EO127" s="168"/>
      <c r="EP127" s="163"/>
      <c r="EQ127" s="165"/>
      <c r="ER127" s="165"/>
      <c r="ES127" s="165"/>
      <c r="ET127" s="160"/>
      <c r="EU127" s="168"/>
      <c r="EV127" s="168"/>
      <c r="EW127" s="168"/>
      <c r="EX127" s="163"/>
      <c r="EY127" s="165"/>
      <c r="EZ127" s="165"/>
      <c r="FA127" s="165"/>
      <c r="FB127" s="160"/>
      <c r="FC127" s="168"/>
      <c r="FD127" s="168"/>
      <c r="FE127" s="168"/>
      <c r="FF127" s="163"/>
      <c r="FG127" s="165"/>
      <c r="FH127" s="165"/>
      <c r="FI127" s="165"/>
      <c r="FJ127" s="160"/>
      <c r="FK127" s="168"/>
      <c r="FL127" s="168"/>
      <c r="FM127" s="168"/>
      <c r="FN127" s="163"/>
      <c r="FO127" s="165"/>
      <c r="FP127" s="165"/>
      <c r="FQ127" s="165"/>
      <c r="FR127" s="160"/>
      <c r="FS127" s="168"/>
      <c r="FT127" s="168"/>
      <c r="FU127" s="168"/>
      <c r="FV127" s="163"/>
      <c r="FW127" s="165"/>
      <c r="FX127" s="165"/>
      <c r="FY127" s="165"/>
      <c r="FZ127" s="160"/>
      <c r="GA127" s="168"/>
      <c r="GB127" s="168"/>
      <c r="GC127" s="168"/>
      <c r="GD127" s="163"/>
      <c r="GE127" s="165"/>
      <c r="GF127" s="165"/>
      <c r="GG127" s="165"/>
      <c r="GH127" s="160"/>
      <c r="GI127" s="168"/>
      <c r="GJ127" s="168"/>
      <c r="GK127" s="168"/>
      <c r="GL127" s="163"/>
      <c r="GM127" s="165"/>
      <c r="GN127" s="165"/>
      <c r="GO127" s="165"/>
      <c r="GP127" s="160"/>
      <c r="GQ127" s="168"/>
      <c r="GR127" s="168"/>
      <c r="GS127" s="168"/>
    </row>
    <row r="128" spans="2:201" s="146" customFormat="1" ht="137.5" customHeight="1" x14ac:dyDescent="0.35">
      <c r="B128" s="147"/>
      <c r="C128" s="148"/>
      <c r="D128" s="148"/>
      <c r="E128" s="148"/>
      <c r="F128" s="148"/>
      <c r="G128" s="171"/>
      <c r="H128" s="148"/>
      <c r="I128" s="150"/>
      <c r="J128" s="151"/>
      <c r="K128" s="172"/>
      <c r="L128" s="153"/>
      <c r="M128" s="153"/>
      <c r="N128" s="154"/>
      <c r="O128" s="155"/>
      <c r="P128" s="155"/>
      <c r="Q128" s="156"/>
      <c r="R128" s="157"/>
      <c r="S128" s="158"/>
      <c r="T128" s="158"/>
      <c r="U128" s="159"/>
      <c r="V128" s="160"/>
      <c r="W128" s="161"/>
      <c r="X128" s="162"/>
      <c r="Y128" s="161"/>
      <c r="Z128" s="163"/>
      <c r="AA128" s="164"/>
      <c r="AB128" s="165"/>
      <c r="AC128" s="166"/>
      <c r="AD128" s="162"/>
      <c r="AE128" s="161"/>
      <c r="AF128" s="162"/>
      <c r="AG128" s="154"/>
      <c r="AH128" s="163"/>
      <c r="AI128" s="164"/>
      <c r="AJ128" s="165"/>
      <c r="AK128" s="166"/>
      <c r="AL128" s="167"/>
      <c r="AM128" s="161"/>
      <c r="AN128" s="162"/>
      <c r="AO128" s="161"/>
      <c r="AP128" s="170"/>
      <c r="AQ128" s="164"/>
      <c r="AR128" s="165"/>
      <c r="AS128" s="166"/>
      <c r="AT128" s="160"/>
      <c r="AU128" s="161"/>
      <c r="AV128" s="162"/>
      <c r="AW128" s="168"/>
      <c r="AX128" s="163"/>
      <c r="AY128" s="165"/>
      <c r="AZ128" s="165"/>
      <c r="BA128" s="165"/>
      <c r="BB128" s="160"/>
      <c r="BC128" s="168"/>
      <c r="BD128" s="162"/>
      <c r="BE128" s="168"/>
      <c r="BF128" s="163"/>
      <c r="BG128" s="165"/>
      <c r="BH128" s="165"/>
      <c r="BI128" s="165"/>
      <c r="BJ128" s="160"/>
      <c r="BK128" s="168"/>
      <c r="BL128" s="162"/>
      <c r="BM128" s="168"/>
      <c r="BN128" s="163"/>
      <c r="BO128" s="165"/>
      <c r="BP128" s="165"/>
      <c r="BQ128" s="165"/>
      <c r="BR128" s="160"/>
      <c r="BS128" s="168"/>
      <c r="BT128" s="162"/>
      <c r="BU128" s="168"/>
      <c r="BV128" s="163"/>
      <c r="BW128" s="165"/>
      <c r="BX128" s="165"/>
      <c r="BY128" s="165"/>
      <c r="BZ128" s="160"/>
      <c r="CA128" s="168"/>
      <c r="CB128" s="168"/>
      <c r="CC128" s="168"/>
      <c r="CD128" s="163"/>
      <c r="CE128" s="165"/>
      <c r="CF128" s="165"/>
      <c r="CG128" s="165"/>
      <c r="CH128" s="160"/>
      <c r="CI128" s="168"/>
      <c r="CJ128" s="168"/>
      <c r="CK128" s="168"/>
      <c r="CL128" s="163"/>
      <c r="CM128" s="165"/>
      <c r="CN128" s="165"/>
      <c r="CO128" s="165"/>
      <c r="CP128" s="160"/>
      <c r="CQ128" s="168"/>
      <c r="CR128" s="168"/>
      <c r="CS128" s="168"/>
      <c r="CT128" s="163"/>
      <c r="CU128" s="165"/>
      <c r="CV128" s="165"/>
      <c r="CW128" s="165"/>
      <c r="CX128" s="160"/>
      <c r="CY128" s="168"/>
      <c r="CZ128" s="168"/>
      <c r="DA128" s="168"/>
      <c r="DB128" s="163"/>
      <c r="DC128" s="165"/>
      <c r="DD128" s="165"/>
      <c r="DE128" s="165"/>
      <c r="DF128" s="160"/>
      <c r="DG128" s="168"/>
      <c r="DH128" s="168"/>
      <c r="DI128" s="168"/>
      <c r="DJ128" s="163"/>
      <c r="DK128" s="165"/>
      <c r="DL128" s="165"/>
      <c r="DM128" s="165"/>
      <c r="DN128" s="160"/>
      <c r="DO128" s="168"/>
      <c r="DP128" s="168"/>
      <c r="DQ128" s="168"/>
      <c r="DR128" s="163"/>
      <c r="DS128" s="165"/>
      <c r="DT128" s="165"/>
      <c r="DU128" s="165"/>
      <c r="DV128" s="160"/>
      <c r="DW128" s="168"/>
      <c r="DX128" s="168"/>
      <c r="DY128" s="168"/>
      <c r="DZ128" s="163"/>
      <c r="EA128" s="165"/>
      <c r="EB128" s="165"/>
      <c r="EC128" s="165"/>
      <c r="ED128" s="160"/>
      <c r="EE128" s="168"/>
      <c r="EF128" s="168"/>
      <c r="EG128" s="168"/>
      <c r="EH128" s="163"/>
      <c r="EI128" s="165"/>
      <c r="EJ128" s="165"/>
      <c r="EK128" s="165"/>
      <c r="EL128" s="160"/>
      <c r="EM128" s="168"/>
      <c r="EN128" s="168"/>
      <c r="EO128" s="168"/>
      <c r="EP128" s="163"/>
      <c r="EQ128" s="165"/>
      <c r="ER128" s="165"/>
      <c r="ES128" s="165"/>
      <c r="ET128" s="160"/>
      <c r="EU128" s="168"/>
      <c r="EV128" s="168"/>
      <c r="EW128" s="168"/>
      <c r="EX128" s="163"/>
      <c r="EY128" s="165"/>
      <c r="EZ128" s="165"/>
      <c r="FA128" s="165"/>
      <c r="FB128" s="160"/>
      <c r="FC128" s="168"/>
      <c r="FD128" s="168"/>
      <c r="FE128" s="168"/>
      <c r="FF128" s="163"/>
      <c r="FG128" s="165"/>
      <c r="FH128" s="165"/>
      <c r="FI128" s="165"/>
      <c r="FJ128" s="160"/>
      <c r="FK128" s="168"/>
      <c r="FL128" s="168"/>
      <c r="FM128" s="168"/>
      <c r="FN128" s="163"/>
      <c r="FO128" s="165"/>
      <c r="FP128" s="165"/>
      <c r="FQ128" s="165"/>
      <c r="FR128" s="160"/>
      <c r="FS128" s="168"/>
      <c r="FT128" s="168"/>
      <c r="FU128" s="168"/>
      <c r="FV128" s="163"/>
      <c r="FW128" s="165"/>
      <c r="FX128" s="165"/>
      <c r="FY128" s="165"/>
      <c r="FZ128" s="160"/>
      <c r="GA128" s="168"/>
      <c r="GB128" s="168"/>
      <c r="GC128" s="168"/>
      <c r="GD128" s="163"/>
      <c r="GE128" s="165"/>
      <c r="GF128" s="165"/>
      <c r="GG128" s="165"/>
      <c r="GH128" s="160"/>
      <c r="GI128" s="168"/>
      <c r="GJ128" s="168"/>
      <c r="GK128" s="168"/>
      <c r="GL128" s="163"/>
      <c r="GM128" s="165"/>
      <c r="GN128" s="165"/>
      <c r="GO128" s="165"/>
      <c r="GP128" s="160"/>
      <c r="GQ128" s="168"/>
      <c r="GR128" s="168"/>
      <c r="GS128" s="168"/>
    </row>
    <row r="129" spans="2:201" s="146" customFormat="1" ht="137.5" customHeight="1" x14ac:dyDescent="0.35">
      <c r="B129" s="147"/>
      <c r="C129" s="148"/>
      <c r="D129" s="148"/>
      <c r="E129" s="148"/>
      <c r="F129" s="148"/>
      <c r="G129" s="171"/>
      <c r="H129" s="176"/>
      <c r="I129" s="150"/>
      <c r="J129" s="151"/>
      <c r="K129" s="152"/>
      <c r="L129" s="153"/>
      <c r="M129" s="153"/>
      <c r="N129" s="154"/>
      <c r="O129" s="155">
        <f ca="1">IF(N129="Aprobado con comentarios / Emitir Rev.0",TODAY()-M129,0)</f>
        <v>0</v>
      </c>
      <c r="P129" s="155">
        <f ca="1">IF(N129="Revisión INN",TODAY()-L129,0)</f>
        <v>0</v>
      </c>
      <c r="Q129" s="156"/>
      <c r="R129" s="157"/>
      <c r="S129" s="158"/>
      <c r="T129" s="158"/>
      <c r="U129" s="159"/>
      <c r="V129" s="160"/>
      <c r="W129" s="161"/>
      <c r="X129" s="162"/>
      <c r="Y129" s="161"/>
      <c r="Z129" s="163"/>
      <c r="AA129" s="164"/>
      <c r="AB129" s="165"/>
      <c r="AC129" s="166"/>
      <c r="AD129" s="160"/>
      <c r="AE129" s="161"/>
      <c r="AF129" s="162"/>
      <c r="AG129" s="161"/>
      <c r="AH129" s="163"/>
      <c r="AI129" s="164"/>
      <c r="AJ129" s="165"/>
      <c r="AK129" s="166"/>
      <c r="AL129" s="167"/>
      <c r="AM129" s="161"/>
      <c r="AN129" s="162"/>
      <c r="AO129" s="161"/>
      <c r="AP129" s="170"/>
      <c r="AQ129" s="164"/>
      <c r="AR129" s="165"/>
      <c r="AS129" s="166"/>
      <c r="AT129" s="160"/>
      <c r="AU129" s="161"/>
      <c r="AV129" s="162"/>
      <c r="AW129" s="168"/>
      <c r="AX129" s="163"/>
      <c r="AY129" s="165"/>
      <c r="AZ129" s="165"/>
      <c r="BA129" s="165"/>
      <c r="BB129" s="160"/>
      <c r="BC129" s="168"/>
      <c r="BD129" s="162"/>
      <c r="BE129" s="168"/>
      <c r="BF129" s="163"/>
      <c r="BG129" s="165"/>
      <c r="BH129" s="165"/>
      <c r="BI129" s="165"/>
      <c r="BJ129" s="160"/>
      <c r="BK129" s="168"/>
      <c r="BL129" s="162"/>
      <c r="BM129" s="168"/>
      <c r="BN129" s="163"/>
      <c r="BO129" s="165"/>
      <c r="BP129" s="165"/>
      <c r="BQ129" s="165"/>
      <c r="BR129" s="160"/>
      <c r="BS129" s="168"/>
      <c r="BT129" s="162"/>
      <c r="BU129" s="168"/>
      <c r="BV129" s="163"/>
      <c r="BW129" s="165"/>
      <c r="BX129" s="165"/>
      <c r="BY129" s="165"/>
      <c r="BZ129" s="160"/>
      <c r="CA129" s="168"/>
      <c r="CB129" s="168"/>
      <c r="CC129" s="168"/>
      <c r="CD129" s="163"/>
      <c r="CE129" s="165"/>
      <c r="CF129" s="165"/>
      <c r="CG129" s="165"/>
      <c r="CH129" s="160"/>
      <c r="CI129" s="168"/>
      <c r="CJ129" s="168"/>
      <c r="CK129" s="168"/>
      <c r="CL129" s="163"/>
      <c r="CM129" s="165"/>
      <c r="CN129" s="165"/>
      <c r="CO129" s="165"/>
      <c r="CP129" s="160"/>
      <c r="CQ129" s="168"/>
      <c r="CR129" s="168"/>
      <c r="CS129" s="168"/>
      <c r="CT129" s="163"/>
      <c r="CU129" s="165"/>
      <c r="CV129" s="165"/>
      <c r="CW129" s="165"/>
      <c r="CX129" s="160"/>
      <c r="CY129" s="168"/>
      <c r="CZ129" s="168"/>
      <c r="DA129" s="168"/>
      <c r="DB129" s="163"/>
      <c r="DC129" s="165"/>
      <c r="DD129" s="165"/>
      <c r="DE129" s="165"/>
      <c r="DF129" s="160"/>
      <c r="DG129" s="168"/>
      <c r="DH129" s="168"/>
      <c r="DI129" s="168"/>
      <c r="DJ129" s="163"/>
      <c r="DK129" s="165"/>
      <c r="DL129" s="165"/>
      <c r="DM129" s="165"/>
      <c r="DN129" s="160"/>
      <c r="DO129" s="168"/>
      <c r="DP129" s="168"/>
      <c r="DQ129" s="168"/>
      <c r="DR129" s="163"/>
      <c r="DS129" s="165"/>
      <c r="DT129" s="165"/>
      <c r="DU129" s="165"/>
      <c r="DV129" s="160"/>
      <c r="DW129" s="168"/>
      <c r="DX129" s="168"/>
      <c r="DY129" s="168"/>
      <c r="DZ129" s="163"/>
      <c r="EA129" s="165"/>
      <c r="EB129" s="165"/>
      <c r="EC129" s="165"/>
      <c r="ED129" s="160"/>
      <c r="EE129" s="168"/>
      <c r="EF129" s="168"/>
      <c r="EG129" s="168"/>
      <c r="EH129" s="163"/>
      <c r="EI129" s="165"/>
      <c r="EJ129" s="165"/>
      <c r="EK129" s="165"/>
      <c r="EL129" s="160"/>
      <c r="EM129" s="168"/>
      <c r="EN129" s="168"/>
      <c r="EO129" s="168"/>
      <c r="EP129" s="163"/>
      <c r="EQ129" s="165"/>
      <c r="ER129" s="165"/>
      <c r="ES129" s="165"/>
      <c r="ET129" s="160"/>
      <c r="EU129" s="168"/>
      <c r="EV129" s="168"/>
      <c r="EW129" s="168"/>
      <c r="EX129" s="163"/>
      <c r="EY129" s="165"/>
      <c r="EZ129" s="165"/>
      <c r="FA129" s="165"/>
      <c r="FB129" s="160"/>
      <c r="FC129" s="168"/>
      <c r="FD129" s="168"/>
      <c r="FE129" s="168"/>
      <c r="FF129" s="163"/>
      <c r="FG129" s="165"/>
      <c r="FH129" s="165"/>
      <c r="FI129" s="165"/>
      <c r="FJ129" s="160"/>
      <c r="FK129" s="168"/>
      <c r="FL129" s="168"/>
      <c r="FM129" s="168"/>
      <c r="FN129" s="163"/>
      <c r="FO129" s="165"/>
      <c r="FP129" s="165"/>
      <c r="FQ129" s="165"/>
      <c r="FR129" s="160"/>
      <c r="FS129" s="168"/>
      <c r="FT129" s="168"/>
      <c r="FU129" s="168"/>
      <c r="FV129" s="163"/>
      <c r="FW129" s="165"/>
      <c r="FX129" s="165"/>
      <c r="FY129" s="165"/>
      <c r="FZ129" s="160"/>
      <c r="GA129" s="168"/>
      <c r="GB129" s="168"/>
      <c r="GC129" s="168"/>
      <c r="GD129" s="163"/>
      <c r="GE129" s="165"/>
      <c r="GF129" s="165"/>
      <c r="GG129" s="165"/>
      <c r="GH129" s="160"/>
      <c r="GI129" s="168"/>
      <c r="GJ129" s="168"/>
      <c r="GK129" s="168"/>
      <c r="GL129" s="163"/>
      <c r="GM129" s="165"/>
      <c r="GN129" s="165"/>
      <c r="GO129" s="165"/>
      <c r="GP129" s="160"/>
      <c r="GQ129" s="168"/>
      <c r="GR129" s="168"/>
      <c r="GS129" s="168"/>
    </row>
    <row r="130" spans="2:201" s="146" customFormat="1" ht="137.5" customHeight="1" x14ac:dyDescent="0.35">
      <c r="B130" s="147"/>
      <c r="C130" s="148"/>
      <c r="D130" s="148"/>
      <c r="E130" s="148"/>
      <c r="F130" s="148"/>
      <c r="G130" s="171"/>
      <c r="H130" s="148"/>
      <c r="I130" s="150"/>
      <c r="J130" s="151"/>
      <c r="K130" s="152"/>
      <c r="L130" s="153"/>
      <c r="M130" s="153"/>
      <c r="N130" s="154"/>
      <c r="O130" s="155">
        <f ca="1">IF(N130="Aprobado con comentarios / Emitir Rev.0",TODAY()-M130,0)</f>
        <v>0</v>
      </c>
      <c r="P130" s="155">
        <f ca="1">IF(N130="REQUIERE RESPUESTA",TODAY()-L130,0)</f>
        <v>0</v>
      </c>
      <c r="Q130" s="156">
        <f>ROUNDUP(((COUNTA(R130:GS130)/4)/2),0)</f>
        <v>0</v>
      </c>
      <c r="R130" s="157"/>
      <c r="S130" s="158"/>
      <c r="T130" s="158"/>
      <c r="U130" s="159"/>
      <c r="V130" s="160"/>
      <c r="W130" s="161"/>
      <c r="X130" s="162"/>
      <c r="Y130" s="161"/>
      <c r="Z130" s="163"/>
      <c r="AA130" s="164"/>
      <c r="AB130" s="165"/>
      <c r="AC130" s="159"/>
      <c r="AD130" s="160"/>
      <c r="AE130" s="161"/>
      <c r="AF130" s="162"/>
      <c r="AG130" s="161"/>
      <c r="AH130" s="163"/>
      <c r="AI130" s="164"/>
      <c r="AJ130" s="165"/>
      <c r="AK130" s="166"/>
      <c r="AL130" s="167"/>
      <c r="AM130" s="161"/>
      <c r="AN130" s="162"/>
      <c r="AO130" s="161"/>
      <c r="AP130" s="170"/>
      <c r="AQ130" s="164"/>
      <c r="AR130" s="165"/>
      <c r="AS130" s="166"/>
      <c r="AT130" s="160"/>
      <c r="AU130" s="161"/>
      <c r="AV130" s="162"/>
      <c r="AW130" s="168"/>
      <c r="AX130" s="163"/>
      <c r="AY130" s="165"/>
      <c r="AZ130" s="165"/>
      <c r="BA130" s="165"/>
      <c r="BB130" s="160"/>
      <c r="BC130" s="168"/>
      <c r="BD130" s="162"/>
      <c r="BE130" s="168"/>
      <c r="BF130" s="163"/>
      <c r="BG130" s="165"/>
      <c r="BH130" s="165"/>
      <c r="BI130" s="165"/>
      <c r="BJ130" s="160"/>
      <c r="BK130" s="168"/>
      <c r="BL130" s="162"/>
      <c r="BM130" s="168"/>
      <c r="BN130" s="163"/>
      <c r="BO130" s="165"/>
      <c r="BP130" s="165"/>
      <c r="BQ130" s="165"/>
      <c r="BR130" s="160"/>
      <c r="BS130" s="168"/>
      <c r="BT130" s="162"/>
      <c r="BU130" s="168"/>
      <c r="BV130" s="163"/>
      <c r="BW130" s="165"/>
      <c r="BX130" s="165"/>
      <c r="BY130" s="165"/>
      <c r="BZ130" s="160"/>
      <c r="CA130" s="168"/>
      <c r="CB130" s="168"/>
      <c r="CC130" s="168"/>
      <c r="CD130" s="163"/>
      <c r="CE130" s="165"/>
      <c r="CF130" s="165"/>
      <c r="CG130" s="165"/>
      <c r="CH130" s="160"/>
      <c r="CI130" s="168"/>
      <c r="CJ130" s="168"/>
      <c r="CK130" s="168"/>
      <c r="CL130" s="163"/>
      <c r="CM130" s="165"/>
      <c r="CN130" s="165"/>
      <c r="CO130" s="165"/>
      <c r="CP130" s="160"/>
      <c r="CQ130" s="168"/>
      <c r="CR130" s="168"/>
      <c r="CS130" s="168"/>
      <c r="CT130" s="163"/>
      <c r="CU130" s="165"/>
      <c r="CV130" s="165"/>
      <c r="CW130" s="165"/>
      <c r="CX130" s="160"/>
      <c r="CY130" s="168"/>
      <c r="CZ130" s="168"/>
      <c r="DA130" s="168"/>
      <c r="DB130" s="163"/>
      <c r="DC130" s="165"/>
      <c r="DD130" s="165"/>
      <c r="DE130" s="165"/>
      <c r="DF130" s="160"/>
      <c r="DG130" s="168"/>
      <c r="DH130" s="168"/>
      <c r="DI130" s="168"/>
      <c r="DJ130" s="163"/>
      <c r="DK130" s="165"/>
      <c r="DL130" s="165"/>
      <c r="DM130" s="165"/>
      <c r="DN130" s="160"/>
      <c r="DO130" s="168"/>
      <c r="DP130" s="168"/>
      <c r="DQ130" s="168"/>
      <c r="DR130" s="163"/>
      <c r="DS130" s="165"/>
      <c r="DT130" s="165"/>
      <c r="DU130" s="165"/>
      <c r="DV130" s="160"/>
      <c r="DW130" s="168"/>
      <c r="DX130" s="168"/>
      <c r="DY130" s="168"/>
      <c r="DZ130" s="163"/>
      <c r="EA130" s="165"/>
      <c r="EB130" s="165"/>
      <c r="EC130" s="165"/>
      <c r="ED130" s="160"/>
      <c r="EE130" s="168"/>
      <c r="EF130" s="168"/>
      <c r="EG130" s="168"/>
      <c r="EH130" s="163"/>
      <c r="EI130" s="165"/>
      <c r="EJ130" s="165"/>
      <c r="EK130" s="165"/>
      <c r="EL130" s="160"/>
      <c r="EM130" s="168"/>
      <c r="EN130" s="168"/>
      <c r="EO130" s="168"/>
      <c r="EP130" s="163"/>
      <c r="EQ130" s="165"/>
      <c r="ER130" s="165"/>
      <c r="ES130" s="165"/>
      <c r="ET130" s="160"/>
      <c r="EU130" s="168"/>
      <c r="EV130" s="168"/>
      <c r="EW130" s="168"/>
      <c r="EX130" s="163"/>
      <c r="EY130" s="165"/>
      <c r="EZ130" s="165"/>
      <c r="FA130" s="165"/>
      <c r="FB130" s="160"/>
      <c r="FC130" s="168"/>
      <c r="FD130" s="168"/>
      <c r="FE130" s="168"/>
      <c r="FF130" s="163"/>
      <c r="FG130" s="165"/>
      <c r="FH130" s="165"/>
      <c r="FI130" s="165"/>
      <c r="FJ130" s="160"/>
      <c r="FK130" s="168"/>
      <c r="FL130" s="168"/>
      <c r="FM130" s="168"/>
      <c r="FN130" s="163"/>
      <c r="FO130" s="165"/>
      <c r="FP130" s="165"/>
      <c r="FQ130" s="165"/>
      <c r="FR130" s="160"/>
      <c r="FS130" s="168"/>
      <c r="FT130" s="168"/>
      <c r="FU130" s="168"/>
      <c r="FV130" s="163"/>
      <c r="FW130" s="165"/>
      <c r="FX130" s="165"/>
      <c r="FY130" s="165"/>
      <c r="FZ130" s="160"/>
      <c r="GA130" s="168"/>
      <c r="GB130" s="168"/>
      <c r="GC130" s="168"/>
      <c r="GD130" s="163"/>
      <c r="GE130" s="165"/>
      <c r="GF130" s="165"/>
      <c r="GG130" s="165"/>
      <c r="GH130" s="160"/>
      <c r="GI130" s="168"/>
      <c r="GJ130" s="168"/>
      <c r="GK130" s="168"/>
      <c r="GL130" s="163"/>
      <c r="GM130" s="165"/>
      <c r="GN130" s="165"/>
      <c r="GO130" s="165"/>
      <c r="GP130" s="160"/>
      <c r="GQ130" s="168"/>
      <c r="GR130" s="168"/>
      <c r="GS130" s="168"/>
    </row>
    <row r="131" spans="2:201" s="179" customFormat="1" ht="58.5" customHeight="1" x14ac:dyDescent="0.35">
      <c r="B131" s="192"/>
      <c r="C131" s="192"/>
      <c r="D131" s="148"/>
      <c r="E131" s="193"/>
      <c r="F131" s="192"/>
      <c r="G131" s="266"/>
      <c r="H131" s="176"/>
      <c r="I131" s="182"/>
      <c r="J131" s="181"/>
      <c r="K131" s="180"/>
      <c r="L131" s="183"/>
      <c r="M131" s="183"/>
      <c r="N131" s="183"/>
      <c r="O131" s="183"/>
      <c r="P131" s="183"/>
      <c r="Q131" s="183"/>
      <c r="R131" s="180"/>
      <c r="S131" s="180"/>
      <c r="T131" s="180"/>
      <c r="U131" s="184"/>
      <c r="AB131" s="165"/>
      <c r="AK131" s="185"/>
      <c r="AS131" s="186"/>
      <c r="BL131" s="162"/>
    </row>
  </sheetData>
  <autoFilter ref="A9:GS130" xr:uid="{00000000-0001-0000-0000-000000000000}">
    <sortState xmlns:xlrd2="http://schemas.microsoft.com/office/spreadsheetml/2017/richdata2" ref="A10:GS130">
      <sortCondition descending="1" ref="G9:G130"/>
    </sortState>
  </autoFilter>
  <mergeCells count="7">
    <mergeCell ref="B8:C8"/>
    <mergeCell ref="N3:Q3"/>
    <mergeCell ref="N4:Q4"/>
    <mergeCell ref="D5:I5"/>
    <mergeCell ref="N5:Q5"/>
    <mergeCell ref="N6:Q6"/>
    <mergeCell ref="N7:Q7"/>
  </mergeCells>
  <phoneticPr fontId="11" type="noConversion"/>
  <conditionalFormatting sqref="D132:F65246 D2:F8 F1 E131:F131">
    <cfRule type="duplicateValues" dxfId="4" priority="4"/>
  </conditionalFormatting>
  <conditionalFormatting sqref="D132:F65246 E131:F131">
    <cfRule type="duplicateValues" dxfId="3" priority="5"/>
  </conditionalFormatting>
  <conditionalFormatting sqref="O10:P130">
    <cfRule type="cellIs" dxfId="2" priority="1" operator="greaterThan">
      <formula>10</formula>
    </cfRule>
    <cfRule type="cellIs" dxfId="1" priority="2" operator="greaterThan">
      <formula>5</formula>
    </cfRule>
    <cfRule type="cellIs" dxfId="0" priority="3" operator="greaterThan">
      <formula>5</formula>
    </cfRule>
  </conditionalFormatting>
  <printOptions horizontalCentered="1"/>
  <pageMargins left="0.98425196850393704" right="0.59055118110236227" top="0.59055118110236227" bottom="0.78740157480314965" header="1.299212598425197" footer="0.51181102362204722"/>
  <pageSetup paperSize="8" scale="10" fitToHeight="0" orientation="landscape" horizontalDpi="300" verticalDpi="300" r:id="rId1"/>
  <headerFooter alignWithMargins="0">
    <oddHeader>&amp;R&amp;P de &amp;N
&amp;D</oddHeader>
    <oddFooter>&amp;C&amp;6Este documento es propiedad de Pares&amp;&amp;Alvarez.  No podrá ser copiado, emitido o utilizado con otro propósito que no sea el estipulado en el contrato con el Cliente.</oddFooter>
  </headerFooter>
  <rowBreaks count="1" manualBreakCount="1">
    <brk id="65" max="16383" man="1"/>
  </rowBreaks>
  <colBreaks count="1" manualBreakCount="1">
    <brk id="4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CBC5-0D10-4830-9727-5BF145A7C87C}">
  <dimension ref="B3:C25"/>
  <sheetViews>
    <sheetView workbookViewId="0">
      <selection activeCell="C3" sqref="C3"/>
    </sheetView>
  </sheetViews>
  <sheetFormatPr baseColWidth="10" defaultColWidth="11.453125" defaultRowHeight="14.5" x14ac:dyDescent="0.35"/>
  <cols>
    <col min="2" max="2" width="28.453125" bestFit="1" customWidth="1"/>
  </cols>
  <sheetData>
    <row r="3" spans="2:3" x14ac:dyDescent="0.35">
      <c r="B3" t="s">
        <v>1133</v>
      </c>
      <c r="C3" s="470">
        <v>45884</v>
      </c>
    </row>
    <row r="4" spans="2:3" x14ac:dyDescent="0.35">
      <c r="B4" t="s">
        <v>1134</v>
      </c>
      <c r="C4" s="470">
        <v>45918</v>
      </c>
    </row>
    <row r="5" spans="2:3" x14ac:dyDescent="0.35">
      <c r="B5" t="s">
        <v>1135</v>
      </c>
      <c r="C5" s="470">
        <v>45919</v>
      </c>
    </row>
    <row r="6" spans="2:3" x14ac:dyDescent="0.35">
      <c r="B6" t="s">
        <v>1136</v>
      </c>
      <c r="C6" s="470">
        <v>45942</v>
      </c>
    </row>
    <row r="7" spans="2:3" x14ac:dyDescent="0.35">
      <c r="B7" t="s">
        <v>1137</v>
      </c>
      <c r="C7" s="470">
        <v>45961</v>
      </c>
    </row>
    <row r="8" spans="2:3" x14ac:dyDescent="0.35">
      <c r="B8" t="s">
        <v>1138</v>
      </c>
      <c r="C8" s="470">
        <v>45962</v>
      </c>
    </row>
    <row r="9" spans="2:3" x14ac:dyDescent="0.35">
      <c r="B9" t="s">
        <v>1139</v>
      </c>
      <c r="C9" s="470">
        <v>45999</v>
      </c>
    </row>
    <row r="10" spans="2:3" x14ac:dyDescent="0.35">
      <c r="B10" t="s">
        <v>1140</v>
      </c>
      <c r="C10" s="470">
        <v>46016</v>
      </c>
    </row>
    <row r="11" spans="2:3" x14ac:dyDescent="0.35">
      <c r="B11" t="s">
        <v>1141</v>
      </c>
      <c r="C11" s="470">
        <v>46023</v>
      </c>
    </row>
    <row r="12" spans="2:3" x14ac:dyDescent="0.35">
      <c r="B12" t="s">
        <v>1142</v>
      </c>
      <c r="C12" s="470">
        <v>46115</v>
      </c>
    </row>
    <row r="13" spans="2:3" x14ac:dyDescent="0.35">
      <c r="B13" t="s">
        <v>1143</v>
      </c>
      <c r="C13" s="470">
        <v>46143</v>
      </c>
    </row>
    <row r="14" spans="2:3" x14ac:dyDescent="0.35">
      <c r="B14" t="s">
        <v>1144</v>
      </c>
      <c r="C14" s="470">
        <v>46163</v>
      </c>
    </row>
    <row r="15" spans="2:3" x14ac:dyDescent="0.35">
      <c r="B15" t="s">
        <v>1145</v>
      </c>
      <c r="C15" s="470">
        <v>46194</v>
      </c>
    </row>
    <row r="16" spans="2:3" x14ac:dyDescent="0.35">
      <c r="B16" t="s">
        <v>1146</v>
      </c>
      <c r="C16" s="470">
        <v>46202</v>
      </c>
    </row>
    <row r="17" spans="2:3" x14ac:dyDescent="0.35">
      <c r="B17" t="s">
        <v>1147</v>
      </c>
      <c r="C17" s="470">
        <v>46219</v>
      </c>
    </row>
    <row r="18" spans="2:3" x14ac:dyDescent="0.35">
      <c r="B18" t="s">
        <v>1133</v>
      </c>
      <c r="C18" s="470">
        <v>46249</v>
      </c>
    </row>
    <row r="19" spans="2:3" x14ac:dyDescent="0.35">
      <c r="B19" t="s">
        <v>1134</v>
      </c>
      <c r="C19" s="470">
        <v>46283</v>
      </c>
    </row>
    <row r="20" spans="2:3" x14ac:dyDescent="0.35">
      <c r="B20" t="s">
        <v>1135</v>
      </c>
      <c r="C20" s="470">
        <v>46284</v>
      </c>
    </row>
    <row r="21" spans="2:3" x14ac:dyDescent="0.35">
      <c r="B21" t="s">
        <v>1136</v>
      </c>
      <c r="C21" s="470">
        <v>46307</v>
      </c>
    </row>
    <row r="22" spans="2:3" x14ac:dyDescent="0.35">
      <c r="B22" t="s">
        <v>1137</v>
      </c>
      <c r="C22" s="470">
        <v>46326</v>
      </c>
    </row>
    <row r="23" spans="2:3" x14ac:dyDescent="0.35">
      <c r="B23" t="s">
        <v>1138</v>
      </c>
      <c r="C23" s="470">
        <v>46327</v>
      </c>
    </row>
    <row r="24" spans="2:3" x14ac:dyDescent="0.35">
      <c r="B24" t="s">
        <v>1139</v>
      </c>
      <c r="C24" s="470">
        <v>46364</v>
      </c>
    </row>
    <row r="25" spans="2:3" x14ac:dyDescent="0.35">
      <c r="B25" t="s">
        <v>1140</v>
      </c>
      <c r="C25" s="470">
        <v>46381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8B63DDA412F84798541B81EBCC29DC" ma:contentTypeVersion="12" ma:contentTypeDescription="Crear nuevo documento." ma:contentTypeScope="" ma:versionID="767ec11bafc99e9c634560330e06c092">
  <xsd:schema xmlns:xsd="http://www.w3.org/2001/XMLSchema" xmlns:xs="http://www.w3.org/2001/XMLSchema" xmlns:p="http://schemas.microsoft.com/office/2006/metadata/properties" xmlns:ns2="9a76abb1-94a6-4bfb-95c2-360e11f0e195" xmlns:ns3="2c03dd1f-280b-4847-9bb8-f140cd1193be" targetNamespace="http://schemas.microsoft.com/office/2006/metadata/properties" ma:root="true" ma:fieldsID="80bdfb7b35509b99145bd044b902c3bb" ns2:_="" ns3:_="">
    <xsd:import namespace="9a76abb1-94a6-4bfb-95c2-360e11f0e195"/>
    <xsd:import namespace="2c03dd1f-280b-4847-9bb8-f140cd119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6abb1-94a6-4bfb-95c2-360e11f0e1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8f20f78-e0c1-494b-b991-fa1c4c3c1e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3dd1f-280b-4847-9bb8-f140cd1193b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1694dee-3533-47c5-81c6-8a2182576e70}" ma:internalName="TaxCatchAll" ma:showField="CatchAllData" ma:web="2c03dd1f-280b-4847-9bb8-f140cd119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03dd1f-280b-4847-9bb8-f140cd1193be" xsi:nil="true"/>
    <lcf76f155ced4ddcb4097134ff3c332f xmlns="9a76abb1-94a6-4bfb-95c2-360e11f0e1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F77F4B-467D-4933-8085-C961DB50B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76abb1-94a6-4bfb-95c2-360e11f0e195"/>
    <ds:schemaRef ds:uri="2c03dd1f-280b-4847-9bb8-f140cd119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48E516-9EB4-4B3C-A209-E13E2EB73B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4EABB-24FD-457B-B109-AD8C56FB5C0A}">
  <ds:schemaRefs>
    <ds:schemaRef ds:uri="http://schemas.microsoft.com/office/2006/metadata/properties"/>
    <ds:schemaRef ds:uri="http://schemas.microsoft.com/office/infopath/2007/PartnerControls"/>
    <ds:schemaRef ds:uri="2c03dd1f-280b-4847-9bb8-f140cd1193be"/>
    <ds:schemaRef ds:uri="9a76abb1-94a6-4bfb-95c2-360e11f0e1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8</vt:i4>
      </vt:variant>
    </vt:vector>
  </HeadingPairs>
  <TitlesOfParts>
    <vt:vector size="14" baseType="lpstr">
      <vt:lpstr>MASTER INGENIERÍA CLIENTE</vt:lpstr>
      <vt:lpstr>INGENIERÍA FABRICA</vt:lpstr>
      <vt:lpstr>Criticidad</vt:lpstr>
      <vt:lpstr>SDI o TRL CLIENTE</vt:lpstr>
      <vt:lpstr>MASTER U3</vt:lpstr>
      <vt:lpstr>Hoja1</vt:lpstr>
      <vt:lpstr>'INGENIERÍA FABRICA'!Área_de_impresión</vt:lpstr>
      <vt:lpstr>'MASTER INGENIERÍA CLIENTE'!Área_de_impresión</vt:lpstr>
      <vt:lpstr>'MASTER U3'!Área_de_impresión</vt:lpstr>
      <vt:lpstr>'SDI o TRL CLIENTE'!Área_de_impresión</vt:lpstr>
      <vt:lpstr>'INGENIERÍA FABRICA'!Títulos_a_imprimir</vt:lpstr>
      <vt:lpstr>'MASTER INGENIERÍA CLIENTE'!Títulos_a_imprimir</vt:lpstr>
      <vt:lpstr>'MASTER U3'!Títulos_a_imprimir</vt:lpstr>
      <vt:lpstr>'SDI o TRL CLIENTE'!Títulos_a_imprimir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</dc:creator>
  <cp:keywords/>
  <dc:description/>
  <cp:lastModifiedBy>Bryan Alcaino</cp:lastModifiedBy>
  <cp:revision/>
  <dcterms:created xsi:type="dcterms:W3CDTF">2020-10-28T14:28:18Z</dcterms:created>
  <dcterms:modified xsi:type="dcterms:W3CDTF">2026-04-18T15:29:43Z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0x0101008A8B63DDA412F84798541B81EBCC29DC</vt:lpwstr>
  </property>
  <property fmtid="{D5CDD505-2E9C-101B-9397-08002B2CF9AE}" pid="3" name="MediaServiceImageTags">
    <vt:lpwstr/>
  </property>
</Properties>
</file>