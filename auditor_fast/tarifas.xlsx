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Unidades compartidas\20_Controller\16. TERMINALES CONTROLLER\VICTOR\Tarifarios\"/>
    </mc:Choice>
  </mc:AlternateContent>
  <xr:revisionPtr revIDLastSave="0" documentId="13_ncr:1_{9B03A5A5-802C-4B90-93C6-F703B6B1C7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M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1pRq2mKJv0zDUzWavNgaMqu+EqYIinhf6zBoGa0CLg="/>
    </ext>
  </extLst>
</workbook>
</file>

<file path=xl/calcChain.xml><?xml version="1.0" encoding="utf-8"?>
<calcChain xmlns="http://schemas.openxmlformats.org/spreadsheetml/2006/main">
  <c r="E36" i="1" l="1"/>
  <c r="E107" i="1"/>
  <c r="E42" i="1"/>
  <c r="E60" i="1"/>
  <c r="E59" i="1"/>
  <c r="E58" i="1"/>
  <c r="E64" i="1"/>
  <c r="D62" i="1"/>
  <c r="D52" i="1"/>
  <c r="D51" i="1"/>
  <c r="D50" i="1"/>
  <c r="D53" i="1"/>
  <c r="E11" i="1"/>
  <c r="E10" i="1" s="1"/>
  <c r="E9" i="1"/>
  <c r="E7" i="1"/>
  <c r="E12" i="1" l="1"/>
</calcChain>
</file>

<file path=xl/sharedStrings.xml><?xml version="1.0" encoding="utf-8"?>
<sst xmlns="http://schemas.openxmlformats.org/spreadsheetml/2006/main" count="796" uniqueCount="177">
  <si>
    <t>TERMINAL</t>
  </si>
  <si>
    <t>SERVICIO</t>
  </si>
  <si>
    <t>UNIDAD</t>
  </si>
  <si>
    <t>MONEDA</t>
  </si>
  <si>
    <t>OBSERVACIÓN</t>
  </si>
  <si>
    <t>OBSERVACIONES</t>
  </si>
  <si>
    <t>Teisa</t>
  </si>
  <si>
    <t>Descarga</t>
  </si>
  <si>
    <t>kg</t>
  </si>
  <si>
    <t>CLP</t>
  </si>
  <si>
    <t>24 Hr Líbres</t>
  </si>
  <si>
    <t>Descarga entre 09:00-14:00</t>
  </si>
  <si>
    <t>Descarga entre 14:01 - 17:59</t>
  </si>
  <si>
    <t>Descarga entre las 18:00 - 08:59</t>
  </si>
  <si>
    <t>Descarga Paletizado</t>
  </si>
  <si>
    <t>Descarga entre 14:01 - finalizar día</t>
  </si>
  <si>
    <t xml:space="preserve">Almacenaje Congelado </t>
  </si>
  <si>
    <t>DEVOLUCIÓN 30% FACTURA A TRAVES DE NC</t>
  </si>
  <si>
    <t>Almacenaje adicional</t>
  </si>
  <si>
    <t>24-28</t>
  </si>
  <si>
    <t>28-32</t>
  </si>
  <si>
    <t>32-36</t>
  </si>
  <si>
    <t>36-40</t>
  </si>
  <si>
    <t>40-44</t>
  </si>
  <si>
    <t>44-48</t>
  </si>
  <si>
    <t>48-52</t>
  </si>
  <si>
    <t>52-56</t>
  </si>
  <si>
    <t>56-60</t>
  </si>
  <si>
    <t>60-64</t>
  </si>
  <si>
    <t>64-68</t>
  </si>
  <si>
    <t>68-72</t>
  </si>
  <si>
    <t>72-76</t>
  </si>
  <si>
    <t>76-80</t>
  </si>
  <si>
    <t>80-84</t>
  </si>
  <si>
    <t>&gt; 84</t>
  </si>
  <si>
    <t>Recargo</t>
  </si>
  <si>
    <t>Unidad</t>
  </si>
  <si>
    <t>UF</t>
  </si>
  <si>
    <t>Sábado después 14:00, domingo y festivos las 24 horas por camión. (Valor se divide por el numero de agencias compartidas)</t>
  </si>
  <si>
    <t>Rayos X</t>
  </si>
  <si>
    <t>Trasvasije</t>
  </si>
  <si>
    <t>Trasvasije Nocturno</t>
  </si>
  <si>
    <t>TRASVASIJE CARGA AEREA (SKY)</t>
  </si>
  <si>
    <t>Hielo por caja</t>
  </si>
  <si>
    <t>Enmantado</t>
  </si>
  <si>
    <t>AKE</t>
  </si>
  <si>
    <t>ALF</t>
  </si>
  <si>
    <t>CAJA</t>
  </si>
  <si>
    <t>DPE</t>
  </si>
  <si>
    <t>DQF</t>
  </si>
  <si>
    <t>PALETA</t>
  </si>
  <si>
    <t>SKID</t>
  </si>
  <si>
    <t>Venta Skid Madera</t>
  </si>
  <si>
    <t>Venta Skid Plástico</t>
  </si>
  <si>
    <t>Venta Skid Plástico - Otro terminal</t>
  </si>
  <si>
    <t>Embolsado Caja</t>
  </si>
  <si>
    <t>Caja</t>
  </si>
  <si>
    <t>Servicio Fotografía Numero ULD</t>
  </si>
  <si>
    <t>Servicio Fotografía Packing Caja</t>
  </si>
  <si>
    <t xml:space="preserve">Servicio Fotografía Panoramica </t>
  </si>
  <si>
    <t>Servicio Fotografía Rotulo Teisa</t>
  </si>
  <si>
    <t>Servicio Fotografía Sobre China</t>
  </si>
  <si>
    <t xml:space="preserve">Servicio Fotografía Temperatura </t>
  </si>
  <si>
    <t>Servicio Fotografía Temografo</t>
  </si>
  <si>
    <t>Servicio Video</t>
  </si>
  <si>
    <t>Sellado Caja</t>
  </si>
  <si>
    <t>Sellado Skid</t>
  </si>
  <si>
    <t>SOLO MOWI</t>
  </si>
  <si>
    <t xml:space="preserve">Enzunchado Plástico </t>
  </si>
  <si>
    <t>CAJON</t>
  </si>
  <si>
    <t xml:space="preserve">Tramite Destrucción </t>
  </si>
  <si>
    <t>AWB</t>
  </si>
  <si>
    <t>Habilitación x camión</t>
  </si>
  <si>
    <t>FUERA HORARIO HABIL</t>
  </si>
  <si>
    <t>Lunes a domingo 18:00 - 08:15</t>
  </si>
  <si>
    <t>MADRUGADA</t>
  </si>
  <si>
    <t>Lunes a domingo 18:00 - 08:15 (Se habilita además un escanista)</t>
  </si>
  <si>
    <t>Servicio Especial Tractado</t>
  </si>
  <si>
    <t>Cobro Mínimo</t>
  </si>
  <si>
    <t>Cobro Administración Zona Carga</t>
  </si>
  <si>
    <t>Orden de Servicio</t>
  </si>
  <si>
    <t>Cobro Mínimo Rx</t>
  </si>
  <si>
    <t>Aerosan</t>
  </si>
  <si>
    <t>Descarga paletizada</t>
  </si>
  <si>
    <t>Full Service</t>
  </si>
  <si>
    <t>Sin cobro</t>
  </si>
  <si>
    <t>36 horas libres</t>
  </si>
  <si>
    <t>USD</t>
  </si>
  <si>
    <t>Enzunchado</t>
  </si>
  <si>
    <t>Sellado Film</t>
  </si>
  <si>
    <t>Skid</t>
  </si>
  <si>
    <t>Etiquetado de Bultos</t>
  </si>
  <si>
    <t xml:space="preserve">Destrucción Cajas </t>
  </si>
  <si>
    <t>MAX 3 CAJAS POR AWB</t>
  </si>
  <si>
    <t>Traslado Fuera Terminal</t>
  </si>
  <si>
    <t>Retiros, Despachos de otros terminales</t>
  </si>
  <si>
    <t>Cool Dollie</t>
  </si>
  <si>
    <t>Servicio</t>
  </si>
  <si>
    <t>Pesaje</t>
  </si>
  <si>
    <t>Fotografías</t>
  </si>
  <si>
    <t>Reembalaje</t>
  </si>
  <si>
    <t>Embolsado</t>
  </si>
  <si>
    <t>Inspección Aérea</t>
  </si>
  <si>
    <t>Inspección Maritima</t>
  </si>
  <si>
    <t>Descarga Paletizada</t>
  </si>
  <si>
    <t>Full Services</t>
  </si>
  <si>
    <t>24 horas libres</t>
  </si>
  <si>
    <t>ULD 4 POSICIONES</t>
  </si>
  <si>
    <t>ULD 2 POSICIONES</t>
  </si>
  <si>
    <t>Reetiquetado</t>
  </si>
  <si>
    <t>Sellado (Stretch Film)</t>
  </si>
  <si>
    <t>Sellado (Stretch Film + Plástico</t>
  </si>
  <si>
    <t>ULD</t>
  </si>
  <si>
    <t>Sanitización</t>
  </si>
  <si>
    <t>Venta de Skid Certificado</t>
  </si>
  <si>
    <t>Plástico Separación AWB</t>
  </si>
  <si>
    <t>Plastico gorro</t>
  </si>
  <si>
    <t>22:00 - 07:00</t>
  </si>
  <si>
    <t>Habilitación personal escaner</t>
  </si>
  <si>
    <t>Hora Hombre</t>
  </si>
  <si>
    <t>POR SERVICIO</t>
  </si>
  <si>
    <t xml:space="preserve">HORA HOMBRE O FRACCIÓN ( APLICA PARA SERVICIOS TALES COMO FOTOGRAFÍA, ETIQUETADO, PEGADO SOBRE TARDÍO, ETC). </t>
  </si>
  <si>
    <t>Grúa Horquilla</t>
  </si>
  <si>
    <t>Hora</t>
  </si>
  <si>
    <t>Destrucción caja</t>
  </si>
  <si>
    <t>COSTOS DE INSPECCIÓN ORGANOLEPTICO</t>
  </si>
  <si>
    <t>ENTIDAD</t>
  </si>
  <si>
    <t>PRECIO</t>
  </si>
  <si>
    <t>EUROFINS</t>
  </si>
  <si>
    <t>EXAMEN ORGANOLEPTICO</t>
  </si>
  <si>
    <t>AWB/CAMION</t>
  </si>
  <si>
    <t>EXPORTADOR PUEDE DECIDIR QUE SE REALICE POR CAMIÓN O AWB</t>
  </si>
  <si>
    <t>GelPack</t>
  </si>
  <si>
    <t>COSTOS DE CERTIFICACIÓN</t>
  </si>
  <si>
    <t>TIPO DE CERTIFICACIÓN</t>
  </si>
  <si>
    <t xml:space="preserve">VALOR </t>
  </si>
  <si>
    <t>Origen</t>
  </si>
  <si>
    <t>RECARGO FIN DE SEMANA Y FESTIVOS + 50%</t>
  </si>
  <si>
    <t>Sanitario hasta 20 [kg] netos (Muestra)</t>
  </si>
  <si>
    <t>Sanitario hasta 1.000 [kg] netos</t>
  </si>
  <si>
    <t>Sanitario sobre 1.000 [kg] netos</t>
  </si>
  <si>
    <t>Especial</t>
  </si>
  <si>
    <t>Absorbente</t>
  </si>
  <si>
    <t>Climatizado</t>
  </si>
  <si>
    <t>Enmallado</t>
  </si>
  <si>
    <t xml:space="preserve">ETD </t>
  </si>
  <si>
    <t>Inspección Especial Producto del Mar</t>
  </si>
  <si>
    <t>Sellado paleta</t>
  </si>
  <si>
    <t>Sellado Tarro</t>
  </si>
  <si>
    <t>Operador de Grua / Hora</t>
  </si>
  <si>
    <t>Operario / Hora</t>
  </si>
  <si>
    <t>Medición de Volumen de Carga</t>
  </si>
  <si>
    <t>Etiquetado</t>
  </si>
  <si>
    <t>Esquinero</t>
  </si>
  <si>
    <t>PISO PALETA</t>
  </si>
  <si>
    <t>VIGENCIA</t>
  </si>
  <si>
    <t>01/01/2026 - 30/06/2026</t>
  </si>
  <si>
    <t>TARIFARIO TERMINALES PRODUCTOS DEL MAR 2026</t>
  </si>
  <si>
    <t>09/02/2026 - 30/06/2026</t>
  </si>
  <si>
    <t>Fast Air</t>
  </si>
  <si>
    <t>EMIS (CMD)</t>
  </si>
  <si>
    <t>ETD</t>
  </si>
  <si>
    <t>Repesaje</t>
  </si>
  <si>
    <t>SOLO AQUACHILE</t>
  </si>
  <si>
    <t>USD 0,1042</t>
  </si>
  <si>
    <t>USD 54,08</t>
  </si>
  <si>
    <t>USD 0,1428</t>
  </si>
  <si>
    <t>USD 131</t>
  </si>
  <si>
    <t>USD 479</t>
  </si>
  <si>
    <t>De Lun a Viernes antes de las 09:00 y después de las 18:00. Sábado antes de las 09:00 y después de las 13:00. Domingo y festivos todo el día</t>
  </si>
  <si>
    <t>TARIFA A&amp;A</t>
  </si>
  <si>
    <t>TARIFA PUBLICA</t>
  </si>
  <si>
    <t>LD2/LD3</t>
  </si>
  <si>
    <t>15/01/2026 - 31/12/2026</t>
  </si>
  <si>
    <t>USD 81,12</t>
  </si>
  <si>
    <t>LD8/LD11/PLA/ALF/FQF/FQA/LD4/LD5</t>
  </si>
  <si>
    <t>LD7/PAG/PAJ/PMC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</si>
</sst>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_ &quot;$&quot;* #,##0.00_ ;_ &quot;$&quot;* \-#,##0.00_ ;_ &quot;$&quot;* &quot;-&quot;_ ;_ @_ "/>
  </numFmts>
  <fonts count="9" x14ac:knownFonts="1">
    <font>
      <sz val="11"/>
      <color theme="1"/>
      <name val="Calibri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A3838"/>
        <bgColor rgb="FF3A383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1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/>
    </xf>
    <xf numFmtId="42" fontId="6" fillId="2" borderId="2" xfId="0" applyNumberFormat="1" applyFont="1" applyFill="1" applyBorder="1" applyAlignment="1">
      <alignment horizontal="center" vertical="center" wrapText="1"/>
    </xf>
    <xf numFmtId="42" fontId="6" fillId="2" borderId="2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42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/>
    <xf numFmtId="0" fontId="6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49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/>
    <xf numFmtId="0" fontId="7" fillId="6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 wrapText="1"/>
    </xf>
    <xf numFmtId="164" fontId="6" fillId="2" borderId="2" xfId="0" applyNumberFormat="1" applyFont="1" applyFill="1" applyBorder="1" applyAlignment="1">
      <alignment horizontal="left"/>
    </xf>
    <xf numFmtId="42" fontId="6" fillId="8" borderId="2" xfId="0" applyNumberFormat="1" applyFont="1" applyFill="1" applyBorder="1" applyAlignment="1">
      <alignment horizontal="right" vertical="center" wrapText="1"/>
    </xf>
    <xf numFmtId="42" fontId="6" fillId="8" borderId="2" xfId="0" applyNumberFormat="1" applyFont="1" applyFill="1" applyBorder="1" applyAlignment="1">
      <alignment horizontal="center" vertical="center" wrapText="1"/>
    </xf>
    <xf numFmtId="164" fontId="6" fillId="8" borderId="2" xfId="0" applyNumberFormat="1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6" fillId="4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4" fillId="3" borderId="6" xfId="0" applyFont="1" applyFill="1" applyBorder="1" applyAlignment="1">
      <alignment horizontal="left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4310326</xdr:colOff>
      <xdr:row>0</xdr:row>
      <xdr:rowOff>33073</xdr:rowOff>
    </xdr:from>
    <xdr:ext cx="2738174" cy="77126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78993" y="33073"/>
          <a:ext cx="2738174" cy="77126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157</xdr:row>
      <xdr:rowOff>38100</xdr:rowOff>
    </xdr:from>
    <xdr:ext cx="15478125" cy="36290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8"/>
  <sheetViews>
    <sheetView tabSelected="1" zoomScale="90" zoomScaleNormal="90" workbookViewId="0">
      <pane ySplit="6" topLeftCell="A100" activePane="bottomLeft" state="frozen"/>
      <selection pane="bottomLeft" sqref="A1:I4"/>
    </sheetView>
  </sheetViews>
  <sheetFormatPr baseColWidth="10" defaultColWidth="14.44140625" defaultRowHeight="15" customHeight="1" x14ac:dyDescent="0.3"/>
  <cols>
    <col min="1" max="1" width="26.5546875" customWidth="1"/>
    <col min="2" max="2" width="34.88671875" customWidth="1"/>
    <col min="3" max="3" width="16.6640625" customWidth="1"/>
    <col min="4" max="5" width="16" customWidth="1"/>
    <col min="6" max="6" width="9.109375" customWidth="1"/>
    <col min="7" max="7" width="32.88671875" customWidth="1"/>
    <col min="8" max="8" width="28.5546875" customWidth="1"/>
    <col min="9" max="9" width="122.109375" customWidth="1"/>
    <col min="10" max="28" width="11.5546875" customWidth="1"/>
  </cols>
  <sheetData>
    <row r="1" spans="1:28" ht="15" customHeight="1" x14ac:dyDescent="0.3">
      <c r="A1" s="33" t="s">
        <v>157</v>
      </c>
      <c r="B1" s="33"/>
      <c r="C1" s="33"/>
      <c r="D1" s="33"/>
      <c r="E1" s="33"/>
      <c r="F1" s="33"/>
      <c r="G1" s="33"/>
      <c r="H1" s="33"/>
      <c r="I1" s="3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 customHeight="1" x14ac:dyDescent="0.3">
      <c r="A3" s="33"/>
      <c r="B3" s="33"/>
      <c r="C3" s="33"/>
      <c r="D3" s="33"/>
      <c r="E3" s="33"/>
      <c r="F3" s="33"/>
      <c r="G3" s="33"/>
      <c r="H3" s="33"/>
      <c r="I3" s="3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3">
      <c r="A4" s="33"/>
      <c r="B4" s="33"/>
      <c r="C4" s="33"/>
      <c r="D4" s="33"/>
      <c r="E4" s="33"/>
      <c r="F4" s="33"/>
      <c r="G4" s="33"/>
      <c r="H4" s="33"/>
      <c r="I4" s="3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4.4" x14ac:dyDescent="0.3">
      <c r="A6" s="2" t="s">
        <v>0</v>
      </c>
      <c r="B6" s="2" t="s">
        <v>1</v>
      </c>
      <c r="C6" s="2" t="s">
        <v>2</v>
      </c>
      <c r="D6" s="2" t="s">
        <v>170</v>
      </c>
      <c r="E6" s="3" t="s">
        <v>171</v>
      </c>
      <c r="F6" s="2" t="s">
        <v>3</v>
      </c>
      <c r="G6" s="2" t="s">
        <v>4</v>
      </c>
      <c r="H6" s="2" t="s">
        <v>155</v>
      </c>
      <c r="I6" s="2" t="s">
        <v>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4.4" x14ac:dyDescent="0.3">
      <c r="A7" s="6" t="s">
        <v>6</v>
      </c>
      <c r="B7" s="5" t="s">
        <v>7</v>
      </c>
      <c r="C7" s="6" t="s">
        <v>8</v>
      </c>
      <c r="D7" s="7"/>
      <c r="E7" s="8">
        <f>E8*0.9</f>
        <v>76.472999999999999</v>
      </c>
      <c r="F7" s="6" t="s">
        <v>9</v>
      </c>
      <c r="G7" s="6" t="s">
        <v>10</v>
      </c>
      <c r="H7" s="6" t="s">
        <v>156</v>
      </c>
      <c r="I7" s="6" t="s">
        <v>11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14.4" x14ac:dyDescent="0.3">
      <c r="A8" s="6" t="s">
        <v>6</v>
      </c>
      <c r="B8" s="5" t="s">
        <v>7</v>
      </c>
      <c r="C8" s="6" t="s">
        <v>8</v>
      </c>
      <c r="D8" s="7"/>
      <c r="E8" s="8">
        <v>84.97</v>
      </c>
      <c r="F8" s="6" t="s">
        <v>9</v>
      </c>
      <c r="G8" s="6" t="s">
        <v>10</v>
      </c>
      <c r="H8" s="6" t="s">
        <v>156</v>
      </c>
      <c r="I8" s="6" t="s">
        <v>12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14.4" x14ac:dyDescent="0.3">
      <c r="A9" s="6" t="s">
        <v>6</v>
      </c>
      <c r="B9" s="5" t="s">
        <v>7</v>
      </c>
      <c r="C9" s="6" t="s">
        <v>8</v>
      </c>
      <c r="D9" s="7"/>
      <c r="E9" s="7">
        <f>E8*1.3</f>
        <v>110.461</v>
      </c>
      <c r="F9" s="6" t="s">
        <v>9</v>
      </c>
      <c r="G9" s="6" t="s">
        <v>10</v>
      </c>
      <c r="H9" s="6" t="s">
        <v>156</v>
      </c>
      <c r="I9" s="6" t="s">
        <v>13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ht="14.4" x14ac:dyDescent="0.3">
      <c r="A10" s="6" t="s">
        <v>6</v>
      </c>
      <c r="B10" s="5" t="s">
        <v>14</v>
      </c>
      <c r="C10" s="6" t="s">
        <v>8</v>
      </c>
      <c r="D10" s="7"/>
      <c r="E10" s="7">
        <f>E11*0.9</f>
        <v>62.607599999999998</v>
      </c>
      <c r="F10" s="6" t="s">
        <v>9</v>
      </c>
      <c r="G10" s="6" t="s">
        <v>10</v>
      </c>
      <c r="H10" s="6" t="s">
        <v>156</v>
      </c>
      <c r="I10" s="6" t="s">
        <v>11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ht="14.4" x14ac:dyDescent="0.3">
      <c r="A11" s="6" t="s">
        <v>6</v>
      </c>
      <c r="B11" s="5" t="s">
        <v>14</v>
      </c>
      <c r="C11" s="6" t="s">
        <v>8</v>
      </c>
      <c r="D11" s="7"/>
      <c r="E11" s="7">
        <f>68*1.023</f>
        <v>69.563999999999993</v>
      </c>
      <c r="F11" s="6" t="s">
        <v>9</v>
      </c>
      <c r="G11" s="6" t="s">
        <v>10</v>
      </c>
      <c r="H11" s="6" t="s">
        <v>156</v>
      </c>
      <c r="I11" s="6" t="s">
        <v>15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14.4" x14ac:dyDescent="0.3">
      <c r="A12" s="6" t="s">
        <v>6</v>
      </c>
      <c r="B12" s="5" t="s">
        <v>14</v>
      </c>
      <c r="C12" s="6" t="s">
        <v>8</v>
      </c>
      <c r="D12" s="7"/>
      <c r="E12" s="7">
        <f>E11*1.3</f>
        <v>90.433199999999999</v>
      </c>
      <c r="F12" s="6" t="s">
        <v>9</v>
      </c>
      <c r="G12" s="6" t="s">
        <v>10</v>
      </c>
      <c r="H12" s="6" t="s">
        <v>156</v>
      </c>
      <c r="I12" s="6" t="s">
        <v>13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ht="14.4" x14ac:dyDescent="0.3">
      <c r="A13" s="6" t="s">
        <v>6</v>
      </c>
      <c r="B13" s="5" t="s">
        <v>16</v>
      </c>
      <c r="C13" s="6" t="s">
        <v>8</v>
      </c>
      <c r="D13" s="7"/>
      <c r="E13" s="8">
        <v>151.88</v>
      </c>
      <c r="F13" s="6" t="s">
        <v>9</v>
      </c>
      <c r="G13" s="6">
        <v>12</v>
      </c>
      <c r="H13" s="6" t="s">
        <v>156</v>
      </c>
      <c r="I13" s="37" t="s">
        <v>17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14.4" x14ac:dyDescent="0.3">
      <c r="A14" s="6" t="s">
        <v>6</v>
      </c>
      <c r="B14" s="5" t="s">
        <v>18</v>
      </c>
      <c r="C14" s="26" t="s">
        <v>8</v>
      </c>
      <c r="D14" s="7"/>
      <c r="E14" s="8">
        <v>39.61</v>
      </c>
      <c r="F14" s="26" t="s">
        <v>9</v>
      </c>
      <c r="G14" s="26" t="s">
        <v>19</v>
      </c>
      <c r="H14" s="6" t="s">
        <v>156</v>
      </c>
      <c r="I14" s="38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14.4" x14ac:dyDescent="0.3">
      <c r="A15" s="6" t="s">
        <v>6</v>
      </c>
      <c r="B15" s="5" t="s">
        <v>18</v>
      </c>
      <c r="C15" s="26" t="s">
        <v>8</v>
      </c>
      <c r="D15" s="7"/>
      <c r="E15" s="8">
        <v>54</v>
      </c>
      <c r="F15" s="26" t="s">
        <v>9</v>
      </c>
      <c r="G15" s="26" t="s">
        <v>20</v>
      </c>
      <c r="H15" s="6" t="s">
        <v>156</v>
      </c>
      <c r="I15" s="38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14.4" x14ac:dyDescent="0.3">
      <c r="A16" s="6" t="s">
        <v>6</v>
      </c>
      <c r="B16" s="5" t="s">
        <v>18</v>
      </c>
      <c r="C16" s="26" t="s">
        <v>8</v>
      </c>
      <c r="D16" s="7"/>
      <c r="E16" s="8">
        <v>72.010000000000005</v>
      </c>
      <c r="F16" s="26" t="s">
        <v>9</v>
      </c>
      <c r="G16" s="26" t="s">
        <v>21</v>
      </c>
      <c r="H16" s="6" t="s">
        <v>156</v>
      </c>
      <c r="I16" s="3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14.4" x14ac:dyDescent="0.3">
      <c r="A17" s="6" t="s">
        <v>6</v>
      </c>
      <c r="B17" s="5" t="s">
        <v>18</v>
      </c>
      <c r="C17" s="26" t="s">
        <v>8</v>
      </c>
      <c r="D17" s="7"/>
      <c r="E17" s="8">
        <v>90.04</v>
      </c>
      <c r="F17" s="26" t="s">
        <v>9</v>
      </c>
      <c r="G17" s="26" t="s">
        <v>22</v>
      </c>
      <c r="H17" s="6" t="s">
        <v>156</v>
      </c>
      <c r="I17" s="3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14.4" x14ac:dyDescent="0.3">
      <c r="A18" s="6" t="s">
        <v>6</v>
      </c>
      <c r="B18" s="5" t="s">
        <v>18</v>
      </c>
      <c r="C18" s="26" t="s">
        <v>8</v>
      </c>
      <c r="D18" s="7"/>
      <c r="E18" s="8">
        <v>113.44</v>
      </c>
      <c r="F18" s="26" t="s">
        <v>9</v>
      </c>
      <c r="G18" s="26" t="s">
        <v>23</v>
      </c>
      <c r="H18" s="6" t="s">
        <v>156</v>
      </c>
      <c r="I18" s="3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ht="14.4" x14ac:dyDescent="0.3">
      <c r="A19" s="6" t="s">
        <v>6</v>
      </c>
      <c r="B19" s="5" t="s">
        <v>18</v>
      </c>
      <c r="C19" s="26" t="s">
        <v>8</v>
      </c>
      <c r="D19" s="7"/>
      <c r="E19" s="8">
        <v>140.43</v>
      </c>
      <c r="F19" s="26" t="s">
        <v>9</v>
      </c>
      <c r="G19" s="26" t="s">
        <v>24</v>
      </c>
      <c r="H19" s="6" t="s">
        <v>156</v>
      </c>
      <c r="I19" s="38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14.4" x14ac:dyDescent="0.3">
      <c r="A20" s="6" t="s">
        <v>6</v>
      </c>
      <c r="B20" s="5" t="s">
        <v>18</v>
      </c>
      <c r="C20" s="26" t="s">
        <v>8</v>
      </c>
      <c r="D20" s="7"/>
      <c r="E20" s="8">
        <v>171.06</v>
      </c>
      <c r="F20" s="26" t="s">
        <v>9</v>
      </c>
      <c r="G20" s="26" t="s">
        <v>25</v>
      </c>
      <c r="H20" s="6" t="s">
        <v>156</v>
      </c>
      <c r="I20" s="38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ht="14.4" x14ac:dyDescent="0.3">
      <c r="A21" s="6" t="s">
        <v>6</v>
      </c>
      <c r="B21" s="5" t="s">
        <v>18</v>
      </c>
      <c r="C21" s="26" t="s">
        <v>8</v>
      </c>
      <c r="D21" s="7"/>
      <c r="E21" s="8">
        <v>207.07</v>
      </c>
      <c r="F21" s="26" t="s">
        <v>9</v>
      </c>
      <c r="G21" s="26" t="s">
        <v>26</v>
      </c>
      <c r="H21" s="6" t="s">
        <v>156</v>
      </c>
      <c r="I21" s="38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14.4" x14ac:dyDescent="0.3">
      <c r="A22" s="6" t="s">
        <v>6</v>
      </c>
      <c r="B22" s="5" t="s">
        <v>18</v>
      </c>
      <c r="C22" s="26" t="s">
        <v>8</v>
      </c>
      <c r="D22" s="7"/>
      <c r="E22" s="8">
        <v>250.29</v>
      </c>
      <c r="F22" s="26" t="s">
        <v>9</v>
      </c>
      <c r="G22" s="26" t="s">
        <v>27</v>
      </c>
      <c r="H22" s="6" t="s">
        <v>156</v>
      </c>
      <c r="I22" s="38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14.4" x14ac:dyDescent="0.3">
      <c r="A23" s="6" t="s">
        <v>6</v>
      </c>
      <c r="B23" s="5" t="s">
        <v>18</v>
      </c>
      <c r="C23" s="26" t="s">
        <v>8</v>
      </c>
      <c r="D23" s="7"/>
      <c r="E23" s="8">
        <v>302.51</v>
      </c>
      <c r="F23" s="26" t="s">
        <v>9</v>
      </c>
      <c r="G23" s="26" t="s">
        <v>28</v>
      </c>
      <c r="H23" s="6" t="s">
        <v>156</v>
      </c>
      <c r="I23" s="38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4.4" x14ac:dyDescent="0.3">
      <c r="A24" s="6" t="s">
        <v>6</v>
      </c>
      <c r="B24" s="5" t="s">
        <v>18</v>
      </c>
      <c r="C24" s="26" t="s">
        <v>8</v>
      </c>
      <c r="D24" s="7"/>
      <c r="E24" s="8">
        <v>365.52</v>
      </c>
      <c r="F24" s="26" t="s">
        <v>9</v>
      </c>
      <c r="G24" s="26" t="s">
        <v>29</v>
      </c>
      <c r="H24" s="6" t="s">
        <v>156</v>
      </c>
      <c r="I24" s="38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14.4" x14ac:dyDescent="0.3">
      <c r="A25" s="6" t="s">
        <v>6</v>
      </c>
      <c r="B25" s="5" t="s">
        <v>18</v>
      </c>
      <c r="C25" s="26" t="s">
        <v>8</v>
      </c>
      <c r="D25" s="7"/>
      <c r="E25" s="8">
        <v>442.94</v>
      </c>
      <c r="F25" s="26" t="s">
        <v>9</v>
      </c>
      <c r="G25" s="26" t="s">
        <v>30</v>
      </c>
      <c r="H25" s="6" t="s">
        <v>156</v>
      </c>
      <c r="I25" s="38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14.4" x14ac:dyDescent="0.3">
      <c r="A26" s="6" t="s">
        <v>6</v>
      </c>
      <c r="B26" s="5" t="s">
        <v>18</v>
      </c>
      <c r="C26" s="26" t="s">
        <v>8</v>
      </c>
      <c r="D26" s="7"/>
      <c r="E26" s="8">
        <v>534.78</v>
      </c>
      <c r="F26" s="26" t="s">
        <v>9</v>
      </c>
      <c r="G26" s="26" t="s">
        <v>31</v>
      </c>
      <c r="H26" s="6" t="s">
        <v>156</v>
      </c>
      <c r="I26" s="38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14.4" x14ac:dyDescent="0.3">
      <c r="A27" s="6" t="s">
        <v>6</v>
      </c>
      <c r="B27" s="5" t="s">
        <v>18</v>
      </c>
      <c r="C27" s="26" t="s">
        <v>8</v>
      </c>
      <c r="D27" s="7"/>
      <c r="E27" s="8">
        <v>648.21</v>
      </c>
      <c r="F27" s="26" t="s">
        <v>9</v>
      </c>
      <c r="G27" s="26" t="s">
        <v>32</v>
      </c>
      <c r="H27" s="6" t="s">
        <v>156</v>
      </c>
      <c r="I27" s="38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ht="14.4" x14ac:dyDescent="0.3">
      <c r="A28" s="6" t="s">
        <v>6</v>
      </c>
      <c r="B28" s="5" t="s">
        <v>18</v>
      </c>
      <c r="C28" s="26" t="s">
        <v>8</v>
      </c>
      <c r="D28" s="7"/>
      <c r="E28" s="8">
        <v>783.25</v>
      </c>
      <c r="F28" s="26" t="s">
        <v>9</v>
      </c>
      <c r="G28" s="26" t="s">
        <v>33</v>
      </c>
      <c r="H28" s="6" t="s">
        <v>156</v>
      </c>
      <c r="I28" s="38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14.4" x14ac:dyDescent="0.3">
      <c r="A29" s="6" t="s">
        <v>6</v>
      </c>
      <c r="B29" s="5" t="s">
        <v>18</v>
      </c>
      <c r="C29" s="26" t="s">
        <v>8</v>
      </c>
      <c r="D29" s="7"/>
      <c r="E29" s="8">
        <v>948.92</v>
      </c>
      <c r="F29" s="26" t="s">
        <v>9</v>
      </c>
      <c r="G29" s="26" t="s">
        <v>34</v>
      </c>
      <c r="H29" s="6" t="s">
        <v>156</v>
      </c>
      <c r="I29" s="3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14.4" x14ac:dyDescent="0.3">
      <c r="A30" s="6" t="s">
        <v>6</v>
      </c>
      <c r="B30" s="5" t="s">
        <v>35</v>
      </c>
      <c r="C30" s="26" t="s">
        <v>36</v>
      </c>
      <c r="D30" s="7"/>
      <c r="E30" s="8">
        <v>7.16</v>
      </c>
      <c r="F30" s="26" t="s">
        <v>37</v>
      </c>
      <c r="G30" s="27"/>
      <c r="H30" s="6" t="s">
        <v>156</v>
      </c>
      <c r="I30" s="11" t="s">
        <v>38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14.4" x14ac:dyDescent="0.3">
      <c r="A31" s="6" t="s">
        <v>6</v>
      </c>
      <c r="B31" s="5" t="s">
        <v>39</v>
      </c>
      <c r="C31" s="26" t="s">
        <v>8</v>
      </c>
      <c r="D31" s="7"/>
      <c r="E31" s="8">
        <v>104.43</v>
      </c>
      <c r="F31" s="26" t="s">
        <v>9</v>
      </c>
      <c r="G31" s="27"/>
      <c r="H31" s="6" t="s">
        <v>156</v>
      </c>
      <c r="I31" s="11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14.4" x14ac:dyDescent="0.3">
      <c r="A32" s="6" t="s">
        <v>6</v>
      </c>
      <c r="B32" s="5" t="s">
        <v>145</v>
      </c>
      <c r="C32" s="26" t="s">
        <v>8</v>
      </c>
      <c r="D32" s="7"/>
      <c r="E32" s="8">
        <v>86</v>
      </c>
      <c r="F32" s="26" t="s">
        <v>9</v>
      </c>
      <c r="G32" s="6"/>
      <c r="H32" s="6" t="s">
        <v>156</v>
      </c>
      <c r="I32" s="11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14.4" x14ac:dyDescent="0.3">
      <c r="A33" s="6" t="s">
        <v>6</v>
      </c>
      <c r="B33" s="5" t="s">
        <v>144</v>
      </c>
      <c r="C33" s="26" t="s">
        <v>8</v>
      </c>
      <c r="D33" s="7"/>
      <c r="E33" s="8">
        <v>56.15</v>
      </c>
      <c r="F33" s="26" t="s">
        <v>87</v>
      </c>
      <c r="G33" s="6"/>
      <c r="H33" s="6" t="s">
        <v>156</v>
      </c>
      <c r="I33" s="11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14.4" x14ac:dyDescent="0.3">
      <c r="A34" s="6" t="s">
        <v>6</v>
      </c>
      <c r="B34" s="5" t="s">
        <v>40</v>
      </c>
      <c r="C34" s="26" t="s">
        <v>8</v>
      </c>
      <c r="D34" s="7"/>
      <c r="E34" s="8">
        <v>83.58</v>
      </c>
      <c r="F34" s="26" t="s">
        <v>9</v>
      </c>
      <c r="G34" s="6"/>
      <c r="H34" s="6" t="s">
        <v>156</v>
      </c>
      <c r="I34" s="11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 ht="14.4" x14ac:dyDescent="0.3">
      <c r="A35" s="6" t="s">
        <v>6</v>
      </c>
      <c r="B35" s="5" t="s">
        <v>41</v>
      </c>
      <c r="C35" s="26" t="s">
        <v>8</v>
      </c>
      <c r="D35" s="7"/>
      <c r="E35" s="8">
        <v>81.61</v>
      </c>
      <c r="F35" s="26" t="s">
        <v>9</v>
      </c>
      <c r="G35" s="27"/>
      <c r="H35" s="6" t="s">
        <v>156</v>
      </c>
      <c r="I35" s="10" t="s">
        <v>42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14.4" x14ac:dyDescent="0.3">
      <c r="A36" s="6" t="s">
        <v>6</v>
      </c>
      <c r="B36" s="5" t="s">
        <v>43</v>
      </c>
      <c r="C36" s="26" t="s">
        <v>8</v>
      </c>
      <c r="D36" s="7"/>
      <c r="E36" s="7">
        <f>76.6*1.023</f>
        <v>78.361799999999988</v>
      </c>
      <c r="F36" s="26" t="s">
        <v>9</v>
      </c>
      <c r="G36" s="28"/>
      <c r="H36" s="6" t="s">
        <v>156</v>
      </c>
      <c r="I36" s="11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ht="14.4" x14ac:dyDescent="0.3">
      <c r="A37" s="6" t="s">
        <v>6</v>
      </c>
      <c r="B37" s="5" t="s">
        <v>44</v>
      </c>
      <c r="C37" s="26" t="s">
        <v>36</v>
      </c>
      <c r="D37" s="12"/>
      <c r="E37" s="8">
        <v>115850.77</v>
      </c>
      <c r="F37" s="26" t="s">
        <v>9</v>
      </c>
      <c r="G37" s="6" t="s">
        <v>45</v>
      </c>
      <c r="H37" s="6" t="s">
        <v>156</v>
      </c>
      <c r="I37" s="11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ht="14.4" x14ac:dyDescent="0.3">
      <c r="A38" s="6" t="s">
        <v>6</v>
      </c>
      <c r="B38" s="5" t="s">
        <v>44</v>
      </c>
      <c r="C38" s="26" t="s">
        <v>36</v>
      </c>
      <c r="D38" s="12"/>
      <c r="E38" s="8">
        <v>134869.22</v>
      </c>
      <c r="F38" s="26" t="s">
        <v>9</v>
      </c>
      <c r="G38" s="6" t="s">
        <v>46</v>
      </c>
      <c r="H38" s="6" t="s">
        <v>156</v>
      </c>
      <c r="I38" s="11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ht="14.4" x14ac:dyDescent="0.3">
      <c r="A39" s="6" t="s">
        <v>6</v>
      </c>
      <c r="B39" s="5" t="s">
        <v>44</v>
      </c>
      <c r="C39" s="26" t="s">
        <v>36</v>
      </c>
      <c r="D39" s="12"/>
      <c r="E39" s="8">
        <v>19765.39</v>
      </c>
      <c r="F39" s="26" t="s">
        <v>9</v>
      </c>
      <c r="G39" s="6" t="s">
        <v>47</v>
      </c>
      <c r="H39" s="6" t="s">
        <v>156</v>
      </c>
      <c r="I39" s="11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ht="14.4" x14ac:dyDescent="0.3">
      <c r="A40" s="6" t="s">
        <v>6</v>
      </c>
      <c r="B40" s="5" t="s">
        <v>44</v>
      </c>
      <c r="C40" s="26" t="s">
        <v>36</v>
      </c>
      <c r="D40" s="12"/>
      <c r="E40" s="8">
        <v>96829.53</v>
      </c>
      <c r="F40" s="26" t="s">
        <v>9</v>
      </c>
      <c r="G40" s="6" t="s">
        <v>48</v>
      </c>
      <c r="H40" s="6" t="s">
        <v>156</v>
      </c>
      <c r="I40" s="11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 ht="14.4" x14ac:dyDescent="0.3">
      <c r="A41" s="6" t="s">
        <v>6</v>
      </c>
      <c r="B41" s="5" t="s">
        <v>44</v>
      </c>
      <c r="C41" s="26" t="s">
        <v>36</v>
      </c>
      <c r="D41" s="12"/>
      <c r="E41" s="8">
        <v>124495.52</v>
      </c>
      <c r="F41" s="26" t="s">
        <v>9</v>
      </c>
      <c r="G41" s="6" t="s">
        <v>49</v>
      </c>
      <c r="H41" s="6" t="s">
        <v>156</v>
      </c>
      <c r="I41" s="11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14.4" x14ac:dyDescent="0.3">
      <c r="A42" s="6" t="s">
        <v>6</v>
      </c>
      <c r="B42" s="5" t="s">
        <v>44</v>
      </c>
      <c r="C42" s="26" t="s">
        <v>36</v>
      </c>
      <c r="D42" s="12"/>
      <c r="E42" s="8">
        <f>100000*1.023</f>
        <v>102299.99999999999</v>
      </c>
      <c r="F42" s="26" t="s">
        <v>9</v>
      </c>
      <c r="G42" s="6" t="s">
        <v>50</v>
      </c>
      <c r="H42" s="6" t="s">
        <v>156</v>
      </c>
      <c r="I42" s="25" t="s">
        <v>163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ht="14.4" x14ac:dyDescent="0.3">
      <c r="A43" s="6" t="s">
        <v>6</v>
      </c>
      <c r="B43" s="5" t="s">
        <v>44</v>
      </c>
      <c r="C43" s="26" t="s">
        <v>36</v>
      </c>
      <c r="D43" s="12"/>
      <c r="E43" s="8">
        <v>136115.43</v>
      </c>
      <c r="F43" s="26" t="s">
        <v>9</v>
      </c>
      <c r="G43" s="6" t="s">
        <v>50</v>
      </c>
      <c r="H43" s="6" t="s">
        <v>156</v>
      </c>
      <c r="I43" s="11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ht="14.4" x14ac:dyDescent="0.3">
      <c r="A44" s="6" t="s">
        <v>6</v>
      </c>
      <c r="B44" s="5" t="s">
        <v>44</v>
      </c>
      <c r="C44" s="26" t="s">
        <v>36</v>
      </c>
      <c r="D44" s="12"/>
      <c r="E44" s="8">
        <v>96829.53</v>
      </c>
      <c r="F44" s="26" t="s">
        <v>9</v>
      </c>
      <c r="G44" s="6" t="s">
        <v>154</v>
      </c>
      <c r="H44" s="6" t="s">
        <v>156</v>
      </c>
      <c r="I44" s="11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14.4" x14ac:dyDescent="0.3">
      <c r="A45" s="6" t="s">
        <v>6</v>
      </c>
      <c r="B45" s="5" t="s">
        <v>44</v>
      </c>
      <c r="C45" s="26" t="s">
        <v>36</v>
      </c>
      <c r="D45" s="12"/>
      <c r="E45" s="8">
        <v>117579.48</v>
      </c>
      <c r="F45" s="26" t="s">
        <v>9</v>
      </c>
      <c r="G45" s="6" t="s">
        <v>51</v>
      </c>
      <c r="H45" s="6" t="s">
        <v>156</v>
      </c>
      <c r="I45" s="11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ht="14.4" x14ac:dyDescent="0.3">
      <c r="A46" s="6" t="s">
        <v>6</v>
      </c>
      <c r="B46" s="5" t="s">
        <v>152</v>
      </c>
      <c r="C46" s="26" t="s">
        <v>36</v>
      </c>
      <c r="D46" s="12"/>
      <c r="E46" s="8">
        <v>121.02</v>
      </c>
      <c r="F46" s="26" t="s">
        <v>9</v>
      </c>
      <c r="G46" s="6"/>
      <c r="H46" s="6" t="s">
        <v>156</v>
      </c>
      <c r="I46" s="11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14.4" x14ac:dyDescent="0.3">
      <c r="A47" s="6" t="s">
        <v>6</v>
      </c>
      <c r="B47" s="5" t="s">
        <v>153</v>
      </c>
      <c r="C47" s="26" t="s">
        <v>36</v>
      </c>
      <c r="D47" s="12"/>
      <c r="E47" s="8">
        <v>6224.53</v>
      </c>
      <c r="F47" s="26" t="s">
        <v>9</v>
      </c>
      <c r="G47" s="6"/>
      <c r="H47" s="6" t="s">
        <v>156</v>
      </c>
      <c r="I47" s="11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ht="14.4" x14ac:dyDescent="0.3">
      <c r="A48" s="6" t="s">
        <v>6</v>
      </c>
      <c r="B48" s="5" t="s">
        <v>142</v>
      </c>
      <c r="C48" s="26" t="s">
        <v>8</v>
      </c>
      <c r="D48" s="7"/>
      <c r="E48" s="7">
        <v>34582</v>
      </c>
      <c r="F48" s="6" t="s">
        <v>9</v>
      </c>
      <c r="G48" s="27"/>
      <c r="H48" s="6" t="s">
        <v>156</v>
      </c>
      <c r="I48" s="11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ht="14.4" x14ac:dyDescent="0.3">
      <c r="A49" s="6" t="s">
        <v>6</v>
      </c>
      <c r="B49" s="5" t="s">
        <v>143</v>
      </c>
      <c r="C49" s="26" t="s">
        <v>8</v>
      </c>
      <c r="D49" s="7"/>
      <c r="E49" s="7">
        <v>123.41</v>
      </c>
      <c r="F49" s="6" t="s">
        <v>9</v>
      </c>
      <c r="G49" s="27"/>
      <c r="H49" s="6" t="s">
        <v>156</v>
      </c>
      <c r="I49" s="11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14.4" x14ac:dyDescent="0.3">
      <c r="A50" s="6" t="s">
        <v>6</v>
      </c>
      <c r="B50" s="5" t="s">
        <v>52</v>
      </c>
      <c r="C50" s="26" t="s">
        <v>36</v>
      </c>
      <c r="D50" s="12">
        <f>26049.4*1.023</f>
        <v>26648.536199999999</v>
      </c>
      <c r="E50" s="8">
        <v>82997.94</v>
      </c>
      <c r="F50" s="26" t="s">
        <v>9</v>
      </c>
      <c r="G50" s="6"/>
      <c r="H50" s="6" t="s">
        <v>156</v>
      </c>
      <c r="I50" s="11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 ht="14.4" x14ac:dyDescent="0.3">
      <c r="A51" s="6" t="s">
        <v>6</v>
      </c>
      <c r="B51" s="5" t="s">
        <v>53</v>
      </c>
      <c r="C51" s="26" t="s">
        <v>36</v>
      </c>
      <c r="D51" s="12">
        <f>26049.4*1.023</f>
        <v>26648.536199999999</v>
      </c>
      <c r="E51" s="8">
        <v>47059.97</v>
      </c>
      <c r="F51" s="26" t="s">
        <v>9</v>
      </c>
      <c r="G51" s="6"/>
      <c r="H51" s="6" t="s">
        <v>156</v>
      </c>
      <c r="I51" s="11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14.4" x14ac:dyDescent="0.3">
      <c r="A52" s="6" t="s">
        <v>6</v>
      </c>
      <c r="B52" s="5" t="s">
        <v>54</v>
      </c>
      <c r="C52" s="26" t="s">
        <v>36</v>
      </c>
      <c r="D52" s="12">
        <f>26049.4*1.023</f>
        <v>26648.536199999999</v>
      </c>
      <c r="E52" s="8">
        <v>82997.94</v>
      </c>
      <c r="F52" s="26" t="s">
        <v>9</v>
      </c>
      <c r="G52" s="6"/>
      <c r="H52" s="6" t="s">
        <v>156</v>
      </c>
      <c r="I52" s="11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14.4" x14ac:dyDescent="0.3">
      <c r="A53" s="6" t="s">
        <v>6</v>
      </c>
      <c r="B53" s="5" t="s">
        <v>55</v>
      </c>
      <c r="C53" s="26" t="s">
        <v>56</v>
      </c>
      <c r="D53" s="12">
        <f>5000*1.023</f>
        <v>5115</v>
      </c>
      <c r="E53" s="8">
        <v>10643.28</v>
      </c>
      <c r="F53" s="26" t="s">
        <v>9</v>
      </c>
      <c r="G53" s="6"/>
      <c r="H53" s="6" t="s">
        <v>156</v>
      </c>
      <c r="I53" s="11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 ht="14.4" x14ac:dyDescent="0.3">
      <c r="A54" s="6" t="s">
        <v>6</v>
      </c>
      <c r="B54" s="5" t="s">
        <v>57</v>
      </c>
      <c r="C54" s="26" t="s">
        <v>36</v>
      </c>
      <c r="D54" s="12"/>
      <c r="E54" s="13">
        <v>0</v>
      </c>
      <c r="F54" s="26" t="s">
        <v>9</v>
      </c>
      <c r="G54" s="6"/>
      <c r="H54" s="6" t="s">
        <v>156</v>
      </c>
      <c r="I54" s="11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ht="14.4" x14ac:dyDescent="0.3">
      <c r="A55" s="6" t="s">
        <v>6</v>
      </c>
      <c r="B55" s="5" t="s">
        <v>58</v>
      </c>
      <c r="C55" s="26" t="s">
        <v>36</v>
      </c>
      <c r="D55" s="12"/>
      <c r="E55" s="13">
        <v>0</v>
      </c>
      <c r="F55" s="26" t="s">
        <v>9</v>
      </c>
      <c r="G55" s="6"/>
      <c r="H55" s="6" t="s">
        <v>156</v>
      </c>
      <c r="I55" s="11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 ht="14.4" x14ac:dyDescent="0.3">
      <c r="A56" s="6" t="s">
        <v>6</v>
      </c>
      <c r="B56" s="5" t="s">
        <v>59</v>
      </c>
      <c r="C56" s="26" t="s">
        <v>36</v>
      </c>
      <c r="D56" s="12"/>
      <c r="E56" s="13">
        <v>0</v>
      </c>
      <c r="F56" s="26" t="s">
        <v>9</v>
      </c>
      <c r="G56" s="6"/>
      <c r="H56" s="6" t="s">
        <v>156</v>
      </c>
      <c r="I56" s="11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ht="14.4" x14ac:dyDescent="0.3">
      <c r="A57" s="6" t="s">
        <v>6</v>
      </c>
      <c r="B57" s="5" t="s">
        <v>60</v>
      </c>
      <c r="C57" s="26" t="s">
        <v>36</v>
      </c>
      <c r="D57" s="12"/>
      <c r="E57" s="13">
        <v>0</v>
      </c>
      <c r="F57" s="26" t="s">
        <v>9</v>
      </c>
      <c r="G57" s="6"/>
      <c r="H57" s="6" t="s">
        <v>156</v>
      </c>
      <c r="I57" s="11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1:28" ht="14.4" x14ac:dyDescent="0.3">
      <c r="A58" s="6" t="s">
        <v>6</v>
      </c>
      <c r="B58" s="5" t="s">
        <v>61</v>
      </c>
      <c r="C58" s="26" t="s">
        <v>36</v>
      </c>
      <c r="D58" s="12"/>
      <c r="E58" s="8">
        <f>6798.38*1.023</f>
        <v>6954.7427399999997</v>
      </c>
      <c r="F58" s="26" t="s">
        <v>9</v>
      </c>
      <c r="G58" s="6"/>
      <c r="H58" s="6" t="s">
        <v>156</v>
      </c>
      <c r="I58" s="11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14.4" x14ac:dyDescent="0.3">
      <c r="A59" s="6" t="s">
        <v>6</v>
      </c>
      <c r="B59" s="5" t="s">
        <v>62</v>
      </c>
      <c r="C59" s="26" t="s">
        <v>36</v>
      </c>
      <c r="D59" s="12"/>
      <c r="E59" s="8">
        <f>8211.09*1.023</f>
        <v>8399.9450699999998</v>
      </c>
      <c r="F59" s="26" t="s">
        <v>9</v>
      </c>
      <c r="G59" s="6"/>
      <c r="H59" s="6" t="s">
        <v>156</v>
      </c>
      <c r="I59" s="11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4.4" x14ac:dyDescent="0.3">
      <c r="A60" s="6" t="s">
        <v>6</v>
      </c>
      <c r="B60" s="5" t="s">
        <v>63</v>
      </c>
      <c r="C60" s="26" t="s">
        <v>36</v>
      </c>
      <c r="D60" s="12"/>
      <c r="E60" s="8">
        <f>8211.09*1.023</f>
        <v>8399.9450699999998</v>
      </c>
      <c r="F60" s="26" t="s">
        <v>9</v>
      </c>
      <c r="G60" s="6"/>
      <c r="H60" s="6" t="s">
        <v>156</v>
      </c>
      <c r="I60" s="11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 ht="14.4" x14ac:dyDescent="0.3">
      <c r="A61" s="6" t="s">
        <v>6</v>
      </c>
      <c r="B61" s="5" t="s">
        <v>64</v>
      </c>
      <c r="C61" s="26" t="s">
        <v>36</v>
      </c>
      <c r="D61" s="12"/>
      <c r="E61" s="13">
        <v>0</v>
      </c>
      <c r="F61" s="26" t="s">
        <v>9</v>
      </c>
      <c r="G61" s="6"/>
      <c r="H61" s="6" t="s">
        <v>156</v>
      </c>
      <c r="I61" s="11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 ht="14.4" x14ac:dyDescent="0.3">
      <c r="A62" s="6" t="s">
        <v>6</v>
      </c>
      <c r="B62" s="5" t="s">
        <v>65</v>
      </c>
      <c r="C62" s="26" t="s">
        <v>36</v>
      </c>
      <c r="D62" s="12">
        <f>5010*1.023</f>
        <v>5125.2299999999996</v>
      </c>
      <c r="E62" s="8">
        <v>12447.6</v>
      </c>
      <c r="F62" s="26" t="s">
        <v>9</v>
      </c>
      <c r="G62" s="6"/>
      <c r="H62" s="6" t="s">
        <v>156</v>
      </c>
      <c r="I62" s="11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28" ht="14.4" x14ac:dyDescent="0.3">
      <c r="A63" s="6" t="s">
        <v>6</v>
      </c>
      <c r="B63" s="5" t="s">
        <v>147</v>
      </c>
      <c r="C63" s="26" t="s">
        <v>36</v>
      </c>
      <c r="D63" s="12"/>
      <c r="E63" s="8">
        <v>74</v>
      </c>
      <c r="F63" s="26" t="s">
        <v>87</v>
      </c>
      <c r="G63" s="6"/>
      <c r="H63" s="6" t="s">
        <v>156</v>
      </c>
      <c r="I63" s="11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 ht="14.4" x14ac:dyDescent="0.3">
      <c r="A64" s="6" t="s">
        <v>6</v>
      </c>
      <c r="B64" s="5" t="s">
        <v>66</v>
      </c>
      <c r="C64" s="26" t="s">
        <v>36</v>
      </c>
      <c r="D64" s="12"/>
      <c r="E64" s="8">
        <f>40567*1.023</f>
        <v>41500.040999999997</v>
      </c>
      <c r="F64" s="26" t="s">
        <v>9</v>
      </c>
      <c r="G64" s="14" t="s">
        <v>67</v>
      </c>
      <c r="H64" s="6" t="s">
        <v>156</v>
      </c>
      <c r="I64" s="15" t="s">
        <v>67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ht="14.4" x14ac:dyDescent="0.3">
      <c r="A65" s="6" t="s">
        <v>6</v>
      </c>
      <c r="B65" s="5" t="s">
        <v>66</v>
      </c>
      <c r="C65" s="26" t="s">
        <v>36</v>
      </c>
      <c r="D65" s="12"/>
      <c r="E65" s="8">
        <v>51874.05</v>
      </c>
      <c r="F65" s="26" t="s">
        <v>9</v>
      </c>
      <c r="G65" s="6"/>
      <c r="H65" s="6" t="s">
        <v>156</v>
      </c>
      <c r="I65" s="11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ht="14.4" x14ac:dyDescent="0.3">
      <c r="A66" s="6" t="s">
        <v>6</v>
      </c>
      <c r="B66" s="5" t="s">
        <v>148</v>
      </c>
      <c r="C66" s="26" t="s">
        <v>36</v>
      </c>
      <c r="D66" s="12"/>
      <c r="E66" s="8">
        <v>31</v>
      </c>
      <c r="F66" s="26" t="s">
        <v>87</v>
      </c>
      <c r="G66" s="6"/>
      <c r="H66" s="6" t="s">
        <v>156</v>
      </c>
      <c r="I66" s="11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 ht="14.4" x14ac:dyDescent="0.3">
      <c r="A67" s="6" t="s">
        <v>6</v>
      </c>
      <c r="B67" s="5" t="s">
        <v>68</v>
      </c>
      <c r="C67" s="26" t="s">
        <v>36</v>
      </c>
      <c r="D67" s="12"/>
      <c r="E67" s="8">
        <v>14941.58</v>
      </c>
      <c r="F67" s="26" t="s">
        <v>9</v>
      </c>
      <c r="G67" s="6" t="s">
        <v>47</v>
      </c>
      <c r="H67" s="6" t="s">
        <v>156</v>
      </c>
      <c r="I67" s="11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ht="14.4" x14ac:dyDescent="0.3">
      <c r="A68" s="6" t="s">
        <v>6</v>
      </c>
      <c r="B68" s="5" t="s">
        <v>68</v>
      </c>
      <c r="C68" s="26" t="s">
        <v>36</v>
      </c>
      <c r="D68" s="12"/>
      <c r="E68" s="8">
        <v>24899.49</v>
      </c>
      <c r="F68" s="26" t="s">
        <v>9</v>
      </c>
      <c r="G68" s="6" t="s">
        <v>69</v>
      </c>
      <c r="H68" s="6" t="s">
        <v>156</v>
      </c>
      <c r="I68" s="11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ht="14.4" x14ac:dyDescent="0.3">
      <c r="A69" s="6" t="s">
        <v>6</v>
      </c>
      <c r="B69" s="5" t="s">
        <v>68</v>
      </c>
      <c r="C69" s="26" t="s">
        <v>36</v>
      </c>
      <c r="D69" s="12"/>
      <c r="E69" s="8">
        <v>37046.07</v>
      </c>
      <c r="F69" s="26" t="s">
        <v>9</v>
      </c>
      <c r="G69" s="6" t="s">
        <v>51</v>
      </c>
      <c r="H69" s="6" t="s">
        <v>156</v>
      </c>
      <c r="I69" s="11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1:28" ht="14.4" x14ac:dyDescent="0.3">
      <c r="A70" s="6" t="s">
        <v>6</v>
      </c>
      <c r="B70" s="5" t="s">
        <v>151</v>
      </c>
      <c r="C70" s="26" t="s">
        <v>36</v>
      </c>
      <c r="D70" s="12"/>
      <c r="E70" s="8">
        <v>16599.580000000002</v>
      </c>
      <c r="F70" s="26" t="s">
        <v>9</v>
      </c>
      <c r="G70" s="6"/>
      <c r="H70" s="6" t="s">
        <v>156</v>
      </c>
      <c r="I70" s="11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ht="14.4" x14ac:dyDescent="0.3">
      <c r="A71" s="6" t="s">
        <v>6</v>
      </c>
      <c r="B71" s="5" t="s">
        <v>149</v>
      </c>
      <c r="C71" s="26" t="s">
        <v>36</v>
      </c>
      <c r="D71" s="12"/>
      <c r="E71" s="8">
        <v>41498.97</v>
      </c>
      <c r="F71" s="26" t="s">
        <v>9</v>
      </c>
      <c r="G71" s="6"/>
      <c r="H71" s="6" t="s">
        <v>156</v>
      </c>
      <c r="I71" s="11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ht="14.4" x14ac:dyDescent="0.3">
      <c r="A72" s="6" t="s">
        <v>6</v>
      </c>
      <c r="B72" s="5" t="s">
        <v>150</v>
      </c>
      <c r="C72" s="26" t="s">
        <v>36</v>
      </c>
      <c r="D72" s="12"/>
      <c r="E72" s="8">
        <v>11959.39</v>
      </c>
      <c r="F72" s="26" t="s">
        <v>9</v>
      </c>
      <c r="G72" s="6"/>
      <c r="H72" s="6" t="s">
        <v>156</v>
      </c>
      <c r="I72" s="11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 ht="14.4" x14ac:dyDescent="0.3">
      <c r="A73" s="6" t="s">
        <v>6</v>
      </c>
      <c r="B73" s="5" t="s">
        <v>98</v>
      </c>
      <c r="C73" s="26" t="s">
        <v>36</v>
      </c>
      <c r="D73" s="12"/>
      <c r="E73" s="8">
        <v>115798.91</v>
      </c>
      <c r="F73" s="26" t="s">
        <v>9</v>
      </c>
      <c r="G73" s="6"/>
      <c r="H73" s="6" t="s">
        <v>156</v>
      </c>
      <c r="I73" s="11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ht="14.4" x14ac:dyDescent="0.3">
      <c r="A74" s="6" t="s">
        <v>6</v>
      </c>
      <c r="B74" s="5" t="s">
        <v>70</v>
      </c>
      <c r="C74" s="26" t="s">
        <v>71</v>
      </c>
      <c r="D74" s="12"/>
      <c r="E74" s="8">
        <v>194176.69</v>
      </c>
      <c r="F74" s="26" t="s">
        <v>9</v>
      </c>
      <c r="G74" s="6" t="s">
        <v>71</v>
      </c>
      <c r="H74" s="6" t="s">
        <v>156</v>
      </c>
      <c r="I74" s="11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ht="14.4" x14ac:dyDescent="0.3">
      <c r="A75" s="6" t="s">
        <v>6</v>
      </c>
      <c r="B75" s="5" t="s">
        <v>72</v>
      </c>
      <c r="C75" s="26" t="s">
        <v>36</v>
      </c>
      <c r="D75" s="12"/>
      <c r="E75" s="29">
        <v>8.18</v>
      </c>
      <c r="F75" s="26" t="s">
        <v>37</v>
      </c>
      <c r="G75" s="6" t="s">
        <v>73</v>
      </c>
      <c r="H75" s="6" t="s">
        <v>156</v>
      </c>
      <c r="I75" s="11" t="s">
        <v>74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ht="14.4" x14ac:dyDescent="0.3">
      <c r="A76" s="6" t="s">
        <v>6</v>
      </c>
      <c r="B76" s="5" t="s">
        <v>72</v>
      </c>
      <c r="C76" s="26" t="s">
        <v>36</v>
      </c>
      <c r="D76" s="12"/>
      <c r="E76" s="8">
        <v>12.28</v>
      </c>
      <c r="F76" s="26" t="s">
        <v>37</v>
      </c>
      <c r="G76" s="6" t="s">
        <v>75</v>
      </c>
      <c r="H76" s="6" t="s">
        <v>156</v>
      </c>
      <c r="I76" s="11" t="s">
        <v>76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ht="14.4" x14ac:dyDescent="0.3">
      <c r="A77" s="6" t="s">
        <v>6</v>
      </c>
      <c r="B77" s="5" t="s">
        <v>146</v>
      </c>
      <c r="C77" s="26"/>
      <c r="D77" s="12"/>
      <c r="E77" s="8">
        <v>51873.82</v>
      </c>
      <c r="F77" s="26" t="s">
        <v>9</v>
      </c>
      <c r="G77" s="6"/>
      <c r="H77" s="6" t="s">
        <v>156</v>
      </c>
      <c r="I77" s="11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ht="14.4" x14ac:dyDescent="0.3">
      <c r="A78" s="6" t="s">
        <v>6</v>
      </c>
      <c r="B78" s="5" t="s">
        <v>77</v>
      </c>
      <c r="C78" s="26" t="s">
        <v>36</v>
      </c>
      <c r="D78" s="12"/>
      <c r="E78" s="13">
        <v>80642</v>
      </c>
      <c r="F78" s="26" t="s">
        <v>9</v>
      </c>
      <c r="G78" s="6"/>
      <c r="H78" s="6" t="s">
        <v>156</v>
      </c>
      <c r="I78" s="11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 ht="14.4" x14ac:dyDescent="0.3">
      <c r="A79" s="6" t="s">
        <v>6</v>
      </c>
      <c r="B79" s="5" t="s">
        <v>78</v>
      </c>
      <c r="C79" s="26" t="s">
        <v>36</v>
      </c>
      <c r="D79" s="12"/>
      <c r="E79" s="13">
        <v>60518</v>
      </c>
      <c r="F79" s="26" t="s">
        <v>9</v>
      </c>
      <c r="G79" s="6"/>
      <c r="H79" s="6" t="s">
        <v>156</v>
      </c>
      <c r="I79" s="11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ht="14.4" x14ac:dyDescent="0.3">
      <c r="A80" s="6" t="s">
        <v>6</v>
      </c>
      <c r="B80" s="5" t="s">
        <v>79</v>
      </c>
      <c r="C80" s="26" t="s">
        <v>80</v>
      </c>
      <c r="D80" s="12"/>
      <c r="E80" s="8">
        <v>8645.41</v>
      </c>
      <c r="F80" s="26" t="s">
        <v>9</v>
      </c>
      <c r="G80" s="6"/>
      <c r="H80" s="6" t="s">
        <v>156</v>
      </c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4.4" x14ac:dyDescent="0.3">
      <c r="A81" s="6" t="s">
        <v>6</v>
      </c>
      <c r="B81" s="5" t="s">
        <v>81</v>
      </c>
      <c r="C81" s="26" t="s">
        <v>36</v>
      </c>
      <c r="D81" s="12"/>
      <c r="E81" s="13">
        <v>60518</v>
      </c>
      <c r="F81" s="26" t="s">
        <v>9</v>
      </c>
      <c r="G81" s="6"/>
      <c r="H81" s="6" t="s">
        <v>156</v>
      </c>
      <c r="I81" s="1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4.4" x14ac:dyDescent="0.3">
      <c r="A82" s="16"/>
      <c r="B82" s="16"/>
      <c r="C82" s="17"/>
      <c r="D82" s="18"/>
      <c r="E82" s="18"/>
      <c r="F82" s="17"/>
      <c r="G82" s="19"/>
      <c r="H82" s="19"/>
      <c r="I82" s="19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4.4" x14ac:dyDescent="0.3">
      <c r="A83" s="6" t="s">
        <v>82</v>
      </c>
      <c r="B83" s="5" t="s">
        <v>7</v>
      </c>
      <c r="C83" s="6" t="s">
        <v>8</v>
      </c>
      <c r="D83" s="32">
        <v>91.52</v>
      </c>
      <c r="E83" s="30">
        <v>114</v>
      </c>
      <c r="F83" s="6" t="s">
        <v>9</v>
      </c>
      <c r="G83" s="20"/>
      <c r="H83" s="20" t="s">
        <v>173</v>
      </c>
      <c r="I83" s="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4.4" x14ac:dyDescent="0.3">
      <c r="A84" s="6" t="s">
        <v>82</v>
      </c>
      <c r="B84" s="5" t="s">
        <v>83</v>
      </c>
      <c r="C84" s="6" t="s">
        <v>8</v>
      </c>
      <c r="D84" s="30">
        <v>0</v>
      </c>
      <c r="E84" s="30">
        <v>0</v>
      </c>
      <c r="F84" s="6" t="s">
        <v>9</v>
      </c>
      <c r="G84" s="21"/>
      <c r="H84" s="20" t="s">
        <v>173</v>
      </c>
      <c r="I84" s="2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5.75" customHeight="1" x14ac:dyDescent="0.3">
      <c r="A85" s="6" t="s">
        <v>82</v>
      </c>
      <c r="B85" s="5" t="s">
        <v>84</v>
      </c>
      <c r="C85" s="6" t="s">
        <v>8</v>
      </c>
      <c r="D85" s="30">
        <v>0</v>
      </c>
      <c r="E85" s="30">
        <v>14</v>
      </c>
      <c r="F85" s="6" t="s">
        <v>9</v>
      </c>
      <c r="G85" s="21" t="s">
        <v>85</v>
      </c>
      <c r="H85" s="20" t="s">
        <v>173</v>
      </c>
      <c r="I85" s="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5.75" customHeight="1" x14ac:dyDescent="0.3">
      <c r="A86" s="6" t="s">
        <v>82</v>
      </c>
      <c r="B86" s="5" t="s">
        <v>18</v>
      </c>
      <c r="C86" s="6" t="s">
        <v>8</v>
      </c>
      <c r="D86" s="32">
        <v>91.52</v>
      </c>
      <c r="E86" s="30">
        <v>114</v>
      </c>
      <c r="F86" s="6" t="s">
        <v>9</v>
      </c>
      <c r="G86" s="14" t="s">
        <v>86</v>
      </c>
      <c r="H86" s="20" t="s">
        <v>173</v>
      </c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5.75" customHeight="1" x14ac:dyDescent="0.3">
      <c r="A87" s="6" t="s">
        <v>82</v>
      </c>
      <c r="B87" s="5" t="s">
        <v>39</v>
      </c>
      <c r="C87" s="6" t="s">
        <v>8</v>
      </c>
      <c r="D87" s="30" t="s">
        <v>164</v>
      </c>
      <c r="E87" s="30" t="s">
        <v>166</v>
      </c>
      <c r="F87" s="6" t="s">
        <v>87</v>
      </c>
      <c r="G87" s="23"/>
      <c r="H87" s="20" t="s">
        <v>173</v>
      </c>
      <c r="I87" s="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5.75" customHeight="1" x14ac:dyDescent="0.3">
      <c r="A88" s="6" t="s">
        <v>82</v>
      </c>
      <c r="B88" s="5" t="s">
        <v>40</v>
      </c>
      <c r="C88" s="6" t="s">
        <v>8</v>
      </c>
      <c r="D88" s="32">
        <v>91.52</v>
      </c>
      <c r="E88" s="30">
        <v>114</v>
      </c>
      <c r="F88" s="6" t="s">
        <v>9</v>
      </c>
      <c r="G88" s="23"/>
      <c r="H88" s="20" t="s">
        <v>173</v>
      </c>
      <c r="I88" s="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5.75" customHeight="1" x14ac:dyDescent="0.3">
      <c r="A89" s="6" t="s">
        <v>82</v>
      </c>
      <c r="B89" s="5" t="s">
        <v>44</v>
      </c>
      <c r="C89" s="6" t="s">
        <v>36</v>
      </c>
      <c r="D89" s="32">
        <v>58022</v>
      </c>
      <c r="E89" s="30">
        <v>101343</v>
      </c>
      <c r="F89" s="6" t="s">
        <v>9</v>
      </c>
      <c r="G89" s="20" t="s">
        <v>51</v>
      </c>
      <c r="H89" s="20" t="s">
        <v>173</v>
      </c>
      <c r="I89" s="20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5.75" customHeight="1" x14ac:dyDescent="0.3">
      <c r="A90" s="6" t="s">
        <v>82</v>
      </c>
      <c r="B90" s="5" t="s">
        <v>44</v>
      </c>
      <c r="C90" s="6" t="s">
        <v>36</v>
      </c>
      <c r="D90" s="32">
        <v>62319</v>
      </c>
      <c r="E90" s="30">
        <v>125200</v>
      </c>
      <c r="F90" s="6" t="s">
        <v>9</v>
      </c>
      <c r="G90" s="20" t="s">
        <v>172</v>
      </c>
      <c r="H90" s="20" t="s">
        <v>173</v>
      </c>
      <c r="I90" s="20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5.75" customHeight="1" x14ac:dyDescent="0.3">
      <c r="A91" s="6" t="s">
        <v>82</v>
      </c>
      <c r="B91" s="5" t="s">
        <v>44</v>
      </c>
      <c r="C91" s="6" t="s">
        <v>36</v>
      </c>
      <c r="D91" s="32">
        <v>95962</v>
      </c>
      <c r="E91" s="30">
        <v>125200</v>
      </c>
      <c r="F91" s="6" t="s">
        <v>9</v>
      </c>
      <c r="G91" s="20" t="s">
        <v>175</v>
      </c>
      <c r="H91" s="20" t="s">
        <v>173</v>
      </c>
      <c r="I91" s="20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5.75" customHeight="1" x14ac:dyDescent="0.3">
      <c r="A92" s="6" t="s">
        <v>82</v>
      </c>
      <c r="B92" s="5" t="s">
        <v>44</v>
      </c>
      <c r="C92" s="6" t="s">
        <v>36</v>
      </c>
      <c r="D92" s="32">
        <v>103064</v>
      </c>
      <c r="E92" s="30">
        <v>108844</v>
      </c>
      <c r="F92" s="6" t="s">
        <v>9</v>
      </c>
      <c r="G92" s="20" t="s">
        <v>176</v>
      </c>
      <c r="H92" s="20" t="s">
        <v>173</v>
      </c>
      <c r="I92" s="20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5.75" customHeight="1" x14ac:dyDescent="0.3">
      <c r="A93" s="6" t="s">
        <v>82</v>
      </c>
      <c r="B93" s="5" t="s">
        <v>88</v>
      </c>
      <c r="C93" s="6" t="s">
        <v>36</v>
      </c>
      <c r="D93" s="30"/>
      <c r="E93" s="30">
        <v>15148</v>
      </c>
      <c r="F93" s="6" t="s">
        <v>9</v>
      </c>
      <c r="G93" s="20" t="s">
        <v>47</v>
      </c>
      <c r="H93" s="20" t="s">
        <v>173</v>
      </c>
      <c r="I93" s="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5.75" customHeight="1" x14ac:dyDescent="0.3">
      <c r="A94" s="6" t="s">
        <v>82</v>
      </c>
      <c r="B94" s="5" t="s">
        <v>88</v>
      </c>
      <c r="C94" s="6" t="s">
        <v>36</v>
      </c>
      <c r="D94" s="30"/>
      <c r="E94" s="30">
        <v>49086</v>
      </c>
      <c r="F94" s="6" t="s">
        <v>9</v>
      </c>
      <c r="G94" s="20" t="s">
        <v>51</v>
      </c>
      <c r="H94" s="20" t="s">
        <v>173</v>
      </c>
      <c r="I94" s="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5.75" customHeight="1" x14ac:dyDescent="0.3">
      <c r="A95" s="6" t="s">
        <v>82</v>
      </c>
      <c r="B95" s="5" t="s">
        <v>89</v>
      </c>
      <c r="C95" s="6" t="s">
        <v>90</v>
      </c>
      <c r="D95" s="30"/>
      <c r="E95" s="30">
        <v>28050</v>
      </c>
      <c r="F95" s="6" t="s">
        <v>9</v>
      </c>
      <c r="G95" s="21"/>
      <c r="H95" s="20" t="s">
        <v>173</v>
      </c>
      <c r="I95" s="1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5.75" customHeight="1" x14ac:dyDescent="0.3">
      <c r="A96" s="6" t="s">
        <v>82</v>
      </c>
      <c r="B96" s="5" t="s">
        <v>91</v>
      </c>
      <c r="C96" s="6" t="s">
        <v>36</v>
      </c>
      <c r="D96" s="30"/>
      <c r="E96" s="30">
        <v>35888</v>
      </c>
      <c r="F96" s="6" t="s">
        <v>9</v>
      </c>
      <c r="G96" s="20"/>
      <c r="H96" s="20" t="s">
        <v>173</v>
      </c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5.75" customHeight="1" x14ac:dyDescent="0.3">
      <c r="A97" s="6" t="s">
        <v>82</v>
      </c>
      <c r="B97" s="5" t="s">
        <v>72</v>
      </c>
      <c r="C97" s="6" t="s">
        <v>36</v>
      </c>
      <c r="D97" s="30">
        <v>390593</v>
      </c>
      <c r="E97" s="30">
        <v>468000</v>
      </c>
      <c r="F97" s="6" t="s">
        <v>9</v>
      </c>
      <c r="G97" s="23"/>
      <c r="H97" s="20" t="s">
        <v>173</v>
      </c>
      <c r="I97" s="6" t="s">
        <v>169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5.75" customHeight="1" x14ac:dyDescent="0.3">
      <c r="A98" s="6" t="s">
        <v>82</v>
      </c>
      <c r="B98" s="5" t="s">
        <v>78</v>
      </c>
      <c r="C98" s="26" t="s">
        <v>36</v>
      </c>
      <c r="D98" s="30"/>
      <c r="E98" s="30">
        <v>40945</v>
      </c>
      <c r="F98" s="6" t="s">
        <v>9</v>
      </c>
      <c r="G98" s="23"/>
      <c r="H98" s="20" t="s">
        <v>173</v>
      </c>
      <c r="I98" s="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5.75" customHeight="1" x14ac:dyDescent="0.3">
      <c r="A99" s="6" t="s">
        <v>82</v>
      </c>
      <c r="B99" s="5" t="s">
        <v>81</v>
      </c>
      <c r="C99" s="26" t="s">
        <v>71</v>
      </c>
      <c r="D99" s="30"/>
      <c r="E99" s="30" t="s">
        <v>165</v>
      </c>
      <c r="F99" s="6" t="s">
        <v>87</v>
      </c>
      <c r="G99" s="23"/>
      <c r="H99" s="20" t="s">
        <v>173</v>
      </c>
      <c r="I99" s="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5.75" customHeight="1" x14ac:dyDescent="0.3">
      <c r="A100" s="6" t="s">
        <v>82</v>
      </c>
      <c r="B100" s="5" t="s">
        <v>92</v>
      </c>
      <c r="C100" s="26" t="s">
        <v>71</v>
      </c>
      <c r="D100" s="30" t="s">
        <v>174</v>
      </c>
      <c r="E100" s="30" t="s">
        <v>167</v>
      </c>
      <c r="F100" s="6" t="s">
        <v>87</v>
      </c>
      <c r="G100" s="20" t="s">
        <v>93</v>
      </c>
      <c r="H100" s="20" t="s">
        <v>173</v>
      </c>
      <c r="I100" s="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5.75" customHeight="1" x14ac:dyDescent="0.3">
      <c r="A101" s="6" t="s">
        <v>82</v>
      </c>
      <c r="B101" s="5" t="s">
        <v>94</v>
      </c>
      <c r="C101" s="26" t="s">
        <v>36</v>
      </c>
      <c r="D101" s="30"/>
      <c r="E101" s="30">
        <v>126742</v>
      </c>
      <c r="F101" s="6" t="s">
        <v>9</v>
      </c>
      <c r="G101" s="23"/>
      <c r="H101" s="20" t="s">
        <v>173</v>
      </c>
      <c r="I101" s="6" t="s">
        <v>95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5.75" customHeight="1" x14ac:dyDescent="0.3">
      <c r="A102" s="6" t="s">
        <v>82</v>
      </c>
      <c r="B102" s="5" t="s">
        <v>96</v>
      </c>
      <c r="C102" s="26" t="s">
        <v>97</v>
      </c>
      <c r="D102" s="30"/>
      <c r="E102" s="30" t="s">
        <v>168</v>
      </c>
      <c r="F102" s="6" t="s">
        <v>87</v>
      </c>
      <c r="G102" s="23"/>
      <c r="H102" s="20" t="s">
        <v>173</v>
      </c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5.75" customHeight="1" x14ac:dyDescent="0.3">
      <c r="A103" s="6" t="s">
        <v>82</v>
      </c>
      <c r="B103" s="5" t="s">
        <v>98</v>
      </c>
      <c r="C103" s="26" t="s">
        <v>36</v>
      </c>
      <c r="D103" s="30"/>
      <c r="E103" s="30">
        <v>75937</v>
      </c>
      <c r="F103" s="6" t="s">
        <v>9</v>
      </c>
      <c r="G103" s="23"/>
      <c r="H103" s="20" t="s">
        <v>173</v>
      </c>
      <c r="I103" s="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5.75" customHeight="1" x14ac:dyDescent="0.3">
      <c r="A104" s="6" t="s">
        <v>82</v>
      </c>
      <c r="B104" s="5" t="s">
        <v>114</v>
      </c>
      <c r="C104" s="26" t="s">
        <v>36</v>
      </c>
      <c r="D104" s="30"/>
      <c r="E104" s="30">
        <v>26</v>
      </c>
      <c r="F104" s="6" t="s">
        <v>87</v>
      </c>
      <c r="G104" s="23"/>
      <c r="H104" s="20" t="s">
        <v>173</v>
      </c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5.75" customHeight="1" x14ac:dyDescent="0.3">
      <c r="A105" s="6" t="s">
        <v>82</v>
      </c>
      <c r="B105" s="5" t="s">
        <v>99</v>
      </c>
      <c r="C105" s="26" t="s">
        <v>36</v>
      </c>
      <c r="D105" s="30"/>
      <c r="E105" s="30">
        <v>35888</v>
      </c>
      <c r="F105" s="6" t="s">
        <v>9</v>
      </c>
      <c r="G105" s="23"/>
      <c r="H105" s="20" t="s">
        <v>173</v>
      </c>
      <c r="I105" s="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5.75" customHeight="1" x14ac:dyDescent="0.3">
      <c r="A106" s="6" t="s">
        <v>82</v>
      </c>
      <c r="B106" s="5" t="s">
        <v>100</v>
      </c>
      <c r="C106" s="26" t="s">
        <v>36</v>
      </c>
      <c r="D106" s="30"/>
      <c r="E106" s="30">
        <v>34077</v>
      </c>
      <c r="F106" s="6" t="s">
        <v>9</v>
      </c>
      <c r="G106" s="23"/>
      <c r="H106" s="20" t="s">
        <v>173</v>
      </c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5.75" customHeight="1" x14ac:dyDescent="0.3">
      <c r="A107" s="6" t="s">
        <v>82</v>
      </c>
      <c r="B107" s="5" t="s">
        <v>101</v>
      </c>
      <c r="C107" s="26" t="s">
        <v>56</v>
      </c>
      <c r="D107" s="30"/>
      <c r="E107" s="30">
        <f>2808*1.04</f>
        <v>2920.32</v>
      </c>
      <c r="F107" s="6" t="s">
        <v>9</v>
      </c>
      <c r="G107" s="23"/>
      <c r="H107" s="20" t="s">
        <v>173</v>
      </c>
      <c r="I107" s="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5.75" customHeight="1" x14ac:dyDescent="0.3">
      <c r="A108" s="6" t="s">
        <v>82</v>
      </c>
      <c r="B108" s="5" t="s">
        <v>102</v>
      </c>
      <c r="C108" s="26" t="s">
        <v>36</v>
      </c>
      <c r="D108" s="30"/>
      <c r="E108" s="30">
        <v>150784</v>
      </c>
      <c r="F108" s="6" t="s">
        <v>9</v>
      </c>
      <c r="G108" s="23"/>
      <c r="H108" s="20" t="s">
        <v>173</v>
      </c>
      <c r="I108" s="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4.4" x14ac:dyDescent="0.3">
      <c r="A109" s="6" t="s">
        <v>82</v>
      </c>
      <c r="B109" s="5" t="s">
        <v>103</v>
      </c>
      <c r="C109" s="26" t="s">
        <v>36</v>
      </c>
      <c r="D109" s="30"/>
      <c r="E109" s="30">
        <v>122198</v>
      </c>
      <c r="F109" s="6" t="s">
        <v>9</v>
      </c>
      <c r="G109" s="23"/>
      <c r="H109" s="20" t="s">
        <v>173</v>
      </c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4.4" x14ac:dyDescent="0.3">
      <c r="A110" s="16"/>
      <c r="B110" s="16"/>
      <c r="C110" s="17"/>
      <c r="D110" s="18"/>
      <c r="E110" s="18"/>
      <c r="F110" s="17"/>
      <c r="G110" s="19"/>
      <c r="H110" s="19"/>
      <c r="I110" s="19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4.4" x14ac:dyDescent="0.3">
      <c r="A111" s="6" t="s">
        <v>159</v>
      </c>
      <c r="B111" s="5" t="s">
        <v>7</v>
      </c>
      <c r="C111" s="6" t="s">
        <v>8</v>
      </c>
      <c r="D111" s="12"/>
      <c r="E111" s="31">
        <v>83</v>
      </c>
      <c r="F111" s="6" t="s">
        <v>9</v>
      </c>
      <c r="G111" s="23"/>
      <c r="H111" s="20" t="s">
        <v>158</v>
      </c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4.4" x14ac:dyDescent="0.3">
      <c r="A112" s="6" t="s">
        <v>159</v>
      </c>
      <c r="B112" s="5" t="s">
        <v>104</v>
      </c>
      <c r="C112" s="6" t="s">
        <v>8</v>
      </c>
      <c r="D112" s="12"/>
      <c r="E112" s="31">
        <v>58</v>
      </c>
      <c r="F112" s="6" t="s">
        <v>9</v>
      </c>
      <c r="G112" s="6"/>
      <c r="H112" s="20" t="s">
        <v>158</v>
      </c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4.4" x14ac:dyDescent="0.3">
      <c r="A113" s="6" t="s">
        <v>159</v>
      </c>
      <c r="B113" s="5" t="s">
        <v>105</v>
      </c>
      <c r="C113" s="6" t="s">
        <v>8</v>
      </c>
      <c r="D113" s="12"/>
      <c r="E113" s="31">
        <v>9</v>
      </c>
      <c r="F113" s="6" t="s">
        <v>9</v>
      </c>
      <c r="G113" s="23"/>
      <c r="H113" s="20" t="s">
        <v>158</v>
      </c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4.4" x14ac:dyDescent="0.3">
      <c r="A114" s="6" t="s">
        <v>159</v>
      </c>
      <c r="B114" s="5" t="s">
        <v>18</v>
      </c>
      <c r="C114" s="6" t="s">
        <v>8</v>
      </c>
      <c r="D114" s="12"/>
      <c r="E114" s="31">
        <v>83</v>
      </c>
      <c r="F114" s="6" t="s">
        <v>9</v>
      </c>
      <c r="G114" s="6" t="s">
        <v>106</v>
      </c>
      <c r="H114" s="20" t="s">
        <v>158</v>
      </c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4.4" x14ac:dyDescent="0.3">
      <c r="A115" s="6" t="s">
        <v>159</v>
      </c>
      <c r="B115" s="5" t="s">
        <v>39</v>
      </c>
      <c r="C115" s="6" t="s">
        <v>8</v>
      </c>
      <c r="D115" s="12"/>
      <c r="E115" s="31">
        <v>71</v>
      </c>
      <c r="F115" s="6" t="s">
        <v>9</v>
      </c>
      <c r="G115" s="23"/>
      <c r="H115" s="20" t="s">
        <v>158</v>
      </c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4.4" x14ac:dyDescent="0.3">
      <c r="A116" s="6" t="s">
        <v>159</v>
      </c>
      <c r="B116" s="5" t="s">
        <v>160</v>
      </c>
      <c r="C116" s="6" t="s">
        <v>8</v>
      </c>
      <c r="D116" s="12"/>
      <c r="E116" s="31">
        <v>59</v>
      </c>
      <c r="F116" s="6" t="s">
        <v>9</v>
      </c>
      <c r="G116" s="23"/>
      <c r="H116" s="20" t="s">
        <v>158</v>
      </c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4.4" x14ac:dyDescent="0.3">
      <c r="A117" s="6" t="s">
        <v>159</v>
      </c>
      <c r="B117" s="5" t="s">
        <v>161</v>
      </c>
      <c r="C117" s="6" t="s">
        <v>8</v>
      </c>
      <c r="D117" s="12"/>
      <c r="E117" s="31">
        <v>111</v>
      </c>
      <c r="F117" s="6" t="s">
        <v>9</v>
      </c>
      <c r="G117" s="23"/>
      <c r="H117" s="20" t="s">
        <v>158</v>
      </c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4.4" x14ac:dyDescent="0.3">
      <c r="A118" s="6" t="s">
        <v>159</v>
      </c>
      <c r="B118" s="5" t="s">
        <v>40</v>
      </c>
      <c r="C118" s="6" t="s">
        <v>8</v>
      </c>
      <c r="D118" s="12"/>
      <c r="E118" s="31">
        <v>83</v>
      </c>
      <c r="F118" s="6" t="s">
        <v>9</v>
      </c>
      <c r="G118" s="23"/>
      <c r="H118" s="20" t="s">
        <v>158</v>
      </c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4.4" x14ac:dyDescent="0.3">
      <c r="A119" s="6" t="s">
        <v>159</v>
      </c>
      <c r="B119" s="5" t="s">
        <v>44</v>
      </c>
      <c r="C119" s="6" t="s">
        <v>36</v>
      </c>
      <c r="D119" s="12"/>
      <c r="E119" s="31">
        <v>111593</v>
      </c>
      <c r="F119" s="6" t="s">
        <v>9</v>
      </c>
      <c r="G119" s="20" t="s">
        <v>107</v>
      </c>
      <c r="H119" s="20" t="s">
        <v>158</v>
      </c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4.4" x14ac:dyDescent="0.3">
      <c r="A120" s="6" t="s">
        <v>159</v>
      </c>
      <c r="B120" s="5" t="s">
        <v>44</v>
      </c>
      <c r="C120" s="6" t="s">
        <v>36</v>
      </c>
      <c r="D120" s="12"/>
      <c r="E120" s="31">
        <v>55796</v>
      </c>
      <c r="F120" s="6" t="s">
        <v>9</v>
      </c>
      <c r="G120" s="20" t="s">
        <v>108</v>
      </c>
      <c r="H120" s="20" t="s">
        <v>158</v>
      </c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4.4" x14ac:dyDescent="0.3">
      <c r="A121" s="6" t="s">
        <v>159</v>
      </c>
      <c r="B121" s="5" t="s">
        <v>44</v>
      </c>
      <c r="C121" s="6" t="s">
        <v>36</v>
      </c>
      <c r="D121" s="12"/>
      <c r="E121" s="31">
        <v>26782</v>
      </c>
      <c r="F121" s="6" t="s">
        <v>9</v>
      </c>
      <c r="G121" s="20" t="s">
        <v>51</v>
      </c>
      <c r="H121" s="20" t="s">
        <v>158</v>
      </c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4.4" x14ac:dyDescent="0.3">
      <c r="A122" s="6" t="s">
        <v>159</v>
      </c>
      <c r="B122" s="5" t="s">
        <v>44</v>
      </c>
      <c r="C122" s="6" t="s">
        <v>36</v>
      </c>
      <c r="D122" s="12"/>
      <c r="E122" s="31">
        <v>11159</v>
      </c>
      <c r="F122" s="6" t="s">
        <v>9</v>
      </c>
      <c r="G122" s="20" t="s">
        <v>47</v>
      </c>
      <c r="H122" s="20" t="s">
        <v>158</v>
      </c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4.4" x14ac:dyDescent="0.3">
      <c r="A123" s="6" t="s">
        <v>159</v>
      </c>
      <c r="B123" s="5" t="s">
        <v>109</v>
      </c>
      <c r="C123" s="6" t="s">
        <v>8</v>
      </c>
      <c r="D123" s="12"/>
      <c r="E123" s="31">
        <v>7</v>
      </c>
      <c r="F123" s="6" t="s">
        <v>9</v>
      </c>
      <c r="G123" s="23"/>
      <c r="H123" s="20" t="s">
        <v>158</v>
      </c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4.4" x14ac:dyDescent="0.3">
      <c r="A124" s="6" t="s">
        <v>159</v>
      </c>
      <c r="B124" s="5" t="s">
        <v>110</v>
      </c>
      <c r="C124" s="6" t="s">
        <v>36</v>
      </c>
      <c r="D124" s="12"/>
      <c r="E124" s="31">
        <v>8927</v>
      </c>
      <c r="F124" s="6" t="s">
        <v>9</v>
      </c>
      <c r="G124" s="20" t="s">
        <v>51</v>
      </c>
      <c r="H124" s="20" t="s">
        <v>158</v>
      </c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4.4" x14ac:dyDescent="0.3">
      <c r="A125" s="6" t="s">
        <v>159</v>
      </c>
      <c r="B125" s="5" t="s">
        <v>111</v>
      </c>
      <c r="C125" s="6" t="s">
        <v>36</v>
      </c>
      <c r="D125" s="12"/>
      <c r="E125" s="31">
        <v>35710</v>
      </c>
      <c r="F125" s="6" t="s">
        <v>9</v>
      </c>
      <c r="G125" s="20" t="s">
        <v>112</v>
      </c>
      <c r="H125" s="20" t="s">
        <v>158</v>
      </c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4.4" x14ac:dyDescent="0.3">
      <c r="A126" s="6" t="s">
        <v>159</v>
      </c>
      <c r="B126" s="5" t="s">
        <v>55</v>
      </c>
      <c r="C126" s="6" t="s">
        <v>56</v>
      </c>
      <c r="D126" s="31"/>
      <c r="E126" s="31">
        <v>1240</v>
      </c>
      <c r="F126" s="6" t="s">
        <v>9</v>
      </c>
      <c r="G126" s="20"/>
      <c r="H126" s="20" t="s">
        <v>158</v>
      </c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4.4" x14ac:dyDescent="0.3">
      <c r="A127" s="6" t="s">
        <v>159</v>
      </c>
      <c r="B127" s="5" t="s">
        <v>142</v>
      </c>
      <c r="C127" s="6" t="s">
        <v>36</v>
      </c>
      <c r="D127" s="31"/>
      <c r="E127" s="31">
        <v>9552</v>
      </c>
      <c r="F127" s="6" t="s">
        <v>9</v>
      </c>
      <c r="G127" s="20"/>
      <c r="H127" s="20" t="s">
        <v>158</v>
      </c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4.4" x14ac:dyDescent="0.3">
      <c r="A128" s="6" t="s">
        <v>159</v>
      </c>
      <c r="B128" s="5" t="s">
        <v>113</v>
      </c>
      <c r="C128" s="6" t="s">
        <v>56</v>
      </c>
      <c r="D128" s="12"/>
      <c r="E128" s="31">
        <v>2</v>
      </c>
      <c r="F128" s="6" t="s">
        <v>56</v>
      </c>
      <c r="G128" s="20"/>
      <c r="H128" s="20" t="s">
        <v>158</v>
      </c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4.4" x14ac:dyDescent="0.3">
      <c r="A129" s="6" t="s">
        <v>159</v>
      </c>
      <c r="B129" s="5" t="s">
        <v>114</v>
      </c>
      <c r="C129" s="6" t="s">
        <v>36</v>
      </c>
      <c r="D129" s="12"/>
      <c r="E129" s="31">
        <v>27279</v>
      </c>
      <c r="F129" s="6" t="s">
        <v>9</v>
      </c>
      <c r="G129" s="20" t="s">
        <v>36</v>
      </c>
      <c r="H129" s="20" t="s">
        <v>158</v>
      </c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4.4" x14ac:dyDescent="0.3">
      <c r="A130" s="6" t="s">
        <v>159</v>
      </c>
      <c r="B130" s="5" t="s">
        <v>162</v>
      </c>
      <c r="C130" s="6" t="s">
        <v>36</v>
      </c>
      <c r="D130" s="12"/>
      <c r="E130" s="31">
        <v>61996</v>
      </c>
      <c r="F130" s="6" t="s">
        <v>9</v>
      </c>
      <c r="G130" s="20" t="s">
        <v>120</v>
      </c>
      <c r="H130" s="20" t="s">
        <v>158</v>
      </c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4.4" x14ac:dyDescent="0.3">
      <c r="A131" s="6" t="s">
        <v>159</v>
      </c>
      <c r="B131" s="5" t="s">
        <v>144</v>
      </c>
      <c r="C131" s="6" t="s">
        <v>36</v>
      </c>
      <c r="D131" s="12"/>
      <c r="E131" s="31">
        <v>56416</v>
      </c>
      <c r="F131" s="6" t="s">
        <v>9</v>
      </c>
      <c r="G131" s="20" t="s">
        <v>36</v>
      </c>
      <c r="H131" s="20" t="s">
        <v>158</v>
      </c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4.4" x14ac:dyDescent="0.3">
      <c r="A132" s="6" t="s">
        <v>159</v>
      </c>
      <c r="B132" s="5" t="s">
        <v>115</v>
      </c>
      <c r="C132" s="6" t="s">
        <v>36</v>
      </c>
      <c r="D132" s="12"/>
      <c r="E132" s="31">
        <v>10416</v>
      </c>
      <c r="F132" s="6" t="s">
        <v>9</v>
      </c>
      <c r="G132" s="20"/>
      <c r="H132" s="20" t="s">
        <v>158</v>
      </c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4.4" x14ac:dyDescent="0.3">
      <c r="A133" s="6" t="s">
        <v>159</v>
      </c>
      <c r="B133" s="5" t="s">
        <v>116</v>
      </c>
      <c r="C133" s="6" t="s">
        <v>36</v>
      </c>
      <c r="D133" s="12"/>
      <c r="E133" s="31">
        <v>10416</v>
      </c>
      <c r="F133" s="6" t="s">
        <v>9</v>
      </c>
      <c r="G133" s="20"/>
      <c r="H133" s="20" t="s">
        <v>158</v>
      </c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4.4" x14ac:dyDescent="0.3">
      <c r="A134" s="6" t="s">
        <v>159</v>
      </c>
      <c r="B134" s="5" t="s">
        <v>72</v>
      </c>
      <c r="C134" s="6" t="s">
        <v>36</v>
      </c>
      <c r="D134" s="12"/>
      <c r="E134" s="31">
        <v>384375</v>
      </c>
      <c r="F134" s="6" t="s">
        <v>9</v>
      </c>
      <c r="G134" s="20" t="s">
        <v>120</v>
      </c>
      <c r="H134" s="20" t="s">
        <v>158</v>
      </c>
      <c r="I134" s="6" t="s">
        <v>117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4.4" x14ac:dyDescent="0.3">
      <c r="A135" s="6" t="s">
        <v>159</v>
      </c>
      <c r="B135" s="5" t="s">
        <v>118</v>
      </c>
      <c r="C135" s="6" t="s">
        <v>36</v>
      </c>
      <c r="D135" s="12"/>
      <c r="E135" s="31">
        <v>33478</v>
      </c>
      <c r="F135" s="6" t="s">
        <v>9</v>
      </c>
      <c r="G135" s="20" t="s">
        <v>120</v>
      </c>
      <c r="H135" s="20" t="s">
        <v>158</v>
      </c>
      <c r="I135" s="6" t="s">
        <v>117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4.4" x14ac:dyDescent="0.3">
      <c r="A136" s="6" t="s">
        <v>159</v>
      </c>
      <c r="B136" s="5" t="s">
        <v>119</v>
      </c>
      <c r="C136" s="6" t="s">
        <v>36</v>
      </c>
      <c r="D136" s="12"/>
      <c r="E136" s="31">
        <v>22318</v>
      </c>
      <c r="F136" s="6" t="s">
        <v>9</v>
      </c>
      <c r="G136" s="20" t="s">
        <v>120</v>
      </c>
      <c r="H136" s="20" t="s">
        <v>158</v>
      </c>
      <c r="I136" s="6" t="s">
        <v>121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4.4" x14ac:dyDescent="0.3">
      <c r="A137" s="6" t="s">
        <v>159</v>
      </c>
      <c r="B137" s="5" t="s">
        <v>122</v>
      </c>
      <c r="C137" s="6" t="s">
        <v>123</v>
      </c>
      <c r="D137" s="12"/>
      <c r="E137" s="31">
        <v>178548</v>
      </c>
      <c r="F137" s="6" t="s">
        <v>9</v>
      </c>
      <c r="G137" s="23"/>
      <c r="H137" s="20" t="s">
        <v>158</v>
      </c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4.4" x14ac:dyDescent="0.3">
      <c r="A138" s="6" t="s">
        <v>159</v>
      </c>
      <c r="B138" s="5" t="s">
        <v>124</v>
      </c>
      <c r="C138" s="6" t="s">
        <v>71</v>
      </c>
      <c r="D138" s="12"/>
      <c r="E138" s="31">
        <v>264847</v>
      </c>
      <c r="F138" s="6" t="s">
        <v>9</v>
      </c>
      <c r="G138" s="23"/>
      <c r="H138" s="20" t="s">
        <v>158</v>
      </c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4.4" x14ac:dyDescent="0.3">
      <c r="A139" s="6" t="s">
        <v>159</v>
      </c>
      <c r="B139" s="5" t="s">
        <v>78</v>
      </c>
      <c r="C139" s="26" t="s">
        <v>36</v>
      </c>
      <c r="D139" s="12"/>
      <c r="E139" s="31">
        <v>41661</v>
      </c>
      <c r="F139" s="6" t="s">
        <v>9</v>
      </c>
      <c r="G139" s="20" t="s">
        <v>120</v>
      </c>
      <c r="H139" s="20" t="s">
        <v>158</v>
      </c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4.4" x14ac:dyDescent="0.3">
      <c r="A140" s="6" t="s">
        <v>159</v>
      </c>
      <c r="B140" s="5" t="s">
        <v>79</v>
      </c>
      <c r="C140" s="26" t="s">
        <v>80</v>
      </c>
      <c r="D140" s="12"/>
      <c r="E140" s="31">
        <v>0</v>
      </c>
      <c r="F140" s="6" t="s">
        <v>9</v>
      </c>
      <c r="G140" s="23"/>
      <c r="H140" s="20" t="s">
        <v>158</v>
      </c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4.4" x14ac:dyDescent="0.3">
      <c r="A141" s="6" t="s">
        <v>159</v>
      </c>
      <c r="B141" s="5" t="s">
        <v>81</v>
      </c>
      <c r="C141" s="26" t="s">
        <v>36</v>
      </c>
      <c r="D141" s="12"/>
      <c r="E141" s="31">
        <v>41661</v>
      </c>
      <c r="F141" s="6" t="s">
        <v>9</v>
      </c>
      <c r="G141" s="20" t="s">
        <v>120</v>
      </c>
      <c r="H141" s="20" t="s">
        <v>158</v>
      </c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4.4" x14ac:dyDescent="0.3">
      <c r="A142" s="19"/>
      <c r="B142" s="19"/>
      <c r="C142" s="19"/>
      <c r="D142" s="19"/>
      <c r="E142" s="19"/>
      <c r="F142" s="19"/>
      <c r="G142" s="19"/>
      <c r="H142" s="19"/>
      <c r="I142" s="19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4.4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4.4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4.4" x14ac:dyDescent="0.3">
      <c r="A145" s="40" t="s">
        <v>125</v>
      </c>
      <c r="B145" s="35"/>
      <c r="C145" s="35"/>
      <c r="D145" s="35"/>
      <c r="E145" s="35"/>
      <c r="F145" s="35"/>
      <c r="G145" s="35"/>
      <c r="H145" s="35"/>
      <c r="I145" s="3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4.4" x14ac:dyDescent="0.3">
      <c r="A146" s="24" t="s">
        <v>126</v>
      </c>
      <c r="B146" s="24" t="s">
        <v>1</v>
      </c>
      <c r="C146" s="24" t="s">
        <v>2</v>
      </c>
      <c r="D146" s="24" t="s">
        <v>127</v>
      </c>
      <c r="E146" s="24" t="s">
        <v>3</v>
      </c>
      <c r="F146" s="41" t="s">
        <v>5</v>
      </c>
      <c r="G146" s="42"/>
      <c r="H146" s="42"/>
      <c r="I146" s="4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4.4" x14ac:dyDescent="0.3">
      <c r="A147" s="5" t="s">
        <v>128</v>
      </c>
      <c r="B147" s="5" t="s">
        <v>129</v>
      </c>
      <c r="C147" s="6" t="s">
        <v>130</v>
      </c>
      <c r="D147" s="6">
        <v>1</v>
      </c>
      <c r="E147" s="6" t="s">
        <v>37</v>
      </c>
      <c r="F147" s="34" t="s">
        <v>131</v>
      </c>
      <c r="G147" s="44"/>
      <c r="H147" s="44"/>
      <c r="I147" s="4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4.4" x14ac:dyDescent="0.3">
      <c r="A148" s="5" t="s">
        <v>132</v>
      </c>
      <c r="B148" s="5" t="s">
        <v>132</v>
      </c>
      <c r="C148" s="6" t="s">
        <v>36</v>
      </c>
      <c r="D148" s="6">
        <v>300</v>
      </c>
      <c r="E148" s="6" t="s">
        <v>9</v>
      </c>
      <c r="F148" s="46"/>
      <c r="G148" s="47"/>
      <c r="H148" s="47"/>
      <c r="I148" s="4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4.4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4.4" x14ac:dyDescent="0.3">
      <c r="A150" s="40" t="s">
        <v>133</v>
      </c>
      <c r="B150" s="35"/>
      <c r="C150" s="35"/>
      <c r="D150" s="35"/>
      <c r="E150" s="35"/>
      <c r="F150" s="35"/>
      <c r="G150" s="35"/>
      <c r="H150" s="35"/>
      <c r="I150" s="3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4.4" x14ac:dyDescent="0.3">
      <c r="A151" s="24" t="s">
        <v>134</v>
      </c>
      <c r="B151" s="24" t="s">
        <v>135</v>
      </c>
      <c r="C151" s="24" t="s">
        <v>2</v>
      </c>
      <c r="D151" s="41" t="s">
        <v>5</v>
      </c>
      <c r="E151" s="35"/>
      <c r="F151" s="35"/>
      <c r="G151" s="35"/>
      <c r="H151" s="35"/>
      <c r="I151" s="3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4.4" x14ac:dyDescent="0.3">
      <c r="A152" s="23" t="s">
        <v>136</v>
      </c>
      <c r="B152" s="20">
        <v>1.5</v>
      </c>
      <c r="C152" s="20" t="s">
        <v>37</v>
      </c>
      <c r="D152" s="34" t="s">
        <v>137</v>
      </c>
      <c r="E152" s="35"/>
      <c r="F152" s="35"/>
      <c r="G152" s="35"/>
      <c r="H152" s="35"/>
      <c r="I152" s="3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4.4" x14ac:dyDescent="0.3">
      <c r="A153" s="23" t="s">
        <v>138</v>
      </c>
      <c r="B153" s="20">
        <v>0.5</v>
      </c>
      <c r="C153" s="20" t="s">
        <v>37</v>
      </c>
      <c r="D153" s="34" t="s">
        <v>137</v>
      </c>
      <c r="E153" s="35"/>
      <c r="F153" s="35"/>
      <c r="G153" s="35"/>
      <c r="H153" s="35"/>
      <c r="I153" s="3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4.4" x14ac:dyDescent="0.3">
      <c r="A154" s="23" t="s">
        <v>139</v>
      </c>
      <c r="B154" s="20">
        <v>1</v>
      </c>
      <c r="C154" s="20" t="s">
        <v>37</v>
      </c>
      <c r="D154" s="34" t="s">
        <v>137</v>
      </c>
      <c r="E154" s="35"/>
      <c r="F154" s="35"/>
      <c r="G154" s="35"/>
      <c r="H154" s="35"/>
      <c r="I154" s="3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4.4" x14ac:dyDescent="0.3">
      <c r="A155" s="23" t="s">
        <v>140</v>
      </c>
      <c r="B155" s="20">
        <v>4</v>
      </c>
      <c r="C155" s="20" t="s">
        <v>37</v>
      </c>
      <c r="D155" s="34" t="s">
        <v>137</v>
      </c>
      <c r="E155" s="35"/>
      <c r="F155" s="35"/>
      <c r="G155" s="35"/>
      <c r="H155" s="35"/>
      <c r="I155" s="3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4.4" x14ac:dyDescent="0.3">
      <c r="A156" s="23" t="s">
        <v>141</v>
      </c>
      <c r="B156" s="20">
        <v>1.5</v>
      </c>
      <c r="C156" s="20" t="s">
        <v>37</v>
      </c>
      <c r="D156" s="34" t="s">
        <v>137</v>
      </c>
      <c r="E156" s="35"/>
      <c r="F156" s="35"/>
      <c r="G156" s="35"/>
      <c r="H156" s="35"/>
      <c r="I156" s="3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4.4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4.4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4.4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4.4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4.4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4.4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4.4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4.4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4.4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4.4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4.4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4.4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4.4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4.4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4.4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4.4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4.4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4.4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4.4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4.4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4.4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4.4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4.4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4.4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4.4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4.4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4.4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4.4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4.4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4.4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4.4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4.4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4.4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4.4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4.4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4.4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4.4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4.4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4.4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4.4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3.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3.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3.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3.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3.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3.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3.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3.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3.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3.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3.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3.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3.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3.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3.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3.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3.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3.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3.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3.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3.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3.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3.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3.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3.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3.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3.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3.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3.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3.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3.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3.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3.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3.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3.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3.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3.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3.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3.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3.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3.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3.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3.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3.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3.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3.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3.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3.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3.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3.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3.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3.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3.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3.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3.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3.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3.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3.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3.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3.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3.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3.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3.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3.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3.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3.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3.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3.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3.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3.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3.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3.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3.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3.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3.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3.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3.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3.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3.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3.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3.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3.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3.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3.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3.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3.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3.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3.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3.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3.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3.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3.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3.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3.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3.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3.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3.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3.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3.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3.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3.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3.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3.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3.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3.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3.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3.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3.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3.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3.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3.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3.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3.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3.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3.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3.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3.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3.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3.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3.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3.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3.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3.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3.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3.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3.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3.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3.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3.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3.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3.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3.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3.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3.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3.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3.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3.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3.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3.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3.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3.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3.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3.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3.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3.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3.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3.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3.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3.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3.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3.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3.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3.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3.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3.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3.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3.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3.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3.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3.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3.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3.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3.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3.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3.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3.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3.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3.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3.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3.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3.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3.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3.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3.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3.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3.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3.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3.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3.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3.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3.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3.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3.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3.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3.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3.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3.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3.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3.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3.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3.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3.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3.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3.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3.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3.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3.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3.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3.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3.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3.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3.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3.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3.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3.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3.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3.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3.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3.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3.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3.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3.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3.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3.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3.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3.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3.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3.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3.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3.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3.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3.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3.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3.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3.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3.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3.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3.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3.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3.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3.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3.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3.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3.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3.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3.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3.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3.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3.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3.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3.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3.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3.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3.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3.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3.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3.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3.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3.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3.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3.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3.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3.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3.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3.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3.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3.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3.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3.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3.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3.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3.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3.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3.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3.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3.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3.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3.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3.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3.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3.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3.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3.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3.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3.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3.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3.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3.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3.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3.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3.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3.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3.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3.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3.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3.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3.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3.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3.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3.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3.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3.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3.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3.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3.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3.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3.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3.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3.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3.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3.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3.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3.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3.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3.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3.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3.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3.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3.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3.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3.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3.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3.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3.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3.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3.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3.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3.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3.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3.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3.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3.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3.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3.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3.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3.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3.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3.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3.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3.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3.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3.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3.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3.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3.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3.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3.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3.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3.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3.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3.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3.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3.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3.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3.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3.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3.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3.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3.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3.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3.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3.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3.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3.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3.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3.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3.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3.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3.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3.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3.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3.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3.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3.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3.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3.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3.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3.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3.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3.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3.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3.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3.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3.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3.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3.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3.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3.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3.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3.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3.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3.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3.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3.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3.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3.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3.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3.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3.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3.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3.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3.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3.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3.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3.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3.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3.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3.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3.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3.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3.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3.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3.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3.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3.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3.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3.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3.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3.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3.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3.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3.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3.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3.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3.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3.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3.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3.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3.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3.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3.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3.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3.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3.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3.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3.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3.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3.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3.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3.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3.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3.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3.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3.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3.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3.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3.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3.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3.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3.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3.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3.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3.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3.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3.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3.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3.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3.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3.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3.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3.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3.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3.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3.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3.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3.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3.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3.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3.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3.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3.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3.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3.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3.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3.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3.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3.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3.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3.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3.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3.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3.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3.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3.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3.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3.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3.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3.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3.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3.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3.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3.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3.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3.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3.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3.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3.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3.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3.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3.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3.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3.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3.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3.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3.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3.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3.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3.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3.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3.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3.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3.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3.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3.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3.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3.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3.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3.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3.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3.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3.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3.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3.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3.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3.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3.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3.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3.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3.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3.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3.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3.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3.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3.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3.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3.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3.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3.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3.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3.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3.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3.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3.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3.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3.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3.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3.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3.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3.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3.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3.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3.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3.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3.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3.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3.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3.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3.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3.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3.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3.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3.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3.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3.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3.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3.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3.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3.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3.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3.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3.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3.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3.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3.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3.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3.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3.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3.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3.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3.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3.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3.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3.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3.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3.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3.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3.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3.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3.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3.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3.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3.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3.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3.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3.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3.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3.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3.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3.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3.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3.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3.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3.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3.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3.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3.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3.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3.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3.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3.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3.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3.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3.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3.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3.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3.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3.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3.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3.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3.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3.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3.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3.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3.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3.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3.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3.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3.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3.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3.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3.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3.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3.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3.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3.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3.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3.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3.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3.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3.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3.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3.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3.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3.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3.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3.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3.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3.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3.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3.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3.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3.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3.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3.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3.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3.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3.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3.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3.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3.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3.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3.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3.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3.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3.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3.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3.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3.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3.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3.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3.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3.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3.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3.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3.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3.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3.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3.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3.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3.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3.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3.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3.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3.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3.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3.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3.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3.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3.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3.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3.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3.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3.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3.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3.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3.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3.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3.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3.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3.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3.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3.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3.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3.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3.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3.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3.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3.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3.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3.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3.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3.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3.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3.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3.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3.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3.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3.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3.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3.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3.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3.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3.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3.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3.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3.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3.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3.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3.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3.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3.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3.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3.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3.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3.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3.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3.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3.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3.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3.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3.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3.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3.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3.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3.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3.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3.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3.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3.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3.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3.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3.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3.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3.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3.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3.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3.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3.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3.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3.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3.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3.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3.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3.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3.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3.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3.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3.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3.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3.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3.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3.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3.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3.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3.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3.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3.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3.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3.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3.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3.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3.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3.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3.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3.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3.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3.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3.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3.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3.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3.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3.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3.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3.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3.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3.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3.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3.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3.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3.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3.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3.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3.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3.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3.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3.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3.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3.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3.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3.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3.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3.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3.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3.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1:28" ht="13.5" customHeigh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spans="1:28" ht="13.5" customHeight="1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spans="1:28" ht="13.5" customHeight="1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spans="1:28" ht="13.5" customHeight="1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spans="1:28" ht="13.5" customHeight="1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spans="1:28" ht="13.5" customHeight="1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spans="1:28" ht="13.5" customHeight="1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spans="1:28" ht="13.5" customHeight="1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spans="1:28" ht="13.5" customHeight="1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spans="1:28" ht="13.5" customHeight="1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spans="1:28" ht="13.5" customHeight="1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spans="1:28" ht="13.5" customHeight="1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spans="1:28" ht="13.5" customHeight="1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spans="1:28" ht="13.5" customHeight="1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spans="1:28" ht="13.5" customHeight="1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spans="1:28" ht="13.5" customHeight="1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 spans="1:28" ht="13.5" customHeight="1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 spans="1:28" ht="13.5" customHeight="1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 spans="1:28" ht="13.5" customHeight="1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 spans="1:28" ht="13.5" customHeight="1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 spans="1:28" ht="13.5" customHeight="1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 spans="1:28" ht="13.5" customHeight="1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 spans="1:28" ht="13.5" customHeight="1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 spans="1:28" ht="13.5" customHeight="1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 spans="1:28" ht="13.5" customHeight="1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 spans="1:28" ht="13.5" customHeight="1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 spans="1:28" ht="13.5" customHeight="1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 spans="1:28" ht="13.5" customHeight="1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 spans="1:28" ht="13.5" customHeight="1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 spans="1:28" ht="13.5" customHeight="1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 spans="1:28" ht="13.5" customHeight="1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 spans="1:28" ht="13.5" customHeight="1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 spans="1:28" ht="13.5" customHeight="1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 spans="1:28" ht="13.5" customHeight="1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 spans="1:28" ht="13.5" customHeight="1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 spans="1:28" ht="13.5" customHeight="1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 spans="1:28" ht="13.5" customHeight="1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 spans="1:28" ht="13.5" customHeight="1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 spans="1:28" ht="13.5" customHeight="1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 spans="1:28" ht="13.5" customHeight="1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 spans="1:28" ht="13.5" customHeight="1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 spans="1:28" ht="13.5" customHeight="1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 spans="1:28" ht="13.5" customHeight="1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 spans="1:28" ht="13.5" customHeight="1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 spans="1:28" ht="13.5" customHeight="1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 spans="1:28" ht="13.5" customHeight="1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  <row r="1047" spans="1:28" ht="13.5" customHeight="1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</row>
    <row r="1048" spans="1:28" ht="13.5" customHeight="1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</row>
    <row r="1049" spans="1:28" ht="13.5" customHeight="1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</row>
    <row r="1050" spans="1:28" ht="13.5" customHeight="1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</row>
    <row r="1051" spans="1:28" ht="13.5" customHeight="1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</row>
    <row r="1052" spans="1:28" ht="13.5" customHeight="1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</row>
    <row r="1053" spans="1:28" ht="13.5" customHeight="1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</row>
    <row r="1054" spans="1:28" ht="13.5" customHeight="1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</row>
    <row r="1055" spans="1:28" ht="13.5" customHeight="1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</row>
    <row r="1056" spans="1:28" ht="13.5" customHeight="1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</row>
    <row r="1057" spans="1:28" ht="13.5" customHeight="1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</row>
    <row r="1058" spans="1:28" ht="13.5" customHeight="1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</row>
    <row r="1059" spans="1:28" ht="13.5" customHeight="1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</row>
    <row r="1060" spans="1:28" ht="13.5" customHeight="1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</row>
    <row r="1061" spans="1:28" ht="13.5" customHeight="1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</row>
    <row r="1062" spans="1:28" ht="13.5" customHeight="1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</row>
    <row r="1063" spans="1:28" ht="13.5" customHeight="1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</row>
    <row r="1064" spans="1:28" ht="13.5" customHeight="1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</row>
    <row r="1065" spans="1:28" ht="13.5" customHeight="1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</row>
    <row r="1066" spans="1:28" ht="13.5" customHeight="1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</row>
    <row r="1067" spans="1:28" ht="13.5" customHeight="1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</row>
    <row r="1068" spans="1:28" ht="13.5" customHeight="1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</row>
    <row r="1069" spans="1:28" ht="13.5" customHeight="1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</row>
    <row r="1070" spans="1:28" ht="13.5" customHeight="1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</row>
    <row r="1071" spans="1:28" ht="13.5" customHeight="1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</row>
    <row r="1072" spans="1:28" ht="13.5" customHeight="1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</row>
    <row r="1073" spans="1:28" ht="13.5" customHeight="1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</row>
    <row r="1074" spans="1:28" ht="13.5" customHeight="1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</row>
    <row r="1075" spans="1:28" ht="13.5" customHeight="1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</row>
    <row r="1076" spans="1:28" ht="13.5" customHeight="1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</row>
    <row r="1077" spans="1:28" ht="13.5" customHeight="1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</row>
    <row r="1078" spans="1:28" ht="13.5" customHeight="1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</row>
  </sheetData>
  <mergeCells count="13">
    <mergeCell ref="A1:I4"/>
    <mergeCell ref="D156:I156"/>
    <mergeCell ref="I13:I29"/>
    <mergeCell ref="A145:I145"/>
    <mergeCell ref="A150:I150"/>
    <mergeCell ref="D151:I151"/>
    <mergeCell ref="D152:I152"/>
    <mergeCell ref="D153:I153"/>
    <mergeCell ref="D154:I154"/>
    <mergeCell ref="D155:I155"/>
    <mergeCell ref="F146:I146"/>
    <mergeCell ref="F147:I147"/>
    <mergeCell ref="F148:I148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Perez Millas</dc:creator>
  <cp:lastModifiedBy>Victor Moncada</cp:lastModifiedBy>
  <dcterms:created xsi:type="dcterms:W3CDTF">2020-08-21T09:20:37Z</dcterms:created>
  <dcterms:modified xsi:type="dcterms:W3CDTF">2026-05-19T22:33:38Z</dcterms:modified>
</cp:coreProperties>
</file>